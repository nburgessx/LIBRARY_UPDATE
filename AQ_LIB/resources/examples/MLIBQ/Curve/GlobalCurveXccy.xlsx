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90" windowWidth="20700" windowHeight="11700"/>
  </bookViews>
  <sheets>
    <sheet name="USD GLOBAL CURVE" sheetId="20" r:id="rId1"/>
    <sheet name="EUR GLOBAL CURVE" sheetId="24" r:id="rId2"/>
    <sheet name="EUR XCCY CURVE" sheetId="26" r:id="rId3"/>
    <sheet name="DISPLAY_USD_CURVE" sheetId="21" r:id="rId4"/>
    <sheet name="DISPLAY_EUR_CURVE" sheetId="25" r:id="rId5"/>
    <sheet name="PRICING" sheetId="22" r:id="rId6"/>
    <sheet name="RISK" sheetId="23" state="hidden" r:id="rId7"/>
  </sheets>
  <definedNames>
    <definedName name="isEURCurveLoaded">'EUR GLOBAL CURVE'!$D$9</definedName>
    <definedName name="isUSDCurveLoaded">'USD GLOBAL CURVE'!$D$9</definedName>
    <definedName name="USDCurve.AsOfDate">'USD GLOBAL CURVE'!$I$9</definedName>
    <definedName name="Xccy.Deal.CurveCollection" localSheetId="5">PRICING!$V$45:$W$47</definedName>
    <definedName name="Xccy.Deal.Properties" localSheetId="5">PRICING!$V$39:$W$41</definedName>
    <definedName name="Xccy.Deal2" localSheetId="5">PRICING!$Z$6:$AB$35</definedName>
    <definedName name="Xccy.FXSpotRate">PRICING!$V$13</definedName>
    <definedName name="Xccy.Leg1Curve">PRICING!$V$11</definedName>
    <definedName name="Xccy.Leg2Curve">PRICING!$V$12</definedName>
    <definedName name="Xccy.ValuationSettings">PRICING!$U$11:$V$13</definedName>
  </definedNames>
  <calcPr calcId="145621" calcMode="manual" calcCompleted="0" calcOnSave="0"/>
</workbook>
</file>

<file path=xl/calcChain.xml><?xml version="1.0" encoding="utf-8"?>
<calcChain xmlns="http://schemas.openxmlformats.org/spreadsheetml/2006/main">
  <c r="D3" i="23" l="1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C3" i="23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E3" i="23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B3" i="23"/>
  <c r="B4" i="23"/>
  <c r="B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Q18" i="22"/>
  <c r="R18" i="22"/>
  <c r="Q19" i="22"/>
  <c r="R19" i="22"/>
  <c r="Q5" i="22"/>
  <c r="R5" i="22"/>
  <c r="Q6" i="22"/>
  <c r="R6" i="22"/>
  <c r="Q7" i="22"/>
  <c r="R7" i="22"/>
  <c r="Q8" i="22"/>
  <c r="R8" i="22"/>
  <c r="Q9" i="22"/>
  <c r="R9" i="22"/>
  <c r="Q10" i="22"/>
  <c r="R10" i="22"/>
  <c r="Q11" i="22"/>
  <c r="R11" i="22"/>
  <c r="Q12" i="22"/>
  <c r="R12" i="22"/>
  <c r="Q13" i="22"/>
  <c r="R13" i="22"/>
  <c r="Q14" i="22"/>
  <c r="R14" i="22"/>
  <c r="Q15" i="22"/>
  <c r="R15" i="22"/>
  <c r="Q16" i="22"/>
  <c r="R16" i="22"/>
  <c r="Q17" i="22"/>
  <c r="R17" i="22"/>
  <c r="C6" i="26"/>
  <c r="I30" i="24"/>
  <c r="I9" i="24"/>
  <c r="I30" i="20"/>
  <c r="C20" i="26" a="1"/>
  <c r="C20" i="26"/>
  <c r="C21" i="26"/>
  <c r="C22" i="26"/>
  <c r="C23" i="26"/>
  <c r="D9" i="24"/>
  <c r="D9" i="20"/>
  <c r="D8" i="20"/>
  <c r="U40" i="24"/>
  <c r="F17" i="23"/>
  <c r="F16" i="23"/>
  <c r="F15" i="23"/>
  <c r="F14" i="23"/>
  <c r="F13" i="23"/>
  <c r="F12" i="23"/>
  <c r="F11" i="23"/>
  <c r="F10" i="23"/>
  <c r="F9" i="23"/>
  <c r="F8" i="23"/>
  <c r="F7" i="23"/>
  <c r="F6" i="23"/>
  <c r="F5" i="23"/>
  <c r="F4" i="23"/>
  <c r="F3" i="23"/>
  <c r="C5" i="22"/>
  <c r="B5" i="22" s="1"/>
  <c r="D5" i="22"/>
  <c r="N5" i="22" s="1"/>
  <c r="O5" i="22" s="1"/>
  <c r="C10" i="26"/>
  <c r="I35" i="24"/>
  <c r="I14" i="24"/>
  <c r="O27" i="20"/>
  <c r="P27" i="20"/>
  <c r="B9" i="25" a="1"/>
  <c r="I14" i="20"/>
  <c r="S5" i="22" l="1"/>
  <c r="C6" i="22"/>
  <c r="O28" i="20"/>
  <c r="D501" i="25"/>
  <c r="B499" i="25"/>
  <c r="C496" i="25"/>
  <c r="D493" i="25"/>
  <c r="B491" i="25"/>
  <c r="C488" i="25"/>
  <c r="D485" i="25"/>
  <c r="B483" i="25"/>
  <c r="C480" i="25"/>
  <c r="D477" i="25"/>
  <c r="B475" i="25"/>
  <c r="C472" i="25"/>
  <c r="D469" i="25"/>
  <c r="B467" i="25"/>
  <c r="C464" i="25"/>
  <c r="D461" i="25"/>
  <c r="B459" i="25"/>
  <c r="C456" i="25"/>
  <c r="D453" i="25"/>
  <c r="B451" i="25"/>
  <c r="C448" i="25"/>
  <c r="D445" i="25"/>
  <c r="B443" i="25"/>
  <c r="C440" i="25"/>
  <c r="D437" i="25"/>
  <c r="B435" i="25"/>
  <c r="C432" i="25"/>
  <c r="D429" i="25"/>
  <c r="B427" i="25"/>
  <c r="C424" i="25"/>
  <c r="B501" i="25"/>
  <c r="C498" i="25"/>
  <c r="D495" i="25"/>
  <c r="B493" i="25"/>
  <c r="C490" i="25"/>
  <c r="D487" i="25"/>
  <c r="B485" i="25"/>
  <c r="C482" i="25"/>
  <c r="D479" i="25"/>
  <c r="B477" i="25"/>
  <c r="C474" i="25"/>
  <c r="D471" i="25"/>
  <c r="B469" i="25"/>
  <c r="C466" i="25"/>
  <c r="D463" i="25"/>
  <c r="B461" i="25"/>
  <c r="C458" i="25"/>
  <c r="D455" i="25"/>
  <c r="B453" i="25"/>
  <c r="C450" i="25"/>
  <c r="D447" i="25"/>
  <c r="B445" i="25"/>
  <c r="C442" i="25"/>
  <c r="D439" i="25"/>
  <c r="B437" i="25"/>
  <c r="C434" i="25"/>
  <c r="D431" i="25"/>
  <c r="B429" i="25"/>
  <c r="C426" i="25"/>
  <c r="D423" i="25"/>
  <c r="B421" i="25"/>
  <c r="C418" i="25"/>
  <c r="D415" i="25"/>
  <c r="B413" i="25"/>
  <c r="C410" i="25"/>
  <c r="D407" i="25"/>
  <c r="B405" i="25"/>
  <c r="C402" i="25"/>
  <c r="D399" i="25"/>
  <c r="B397" i="25"/>
  <c r="C394" i="25"/>
  <c r="D391" i="25"/>
  <c r="B389" i="25"/>
  <c r="C386" i="25"/>
  <c r="D383" i="25"/>
  <c r="B381" i="25"/>
  <c r="C378" i="25"/>
  <c r="D375" i="25"/>
  <c r="B373" i="25"/>
  <c r="C370" i="25"/>
  <c r="D367" i="25"/>
  <c r="B365" i="25"/>
  <c r="C362" i="25"/>
  <c r="D359" i="25"/>
  <c r="B357" i="25"/>
  <c r="C354" i="25"/>
  <c r="D351" i="25"/>
  <c r="B349" i="25"/>
  <c r="C346" i="25"/>
  <c r="D343" i="25"/>
  <c r="B341" i="25"/>
  <c r="C338" i="25"/>
  <c r="D335" i="25"/>
  <c r="B333" i="25"/>
  <c r="C330" i="25"/>
  <c r="D327" i="25"/>
  <c r="B325" i="25"/>
  <c r="C322" i="25"/>
  <c r="D319" i="25"/>
  <c r="B317" i="25"/>
  <c r="C314" i="25"/>
  <c r="D311" i="25"/>
  <c r="B309" i="25"/>
  <c r="C306" i="25"/>
  <c r="D303" i="25"/>
  <c r="B301" i="25"/>
  <c r="C298" i="25"/>
  <c r="D295" i="25"/>
  <c r="B293" i="25"/>
  <c r="C290" i="25"/>
  <c r="D287" i="25"/>
  <c r="B285" i="25"/>
  <c r="C282" i="25"/>
  <c r="D279" i="25"/>
  <c r="B277" i="25"/>
  <c r="D499" i="25"/>
  <c r="B497" i="25"/>
  <c r="C494" i="25"/>
  <c r="D491" i="25"/>
  <c r="B489" i="25"/>
  <c r="C486" i="25"/>
  <c r="D483" i="25"/>
  <c r="B481" i="25"/>
  <c r="C478" i="25"/>
  <c r="D475" i="25"/>
  <c r="B473" i="25"/>
  <c r="C470" i="25"/>
  <c r="D467" i="25"/>
  <c r="B465" i="25"/>
  <c r="C462" i="25"/>
  <c r="D459" i="25"/>
  <c r="B457" i="25"/>
  <c r="C454" i="25"/>
  <c r="D451" i="25"/>
  <c r="B449" i="25"/>
  <c r="C446" i="25"/>
  <c r="C500" i="25"/>
  <c r="B496" i="25"/>
  <c r="B492" i="25"/>
  <c r="C487" i="25"/>
  <c r="C483" i="25"/>
  <c r="B479" i="25"/>
  <c r="D474" i="25"/>
  <c r="D470" i="25"/>
  <c r="B466" i="25"/>
  <c r="B462" i="25"/>
  <c r="D457" i="25"/>
  <c r="C453" i="25"/>
  <c r="C449" i="25"/>
  <c r="D444" i="25"/>
  <c r="C441" i="25"/>
  <c r="B438" i="25"/>
  <c r="B434" i="25"/>
  <c r="D430" i="25"/>
  <c r="C427" i="25"/>
  <c r="C423" i="25"/>
  <c r="C420" i="25"/>
  <c r="C417" i="25"/>
  <c r="C414" i="25"/>
  <c r="C411" i="25"/>
  <c r="C408" i="25"/>
  <c r="C405" i="25"/>
  <c r="B402" i="25"/>
  <c r="B399" i="25"/>
  <c r="B396" i="25"/>
  <c r="B393" i="25"/>
  <c r="B390" i="25"/>
  <c r="B387" i="25"/>
  <c r="B384" i="25"/>
  <c r="D380" i="25"/>
  <c r="D377" i="25"/>
  <c r="D374" i="25"/>
  <c r="D371" i="25"/>
  <c r="D368" i="25"/>
  <c r="D365" i="25"/>
  <c r="D362" i="25"/>
  <c r="C359" i="25"/>
  <c r="C356" i="25"/>
  <c r="C353" i="25"/>
  <c r="C350" i="25"/>
  <c r="C347" i="25"/>
  <c r="C344" i="25"/>
  <c r="C341" i="25"/>
  <c r="B338" i="25"/>
  <c r="B335" i="25"/>
  <c r="B332" i="25"/>
  <c r="B329" i="25"/>
  <c r="B326" i="25"/>
  <c r="B323" i="25"/>
  <c r="B320" i="25"/>
  <c r="D316" i="25"/>
  <c r="D313" i="25"/>
  <c r="D310" i="25"/>
  <c r="D307" i="25"/>
  <c r="D304" i="25"/>
  <c r="D301" i="25"/>
  <c r="D298" i="25"/>
  <c r="C295" i="25"/>
  <c r="C292" i="25"/>
  <c r="C289" i="25"/>
  <c r="C286" i="25"/>
  <c r="C283" i="25"/>
  <c r="C280" i="25"/>
  <c r="C277" i="25"/>
  <c r="C274" i="25"/>
  <c r="D271" i="25"/>
  <c r="B269" i="25"/>
  <c r="C266" i="25"/>
  <c r="D263" i="25"/>
  <c r="B261" i="25"/>
  <c r="C258" i="25"/>
  <c r="D255" i="25"/>
  <c r="B253" i="25"/>
  <c r="C250" i="25"/>
  <c r="D247" i="25"/>
  <c r="B245" i="25"/>
  <c r="C242" i="25"/>
  <c r="D239" i="25"/>
  <c r="B237" i="25"/>
  <c r="C234" i="25"/>
  <c r="D231" i="25"/>
  <c r="B229" i="25"/>
  <c r="C226" i="25"/>
  <c r="D223" i="25"/>
  <c r="B221" i="25"/>
  <c r="C218" i="25"/>
  <c r="D215" i="25"/>
  <c r="B213" i="25"/>
  <c r="C210" i="25"/>
  <c r="D207" i="25"/>
  <c r="B205" i="25"/>
  <c r="C202" i="25"/>
  <c r="D199" i="25"/>
  <c r="B197" i="25"/>
  <c r="C194" i="25"/>
  <c r="D191" i="25"/>
  <c r="B189" i="25"/>
  <c r="C186" i="25"/>
  <c r="D183" i="25"/>
  <c r="B181" i="25"/>
  <c r="C178" i="25"/>
  <c r="D175" i="25"/>
  <c r="B173" i="25"/>
  <c r="C170" i="25"/>
  <c r="D167" i="25"/>
  <c r="B165" i="25"/>
  <c r="C162" i="25"/>
  <c r="D159" i="25"/>
  <c r="B157" i="25"/>
  <c r="C154" i="25"/>
  <c r="D151" i="25"/>
  <c r="B149" i="25"/>
  <c r="C146" i="25"/>
  <c r="D143" i="25"/>
  <c r="B141" i="25"/>
  <c r="C138" i="25"/>
  <c r="D135" i="25"/>
  <c r="B133" i="25"/>
  <c r="C130" i="25"/>
  <c r="D127" i="25"/>
  <c r="B498" i="25"/>
  <c r="B494" i="25"/>
  <c r="D489" i="25"/>
  <c r="C485" i="25"/>
  <c r="C481" i="25"/>
  <c r="D476" i="25"/>
  <c r="D472" i="25"/>
  <c r="C468" i="25"/>
  <c r="B464" i="25"/>
  <c r="B460" i="25"/>
  <c r="C455" i="25"/>
  <c r="C451" i="25"/>
  <c r="B447" i="25"/>
  <c r="C443" i="25"/>
  <c r="C439" i="25"/>
  <c r="B436" i="25"/>
  <c r="D432" i="25"/>
  <c r="D428" i="25"/>
  <c r="C425" i="25"/>
  <c r="B422" i="25"/>
  <c r="B419" i="25"/>
  <c r="B416" i="25"/>
  <c r="D412" i="25"/>
  <c r="D409" i="25"/>
  <c r="D406" i="25"/>
  <c r="D403" i="25"/>
  <c r="D400" i="25"/>
  <c r="D397" i="25"/>
  <c r="D394" i="25"/>
  <c r="C391" i="25"/>
  <c r="C388" i="25"/>
  <c r="C385" i="25"/>
  <c r="C382" i="25"/>
  <c r="C379" i="25"/>
  <c r="C376" i="25"/>
  <c r="C373" i="25"/>
  <c r="B370" i="25"/>
  <c r="B367" i="25"/>
  <c r="B364" i="25"/>
  <c r="B361" i="25"/>
  <c r="B358" i="25"/>
  <c r="B355" i="25"/>
  <c r="B352" i="25"/>
  <c r="D348" i="25"/>
  <c r="D345" i="25"/>
  <c r="D342" i="25"/>
  <c r="D339" i="25"/>
  <c r="D336" i="25"/>
  <c r="D333" i="25"/>
  <c r="D330" i="25"/>
  <c r="C327" i="25"/>
  <c r="C324" i="25"/>
  <c r="C321" i="25"/>
  <c r="C318" i="25"/>
  <c r="C315" i="25"/>
  <c r="C312" i="25"/>
  <c r="C309" i="25"/>
  <c r="B306" i="25"/>
  <c r="B303" i="25"/>
  <c r="B300" i="25"/>
  <c r="B297" i="25"/>
  <c r="B294" i="25"/>
  <c r="B291" i="25"/>
  <c r="B288" i="25"/>
  <c r="D284" i="25"/>
  <c r="D281" i="25"/>
  <c r="D278" i="25"/>
  <c r="D275" i="25"/>
  <c r="B273" i="25"/>
  <c r="C270" i="25"/>
  <c r="D267" i="25"/>
  <c r="B265" i="25"/>
  <c r="C262" i="25"/>
  <c r="D259" i="25"/>
  <c r="B257" i="25"/>
  <c r="C254" i="25"/>
  <c r="D251" i="25"/>
  <c r="B249" i="25"/>
  <c r="C246" i="25"/>
  <c r="D243" i="25"/>
  <c r="B241" i="25"/>
  <c r="C238" i="25"/>
  <c r="D235" i="25"/>
  <c r="B233" i="25"/>
  <c r="C230" i="25"/>
  <c r="C501" i="25"/>
  <c r="C495" i="25"/>
  <c r="B490" i="25"/>
  <c r="C484" i="25"/>
  <c r="D478" i="25"/>
  <c r="C473" i="25"/>
  <c r="C467" i="25"/>
  <c r="C461" i="25"/>
  <c r="B456" i="25"/>
  <c r="B450" i="25"/>
  <c r="C444" i="25"/>
  <c r="B440" i="25"/>
  <c r="C435" i="25"/>
  <c r="C430" i="25"/>
  <c r="D425" i="25"/>
  <c r="C421" i="25"/>
  <c r="B417" i="25"/>
  <c r="C413" i="25"/>
  <c r="B409" i="25"/>
  <c r="D404" i="25"/>
  <c r="B401" i="25"/>
  <c r="D396" i="25"/>
  <c r="D392" i="25"/>
  <c r="D388" i="25"/>
  <c r="D384" i="25"/>
  <c r="C380" i="25"/>
  <c r="D376" i="25"/>
  <c r="C372" i="25"/>
  <c r="C368" i="25"/>
  <c r="C364" i="25"/>
  <c r="C360" i="25"/>
  <c r="B356" i="25"/>
  <c r="C352" i="25"/>
  <c r="B348" i="25"/>
  <c r="B344" i="25"/>
  <c r="B340" i="25"/>
  <c r="B336" i="25"/>
  <c r="D331" i="25"/>
  <c r="B328" i="25"/>
  <c r="D323" i="25"/>
  <c r="C319" i="25"/>
  <c r="D315" i="25"/>
  <c r="C311" i="25"/>
  <c r="C307" i="25"/>
  <c r="C303" i="25"/>
  <c r="C299" i="25"/>
  <c r="B295" i="25"/>
  <c r="C291" i="25"/>
  <c r="B287" i="25"/>
  <c r="B283" i="25"/>
  <c r="B279" i="25"/>
  <c r="B275" i="25"/>
  <c r="C271" i="25"/>
  <c r="B268" i="25"/>
  <c r="C264" i="25"/>
  <c r="D260" i="25"/>
  <c r="C257" i="25"/>
  <c r="D253" i="25"/>
  <c r="B250" i="25"/>
  <c r="D246" i="25"/>
  <c r="B243" i="25"/>
  <c r="C239" i="25"/>
  <c r="B236" i="25"/>
  <c r="C232" i="25"/>
  <c r="D228" i="25"/>
  <c r="D225" i="25"/>
  <c r="D222" i="25"/>
  <c r="D219" i="25"/>
  <c r="D216" i="25"/>
  <c r="D213" i="25"/>
  <c r="D210" i="25"/>
  <c r="C207" i="25"/>
  <c r="C204" i="25"/>
  <c r="C201" i="25"/>
  <c r="C198" i="25"/>
  <c r="C195" i="25"/>
  <c r="C192" i="25"/>
  <c r="C189" i="25"/>
  <c r="B186" i="25"/>
  <c r="B183" i="25"/>
  <c r="B180" i="25"/>
  <c r="B177" i="25"/>
  <c r="B174" i="25"/>
  <c r="B171" i="25"/>
  <c r="B168" i="25"/>
  <c r="B500" i="25"/>
  <c r="D494" i="25"/>
  <c r="D488" i="25"/>
  <c r="D482" i="25"/>
  <c r="C477" i="25"/>
  <c r="C471" i="25"/>
  <c r="D465" i="25"/>
  <c r="C460" i="25"/>
  <c r="D454" i="25"/>
  <c r="D448" i="25"/>
  <c r="D443" i="25"/>
  <c r="D438" i="25"/>
  <c r="D433" i="25"/>
  <c r="C429" i="25"/>
  <c r="D424" i="25"/>
  <c r="B420" i="25"/>
  <c r="C416" i="25"/>
  <c r="B412" i="25"/>
  <c r="B408" i="25"/>
  <c r="B404" i="25"/>
  <c r="B400" i="25"/>
  <c r="D395" i="25"/>
  <c r="B392" i="25"/>
  <c r="D387" i="25"/>
  <c r="C383" i="25"/>
  <c r="D379" i="25"/>
  <c r="C375" i="25"/>
  <c r="C371" i="25"/>
  <c r="C367" i="25"/>
  <c r="C363" i="25"/>
  <c r="B359" i="25"/>
  <c r="C355" i="25"/>
  <c r="B351" i="25"/>
  <c r="B347" i="25"/>
  <c r="B343" i="25"/>
  <c r="B339" i="25"/>
  <c r="D334" i="25"/>
  <c r="B331" i="25"/>
  <c r="D326" i="25"/>
  <c r="D322" i="25"/>
  <c r="D318" i="25"/>
  <c r="D314" i="25"/>
  <c r="C310" i="25"/>
  <c r="D306" i="25"/>
  <c r="C302" i="25"/>
  <c r="B298" i="25"/>
  <c r="C294" i="25"/>
  <c r="B290" i="25"/>
  <c r="B286" i="25"/>
  <c r="B282" i="25"/>
  <c r="B278" i="25"/>
  <c r="B274" i="25"/>
  <c r="D270" i="25"/>
  <c r="B267" i="25"/>
  <c r="C263" i="25"/>
  <c r="B260" i="25"/>
  <c r="C256" i="25"/>
  <c r="D252" i="25"/>
  <c r="C249" i="25"/>
  <c r="D245" i="25"/>
  <c r="B242" i="25"/>
  <c r="D238" i="25"/>
  <c r="B235" i="25"/>
  <c r="C231" i="25"/>
  <c r="B228" i="25"/>
  <c r="B225" i="25"/>
  <c r="B222" i="25"/>
  <c r="B219" i="25"/>
  <c r="B216" i="25"/>
  <c r="D212" i="25"/>
  <c r="D209" i="25"/>
  <c r="D206" i="25"/>
  <c r="D203" i="25"/>
  <c r="D200" i="25"/>
  <c r="D197" i="25"/>
  <c r="D194" i="25"/>
  <c r="C191" i="25"/>
  <c r="C188" i="25"/>
  <c r="C185" i="25"/>
  <c r="C182" i="25"/>
  <c r="C179" i="25"/>
  <c r="C176" i="25"/>
  <c r="C173" i="25"/>
  <c r="B170" i="25"/>
  <c r="B167" i="25"/>
  <c r="B164" i="25"/>
  <c r="B161" i="25"/>
  <c r="B158" i="25"/>
  <c r="B155" i="25"/>
  <c r="B152" i="25"/>
  <c r="D148" i="25"/>
  <c r="D145" i="25"/>
  <c r="D142" i="25"/>
  <c r="D139" i="25"/>
  <c r="D136" i="25"/>
  <c r="D133" i="25"/>
  <c r="D130" i="25"/>
  <c r="C127" i="25"/>
  <c r="D124" i="25"/>
  <c r="B122" i="25"/>
  <c r="C119" i="25"/>
  <c r="D116" i="25"/>
  <c r="B114" i="25"/>
  <c r="C111" i="25"/>
  <c r="D108" i="25"/>
  <c r="B106" i="25"/>
  <c r="C103" i="25"/>
  <c r="D100" i="25"/>
  <c r="B98" i="25"/>
  <c r="C95" i="25"/>
  <c r="D92" i="25"/>
  <c r="B90" i="25"/>
  <c r="C87" i="25"/>
  <c r="D84" i="25"/>
  <c r="B82" i="25"/>
  <c r="C79" i="25"/>
  <c r="D76" i="25"/>
  <c r="B74" i="25"/>
  <c r="C71" i="25"/>
  <c r="D68" i="25"/>
  <c r="B66" i="25"/>
  <c r="C63" i="25"/>
  <c r="D60" i="25"/>
  <c r="B58" i="25"/>
  <c r="C55" i="25"/>
  <c r="D52" i="25"/>
  <c r="B50" i="25"/>
  <c r="C47" i="25"/>
  <c r="D44" i="25"/>
  <c r="B42" i="25"/>
  <c r="C39" i="25"/>
  <c r="D36" i="25"/>
  <c r="B34" i="25"/>
  <c r="C31" i="25"/>
  <c r="D28" i="25"/>
  <c r="B26" i="25"/>
  <c r="C23" i="25"/>
  <c r="D20" i="25"/>
  <c r="B18" i="25"/>
  <c r="C15" i="25"/>
  <c r="D12" i="25"/>
  <c r="B10" i="25"/>
  <c r="C497" i="25"/>
  <c r="C491" i="25"/>
  <c r="B486" i="25"/>
  <c r="B480" i="25"/>
  <c r="B474" i="25"/>
  <c r="D468" i="25"/>
  <c r="B463" i="25"/>
  <c r="C457" i="25"/>
  <c r="B452" i="25"/>
  <c r="B446" i="25"/>
  <c r="B441" i="25"/>
  <c r="C436" i="25"/>
  <c r="C431" i="25"/>
  <c r="D426" i="25"/>
  <c r="C422" i="25"/>
  <c r="B418" i="25"/>
  <c r="B414" i="25"/>
  <c r="B410" i="25"/>
  <c r="B406" i="25"/>
  <c r="D401" i="25"/>
  <c r="B398" i="25"/>
  <c r="D393" i="25"/>
  <c r="D389" i="25"/>
  <c r="D385" i="25"/>
  <c r="D381" i="25"/>
  <c r="C377" i="25"/>
  <c r="D373" i="25"/>
  <c r="C369" i="25"/>
  <c r="C365" i="25"/>
  <c r="C361" i="25"/>
  <c r="C357" i="25"/>
  <c r="B353" i="25"/>
  <c r="C349" i="25"/>
  <c r="B345" i="25"/>
  <c r="D340" i="25"/>
  <c r="B337" i="25"/>
  <c r="D332" i="25"/>
  <c r="D328" i="25"/>
  <c r="D324" i="25"/>
  <c r="D320" i="25"/>
  <c r="C316" i="25"/>
  <c r="D312" i="25"/>
  <c r="C308" i="25"/>
  <c r="C304" i="25"/>
  <c r="C300" i="25"/>
  <c r="C296" i="25"/>
  <c r="B292" i="25"/>
  <c r="C288" i="25"/>
  <c r="B284" i="25"/>
  <c r="B280" i="25"/>
  <c r="B276" i="25"/>
  <c r="C272" i="25"/>
  <c r="D268" i="25"/>
  <c r="C265" i="25"/>
  <c r="D261" i="25"/>
  <c r="B258" i="25"/>
  <c r="D254" i="25"/>
  <c r="B251" i="25"/>
  <c r="C247" i="25"/>
  <c r="B244" i="25"/>
  <c r="C240" i="25"/>
  <c r="D236" i="25"/>
  <c r="C233" i="25"/>
  <c r="D229" i="25"/>
  <c r="D226" i="25"/>
  <c r="C223" i="25"/>
  <c r="C220" i="25"/>
  <c r="C217" i="25"/>
  <c r="C214" i="25"/>
  <c r="C211" i="25"/>
  <c r="C208" i="25"/>
  <c r="C205" i="25"/>
  <c r="B202" i="25"/>
  <c r="B199" i="25"/>
  <c r="B196" i="25"/>
  <c r="B193" i="25"/>
  <c r="B190" i="25"/>
  <c r="B187" i="25"/>
  <c r="B184" i="25"/>
  <c r="D180" i="25"/>
  <c r="D177" i="25"/>
  <c r="D174" i="25"/>
  <c r="D171" i="25"/>
  <c r="D168" i="25"/>
  <c r="D165" i="25"/>
  <c r="D162" i="25"/>
  <c r="C159" i="25"/>
  <c r="C156" i="25"/>
  <c r="C153" i="25"/>
  <c r="C150" i="25"/>
  <c r="C147" i="25"/>
  <c r="C144" i="25"/>
  <c r="C141" i="25"/>
  <c r="B138" i="25"/>
  <c r="B135" i="25"/>
  <c r="B132" i="25"/>
  <c r="B129" i="25"/>
  <c r="B126" i="25"/>
  <c r="C123" i="25"/>
  <c r="D120" i="25"/>
  <c r="B118" i="25"/>
  <c r="C115" i="25"/>
  <c r="D112" i="25"/>
  <c r="B110" i="25"/>
  <c r="C107" i="25"/>
  <c r="D104" i="25"/>
  <c r="B102" i="25"/>
  <c r="C99" i="25"/>
  <c r="D96" i="25"/>
  <c r="B94" i="25"/>
  <c r="C91" i="25"/>
  <c r="D88" i="25"/>
  <c r="B86" i="25"/>
  <c r="C83" i="25"/>
  <c r="D80" i="25"/>
  <c r="B78" i="25"/>
  <c r="C75" i="25"/>
  <c r="D72" i="25"/>
  <c r="B70" i="25"/>
  <c r="C67" i="25"/>
  <c r="D64" i="25"/>
  <c r="B62" i="25"/>
  <c r="C59" i="25"/>
  <c r="D56" i="25"/>
  <c r="B54" i="25"/>
  <c r="C51" i="25"/>
  <c r="D48" i="25"/>
  <c r="B46" i="25"/>
  <c r="C43" i="25"/>
  <c r="D40" i="25"/>
  <c r="B38" i="25"/>
  <c r="C35" i="25"/>
  <c r="D32" i="25"/>
  <c r="B30" i="25"/>
  <c r="C27" i="25"/>
  <c r="D24" i="25"/>
  <c r="B22" i="25"/>
  <c r="C19" i="25"/>
  <c r="D16" i="25"/>
  <c r="B14" i="25"/>
  <c r="C11" i="25"/>
  <c r="D498" i="25"/>
  <c r="C489" i="25"/>
  <c r="D480" i="25"/>
  <c r="B471" i="25"/>
  <c r="D462" i="25"/>
  <c r="D452" i="25"/>
  <c r="B444" i="25"/>
  <c r="D436" i="25"/>
  <c r="C428" i="25"/>
  <c r="D421" i="25"/>
  <c r="B415" i="25"/>
  <c r="D408" i="25"/>
  <c r="D402" i="25"/>
  <c r="C395" i="25"/>
  <c r="C389" i="25"/>
  <c r="D382" i="25"/>
  <c r="B376" i="25"/>
  <c r="D369" i="25"/>
  <c r="B363" i="25"/>
  <c r="D356" i="25"/>
  <c r="B350" i="25"/>
  <c r="C343" i="25"/>
  <c r="C337" i="25"/>
  <c r="B330" i="25"/>
  <c r="B324" i="25"/>
  <c r="D317" i="25"/>
  <c r="B311" i="25"/>
  <c r="B305" i="25"/>
  <c r="D297" i="25"/>
  <c r="D291" i="25"/>
  <c r="C285" i="25"/>
  <c r="C278" i="25"/>
  <c r="D272" i="25"/>
  <c r="D266" i="25"/>
  <c r="C261" i="25"/>
  <c r="C255" i="25"/>
  <c r="D249" i="25"/>
  <c r="C244" i="25"/>
  <c r="B238" i="25"/>
  <c r="D232" i="25"/>
  <c r="C227" i="25"/>
  <c r="C222" i="25"/>
  <c r="D217" i="25"/>
  <c r="C212" i="25"/>
  <c r="B208" i="25"/>
  <c r="B203" i="25"/>
  <c r="B198" i="25"/>
  <c r="C193" i="25"/>
  <c r="B188" i="25"/>
  <c r="C183" i="25"/>
  <c r="D178" i="25"/>
  <c r="D173" i="25"/>
  <c r="B169" i="25"/>
  <c r="C164" i="25"/>
  <c r="C160" i="25"/>
  <c r="B156" i="25"/>
  <c r="C152" i="25"/>
  <c r="B148" i="25"/>
  <c r="B144" i="25"/>
  <c r="B140" i="25"/>
  <c r="B136" i="25"/>
  <c r="D131" i="25"/>
  <c r="B128" i="25"/>
  <c r="B124" i="25"/>
  <c r="C120" i="25"/>
  <c r="B117" i="25"/>
  <c r="C113" i="25"/>
  <c r="D109" i="25"/>
  <c r="C106" i="25"/>
  <c r="D102" i="25"/>
  <c r="B99" i="25"/>
  <c r="D95" i="25"/>
  <c r="B92" i="25"/>
  <c r="C88" i="25"/>
  <c r="B85" i="25"/>
  <c r="C81" i="25"/>
  <c r="D77" i="25"/>
  <c r="C74" i="25"/>
  <c r="D70" i="25"/>
  <c r="B67" i="25"/>
  <c r="D63" i="25"/>
  <c r="B60" i="25"/>
  <c r="C56" i="25"/>
  <c r="B53" i="25"/>
  <c r="C49" i="25"/>
  <c r="D45" i="25"/>
  <c r="C42" i="25"/>
  <c r="D38" i="25"/>
  <c r="B35" i="25"/>
  <c r="D31" i="25"/>
  <c r="B28" i="25"/>
  <c r="C24" i="25"/>
  <c r="B21" i="25"/>
  <c r="C17" i="25"/>
  <c r="D13" i="25"/>
  <c r="C10" i="25"/>
  <c r="D497" i="25"/>
  <c r="B488" i="25"/>
  <c r="C479" i="25"/>
  <c r="B470" i="25"/>
  <c r="D460" i="25"/>
  <c r="C452" i="25"/>
  <c r="D442" i="25"/>
  <c r="D435" i="25"/>
  <c r="B428" i="25"/>
  <c r="D420" i="25"/>
  <c r="D414" i="25"/>
  <c r="C407" i="25"/>
  <c r="C401" i="25"/>
  <c r="B395" i="25"/>
  <c r="B388" i="25"/>
  <c r="B382" i="25"/>
  <c r="B375" i="25"/>
  <c r="B369" i="25"/>
  <c r="B362" i="25"/>
  <c r="D355" i="25"/>
  <c r="D349" i="25"/>
  <c r="C342" i="25"/>
  <c r="C336" i="25"/>
  <c r="D329" i="25"/>
  <c r="C323" i="25"/>
  <c r="C317" i="25"/>
  <c r="C493" i="25"/>
  <c r="D484" i="25"/>
  <c r="B476" i="25"/>
  <c r="D466" i="25"/>
  <c r="B458" i="25"/>
  <c r="B448" i="25"/>
  <c r="D440" i="25"/>
  <c r="B433" i="25"/>
  <c r="B425" i="25"/>
  <c r="D418" i="25"/>
  <c r="D411" i="25"/>
  <c r="D405" i="25"/>
  <c r="D398" i="25"/>
  <c r="C392" i="25"/>
  <c r="B386" i="25"/>
  <c r="B379" i="25"/>
  <c r="D372" i="25"/>
  <c r="C366" i="25"/>
  <c r="B360" i="25"/>
  <c r="D353" i="25"/>
  <c r="D346" i="25"/>
  <c r="C340" i="25"/>
  <c r="B334" i="25"/>
  <c r="B327" i="25"/>
  <c r="B321" i="25"/>
  <c r="B314" i="25"/>
  <c r="B308" i="25"/>
  <c r="C301" i="25"/>
  <c r="D294" i="25"/>
  <c r="D288" i="25"/>
  <c r="C281" i="25"/>
  <c r="C275" i="25"/>
  <c r="D269" i="25"/>
  <c r="B264" i="25"/>
  <c r="D258" i="25"/>
  <c r="C252" i="25"/>
  <c r="B247" i="25"/>
  <c r="C241" i="25"/>
  <c r="C235" i="25"/>
  <c r="B230" i="25"/>
  <c r="D224" i="25"/>
  <c r="B220" i="25"/>
  <c r="B215" i="25"/>
  <c r="B210" i="25"/>
  <c r="D205" i="25"/>
  <c r="C200" i="25"/>
  <c r="D195" i="25"/>
  <c r="D190" i="25"/>
  <c r="D185" i="25"/>
  <c r="C181" i="25"/>
  <c r="B176" i="25"/>
  <c r="C171" i="25"/>
  <c r="C166" i="25"/>
  <c r="B162" i="25"/>
  <c r="C158" i="25"/>
  <c r="B154" i="25"/>
  <c r="B150" i="25"/>
  <c r="B146" i="25"/>
  <c r="B142" i="25"/>
  <c r="D137" i="25"/>
  <c r="B134" i="25"/>
  <c r="D129" i="25"/>
  <c r="D125" i="25"/>
  <c r="C122" i="25"/>
  <c r="D118" i="25"/>
  <c r="B115" i="25"/>
  <c r="D111" i="25"/>
  <c r="B108" i="25"/>
  <c r="C104" i="25"/>
  <c r="B101" i="25"/>
  <c r="C97" i="25"/>
  <c r="D93" i="25"/>
  <c r="C90" i="25"/>
  <c r="D86" i="25"/>
  <c r="B83" i="25"/>
  <c r="D79" i="25"/>
  <c r="B76" i="25"/>
  <c r="C72" i="25"/>
  <c r="B69" i="25"/>
  <c r="C65" i="25"/>
  <c r="D61" i="25"/>
  <c r="C58" i="25"/>
  <c r="D54" i="25"/>
  <c r="B51" i="25"/>
  <c r="D47" i="25"/>
  <c r="B44" i="25"/>
  <c r="C40" i="25"/>
  <c r="B37" i="25"/>
  <c r="C33" i="25"/>
  <c r="D29" i="25"/>
  <c r="C26" i="25"/>
  <c r="D22" i="25"/>
  <c r="B19" i="25"/>
  <c r="D15" i="25"/>
  <c r="B12" i="25"/>
  <c r="D492" i="25"/>
  <c r="B484" i="25"/>
  <c r="C475" i="25"/>
  <c r="C465" i="25"/>
  <c r="D456" i="25"/>
  <c r="C447" i="25"/>
  <c r="B439" i="25"/>
  <c r="B432" i="25"/>
  <c r="B424" i="25"/>
  <c r="D417" i="25"/>
  <c r="B411" i="25"/>
  <c r="C404" i="25"/>
  <c r="C398" i="25"/>
  <c r="B391" i="25"/>
  <c r="B385" i="25"/>
  <c r="D378" i="25"/>
  <c r="B372" i="25"/>
  <c r="B366" i="25"/>
  <c r="D358" i="25"/>
  <c r="D352" i="25"/>
  <c r="B346" i="25"/>
  <c r="C339" i="25"/>
  <c r="C333" i="25"/>
  <c r="C326" i="25"/>
  <c r="C320" i="25"/>
  <c r="C313" i="25"/>
  <c r="B307" i="25"/>
  <c r="D300" i="25"/>
  <c r="D293" i="25"/>
  <c r="C287" i="25"/>
  <c r="B281" i="25"/>
  <c r="D274" i="25"/>
  <c r="C269" i="25"/>
  <c r="B263" i="25"/>
  <c r="D257" i="25"/>
  <c r="B252" i="25"/>
  <c r="B246" i="25"/>
  <c r="D240" i="25"/>
  <c r="D234" i="25"/>
  <c r="C229" i="25"/>
  <c r="C224" i="25"/>
  <c r="C219" i="25"/>
  <c r="D214" i="25"/>
  <c r="C209" i="25"/>
  <c r="D204" i="25"/>
  <c r="B200" i="25"/>
  <c r="B195" i="25"/>
  <c r="C190" i="25"/>
  <c r="B185" i="25"/>
  <c r="C180" i="25"/>
  <c r="C175" i="25"/>
  <c r="D170" i="25"/>
  <c r="B166" i="25"/>
  <c r="D161" i="25"/>
  <c r="D157" i="25"/>
  <c r="D153" i="25"/>
  <c r="D149" i="25"/>
  <c r="C145" i="25"/>
  <c r="D141" i="25"/>
  <c r="C137" i="25"/>
  <c r="C133" i="25"/>
  <c r="C129" i="25"/>
  <c r="C125" i="25"/>
  <c r="D121" i="25"/>
  <c r="C118" i="25"/>
  <c r="D114" i="25"/>
  <c r="B111" i="25"/>
  <c r="D107" i="25"/>
  <c r="B104" i="25"/>
  <c r="C100" i="25"/>
  <c r="B97" i="25"/>
  <c r="C93" i="25"/>
  <c r="D89" i="25"/>
  <c r="C86" i="25"/>
  <c r="D82" i="25"/>
  <c r="D496" i="25"/>
  <c r="B478" i="25"/>
  <c r="C459" i="25"/>
  <c r="B442" i="25"/>
  <c r="D427" i="25"/>
  <c r="D413" i="25"/>
  <c r="C400" i="25"/>
  <c r="C387" i="25"/>
  <c r="C374" i="25"/>
  <c r="D361" i="25"/>
  <c r="C348" i="25"/>
  <c r="C335" i="25"/>
  <c r="B322" i="25"/>
  <c r="B310" i="25"/>
  <c r="D299" i="25"/>
  <c r="D289" i="25"/>
  <c r="C279" i="25"/>
  <c r="B270" i="25"/>
  <c r="C260" i="25"/>
  <c r="C251" i="25"/>
  <c r="D242" i="25"/>
  <c r="D233" i="25"/>
  <c r="C225" i="25"/>
  <c r="B217" i="25"/>
  <c r="B209" i="25"/>
  <c r="D201" i="25"/>
  <c r="D193" i="25"/>
  <c r="D186" i="25"/>
  <c r="B178" i="25"/>
  <c r="D169" i="25"/>
  <c r="C163" i="25"/>
  <c r="D156" i="25"/>
  <c r="D150" i="25"/>
  <c r="C143" i="25"/>
  <c r="B137" i="25"/>
  <c r="B131" i="25"/>
  <c r="C124" i="25"/>
  <c r="B119" i="25"/>
  <c r="B113" i="25"/>
  <c r="B107" i="25"/>
  <c r="D101" i="25"/>
  <c r="B96" i="25"/>
  <c r="D90" i="25"/>
  <c r="C84" i="25"/>
  <c r="B79" i="25"/>
  <c r="D74" i="25"/>
  <c r="D69" i="25"/>
  <c r="B65" i="25"/>
  <c r="C60" i="25"/>
  <c r="D55" i="25"/>
  <c r="D50" i="25"/>
  <c r="C46" i="25"/>
  <c r="C41" i="25"/>
  <c r="C36" i="25"/>
  <c r="B32" i="25"/>
  <c r="B27" i="25"/>
  <c r="C22" i="25"/>
  <c r="D17" i="25"/>
  <c r="B13" i="25"/>
  <c r="B495" i="25"/>
  <c r="C476" i="25"/>
  <c r="D458" i="25"/>
  <c r="D441" i="25"/>
  <c r="B426" i="25"/>
  <c r="C412" i="25"/>
  <c r="C399" i="25"/>
  <c r="D386" i="25"/>
  <c r="B374" i="25"/>
  <c r="D360" i="25"/>
  <c r="D347" i="25"/>
  <c r="C334" i="25"/>
  <c r="D321" i="25"/>
  <c r="D309" i="25"/>
  <c r="B299" i="25"/>
  <c r="B289" i="25"/>
  <c r="D277" i="25"/>
  <c r="C268" i="25"/>
  <c r="C259" i="25"/>
  <c r="D250" i="25"/>
  <c r="D241" i="25"/>
  <c r="B232" i="25"/>
  <c r="B224" i="25"/>
  <c r="C216" i="25"/>
  <c r="D208" i="25"/>
  <c r="B201" i="25"/>
  <c r="D192" i="25"/>
  <c r="D184" i="25"/>
  <c r="C177" i="25"/>
  <c r="C169" i="25"/>
  <c r="B163" i="25"/>
  <c r="D155" i="25"/>
  <c r="C149" i="25"/>
  <c r="B143" i="25"/>
  <c r="C136" i="25"/>
  <c r="B130" i="25"/>
  <c r="D123" i="25"/>
  <c r="D117" i="25"/>
  <c r="C112" i="25"/>
  <c r="D106" i="25"/>
  <c r="C101" i="25"/>
  <c r="B95" i="25"/>
  <c r="C89" i="25"/>
  <c r="B84" i="25"/>
  <c r="D78" i="25"/>
  <c r="D73" i="25"/>
  <c r="C69" i="25"/>
  <c r="C64" i="25"/>
  <c r="D59" i="25"/>
  <c r="B55" i="25"/>
  <c r="C50" i="25"/>
  <c r="C45" i="25"/>
  <c r="B41" i="25"/>
  <c r="B36" i="25"/>
  <c r="B31" i="25"/>
  <c r="D26" i="25"/>
  <c r="D21" i="25"/>
  <c r="B17" i="25"/>
  <c r="C12" i="25"/>
  <c r="C492" i="25"/>
  <c r="D473" i="25"/>
  <c r="B455" i="25"/>
  <c r="C438" i="25"/>
  <c r="B423" i="25"/>
  <c r="D410" i="25"/>
  <c r="C397" i="25"/>
  <c r="C384" i="25"/>
  <c r="B371" i="25"/>
  <c r="C358" i="25"/>
  <c r="C345" i="25"/>
  <c r="C332" i="25"/>
  <c r="B319" i="25"/>
  <c r="D308" i="25"/>
  <c r="C297" i="25"/>
  <c r="D286" i="25"/>
  <c r="D276" i="25"/>
  <c r="C267" i="25"/>
  <c r="B259" i="25"/>
  <c r="D248" i="25"/>
  <c r="B240" i="25"/>
  <c r="B231" i="25"/>
  <c r="B223" i="25"/>
  <c r="C215" i="25"/>
  <c r="B207" i="25"/>
  <c r="C199" i="25"/>
  <c r="B192" i="25"/>
  <c r="C184" i="25"/>
  <c r="D176" i="25"/>
  <c r="C168" i="25"/>
  <c r="C161" i="25"/>
  <c r="C155" i="25"/>
  <c r="C148" i="25"/>
  <c r="C142" i="25"/>
  <c r="C135" i="25"/>
  <c r="D128" i="25"/>
  <c r="B123" i="25"/>
  <c r="C117" i="25"/>
  <c r="B112" i="25"/>
  <c r="D105" i="25"/>
  <c r="B100" i="25"/>
  <c r="D94" i="25"/>
  <c r="B89" i="25"/>
  <c r="D83" i="25"/>
  <c r="C78" i="25"/>
  <c r="C73" i="25"/>
  <c r="C68" i="25"/>
  <c r="B64" i="25"/>
  <c r="B59" i="25"/>
  <c r="C54" i="25"/>
  <c r="D49" i="25"/>
  <c r="B45" i="25"/>
  <c r="B487" i="25"/>
  <c r="C469" i="25"/>
  <c r="D450" i="25"/>
  <c r="D434" i="25"/>
  <c r="D419" i="25"/>
  <c r="B407" i="25"/>
  <c r="B394" i="25"/>
  <c r="C381" i="25"/>
  <c r="B368" i="25"/>
  <c r="D354" i="25"/>
  <c r="B342" i="25"/>
  <c r="C329" i="25"/>
  <c r="B316" i="25"/>
  <c r="C305" i="25"/>
  <c r="B296" i="25"/>
  <c r="C284" i="25"/>
  <c r="D273" i="25"/>
  <c r="D265" i="25"/>
  <c r="B256" i="25"/>
  <c r="B248" i="25"/>
  <c r="D237" i="25"/>
  <c r="C228" i="25"/>
  <c r="C221" i="25"/>
  <c r="C213" i="25"/>
  <c r="B206" i="25"/>
  <c r="C197" i="25"/>
  <c r="D189" i="25"/>
  <c r="B182" i="25"/>
  <c r="C174" i="25"/>
  <c r="D166" i="25"/>
  <c r="B160" i="25"/>
  <c r="B153" i="25"/>
  <c r="B147" i="25"/>
  <c r="C140" i="25"/>
  <c r="C134" i="25"/>
  <c r="B127" i="25"/>
  <c r="C121" i="25"/>
  <c r="B116" i="25"/>
  <c r="C110" i="25"/>
  <c r="B105" i="25"/>
  <c r="D98" i="25"/>
  <c r="B93" i="25"/>
  <c r="D87" i="25"/>
  <c r="D81" i="25"/>
  <c r="B77" i="25"/>
  <c r="B72" i="25"/>
  <c r="D67" i="25"/>
  <c r="D62" i="25"/>
  <c r="D57" i="25"/>
  <c r="C53" i="25"/>
  <c r="C48" i="25"/>
  <c r="D43" i="25"/>
  <c r="B39" i="25"/>
  <c r="C34" i="25"/>
  <c r="C29" i="25"/>
  <c r="B25" i="25"/>
  <c r="B20" i="25"/>
  <c r="B15" i="25"/>
  <c r="D10" i="25"/>
  <c r="D486" i="25"/>
  <c r="B468" i="25"/>
  <c r="D449" i="25"/>
  <c r="C433" i="25"/>
  <c r="C419" i="25"/>
  <c r="C406" i="25"/>
  <c r="C393" i="25"/>
  <c r="B380" i="25"/>
  <c r="D366" i="25"/>
  <c r="B354" i="25"/>
  <c r="D341" i="25"/>
  <c r="C328" i="25"/>
  <c r="B315" i="25"/>
  <c r="B304" i="25"/>
  <c r="C293" i="25"/>
  <c r="D283" i="25"/>
  <c r="C273" i="25"/>
  <c r="D264" i="25"/>
  <c r="B255" i="25"/>
  <c r="C245" i="25"/>
  <c r="C237" i="25"/>
  <c r="D227" i="25"/>
  <c r="D220" i="25"/>
  <c r="B212" i="25"/>
  <c r="B204" i="25"/>
  <c r="D196" i="25"/>
  <c r="D188" i="25"/>
  <c r="D181" i="25"/>
  <c r="D172" i="25"/>
  <c r="C165" i="25"/>
  <c r="B159" i="25"/>
  <c r="D152" i="25"/>
  <c r="D146" i="25"/>
  <c r="C139" i="25"/>
  <c r="D132" i="25"/>
  <c r="D126" i="25"/>
  <c r="B121" i="25"/>
  <c r="D115" i="25"/>
  <c r="C109" i="25"/>
  <c r="D103" i="25"/>
  <c r="C98" i="25"/>
  <c r="C92" i="25"/>
  <c r="B87" i="25"/>
  <c r="B81" i="25"/>
  <c r="C76" i="25"/>
  <c r="D71" i="25"/>
  <c r="D66" i="25"/>
  <c r="C62" i="25"/>
  <c r="C57" i="25"/>
  <c r="C52" i="25"/>
  <c r="B48" i="25"/>
  <c r="B43" i="25"/>
  <c r="C38" i="25"/>
  <c r="D33" i="25"/>
  <c r="B29" i="25"/>
  <c r="B24" i="25"/>
  <c r="D19" i="25"/>
  <c r="D14" i="25"/>
  <c r="D9" i="25"/>
  <c r="D500" i="25"/>
  <c r="B482" i="25"/>
  <c r="D464" i="25"/>
  <c r="D446" i="25"/>
  <c r="B431" i="25"/>
  <c r="D416" i="25"/>
  <c r="C403" i="25"/>
  <c r="D390" i="25"/>
  <c r="B378" i="25"/>
  <c r="D364" i="25"/>
  <c r="C351" i="25"/>
  <c r="D338" i="25"/>
  <c r="D325" i="25"/>
  <c r="B313" i="25"/>
  <c r="D302" i="25"/>
  <c r="D292" i="25"/>
  <c r="D282" i="25"/>
  <c r="B272" i="25"/>
  <c r="D262" i="25"/>
  <c r="B254" i="25"/>
  <c r="D244" i="25"/>
  <c r="C236" i="25"/>
  <c r="B227" i="25"/>
  <c r="D218" i="25"/>
  <c r="D211" i="25"/>
  <c r="C203" i="25"/>
  <c r="C196" i="25"/>
  <c r="D187" i="25"/>
  <c r="D179" i="25"/>
  <c r="C172" i="25"/>
  <c r="D164" i="25"/>
  <c r="D158" i="25"/>
  <c r="C151" i="25"/>
  <c r="B145" i="25"/>
  <c r="B139" i="25"/>
  <c r="C132" i="25"/>
  <c r="C126" i="25"/>
  <c r="B120" i="25"/>
  <c r="C114" i="25"/>
  <c r="B109" i="25"/>
  <c r="B103" i="25"/>
  <c r="D97" i="25"/>
  <c r="D91" i="25"/>
  <c r="D85" i="25"/>
  <c r="C80" i="25"/>
  <c r="D75" i="25"/>
  <c r="B71" i="25"/>
  <c r="C66" i="25"/>
  <c r="C61" i="25"/>
  <c r="B57" i="25"/>
  <c r="B52" i="25"/>
  <c r="B47" i="25"/>
  <c r="D42" i="25"/>
  <c r="D37" i="25"/>
  <c r="B33" i="25"/>
  <c r="C28" i="25"/>
  <c r="D23" i="25"/>
  <c r="D18" i="25"/>
  <c r="C14" i="25"/>
  <c r="C9" i="25"/>
  <c r="D481" i="25"/>
  <c r="C415" i="25"/>
  <c r="D363" i="25"/>
  <c r="B312" i="25"/>
  <c r="B271" i="25"/>
  <c r="B234" i="25"/>
  <c r="D202" i="25"/>
  <c r="B172" i="25"/>
  <c r="D144" i="25"/>
  <c r="D119" i="25"/>
  <c r="C96" i="25"/>
  <c r="B75" i="25"/>
  <c r="B56" i="25"/>
  <c r="D39" i="25"/>
  <c r="D25" i="25"/>
  <c r="C13" i="25"/>
  <c r="B472" i="25"/>
  <c r="C409" i="25"/>
  <c r="D357" i="25"/>
  <c r="D305" i="25"/>
  <c r="B266" i="25"/>
  <c r="D230" i="25"/>
  <c r="D198" i="25"/>
  <c r="C167" i="25"/>
  <c r="D140" i="25"/>
  <c r="C116" i="25"/>
  <c r="C94" i="25"/>
  <c r="B73" i="25"/>
  <c r="D53" i="25"/>
  <c r="C37" i="25"/>
  <c r="C25" i="25"/>
  <c r="D11" i="25"/>
  <c r="C463" i="25"/>
  <c r="B403" i="25"/>
  <c r="D350" i="25"/>
  <c r="B302" i="25"/>
  <c r="B262" i="25"/>
  <c r="B226" i="25"/>
  <c r="B194" i="25"/>
  <c r="D163" i="25"/>
  <c r="D138" i="25"/>
  <c r="D113" i="25"/>
  <c r="B91" i="25"/>
  <c r="C70" i="25"/>
  <c r="D51" i="25"/>
  <c r="D35" i="25"/>
  <c r="B23" i="25"/>
  <c r="B11" i="25"/>
  <c r="B454" i="25"/>
  <c r="C396" i="25"/>
  <c r="D344" i="25"/>
  <c r="D296" i="25"/>
  <c r="D256" i="25"/>
  <c r="D221" i="25"/>
  <c r="B191" i="25"/>
  <c r="D160" i="25"/>
  <c r="D134" i="25"/>
  <c r="D110" i="25"/>
  <c r="B88" i="25"/>
  <c r="B68" i="25"/>
  <c r="B49" i="25"/>
  <c r="D34" i="25"/>
  <c r="C21" i="25"/>
  <c r="B9" i="25"/>
  <c r="C445" i="25"/>
  <c r="C390" i="25"/>
  <c r="D337" i="25"/>
  <c r="D290" i="25"/>
  <c r="C253" i="25"/>
  <c r="B218" i="25"/>
  <c r="C187" i="25"/>
  <c r="C157" i="25"/>
  <c r="C131" i="25"/>
  <c r="C108" i="25"/>
  <c r="C85" i="25"/>
  <c r="D65" i="25"/>
  <c r="D46" i="25"/>
  <c r="C32" i="25"/>
  <c r="C20" i="25"/>
  <c r="C437" i="25"/>
  <c r="B383" i="25"/>
  <c r="C331" i="25"/>
  <c r="D285" i="25"/>
  <c r="C248" i="25"/>
  <c r="B214" i="25"/>
  <c r="D182" i="25"/>
  <c r="D154" i="25"/>
  <c r="C128" i="25"/>
  <c r="C105" i="25"/>
  <c r="C82" i="25"/>
  <c r="B63" i="25"/>
  <c r="C44" i="25"/>
  <c r="D30" i="25"/>
  <c r="C18" i="25"/>
  <c r="C499" i="25"/>
  <c r="B430" i="25"/>
  <c r="B377" i="25"/>
  <c r="C325" i="25"/>
  <c r="D280" i="25"/>
  <c r="C243" i="25"/>
  <c r="B211" i="25"/>
  <c r="B179" i="25"/>
  <c r="B151" i="25"/>
  <c r="B125" i="25"/>
  <c r="C102" i="25"/>
  <c r="B80" i="25"/>
  <c r="B61" i="25"/>
  <c r="D41" i="25"/>
  <c r="C30" i="25"/>
  <c r="C16" i="25"/>
  <c r="D490" i="25"/>
  <c r="D422" i="25"/>
  <c r="D370" i="25"/>
  <c r="B318" i="25"/>
  <c r="C276" i="25"/>
  <c r="B239" i="25"/>
  <c r="C206" i="25"/>
  <c r="B175" i="25"/>
  <c r="D147" i="25"/>
  <c r="D122" i="25"/>
  <c r="D99" i="25"/>
  <c r="C77" i="25"/>
  <c r="D58" i="25"/>
  <c r="B40" i="25"/>
  <c r="D27" i="25"/>
  <c r="B16" i="25"/>
  <c r="D27" i="24"/>
  <c r="D26" i="24"/>
  <c r="A4" i="23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B6" i="22"/>
  <c r="P28" i="20"/>
  <c r="D8" i="24"/>
  <c r="D6" i="22"/>
  <c r="N6" i="22" s="1"/>
  <c r="O6" i="22" s="1"/>
  <c r="S6" i="22" l="1"/>
  <c r="C7" i="22"/>
  <c r="O29" i="20"/>
  <c r="U40" i="20"/>
  <c r="B7" i="22"/>
  <c r="D7" i="22"/>
  <c r="N7" i="22" s="1"/>
  <c r="O7" i="22" s="1"/>
  <c r="P29" i="20"/>
  <c r="S7" i="22" l="1"/>
  <c r="C8" i="22"/>
  <c r="O30" i="20"/>
  <c r="B8" i="22"/>
  <c r="D8" i="22"/>
  <c r="N8" i="22" s="1"/>
  <c r="O8" i="22" s="1"/>
  <c r="P30" i="20"/>
  <c r="S8" i="22" l="1"/>
  <c r="C9" i="22"/>
  <c r="O31" i="20"/>
  <c r="D26" i="20"/>
  <c r="I3" i="23" a="1"/>
  <c r="B9" i="22"/>
  <c r="D9" i="22"/>
  <c r="N9" i="22" s="1"/>
  <c r="O9" i="22" s="1"/>
  <c r="P31" i="20"/>
  <c r="B9" i="21" a="1"/>
  <c r="K3" i="23" l="1"/>
  <c r="M4" i="23"/>
  <c r="I6" i="23"/>
  <c r="K7" i="23"/>
  <c r="M8" i="23"/>
  <c r="I10" i="23"/>
  <c r="K11" i="23"/>
  <c r="M12" i="23"/>
  <c r="I14" i="23"/>
  <c r="K15" i="23"/>
  <c r="M16" i="23"/>
  <c r="I18" i="23"/>
  <c r="K19" i="23"/>
  <c r="M20" i="23"/>
  <c r="I22" i="23"/>
  <c r="K23" i="23"/>
  <c r="M24" i="23"/>
  <c r="I26" i="23"/>
  <c r="K27" i="23"/>
  <c r="M28" i="23"/>
  <c r="I30" i="23"/>
  <c r="K31" i="23"/>
  <c r="M32" i="23"/>
  <c r="I34" i="23"/>
  <c r="K35" i="23"/>
  <c r="M36" i="23"/>
  <c r="I38" i="23"/>
  <c r="K25" i="23"/>
  <c r="L5" i="23"/>
  <c r="L9" i="23"/>
  <c r="J12" i="23"/>
  <c r="J16" i="23"/>
  <c r="N18" i="23"/>
  <c r="L21" i="23"/>
  <c r="J24" i="23"/>
  <c r="N26" i="23"/>
  <c r="L29" i="23"/>
  <c r="L33" i="23"/>
  <c r="J36" i="23"/>
  <c r="N38" i="23"/>
  <c r="K4" i="23"/>
  <c r="K20" i="23"/>
  <c r="I27" i="23"/>
  <c r="M33" i="23"/>
  <c r="L4" i="23"/>
  <c r="L12" i="23"/>
  <c r="J15" i="23"/>
  <c r="N17" i="23"/>
  <c r="L20" i="23"/>
  <c r="L24" i="23"/>
  <c r="L28" i="23"/>
  <c r="L32" i="23"/>
  <c r="L36" i="23"/>
  <c r="L3" i="23"/>
  <c r="N4" i="23"/>
  <c r="J6" i="23"/>
  <c r="L7" i="23"/>
  <c r="N8" i="23"/>
  <c r="J10" i="23"/>
  <c r="L11" i="23"/>
  <c r="N12" i="23"/>
  <c r="J14" i="23"/>
  <c r="L15" i="23"/>
  <c r="N16" i="23"/>
  <c r="J18" i="23"/>
  <c r="L19" i="23"/>
  <c r="N20" i="23"/>
  <c r="J22" i="23"/>
  <c r="L23" i="23"/>
  <c r="N24" i="23"/>
  <c r="J26" i="23"/>
  <c r="L27" i="23"/>
  <c r="N28" i="23"/>
  <c r="J30" i="23"/>
  <c r="L31" i="23"/>
  <c r="N32" i="23"/>
  <c r="J34" i="23"/>
  <c r="L35" i="23"/>
  <c r="N36" i="23"/>
  <c r="J38" i="23"/>
  <c r="J4" i="23"/>
  <c r="N6" i="23"/>
  <c r="J8" i="23"/>
  <c r="N10" i="23"/>
  <c r="L13" i="23"/>
  <c r="N14" i="23"/>
  <c r="L17" i="23"/>
  <c r="J20" i="23"/>
  <c r="N22" i="23"/>
  <c r="L25" i="23"/>
  <c r="J28" i="23"/>
  <c r="N30" i="23"/>
  <c r="N34" i="23"/>
  <c r="L37" i="23"/>
  <c r="I3" i="23"/>
  <c r="I7" i="23"/>
  <c r="K8" i="23"/>
  <c r="M9" i="23"/>
  <c r="I11" i="23"/>
  <c r="K12" i="23"/>
  <c r="M13" i="23"/>
  <c r="I15" i="23"/>
  <c r="K16" i="23"/>
  <c r="M17" i="23"/>
  <c r="M21" i="23"/>
  <c r="I23" i="23"/>
  <c r="M25" i="23"/>
  <c r="M29" i="23"/>
  <c r="K32" i="23"/>
  <c r="K36" i="23"/>
  <c r="J3" i="23"/>
  <c r="J7" i="23"/>
  <c r="L8" i="23"/>
  <c r="J11" i="23"/>
  <c r="N13" i="23"/>
  <c r="L16" i="23"/>
  <c r="J19" i="23"/>
  <c r="N21" i="23"/>
  <c r="N25" i="23"/>
  <c r="N29" i="23"/>
  <c r="N33" i="23"/>
  <c r="M3" i="23"/>
  <c r="I5" i="23"/>
  <c r="K6" i="23"/>
  <c r="M7" i="23"/>
  <c r="I9" i="23"/>
  <c r="K10" i="23"/>
  <c r="M11" i="23"/>
  <c r="I13" i="23"/>
  <c r="K14" i="23"/>
  <c r="M15" i="23"/>
  <c r="I17" i="23"/>
  <c r="K18" i="23"/>
  <c r="M19" i="23"/>
  <c r="I21" i="23"/>
  <c r="K22" i="23"/>
  <c r="M23" i="23"/>
  <c r="I25" i="23"/>
  <c r="K26" i="23"/>
  <c r="M27" i="23"/>
  <c r="I29" i="23"/>
  <c r="K30" i="23"/>
  <c r="M31" i="23"/>
  <c r="I33" i="23"/>
  <c r="K34" i="23"/>
  <c r="M35" i="23"/>
  <c r="I37" i="23"/>
  <c r="K38" i="23"/>
  <c r="I4" i="23"/>
  <c r="K5" i="23"/>
  <c r="M6" i="23"/>
  <c r="I8" i="23"/>
  <c r="K9" i="23"/>
  <c r="M10" i="23"/>
  <c r="I12" i="23"/>
  <c r="K13" i="23"/>
  <c r="M14" i="23"/>
  <c r="I16" i="23"/>
  <c r="K17" i="23"/>
  <c r="M18" i="23"/>
  <c r="K21" i="23"/>
  <c r="M22" i="23"/>
  <c r="I24" i="23"/>
  <c r="M26" i="23"/>
  <c r="K29" i="23"/>
  <c r="I32" i="23"/>
  <c r="M34" i="23"/>
  <c r="K37" i="23"/>
  <c r="M38" i="23"/>
  <c r="N5" i="23"/>
  <c r="J23" i="23"/>
  <c r="J31" i="23"/>
  <c r="J35" i="23"/>
  <c r="N3" i="23"/>
  <c r="J5" i="23"/>
  <c r="L6" i="23"/>
  <c r="N7" i="23"/>
  <c r="J9" i="23"/>
  <c r="L10" i="23"/>
  <c r="N11" i="23"/>
  <c r="J13" i="23"/>
  <c r="L14" i="23"/>
  <c r="N15" i="23"/>
  <c r="J17" i="23"/>
  <c r="L18" i="23"/>
  <c r="N19" i="23"/>
  <c r="J21" i="23"/>
  <c r="L22" i="23"/>
  <c r="N23" i="23"/>
  <c r="J25" i="23"/>
  <c r="L26" i="23"/>
  <c r="N27" i="23"/>
  <c r="J29" i="23"/>
  <c r="L30" i="23"/>
  <c r="N31" i="23"/>
  <c r="J33" i="23"/>
  <c r="L34" i="23"/>
  <c r="N35" i="23"/>
  <c r="J37" i="23"/>
  <c r="L38" i="23"/>
  <c r="I20" i="23"/>
  <c r="I28" i="23"/>
  <c r="M30" i="23"/>
  <c r="K33" i="23"/>
  <c r="I36" i="23"/>
  <c r="J32" i="23"/>
  <c r="M5" i="23"/>
  <c r="I19" i="23"/>
  <c r="K24" i="23"/>
  <c r="K28" i="23"/>
  <c r="I31" i="23"/>
  <c r="I35" i="23"/>
  <c r="M37" i="23"/>
  <c r="N9" i="23"/>
  <c r="J27" i="23"/>
  <c r="N37" i="23"/>
  <c r="S9" i="22"/>
  <c r="C10" i="22"/>
  <c r="O32" i="20"/>
  <c r="D10" i="21"/>
  <c r="C13" i="21"/>
  <c r="B16" i="21"/>
  <c r="D18" i="21"/>
  <c r="C21" i="21"/>
  <c r="B24" i="21"/>
  <c r="D26" i="21"/>
  <c r="C29" i="21"/>
  <c r="B32" i="21"/>
  <c r="D34" i="21"/>
  <c r="C37" i="21"/>
  <c r="B40" i="21"/>
  <c r="D42" i="21"/>
  <c r="C45" i="21"/>
  <c r="B48" i="21"/>
  <c r="D50" i="21"/>
  <c r="C53" i="21"/>
  <c r="B56" i="21"/>
  <c r="D58" i="21"/>
  <c r="C61" i="21"/>
  <c r="B64" i="21"/>
  <c r="D66" i="21"/>
  <c r="C69" i="21"/>
  <c r="B72" i="21"/>
  <c r="D74" i="21"/>
  <c r="C77" i="21"/>
  <c r="B80" i="21"/>
  <c r="D82" i="21"/>
  <c r="C85" i="21"/>
  <c r="B88" i="21"/>
  <c r="D90" i="21"/>
  <c r="C93" i="21"/>
  <c r="B96" i="21"/>
  <c r="D98" i="21"/>
  <c r="C101" i="21"/>
  <c r="B104" i="21"/>
  <c r="D106" i="21"/>
  <c r="C109" i="21"/>
  <c r="B112" i="21"/>
  <c r="D114" i="21"/>
  <c r="C117" i="21"/>
  <c r="B120" i="21"/>
  <c r="D122" i="21"/>
  <c r="C125" i="21"/>
  <c r="B128" i="21"/>
  <c r="D130" i="21"/>
  <c r="C133" i="21"/>
  <c r="B136" i="21"/>
  <c r="D138" i="21"/>
  <c r="C141" i="21"/>
  <c r="B144" i="21"/>
  <c r="D146" i="21"/>
  <c r="C149" i="21"/>
  <c r="B152" i="21"/>
  <c r="D154" i="21"/>
  <c r="C157" i="21"/>
  <c r="B160" i="21"/>
  <c r="D162" i="21"/>
  <c r="C165" i="21"/>
  <c r="B168" i="21"/>
  <c r="D170" i="21"/>
  <c r="C173" i="21"/>
  <c r="B176" i="21"/>
  <c r="D178" i="21"/>
  <c r="C181" i="21"/>
  <c r="B184" i="21"/>
  <c r="D186" i="21"/>
  <c r="C189" i="21"/>
  <c r="B192" i="21"/>
  <c r="D194" i="21"/>
  <c r="C197" i="21"/>
  <c r="B200" i="21"/>
  <c r="D202" i="21"/>
  <c r="C205" i="21"/>
  <c r="B208" i="21"/>
  <c r="D210" i="21"/>
  <c r="C213" i="21"/>
  <c r="B216" i="21"/>
  <c r="D218" i="21"/>
  <c r="C221" i="21"/>
  <c r="B224" i="21"/>
  <c r="D226" i="21"/>
  <c r="C229" i="21"/>
  <c r="B232" i="21"/>
  <c r="D234" i="21"/>
  <c r="C9" i="21"/>
  <c r="C12" i="21"/>
  <c r="C15" i="21"/>
  <c r="C18" i="21"/>
  <c r="D21" i="21"/>
  <c r="D24" i="21"/>
  <c r="D27" i="21"/>
  <c r="D30" i="21"/>
  <c r="D33" i="21"/>
  <c r="D36" i="21"/>
  <c r="D39" i="21"/>
  <c r="B43" i="21"/>
  <c r="B46" i="21"/>
  <c r="B49" i="21"/>
  <c r="B52" i="21"/>
  <c r="B55" i="21"/>
  <c r="B58" i="21"/>
  <c r="B61" i="21"/>
  <c r="C64" i="21"/>
  <c r="C67" i="21"/>
  <c r="C70" i="21"/>
  <c r="C73" i="21"/>
  <c r="C76" i="21"/>
  <c r="C79" i="21"/>
  <c r="C82" i="21"/>
  <c r="D85" i="21"/>
  <c r="D88" i="21"/>
  <c r="D91" i="21"/>
  <c r="D94" i="21"/>
  <c r="D97" i="21"/>
  <c r="D100" i="21"/>
  <c r="D103" i="21"/>
  <c r="B107" i="21"/>
  <c r="B110" i="21"/>
  <c r="B113" i="21"/>
  <c r="B116" i="21"/>
  <c r="B119" i="21"/>
  <c r="B122" i="21"/>
  <c r="B125" i="21"/>
  <c r="C128" i="21"/>
  <c r="C131" i="21"/>
  <c r="C134" i="21"/>
  <c r="C137" i="21"/>
  <c r="C140" i="21"/>
  <c r="C143" i="21"/>
  <c r="C146" i="21"/>
  <c r="D149" i="21"/>
  <c r="D152" i="21"/>
  <c r="D155" i="21"/>
  <c r="D158" i="21"/>
  <c r="D161" i="21"/>
  <c r="D164" i="21"/>
  <c r="D167" i="21"/>
  <c r="B171" i="21"/>
  <c r="B174" i="21"/>
  <c r="B177" i="21"/>
  <c r="B180" i="21"/>
  <c r="B183" i="21"/>
  <c r="B186" i="21"/>
  <c r="B189" i="21"/>
  <c r="C192" i="21"/>
  <c r="C195" i="21"/>
  <c r="C198" i="21"/>
  <c r="C201" i="21"/>
  <c r="C204" i="21"/>
  <c r="C207" i="21"/>
  <c r="C210" i="21"/>
  <c r="D213" i="21"/>
  <c r="D216" i="21"/>
  <c r="D219" i="21"/>
  <c r="D222" i="21"/>
  <c r="D225" i="21"/>
  <c r="D228" i="21"/>
  <c r="D231" i="21"/>
  <c r="B235" i="21"/>
  <c r="D237" i="21"/>
  <c r="C240" i="21"/>
  <c r="B243" i="21"/>
  <c r="D245" i="21"/>
  <c r="C248" i="21"/>
  <c r="B251" i="21"/>
  <c r="D253" i="21"/>
  <c r="C256" i="21"/>
  <c r="B259" i="21"/>
  <c r="D261" i="21"/>
  <c r="B9" i="21"/>
  <c r="D12" i="21"/>
  <c r="C16" i="21"/>
  <c r="D19" i="21"/>
  <c r="B23" i="21"/>
  <c r="C26" i="21"/>
  <c r="B30" i="21"/>
  <c r="C33" i="21"/>
  <c r="B37" i="21"/>
  <c r="D40" i="21"/>
  <c r="B44" i="21"/>
  <c r="C47" i="21"/>
  <c r="B51" i="21"/>
  <c r="C54" i="21"/>
  <c r="D57" i="21"/>
  <c r="D61" i="21"/>
  <c r="B65" i="21"/>
  <c r="C68" i="21"/>
  <c r="D71" i="21"/>
  <c r="C75" i="21"/>
  <c r="D78" i="21"/>
  <c r="B82" i="21"/>
  <c r="B86" i="21"/>
  <c r="C89" i="21"/>
  <c r="D92" i="21"/>
  <c r="C96" i="21"/>
  <c r="D99" i="21"/>
  <c r="B103" i="21"/>
  <c r="C106" i="21"/>
  <c r="C110" i="21"/>
  <c r="D113" i="21"/>
  <c r="B117" i="21"/>
  <c r="D120" i="21"/>
  <c r="B124" i="21"/>
  <c r="C127" i="21"/>
  <c r="B131" i="21"/>
  <c r="D134" i="21"/>
  <c r="B138" i="21"/>
  <c r="D141" i="21"/>
  <c r="B145" i="21"/>
  <c r="C148" i="21"/>
  <c r="D151" i="21"/>
  <c r="C155" i="21"/>
  <c r="B159" i="21"/>
  <c r="C162" i="21"/>
  <c r="B166" i="21"/>
  <c r="C169" i="21"/>
  <c r="D172" i="21"/>
  <c r="C176" i="21"/>
  <c r="D179" i="21"/>
  <c r="C183" i="21"/>
  <c r="B187" i="21"/>
  <c r="C190" i="21"/>
  <c r="D193" i="21"/>
  <c r="B197" i="21"/>
  <c r="D200" i="21"/>
  <c r="B204" i="21"/>
  <c r="D207" i="21"/>
  <c r="C211" i="21"/>
  <c r="D214" i="21"/>
  <c r="B218" i="21"/>
  <c r="D221" i="21"/>
  <c r="B225" i="21"/>
  <c r="C228" i="21"/>
  <c r="C232" i="21"/>
  <c r="D235" i="21"/>
  <c r="D238" i="21"/>
  <c r="D241" i="21"/>
  <c r="D244" i="21"/>
  <c r="D247" i="21"/>
  <c r="D250" i="21"/>
  <c r="B254" i="21"/>
  <c r="B257" i="21"/>
  <c r="B260" i="21"/>
  <c r="B263" i="21"/>
  <c r="D265" i="21"/>
  <c r="C268" i="21"/>
  <c r="B271" i="21"/>
  <c r="D273" i="21"/>
  <c r="C276" i="21"/>
  <c r="B279" i="21"/>
  <c r="D281" i="21"/>
  <c r="C284" i="21"/>
  <c r="B287" i="21"/>
  <c r="D289" i="21"/>
  <c r="D9" i="21"/>
  <c r="B13" i="21"/>
  <c r="D16" i="21"/>
  <c r="B20" i="21"/>
  <c r="C23" i="21"/>
  <c r="B27" i="21"/>
  <c r="C30" i="21"/>
  <c r="B34" i="21"/>
  <c r="D37" i="21"/>
  <c r="B41" i="21"/>
  <c r="C44" i="21"/>
  <c r="D47" i="21"/>
  <c r="C51" i="21"/>
  <c r="D54" i="21"/>
  <c r="C58" i="21"/>
  <c r="B62" i="21"/>
  <c r="C65" i="21"/>
  <c r="D68" i="21"/>
  <c r="C72" i="21"/>
  <c r="D75" i="21"/>
  <c r="B79" i="21"/>
  <c r="B83" i="21"/>
  <c r="C86" i="21"/>
  <c r="D89" i="21"/>
  <c r="B93" i="21"/>
  <c r="D96" i="21"/>
  <c r="B100" i="21"/>
  <c r="C103" i="21"/>
  <c r="C107" i="21"/>
  <c r="D110" i="21"/>
  <c r="B114" i="21"/>
  <c r="D117" i="21"/>
  <c r="B121" i="21"/>
  <c r="B10" i="21"/>
  <c r="C14" i="21"/>
  <c r="B19" i="21"/>
  <c r="D23" i="21"/>
  <c r="C28" i="21"/>
  <c r="D32" i="21"/>
  <c r="B38" i="21"/>
  <c r="B42" i="21"/>
  <c r="D46" i="21"/>
  <c r="D51" i="21"/>
  <c r="C56" i="21"/>
  <c r="C60" i="21"/>
  <c r="D65" i="21"/>
  <c r="B70" i="21"/>
  <c r="C74" i="21"/>
  <c r="D79" i="21"/>
  <c r="B84" i="21"/>
  <c r="C88" i="21"/>
  <c r="D93" i="21"/>
  <c r="B98" i="21"/>
  <c r="C102" i="21"/>
  <c r="D107" i="21"/>
  <c r="D111" i="21"/>
  <c r="C116" i="21"/>
  <c r="C121" i="21"/>
  <c r="D125" i="21"/>
  <c r="C129" i="21"/>
  <c r="B133" i="21"/>
  <c r="B137" i="21"/>
  <c r="B141" i="21"/>
  <c r="C145" i="21"/>
  <c r="B149" i="21"/>
  <c r="C153" i="21"/>
  <c r="B157" i="21"/>
  <c r="B161" i="21"/>
  <c r="B165" i="21"/>
  <c r="B169" i="21"/>
  <c r="B173" i="21"/>
  <c r="C177" i="21"/>
  <c r="B181" i="21"/>
  <c r="B185" i="21"/>
  <c r="D188" i="21"/>
  <c r="B193" i="21"/>
  <c r="D196" i="21"/>
  <c r="B201" i="21"/>
  <c r="B205" i="21"/>
  <c r="B209" i="21"/>
  <c r="D212" i="21"/>
  <c r="B217" i="21"/>
  <c r="D220" i="21"/>
  <c r="D224" i="21"/>
  <c r="B229" i="21"/>
  <c r="B233" i="21"/>
  <c r="D236" i="21"/>
  <c r="B240" i="21"/>
  <c r="D243" i="21"/>
  <c r="B247" i="21"/>
  <c r="C250" i="21"/>
  <c r="C254" i="21"/>
  <c r="D257" i="21"/>
  <c r="B261" i="21"/>
  <c r="C264" i="21"/>
  <c r="C267" i="21"/>
  <c r="C270" i="21"/>
  <c r="C273" i="21"/>
  <c r="D276" i="21"/>
  <c r="D279" i="21"/>
  <c r="D282" i="21"/>
  <c r="D285" i="21"/>
  <c r="D288" i="21"/>
  <c r="D291" i="21"/>
  <c r="C294" i="21"/>
  <c r="B297" i="21"/>
  <c r="D299" i="21"/>
  <c r="C302" i="21"/>
  <c r="B305" i="21"/>
  <c r="D307" i="21"/>
  <c r="C310" i="21"/>
  <c r="B313" i="21"/>
  <c r="D315" i="21"/>
  <c r="C318" i="21"/>
  <c r="B321" i="21"/>
  <c r="D323" i="21"/>
  <c r="C326" i="21"/>
  <c r="B329" i="21"/>
  <c r="D331" i="21"/>
  <c r="C334" i="21"/>
  <c r="B337" i="21"/>
  <c r="D339" i="21"/>
  <c r="C342" i="21"/>
  <c r="B345" i="21"/>
  <c r="D347" i="21"/>
  <c r="C350" i="21"/>
  <c r="B353" i="21"/>
  <c r="D355" i="21"/>
  <c r="C358" i="21"/>
  <c r="B361" i="21"/>
  <c r="D363" i="21"/>
  <c r="C366" i="21"/>
  <c r="B369" i="21"/>
  <c r="C10" i="21"/>
  <c r="D14" i="21"/>
  <c r="C19" i="21"/>
  <c r="C24" i="21"/>
  <c r="D28" i="21"/>
  <c r="B33" i="21"/>
  <c r="C38" i="21"/>
  <c r="C42" i="21"/>
  <c r="B47" i="21"/>
  <c r="C52" i="21"/>
  <c r="D56" i="21"/>
  <c r="D60" i="21"/>
  <c r="B66" i="21"/>
  <c r="D70" i="21"/>
  <c r="B75" i="21"/>
  <c r="C80" i="21"/>
  <c r="C84" i="21"/>
  <c r="B89" i="21"/>
  <c r="B94" i="21"/>
  <c r="C98" i="21"/>
  <c r="D102" i="21"/>
  <c r="B108" i="21"/>
  <c r="C112" i="21"/>
  <c r="D116" i="21"/>
  <c r="D121" i="21"/>
  <c r="B126" i="21"/>
  <c r="D129" i="21"/>
  <c r="D133" i="21"/>
  <c r="D137" i="21"/>
  <c r="B142" i="21"/>
  <c r="D145" i="21"/>
  <c r="B150" i="21"/>
  <c r="D153" i="21"/>
  <c r="D157" i="21"/>
  <c r="C161" i="21"/>
  <c r="D165" i="21"/>
  <c r="D169" i="21"/>
  <c r="D173" i="21"/>
  <c r="D177" i="21"/>
  <c r="D181" i="21"/>
  <c r="C185" i="21"/>
  <c r="D189" i="21"/>
  <c r="C193" i="21"/>
  <c r="D197" i="21"/>
  <c r="D201" i="21"/>
  <c r="D205" i="21"/>
  <c r="C209" i="21"/>
  <c r="B213" i="21"/>
  <c r="C217" i="21"/>
  <c r="B221" i="21"/>
  <c r="C225" i="21"/>
  <c r="D229" i="21"/>
  <c r="C233" i="21"/>
  <c r="B237" i="21"/>
  <c r="D240" i="21"/>
  <c r="B244" i="21"/>
  <c r="C247" i="21"/>
  <c r="C251" i="21"/>
  <c r="D254" i="21"/>
  <c r="B258" i="21"/>
  <c r="C261" i="21"/>
  <c r="D264" i="21"/>
  <c r="D267" i="21"/>
  <c r="D270" i="21"/>
  <c r="B274" i="21"/>
  <c r="B277" i="21"/>
  <c r="B280" i="21"/>
  <c r="B283" i="21"/>
  <c r="B286" i="21"/>
  <c r="B289" i="21"/>
  <c r="B292" i="21"/>
  <c r="D294" i="21"/>
  <c r="C297" i="21"/>
  <c r="B300" i="21"/>
  <c r="D302" i="21"/>
  <c r="C305" i="21"/>
  <c r="B308" i="21"/>
  <c r="D310" i="21"/>
  <c r="C313" i="21"/>
  <c r="B316" i="21"/>
  <c r="D318" i="21"/>
  <c r="C321" i="21"/>
  <c r="B324" i="21"/>
  <c r="D326" i="21"/>
  <c r="C329" i="21"/>
  <c r="B11" i="21"/>
  <c r="B15" i="21"/>
  <c r="C20" i="21"/>
  <c r="B25" i="21"/>
  <c r="B29" i="21"/>
  <c r="C34" i="21"/>
  <c r="D38" i="21"/>
  <c r="C43" i="21"/>
  <c r="C48" i="21"/>
  <c r="D52" i="21"/>
  <c r="B57" i="21"/>
  <c r="C62" i="21"/>
  <c r="C66" i="21"/>
  <c r="B71" i="21"/>
  <c r="B76" i="21"/>
  <c r="D80" i="21"/>
  <c r="D84" i="21"/>
  <c r="B90" i="21"/>
  <c r="C94" i="21"/>
  <c r="B99" i="21"/>
  <c r="C104" i="21"/>
  <c r="C108" i="21"/>
  <c r="D112" i="21"/>
  <c r="B118" i="21"/>
  <c r="C122" i="21"/>
  <c r="C126" i="21"/>
  <c r="B130" i="21"/>
  <c r="B134" i="21"/>
  <c r="C138" i="21"/>
  <c r="C142" i="21"/>
  <c r="B146" i="21"/>
  <c r="C150" i="21"/>
  <c r="B154" i="21"/>
  <c r="B158" i="21"/>
  <c r="B162" i="21"/>
  <c r="C166" i="21"/>
  <c r="B170" i="21"/>
  <c r="C174" i="21"/>
  <c r="B178" i="21"/>
  <c r="B182" i="21"/>
  <c r="D185" i="21"/>
  <c r="B190" i="21"/>
  <c r="B194" i="21"/>
  <c r="B198" i="21"/>
  <c r="B202" i="21"/>
  <c r="B206" i="21"/>
  <c r="D209" i="21"/>
  <c r="B214" i="21"/>
  <c r="D217" i="21"/>
  <c r="B222" i="21"/>
  <c r="B226" i="21"/>
  <c r="B230" i="21"/>
  <c r="D233" i="21"/>
  <c r="C237" i="21"/>
  <c r="B241" i="21"/>
  <c r="C244" i="21"/>
  <c r="B248" i="21"/>
  <c r="D251" i="21"/>
  <c r="B255" i="21"/>
  <c r="C258" i="21"/>
  <c r="B262" i="21"/>
  <c r="B265" i="21"/>
  <c r="B268" i="21"/>
  <c r="C271" i="21"/>
  <c r="C274" i="21"/>
  <c r="C277" i="21"/>
  <c r="C280" i="21"/>
  <c r="C283" i="21"/>
  <c r="C286" i="21"/>
  <c r="C289" i="21"/>
  <c r="C292" i="21"/>
  <c r="B295" i="21"/>
  <c r="D297" i="21"/>
  <c r="C300" i="21"/>
  <c r="B303" i="21"/>
  <c r="D305" i="21"/>
  <c r="C308" i="21"/>
  <c r="B311" i="21"/>
  <c r="D313" i="21"/>
  <c r="C316" i="21"/>
  <c r="B319" i="21"/>
  <c r="D321" i="21"/>
  <c r="C324" i="21"/>
  <c r="B327" i="21"/>
  <c r="D329" i="21"/>
  <c r="C332" i="21"/>
  <c r="B335" i="21"/>
  <c r="D337" i="21"/>
  <c r="C340" i="21"/>
  <c r="B343" i="21"/>
  <c r="D345" i="21"/>
  <c r="C348" i="21"/>
  <c r="B351" i="21"/>
  <c r="D353" i="21"/>
  <c r="C356" i="21"/>
  <c r="B359" i="21"/>
  <c r="D361" i="21"/>
  <c r="C364" i="21"/>
  <c r="B367" i="21"/>
  <c r="D369" i="21"/>
  <c r="C372" i="21"/>
  <c r="B375" i="21"/>
  <c r="D377" i="21"/>
  <c r="C380" i="21"/>
  <c r="B383" i="21"/>
  <c r="D385" i="21"/>
  <c r="C388" i="21"/>
  <c r="C11" i="21"/>
  <c r="D17" i="21"/>
  <c r="D25" i="21"/>
  <c r="C32" i="21"/>
  <c r="C40" i="21"/>
  <c r="D48" i="21"/>
  <c r="C55" i="21"/>
  <c r="B63" i="21"/>
  <c r="D69" i="21"/>
  <c r="D77" i="21"/>
  <c r="B85" i="21"/>
  <c r="B92" i="21"/>
  <c r="C100" i="21"/>
  <c r="B106" i="21"/>
  <c r="B115" i="21"/>
  <c r="B123" i="21"/>
  <c r="D128" i="21"/>
  <c r="C135" i="21"/>
  <c r="D140" i="21"/>
  <c r="D147" i="21"/>
  <c r="C154" i="21"/>
  <c r="C160" i="21"/>
  <c r="B167" i="21"/>
  <c r="C172" i="21"/>
  <c r="C179" i="21"/>
  <c r="C186" i="21"/>
  <c r="D191" i="21"/>
  <c r="B199" i="21"/>
  <c r="D204" i="21"/>
  <c r="D211" i="21"/>
  <c r="C218" i="21"/>
  <c r="D223" i="21"/>
  <c r="D230" i="21"/>
  <c r="C236" i="21"/>
  <c r="C242" i="21"/>
  <c r="D248" i="21"/>
  <c r="B253" i="21"/>
  <c r="C259" i="21"/>
  <c r="B264" i="21"/>
  <c r="C269" i="21"/>
  <c r="D274" i="21"/>
  <c r="D278" i="21"/>
  <c r="B284" i="21"/>
  <c r="C288" i="21"/>
  <c r="C293" i="21"/>
  <c r="B298" i="21"/>
  <c r="D301" i="21"/>
  <c r="C306" i="21"/>
  <c r="B310" i="21"/>
  <c r="D314" i="21"/>
  <c r="C319" i="21"/>
  <c r="B323" i="21"/>
  <c r="D327" i="21"/>
  <c r="C331" i="21"/>
  <c r="C335" i="21"/>
  <c r="D338" i="21"/>
  <c r="B342" i="21"/>
  <c r="B346" i="21"/>
  <c r="C349" i="21"/>
  <c r="D352" i="21"/>
  <c r="D356" i="21"/>
  <c r="B360" i="21"/>
  <c r="C363" i="21"/>
  <c r="C367" i="21"/>
  <c r="D370" i="21"/>
  <c r="D373" i="21"/>
  <c r="D376" i="21"/>
  <c r="D379" i="21"/>
  <c r="D382" i="21"/>
  <c r="B386" i="21"/>
  <c r="B389" i="21"/>
  <c r="D391" i="21"/>
  <c r="C394" i="21"/>
  <c r="B397" i="21"/>
  <c r="D399" i="21"/>
  <c r="C402" i="21"/>
  <c r="B405" i="21"/>
  <c r="D407" i="21"/>
  <c r="C410" i="21"/>
  <c r="B413" i="21"/>
  <c r="D415" i="21"/>
  <c r="C418" i="21"/>
  <c r="B421" i="21"/>
  <c r="D423" i="21"/>
  <c r="C426" i="21"/>
  <c r="B429" i="21"/>
  <c r="D431" i="21"/>
  <c r="C434" i="21"/>
  <c r="B437" i="21"/>
  <c r="D439" i="21"/>
  <c r="C442" i="21"/>
  <c r="B445" i="21"/>
  <c r="D447" i="21"/>
  <c r="C450" i="21"/>
  <c r="B453" i="21"/>
  <c r="D455" i="21"/>
  <c r="C458" i="21"/>
  <c r="B461" i="21"/>
  <c r="D463" i="21"/>
  <c r="C466" i="21"/>
  <c r="B469" i="21"/>
  <c r="D471" i="21"/>
  <c r="C474" i="21"/>
  <c r="B477" i="21"/>
  <c r="D479" i="21"/>
  <c r="C482" i="21"/>
  <c r="B485" i="21"/>
  <c r="D487" i="21"/>
  <c r="C490" i="21"/>
  <c r="B493" i="21"/>
  <c r="D495" i="21"/>
  <c r="C498" i="21"/>
  <c r="B501" i="21"/>
  <c r="B28" i="21"/>
  <c r="D249" i="21"/>
  <c r="D303" i="21"/>
  <c r="B333" i="21"/>
  <c r="D343" i="21"/>
  <c r="D357" i="21"/>
  <c r="C368" i="21"/>
  <c r="D374" i="21"/>
  <c r="B384" i="21"/>
  <c r="B390" i="21"/>
  <c r="C395" i="21"/>
  <c r="C403" i="21"/>
  <c r="D408" i="21"/>
  <c r="D416" i="21"/>
  <c r="D424" i="21"/>
  <c r="D432" i="21"/>
  <c r="C443" i="21"/>
  <c r="C451" i="21"/>
  <c r="D11" i="21"/>
  <c r="B18" i="21"/>
  <c r="B26" i="21"/>
  <c r="B35" i="21"/>
  <c r="C41" i="21"/>
  <c r="C49" i="21"/>
  <c r="D55" i="21"/>
  <c r="C63" i="21"/>
  <c r="C71" i="21"/>
  <c r="B78" i="21"/>
  <c r="D86" i="21"/>
  <c r="C92" i="21"/>
  <c r="B101" i="21"/>
  <c r="D108" i="21"/>
  <c r="C115" i="21"/>
  <c r="C123" i="21"/>
  <c r="B129" i="21"/>
  <c r="D135" i="21"/>
  <c r="D142" i="21"/>
  <c r="B148" i="21"/>
  <c r="B155" i="21"/>
  <c r="D160" i="21"/>
  <c r="C167" i="21"/>
  <c r="D174" i="21"/>
  <c r="C180" i="21"/>
  <c r="C187" i="21"/>
  <c r="D192" i="21"/>
  <c r="C199" i="21"/>
  <c r="C206" i="21"/>
  <c r="B212" i="21"/>
  <c r="B219" i="21"/>
  <c r="C224" i="21"/>
  <c r="B231" i="21"/>
  <c r="B238" i="21"/>
  <c r="D242" i="21"/>
  <c r="B249" i="21"/>
  <c r="C253" i="21"/>
  <c r="D259" i="21"/>
  <c r="C265" i="21"/>
  <c r="D269" i="21"/>
  <c r="B275" i="21"/>
  <c r="C279" i="21"/>
  <c r="D284" i="21"/>
  <c r="B290" i="21"/>
  <c r="D293" i="21"/>
  <c r="C298" i="21"/>
  <c r="B302" i="21"/>
  <c r="D306" i="21"/>
  <c r="C311" i="21"/>
  <c r="B315" i="21"/>
  <c r="D319" i="21"/>
  <c r="C323" i="21"/>
  <c r="B328" i="21"/>
  <c r="B332" i="21"/>
  <c r="D335" i="21"/>
  <c r="B339" i="21"/>
  <c r="D342" i="21"/>
  <c r="C346" i="21"/>
  <c r="D349" i="21"/>
  <c r="C353" i="21"/>
  <c r="B357" i="21"/>
  <c r="C360" i="21"/>
  <c r="B364" i="21"/>
  <c r="D367" i="21"/>
  <c r="B371" i="21"/>
  <c r="B374" i="21"/>
  <c r="B377" i="21"/>
  <c r="B380" i="21"/>
  <c r="C383" i="21"/>
  <c r="C386" i="21"/>
  <c r="C389" i="21"/>
  <c r="B392" i="21"/>
  <c r="D394" i="21"/>
  <c r="C397" i="21"/>
  <c r="B400" i="21"/>
  <c r="D402" i="21"/>
  <c r="C405" i="21"/>
  <c r="B408" i="21"/>
  <c r="D410" i="21"/>
  <c r="C413" i="21"/>
  <c r="B416" i="21"/>
  <c r="D418" i="21"/>
  <c r="C421" i="21"/>
  <c r="B424" i="21"/>
  <c r="D426" i="21"/>
  <c r="C429" i="21"/>
  <c r="B432" i="21"/>
  <c r="D434" i="21"/>
  <c r="C437" i="21"/>
  <c r="B440" i="21"/>
  <c r="D442" i="21"/>
  <c r="C445" i="21"/>
  <c r="B448" i="21"/>
  <c r="D450" i="21"/>
  <c r="C453" i="21"/>
  <c r="B456" i="21"/>
  <c r="D458" i="21"/>
  <c r="C461" i="21"/>
  <c r="B464" i="21"/>
  <c r="D466" i="21"/>
  <c r="C469" i="21"/>
  <c r="B472" i="21"/>
  <c r="D474" i="21"/>
  <c r="C477" i="21"/>
  <c r="B480" i="21"/>
  <c r="D482" i="21"/>
  <c r="C485" i="21"/>
  <c r="B488" i="21"/>
  <c r="D490" i="21"/>
  <c r="C493" i="21"/>
  <c r="B496" i="21"/>
  <c r="D498" i="21"/>
  <c r="C501" i="21"/>
  <c r="B21" i="21"/>
  <c r="B239" i="21"/>
  <c r="D290" i="21"/>
  <c r="B312" i="21"/>
  <c r="D328" i="21"/>
  <c r="B340" i="21"/>
  <c r="B347" i="21"/>
  <c r="C354" i="21"/>
  <c r="C361" i="21"/>
  <c r="D371" i="21"/>
  <c r="B378" i="21"/>
  <c r="B387" i="21"/>
  <c r="B398" i="21"/>
  <c r="B406" i="21"/>
  <c r="B414" i="21"/>
  <c r="B422" i="21"/>
  <c r="B430" i="21"/>
  <c r="B438" i="21"/>
  <c r="B446" i="21"/>
  <c r="B454" i="21"/>
  <c r="B12" i="21"/>
  <c r="D20" i="21"/>
  <c r="C27" i="21"/>
  <c r="C35" i="21"/>
  <c r="D41" i="21"/>
  <c r="D49" i="21"/>
  <c r="C57" i="21"/>
  <c r="D63" i="21"/>
  <c r="D72" i="21"/>
  <c r="C78" i="21"/>
  <c r="B87" i="21"/>
  <c r="B95" i="21"/>
  <c r="D101" i="21"/>
  <c r="B109" i="21"/>
  <c r="D115" i="21"/>
  <c r="D123" i="21"/>
  <c r="C130" i="21"/>
  <c r="C136" i="21"/>
  <c r="B143" i="21"/>
  <c r="D148" i="21"/>
  <c r="B156" i="21"/>
  <c r="B163" i="21"/>
  <c r="C168" i="21"/>
  <c r="B175" i="21"/>
  <c r="D180" i="21"/>
  <c r="D187" i="21"/>
  <c r="C194" i="21"/>
  <c r="D199" i="21"/>
  <c r="D206" i="21"/>
  <c r="C212" i="21"/>
  <c r="C219" i="21"/>
  <c r="C226" i="21"/>
  <c r="C231" i="21"/>
  <c r="C238" i="21"/>
  <c r="C243" i="21"/>
  <c r="C249" i="21"/>
  <c r="C255" i="21"/>
  <c r="C260" i="21"/>
  <c r="B266" i="21"/>
  <c r="B270" i="21"/>
  <c r="C275" i="21"/>
  <c r="D280" i="21"/>
  <c r="B285" i="21"/>
  <c r="C290" i="21"/>
  <c r="B294" i="21"/>
  <c r="D298" i="21"/>
  <c r="C303" i="21"/>
  <c r="B307" i="21"/>
  <c r="D311" i="21"/>
  <c r="C315" i="21"/>
  <c r="B320" i="21"/>
  <c r="D324" i="21"/>
  <c r="C328" i="21"/>
  <c r="D332" i="21"/>
  <c r="B336" i="21"/>
  <c r="C339" i="21"/>
  <c r="C343" i="21"/>
  <c r="D346" i="21"/>
  <c r="B350" i="21"/>
  <c r="B354" i="21"/>
  <c r="C357" i="21"/>
  <c r="D360" i="21"/>
  <c r="D364" i="21"/>
  <c r="B368" i="21"/>
  <c r="C371" i="21"/>
  <c r="C374" i="21"/>
  <c r="C377" i="21"/>
  <c r="D380" i="21"/>
  <c r="D383" i="21"/>
  <c r="D386" i="21"/>
  <c r="D389" i="21"/>
  <c r="C392" i="21"/>
  <c r="B395" i="21"/>
  <c r="D397" i="21"/>
  <c r="C400" i="21"/>
  <c r="B403" i="21"/>
  <c r="D405" i="21"/>
  <c r="C408" i="21"/>
  <c r="B411" i="21"/>
  <c r="D413" i="21"/>
  <c r="C416" i="21"/>
  <c r="B419" i="21"/>
  <c r="D421" i="21"/>
  <c r="C424" i="21"/>
  <c r="B427" i="21"/>
  <c r="D429" i="21"/>
  <c r="C432" i="21"/>
  <c r="B435" i="21"/>
  <c r="D437" i="21"/>
  <c r="C440" i="21"/>
  <c r="B443" i="21"/>
  <c r="D445" i="21"/>
  <c r="C448" i="21"/>
  <c r="B451" i="21"/>
  <c r="D453" i="21"/>
  <c r="C456" i="21"/>
  <c r="B459" i="21"/>
  <c r="D461" i="21"/>
  <c r="C464" i="21"/>
  <c r="B467" i="21"/>
  <c r="D469" i="21"/>
  <c r="C472" i="21"/>
  <c r="B475" i="21"/>
  <c r="D477" i="21"/>
  <c r="C480" i="21"/>
  <c r="B483" i="21"/>
  <c r="D485" i="21"/>
  <c r="C488" i="21"/>
  <c r="B491" i="21"/>
  <c r="D493" i="21"/>
  <c r="C496" i="21"/>
  <c r="B499" i="21"/>
  <c r="D501" i="21"/>
  <c r="D13" i="21"/>
  <c r="D35" i="21"/>
  <c r="D43" i="21"/>
  <c r="B50" i="21"/>
  <c r="B59" i="21"/>
  <c r="D64" i="21"/>
  <c r="B73" i="21"/>
  <c r="B81" i="21"/>
  <c r="C87" i="21"/>
  <c r="C95" i="21"/>
  <c r="B102" i="21"/>
  <c r="D109" i="21"/>
  <c r="C118" i="21"/>
  <c r="C124" i="21"/>
  <c r="D131" i="21"/>
  <c r="D136" i="21"/>
  <c r="D143" i="21"/>
  <c r="D150" i="21"/>
  <c r="C156" i="21"/>
  <c r="C163" i="21"/>
  <c r="D168" i="21"/>
  <c r="C175" i="21"/>
  <c r="C182" i="21"/>
  <c r="B188" i="21"/>
  <c r="B195" i="21"/>
  <c r="C200" i="21"/>
  <c r="B207" i="21"/>
  <c r="C214" i="21"/>
  <c r="B220" i="21"/>
  <c r="B227" i="21"/>
  <c r="D232" i="21"/>
  <c r="B245" i="21"/>
  <c r="D255" i="21"/>
  <c r="D260" i="21"/>
  <c r="C266" i="21"/>
  <c r="D271" i="21"/>
  <c r="D275" i="21"/>
  <c r="B281" i="21"/>
  <c r="C285" i="21"/>
  <c r="C295" i="21"/>
  <c r="B299" i="21"/>
  <c r="C307" i="21"/>
  <c r="D316" i="21"/>
  <c r="C320" i="21"/>
  <c r="B325" i="21"/>
  <c r="C336" i="21"/>
  <c r="D350" i="21"/>
  <c r="B365" i="21"/>
  <c r="B381" i="21"/>
  <c r="D392" i="21"/>
  <c r="D400" i="21"/>
  <c r="C411" i="21"/>
  <c r="C419" i="21"/>
  <c r="C427" i="21"/>
  <c r="C435" i="21"/>
  <c r="D440" i="21"/>
  <c r="D448" i="21"/>
  <c r="B17" i="21"/>
  <c r="D22" i="21"/>
  <c r="C31" i="21"/>
  <c r="B39" i="21"/>
  <c r="D45" i="21"/>
  <c r="D53" i="21"/>
  <c r="B60" i="21"/>
  <c r="B68" i="21"/>
  <c r="D76" i="21"/>
  <c r="C83" i="21"/>
  <c r="B91" i="21"/>
  <c r="C97" i="21"/>
  <c r="C105" i="21"/>
  <c r="C113" i="21"/>
  <c r="D119" i="21"/>
  <c r="B127" i="21"/>
  <c r="D132" i="21"/>
  <c r="D139" i="21"/>
  <c r="B147" i="21"/>
  <c r="C152" i="21"/>
  <c r="C159" i="21"/>
  <c r="C164" i="21"/>
  <c r="D171" i="21"/>
  <c r="C178" i="21"/>
  <c r="C184" i="21"/>
  <c r="B191" i="21"/>
  <c r="C196" i="21"/>
  <c r="C203" i="21"/>
  <c r="B210" i="21"/>
  <c r="D215" i="21"/>
  <c r="B223" i="21"/>
  <c r="B228" i="21"/>
  <c r="C235" i="21"/>
  <c r="C241" i="21"/>
  <c r="C246" i="21"/>
  <c r="C252" i="21"/>
  <c r="C257" i="21"/>
  <c r="C263" i="21"/>
  <c r="D268" i="21"/>
  <c r="D272" i="21"/>
  <c r="B278" i="21"/>
  <c r="C282" i="21"/>
  <c r="D287" i="21"/>
  <c r="D292" i="21"/>
  <c r="C296" i="21"/>
  <c r="B301" i="21"/>
  <c r="D304" i="21"/>
  <c r="C309" i="21"/>
  <c r="B314" i="21"/>
  <c r="D317" i="21"/>
  <c r="C322" i="21"/>
  <c r="B326" i="21"/>
  <c r="D330" i="21"/>
  <c r="B334" i="21"/>
  <c r="B338" i="21"/>
  <c r="C341" i="21"/>
  <c r="D344" i="21"/>
  <c r="D348" i="21"/>
  <c r="B352" i="21"/>
  <c r="C355" i="21"/>
  <c r="C359" i="21"/>
  <c r="D362" i="21"/>
  <c r="B366" i="21"/>
  <c r="B370" i="21"/>
  <c r="B373" i="21"/>
  <c r="B376" i="21"/>
  <c r="B379" i="21"/>
  <c r="B382" i="21"/>
  <c r="B385" i="21"/>
  <c r="B388" i="21"/>
  <c r="B391" i="21"/>
  <c r="D393" i="21"/>
  <c r="B14" i="21"/>
  <c r="D31" i="21"/>
  <c r="B53" i="21"/>
  <c r="D73" i="21"/>
  <c r="C91" i="21"/>
  <c r="C111" i="21"/>
  <c r="B132" i="21"/>
  <c r="C147" i="21"/>
  <c r="B164" i="21"/>
  <c r="D182" i="21"/>
  <c r="D198" i="21"/>
  <c r="C215" i="21"/>
  <c r="B234" i="21"/>
  <c r="D246" i="21"/>
  <c r="D262" i="21"/>
  <c r="B276" i="21"/>
  <c r="B288" i="21"/>
  <c r="D300" i="21"/>
  <c r="C312" i="21"/>
  <c r="D322" i="21"/>
  <c r="D333" i="21"/>
  <c r="B344" i="21"/>
  <c r="C352" i="21"/>
  <c r="C362" i="21"/>
  <c r="B372" i="21"/>
  <c r="C379" i="21"/>
  <c r="D387" i="21"/>
  <c r="D395" i="21"/>
  <c r="B401" i="21"/>
  <c r="C406" i="21"/>
  <c r="D411" i="21"/>
  <c r="B417" i="21"/>
  <c r="C422" i="21"/>
  <c r="D427" i="21"/>
  <c r="B433" i="21"/>
  <c r="C438" i="21"/>
  <c r="D443" i="21"/>
  <c r="B449" i="21"/>
  <c r="C454" i="21"/>
  <c r="B458" i="21"/>
  <c r="D462" i="21"/>
  <c r="C467" i="21"/>
  <c r="B471" i="21"/>
  <c r="D475" i="21"/>
  <c r="C479" i="21"/>
  <c r="B484" i="21"/>
  <c r="D488" i="21"/>
  <c r="C492" i="21"/>
  <c r="B497" i="21"/>
  <c r="D500" i="21"/>
  <c r="C22" i="21"/>
  <c r="B172" i="21"/>
  <c r="B269" i="21"/>
  <c r="B306" i="21"/>
  <c r="B348" i="21"/>
  <c r="D375" i="21"/>
  <c r="C398" i="21"/>
  <c r="C414" i="21"/>
  <c r="C430" i="21"/>
  <c r="C446" i="21"/>
  <c r="D456" i="21"/>
  <c r="D468" i="21"/>
  <c r="D481" i="21"/>
  <c r="D494" i="21"/>
  <c r="B67" i="21"/>
  <c r="B140" i="21"/>
  <c r="C191" i="21"/>
  <c r="B242" i="21"/>
  <c r="B272" i="21"/>
  <c r="D308" i="21"/>
  <c r="D340" i="21"/>
  <c r="D368" i="21"/>
  <c r="D384" i="21"/>
  <c r="B404" i="21"/>
  <c r="B420" i="21"/>
  <c r="D430" i="21"/>
  <c r="D446" i="21"/>
  <c r="B457" i="21"/>
  <c r="B470" i="21"/>
  <c r="B482" i="21"/>
  <c r="C491" i="21"/>
  <c r="D67" i="21"/>
  <c r="D105" i="21"/>
  <c r="D159" i="21"/>
  <c r="D195" i="21"/>
  <c r="C245" i="21"/>
  <c r="D286" i="21"/>
  <c r="D320" i="21"/>
  <c r="D359" i="21"/>
  <c r="C385" i="21"/>
  <c r="C404" i="21"/>
  <c r="C420" i="21"/>
  <c r="B431" i="21"/>
  <c r="B447" i="21"/>
  <c r="B462" i="21"/>
  <c r="B474" i="21"/>
  <c r="B487" i="21"/>
  <c r="C50" i="21"/>
  <c r="B111" i="21"/>
  <c r="D144" i="21"/>
  <c r="B196" i="21"/>
  <c r="B246" i="21"/>
  <c r="C287" i="21"/>
  <c r="B322" i="21"/>
  <c r="D351" i="21"/>
  <c r="D378" i="21"/>
  <c r="B394" i="21"/>
  <c r="B410" i="21"/>
  <c r="D420" i="21"/>
  <c r="D436" i="21"/>
  <c r="D452" i="21"/>
  <c r="B466" i="21"/>
  <c r="B479" i="21"/>
  <c r="B492" i="21"/>
  <c r="D15" i="21"/>
  <c r="B36" i="21"/>
  <c r="B54" i="21"/>
  <c r="B74" i="21"/>
  <c r="D95" i="21"/>
  <c r="C114" i="21"/>
  <c r="C132" i="21"/>
  <c r="B151" i="21"/>
  <c r="D166" i="21"/>
  <c r="D183" i="21"/>
  <c r="C202" i="21"/>
  <c r="C216" i="21"/>
  <c r="C234" i="21"/>
  <c r="B250" i="21"/>
  <c r="D263" i="21"/>
  <c r="D277" i="21"/>
  <c r="B291" i="21"/>
  <c r="C301" i="21"/>
  <c r="D312" i="21"/>
  <c r="C325" i="21"/>
  <c r="D334" i="21"/>
  <c r="C344" i="21"/>
  <c r="D354" i="21"/>
  <c r="B363" i="21"/>
  <c r="D372" i="21"/>
  <c r="C381" i="21"/>
  <c r="D388" i="21"/>
  <c r="B396" i="21"/>
  <c r="C401" i="21"/>
  <c r="D406" i="21"/>
  <c r="B412" i="21"/>
  <c r="C417" i="21"/>
  <c r="D422" i="21"/>
  <c r="B428" i="21"/>
  <c r="C433" i="21"/>
  <c r="D438" i="21"/>
  <c r="B444" i="21"/>
  <c r="C449" i="21"/>
  <c r="D454" i="21"/>
  <c r="C459" i="21"/>
  <c r="B463" i="21"/>
  <c r="D467" i="21"/>
  <c r="C471" i="21"/>
  <c r="B476" i="21"/>
  <c r="D480" i="21"/>
  <c r="C484" i="21"/>
  <c r="B489" i="21"/>
  <c r="D492" i="21"/>
  <c r="C497" i="21"/>
  <c r="B498" i="21"/>
  <c r="D62" i="21"/>
  <c r="D190" i="21"/>
  <c r="D239" i="21"/>
  <c r="B282" i="21"/>
  <c r="B330" i="21"/>
  <c r="B358" i="21"/>
  <c r="C384" i="21"/>
  <c r="D403" i="21"/>
  <c r="D419" i="21"/>
  <c r="D435" i="21"/>
  <c r="D451" i="21"/>
  <c r="B465" i="21"/>
  <c r="B478" i="21"/>
  <c r="B490" i="21"/>
  <c r="B45" i="21"/>
  <c r="B105" i="21"/>
  <c r="C158" i="21"/>
  <c r="D208" i="21"/>
  <c r="D256" i="21"/>
  <c r="B296" i="21"/>
  <c r="C330" i="21"/>
  <c r="D358" i="21"/>
  <c r="B393" i="21"/>
  <c r="C409" i="21"/>
  <c r="C425" i="21"/>
  <c r="C441" i="21"/>
  <c r="B452" i="21"/>
  <c r="C465" i="21"/>
  <c r="C478" i="21"/>
  <c r="B495" i="21"/>
  <c r="D29" i="21"/>
  <c r="C144" i="21"/>
  <c r="B211" i="21"/>
  <c r="D258" i="21"/>
  <c r="D296" i="21"/>
  <c r="B331" i="21"/>
  <c r="C351" i="21"/>
  <c r="C378" i="21"/>
  <c r="B399" i="21"/>
  <c r="B415" i="21"/>
  <c r="C436" i="21"/>
  <c r="C457" i="21"/>
  <c r="C470" i="21"/>
  <c r="C483" i="21"/>
  <c r="C495" i="21"/>
  <c r="B31" i="21"/>
  <c r="C90" i="21"/>
  <c r="D163" i="21"/>
  <c r="B215" i="21"/>
  <c r="C262" i="21"/>
  <c r="C299" i="21"/>
  <c r="C333" i="21"/>
  <c r="B362" i="21"/>
  <c r="C387" i="21"/>
  <c r="D404" i="21"/>
  <c r="C415" i="21"/>
  <c r="C431" i="21"/>
  <c r="C447" i="21"/>
  <c r="C462" i="21"/>
  <c r="C475" i="21"/>
  <c r="C487" i="21"/>
  <c r="C500" i="21"/>
  <c r="C17" i="21"/>
  <c r="C36" i="21"/>
  <c r="C59" i="21"/>
  <c r="B77" i="21"/>
  <c r="B97" i="21"/>
  <c r="D118" i="21"/>
  <c r="B135" i="21"/>
  <c r="C151" i="21"/>
  <c r="C170" i="21"/>
  <c r="D184" i="21"/>
  <c r="B203" i="21"/>
  <c r="C220" i="21"/>
  <c r="B236" i="21"/>
  <c r="B252" i="21"/>
  <c r="D266" i="21"/>
  <c r="C278" i="21"/>
  <c r="C291" i="21"/>
  <c r="B304" i="21"/>
  <c r="C314" i="21"/>
  <c r="D325" i="21"/>
  <c r="D336" i="21"/>
  <c r="C345" i="21"/>
  <c r="B355" i="21"/>
  <c r="C365" i="21"/>
  <c r="C373" i="21"/>
  <c r="D381" i="21"/>
  <c r="C390" i="21"/>
  <c r="C396" i="21"/>
  <c r="D401" i="21"/>
  <c r="B407" i="21"/>
  <c r="C412" i="21"/>
  <c r="D417" i="21"/>
  <c r="B423" i="21"/>
  <c r="C428" i="21"/>
  <c r="D433" i="21"/>
  <c r="B439" i="21"/>
  <c r="C444" i="21"/>
  <c r="D449" i="21"/>
  <c r="B455" i="21"/>
  <c r="D459" i="21"/>
  <c r="C463" i="21"/>
  <c r="B468" i="21"/>
  <c r="D472" i="21"/>
  <c r="C476" i="21"/>
  <c r="B481" i="21"/>
  <c r="D484" i="21"/>
  <c r="C489" i="21"/>
  <c r="B494" i="21"/>
  <c r="D497" i="21"/>
  <c r="B22" i="21"/>
  <c r="C39" i="21"/>
  <c r="D59" i="21"/>
  <c r="C81" i="21"/>
  <c r="C99" i="21"/>
  <c r="C119" i="21"/>
  <c r="B139" i="21"/>
  <c r="B153" i="21"/>
  <c r="C171" i="21"/>
  <c r="C188" i="21"/>
  <c r="D203" i="21"/>
  <c r="C222" i="21"/>
  <c r="C239" i="21"/>
  <c r="D252" i="21"/>
  <c r="B267" i="21"/>
  <c r="C281" i="21"/>
  <c r="B293" i="21"/>
  <c r="C304" i="21"/>
  <c r="B317" i="21"/>
  <c r="C327" i="21"/>
  <c r="C337" i="21"/>
  <c r="C347" i="21"/>
  <c r="B356" i="21"/>
  <c r="D365" i="21"/>
  <c r="C375" i="21"/>
  <c r="C382" i="21"/>
  <c r="D390" i="21"/>
  <c r="D396" i="21"/>
  <c r="B402" i="21"/>
  <c r="C407" i="21"/>
  <c r="D412" i="21"/>
  <c r="B418" i="21"/>
  <c r="C423" i="21"/>
  <c r="D428" i="21"/>
  <c r="B434" i="21"/>
  <c r="C439" i="21"/>
  <c r="D444" i="21"/>
  <c r="B450" i="21"/>
  <c r="C455" i="21"/>
  <c r="B460" i="21"/>
  <c r="D464" i="21"/>
  <c r="C468" i="21"/>
  <c r="B473" i="21"/>
  <c r="D476" i="21"/>
  <c r="C481" i="21"/>
  <c r="B486" i="21"/>
  <c r="D489" i="21"/>
  <c r="C494" i="21"/>
  <c r="D44" i="21"/>
  <c r="D81" i="21"/>
  <c r="D104" i="21"/>
  <c r="C120" i="21"/>
  <c r="C139" i="21"/>
  <c r="D156" i="21"/>
  <c r="C208" i="21"/>
  <c r="C223" i="21"/>
  <c r="B256" i="21"/>
  <c r="D295" i="21"/>
  <c r="C317" i="21"/>
  <c r="C338" i="21"/>
  <c r="D366" i="21"/>
  <c r="C391" i="21"/>
  <c r="B409" i="21"/>
  <c r="B425" i="21"/>
  <c r="B441" i="21"/>
  <c r="C460" i="21"/>
  <c r="C473" i="21"/>
  <c r="C486" i="21"/>
  <c r="C499" i="21"/>
  <c r="C25" i="21"/>
  <c r="D83" i="21"/>
  <c r="D124" i="21"/>
  <c r="D175" i="21"/>
  <c r="C227" i="21"/>
  <c r="D283" i="21"/>
  <c r="B318" i="21"/>
  <c r="B349" i="21"/>
  <c r="C376" i="21"/>
  <c r="D398" i="21"/>
  <c r="D414" i="21"/>
  <c r="B436" i="21"/>
  <c r="D460" i="21"/>
  <c r="D473" i="21"/>
  <c r="D486" i="21"/>
  <c r="D499" i="21"/>
  <c r="C46" i="21"/>
  <c r="D87" i="21"/>
  <c r="D126" i="21"/>
  <c r="D176" i="21"/>
  <c r="D227" i="21"/>
  <c r="C272" i="21"/>
  <c r="B309" i="21"/>
  <c r="B341" i="21"/>
  <c r="C369" i="21"/>
  <c r="C393" i="21"/>
  <c r="D409" i="21"/>
  <c r="D425" i="21"/>
  <c r="D441" i="21"/>
  <c r="C452" i="21"/>
  <c r="D465" i="21"/>
  <c r="D478" i="21"/>
  <c r="D491" i="21"/>
  <c r="B500" i="21"/>
  <c r="B69" i="21"/>
  <c r="D127" i="21"/>
  <c r="B179" i="21"/>
  <c r="C230" i="21"/>
  <c r="B273" i="21"/>
  <c r="D309" i="21"/>
  <c r="D341" i="21"/>
  <c r="C370" i="21"/>
  <c r="C399" i="21"/>
  <c r="B426" i="21"/>
  <c r="B442" i="21"/>
  <c r="D457" i="21"/>
  <c r="D470" i="21"/>
  <c r="D483" i="21"/>
  <c r="D496" i="21"/>
  <c r="B10" i="22"/>
  <c r="D10" i="22"/>
  <c r="N10" i="22" s="1"/>
  <c r="O10" i="22" s="1"/>
  <c r="P32" i="20"/>
  <c r="S10" i="22" l="1"/>
  <c r="C11" i="22"/>
  <c r="O33" i="20"/>
  <c r="B11" i="22"/>
  <c r="D11" i="22"/>
  <c r="N11" i="22" s="1"/>
  <c r="O11" i="22" s="1"/>
  <c r="P33" i="20"/>
  <c r="S11" i="22" l="1"/>
  <c r="C12" i="22"/>
  <c r="O34" i="20"/>
  <c r="B12" i="22"/>
  <c r="D12" i="22"/>
  <c r="N12" i="22" s="1"/>
  <c r="O12" i="22" s="1"/>
  <c r="P34" i="20"/>
  <c r="S12" i="22" l="1"/>
  <c r="C13" i="22"/>
  <c r="O35" i="20"/>
  <c r="B13" i="22"/>
  <c r="D13" i="22"/>
  <c r="N13" i="22" s="1"/>
  <c r="O13" i="22" s="1"/>
  <c r="P35" i="20"/>
  <c r="S13" i="22" l="1"/>
  <c r="C14" i="22"/>
  <c r="O36" i="20"/>
  <c r="B14" i="22"/>
  <c r="D14" i="22"/>
  <c r="N14" i="22" s="1"/>
  <c r="O14" i="22" s="1"/>
  <c r="P36" i="20"/>
  <c r="S14" i="22" l="1"/>
  <c r="C15" i="22"/>
  <c r="O37" i="20"/>
  <c r="B15" i="22"/>
  <c r="D15" i="22"/>
  <c r="N15" i="22" s="1"/>
  <c r="O15" i="22" s="1"/>
  <c r="P37" i="20"/>
  <c r="S15" i="22" l="1"/>
  <c r="C16" i="22"/>
  <c r="O38" i="20"/>
  <c r="B16" i="22"/>
  <c r="D16" i="22"/>
  <c r="N16" i="22" s="1"/>
  <c r="O16" i="22" s="1"/>
  <c r="P38" i="20"/>
  <c r="I35" i="20" s="1"/>
  <c r="S16" i="22" l="1"/>
  <c r="C17" i="22"/>
  <c r="D27" i="20"/>
  <c r="B17" i="22"/>
  <c r="D17" i="22"/>
  <c r="N17" i="22" s="1"/>
  <c r="O17" i="22" s="1"/>
  <c r="S17" i="22" l="1"/>
  <c r="C18" i="22"/>
  <c r="B18" i="22"/>
  <c r="D18" i="22"/>
  <c r="N18" i="22" s="1"/>
  <c r="O18" i="22" s="1"/>
  <c r="S18" i="22" l="1"/>
  <c r="C19" i="22"/>
  <c r="B19" i="22"/>
  <c r="D19" i="22"/>
  <c r="N19" i="22" s="1"/>
  <c r="O19" i="22" s="1"/>
  <c r="S19" i="22" l="1"/>
</calcChain>
</file>

<file path=xl/sharedStrings.xml><?xml version="1.0" encoding="utf-8"?>
<sst xmlns="http://schemas.openxmlformats.org/spreadsheetml/2006/main" count="613" uniqueCount="177">
  <si>
    <t>Notional</t>
  </si>
  <si>
    <t>USD</t>
  </si>
  <si>
    <t>CreateSwap</t>
  </si>
  <si>
    <t>USDYC</t>
  </si>
  <si>
    <t>1Y</t>
  </si>
  <si>
    <t>5Y</t>
  </si>
  <si>
    <t>Currency</t>
  </si>
  <si>
    <t>AsOfDate</t>
  </si>
  <si>
    <t>CurveCollection</t>
  </si>
  <si>
    <t>Volatility</t>
  </si>
  <si>
    <t xml:space="preserve"> </t>
  </si>
  <si>
    <t>MARKETDATAPROPERTIES</t>
  </si>
  <si>
    <t>OIS</t>
  </si>
  <si>
    <t>LIBOROISBASISSPREADS</t>
  </si>
  <si>
    <t>SWAPS</t>
  </si>
  <si>
    <t>Term</t>
  </si>
  <si>
    <t>Rate</t>
  </si>
  <si>
    <t>StartDate</t>
  </si>
  <si>
    <t>EndDate</t>
  </si>
  <si>
    <t>Use</t>
  </si>
  <si>
    <t>CurveType</t>
  </si>
  <si>
    <t>CurveIndexFrequency</t>
  </si>
  <si>
    <t>DAILY</t>
  </si>
  <si>
    <t>Create Market Data Handle</t>
  </si>
  <si>
    <t>Handle Name</t>
  </si>
  <si>
    <t>Market Data Handle</t>
  </si>
  <si>
    <t>40Y</t>
  </si>
  <si>
    <t>50Y</t>
  </si>
  <si>
    <t>USD_OIS</t>
  </si>
  <si>
    <t>3Y</t>
  </si>
  <si>
    <t>QUARTERLY</t>
  </si>
  <si>
    <t>LIBORFIXINGS</t>
  </si>
  <si>
    <t>FUTURES</t>
  </si>
  <si>
    <t>SWAP</t>
  </si>
  <si>
    <t>USD_SWAP_3M</t>
  </si>
  <si>
    <t>ON</t>
  </si>
  <si>
    <t>1W</t>
  </si>
  <si>
    <t>2Y</t>
  </si>
  <si>
    <t>2W</t>
  </si>
  <si>
    <t>3W</t>
  </si>
  <si>
    <t>4Y</t>
  </si>
  <si>
    <t>1M</t>
  </si>
  <si>
    <t>2M</t>
  </si>
  <si>
    <t>7Y</t>
  </si>
  <si>
    <t>3M</t>
  </si>
  <si>
    <t>10Y</t>
  </si>
  <si>
    <t>4M</t>
  </si>
  <si>
    <t>12Y</t>
  </si>
  <si>
    <t>5M</t>
  </si>
  <si>
    <t>15Y</t>
  </si>
  <si>
    <t>6M</t>
  </si>
  <si>
    <t>20Y</t>
  </si>
  <si>
    <t>9M</t>
  </si>
  <si>
    <t>25Y</t>
  </si>
  <si>
    <t>30Y</t>
  </si>
  <si>
    <t>ED1 Comdty</t>
  </si>
  <si>
    <t>ED2 Comdty</t>
  </si>
  <si>
    <t>ED3 Comdty</t>
  </si>
  <si>
    <t>ED4 Comdty</t>
  </si>
  <si>
    <t>ED5 Comdty</t>
  </si>
  <si>
    <t>8Y</t>
  </si>
  <si>
    <t>ED6 Comdty</t>
  </si>
  <si>
    <t>9Y</t>
  </si>
  <si>
    <t>ED7 Comdty</t>
  </si>
  <si>
    <t>ED8 Comdty</t>
  </si>
  <si>
    <t>EffectiveDate</t>
  </si>
  <si>
    <t>2D</t>
  </si>
  <si>
    <t>Key</t>
  </si>
  <si>
    <t>Value</t>
  </si>
  <si>
    <t>ED9 Comdty</t>
  </si>
  <si>
    <t>ED10 Comdty</t>
  </si>
  <si>
    <t>ED11 Comdty</t>
  </si>
  <si>
    <t>ED12 Comdty</t>
  </si>
  <si>
    <t>USD_OIS_MARKETDATA</t>
  </si>
  <si>
    <t>USD_3M_MARKETDATA</t>
  </si>
  <si>
    <t>CURVE ENGINE PARAMETERS</t>
  </si>
  <si>
    <t>FastRebuild</t>
  </si>
  <si>
    <t>CURVE GENERATORS</t>
  </si>
  <si>
    <t>3ML</t>
  </si>
  <si>
    <t>CURVE MARKET DATA</t>
  </si>
  <si>
    <t>GLOBAL CURVE ENGINE</t>
  </si>
  <si>
    <t>CurveObject</t>
  </si>
  <si>
    <t>CurveName</t>
  </si>
  <si>
    <t>USD_CURVE</t>
  </si>
  <si>
    <t>CurveIndices</t>
  </si>
  <si>
    <t>Start</t>
  </si>
  <si>
    <t>End</t>
  </si>
  <si>
    <t>Periodicity</t>
  </si>
  <si>
    <t>0Y</t>
  </si>
  <si>
    <t>USDOIS</t>
  </si>
  <si>
    <t>USD3ML</t>
  </si>
  <si>
    <t>Forward Curve Display Settings</t>
  </si>
  <si>
    <t>Trade Dates</t>
  </si>
  <si>
    <t>Trade Booking &amp; Pricing</t>
  </si>
  <si>
    <t>Unadjusted Date !</t>
  </si>
  <si>
    <t>Swap Template</t>
  </si>
  <si>
    <t>MaturityDate</t>
  </si>
  <si>
    <t>Maturity</t>
  </si>
  <si>
    <t>Generator</t>
  </si>
  <si>
    <t>PayRec</t>
  </si>
  <si>
    <t>Spread</t>
  </si>
  <si>
    <t>PAY</t>
  </si>
  <si>
    <t>SwapNames</t>
  </si>
  <si>
    <t>Risk</t>
  </si>
  <si>
    <t>Include</t>
  </si>
  <si>
    <t>Tenor</t>
  </si>
  <si>
    <t>MONTHLY</t>
  </si>
  <si>
    <t>Epsilon</t>
  </si>
  <si>
    <t>GradientEpsilon</t>
  </si>
  <si>
    <t>Delta</t>
  </si>
  <si>
    <t>Calendar</t>
  </si>
  <si>
    <t>51Y</t>
  </si>
  <si>
    <t>Extrapolation Point</t>
  </si>
  <si>
    <t>+/- Bps</t>
  </si>
  <si>
    <t>EUR_OIS</t>
  </si>
  <si>
    <t>EUR_SWAP_3M</t>
  </si>
  <si>
    <t>EUR_CURVE</t>
  </si>
  <si>
    <t>EURYC</t>
  </si>
  <si>
    <t>EUR</t>
  </si>
  <si>
    <t>EUR_3M_MARKETDATA</t>
  </si>
  <si>
    <t>EUR_OIS_MARKETDATA</t>
  </si>
  <si>
    <t>EUROIS</t>
  </si>
  <si>
    <t>EUR3ML</t>
  </si>
  <si>
    <t>ECB1</t>
  </si>
  <si>
    <t>ECB2</t>
  </si>
  <si>
    <t>ECB3</t>
  </si>
  <si>
    <t>ECB4</t>
  </si>
  <si>
    <t>6Y</t>
  </si>
  <si>
    <t>ER1</t>
  </si>
  <si>
    <t>ER2</t>
  </si>
  <si>
    <t>ER3</t>
  </si>
  <si>
    <t>ER4</t>
  </si>
  <si>
    <t>ER5</t>
  </si>
  <si>
    <t>ER6</t>
  </si>
  <si>
    <t>ER7</t>
  </si>
  <si>
    <t>ER8</t>
  </si>
  <si>
    <t>ER9</t>
  </si>
  <si>
    <t>ER10</t>
  </si>
  <si>
    <t>ER11</t>
  </si>
  <si>
    <t>ER12</t>
  </si>
  <si>
    <t>FXSPOTS</t>
  </si>
  <si>
    <t>XCCYSWAPS</t>
  </si>
  <si>
    <t>Ccy1</t>
  </si>
  <si>
    <t>Ccy2</t>
  </si>
  <si>
    <t>XCCYBASIS</t>
  </si>
  <si>
    <t>FXFWDS</t>
  </si>
  <si>
    <t>CREATE MARKET DATA HANDLE</t>
  </si>
  <si>
    <t>EUR_XCCYBASIS_MARKETDATA</t>
  </si>
  <si>
    <t>CURVE DICTIONARY</t>
  </si>
  <si>
    <t>HandleName</t>
  </si>
  <si>
    <t>EUR_XCCY_CURVE</t>
  </si>
  <si>
    <t>CurveGenerator</t>
  </si>
  <si>
    <t>EUR_XCCY</t>
  </si>
  <si>
    <t>DomesticCurve</t>
  </si>
  <si>
    <t>ForeignCurve</t>
  </si>
  <si>
    <t>CREATE CURVE HANDLE</t>
  </si>
  <si>
    <t>Curve Collection</t>
  </si>
  <si>
    <t>Curve Index</t>
  </si>
  <si>
    <t>Calibration Time Taken</t>
  </si>
  <si>
    <t>TN</t>
  </si>
  <si>
    <t>isCurveLoaded</t>
  </si>
  <si>
    <t>XCCY: EURDF_USDCSA</t>
  </si>
  <si>
    <t>Curve Calibration Check</t>
  </si>
  <si>
    <t>Leg 1 Spread</t>
  </si>
  <si>
    <t>Leg 2 Spread</t>
  </si>
  <si>
    <t>Xccy Properties</t>
  </si>
  <si>
    <t>MTM</t>
  </si>
  <si>
    <t>ValuationCurrency</t>
  </si>
  <si>
    <t>NotionalFxResetLeg</t>
  </si>
  <si>
    <t>Leg2:Float</t>
  </si>
  <si>
    <t>Xccy Valuation Settings</t>
  </si>
  <si>
    <t>Leg1:Float</t>
  </si>
  <si>
    <t>FXSPOT</t>
  </si>
  <si>
    <t>EUR/USD</t>
  </si>
  <si>
    <t>FX Spot Rate</t>
  </si>
  <si>
    <t>Leg1:Curve</t>
  </si>
  <si>
    <t>Leg2:Curve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</si>
</sst>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_-* #,##0_-;\-* #,##0_-;_-* &quot;-&quot;_-;_-@_-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#,##0.0000"/>
    <numFmt numFmtId="168" formatCode="ddd\,\ d\-mmm\-yy"/>
    <numFmt numFmtId="169" formatCode="0.00000%"/>
    <numFmt numFmtId="170" formatCode="0.0000%"/>
    <numFmt numFmtId="171" formatCode="0.000%"/>
    <numFmt numFmtId="172" formatCode="#,##0.000"/>
    <numFmt numFmtId="173" formatCode="_(&quot;$&quot;* #,##0.00_);_(&quot;$&quot;* \(#,##0.00\);_(&quot;$&quot;* &quot;-&quot;??_);_(@_)"/>
    <numFmt numFmtId="174" formatCode="0\ &quot; days&quot;"/>
    <numFmt numFmtId="175" formatCode="mmm\-yyyy"/>
    <numFmt numFmtId="176" formatCode="0.000"/>
    <numFmt numFmtId="177" formatCode="dd/m/yy"/>
    <numFmt numFmtId="178" formatCode="_(&quot;$&quot;* #,##0_);_(&quot;$&quot;* \(#,##0\);_(&quot;$&quot;* &quot;-&quot;_);_(@_)"/>
    <numFmt numFmtId="179" formatCode="0.00_)"/>
    <numFmt numFmtId="180" formatCode="dd\-mmm\-yy;dd\-mmm\-yy;"/>
    <numFmt numFmtId="181" formatCode="_ * #,##0_ ;_ * \-#,##0_ ;_ * &quot;-&quot;_ ;_ @_ "/>
    <numFmt numFmtId="185" formatCode="#,##0.00000"/>
    <numFmt numFmtId="186" formatCode="#,##0.0000_ ;\-#,##0.0000\ "/>
  </numFmts>
  <fonts count="9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8"/>
      <name val="Arial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b/>
      <sz val="11"/>
      <color indexed="9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9"/>
      <color indexed="12"/>
      <name val="Tahoma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i/>
      <sz val="6"/>
      <name val="Helv"/>
    </font>
    <font>
      <b/>
      <sz val="16"/>
      <color indexed="16"/>
      <name val="Helv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name val="MS Sans Serif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0"/>
      <name val="Helv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sz val="8"/>
      <color indexed="8"/>
      <name val="MS Sans Serif"/>
      <family val="2"/>
    </font>
    <font>
      <b/>
      <i/>
      <sz val="9"/>
      <color indexed="16"/>
      <name val="Verdana"/>
      <family val="2"/>
    </font>
    <font>
      <b/>
      <sz val="8"/>
      <color indexed="14"/>
      <name val="Arial"/>
      <family val="2"/>
    </font>
    <font>
      <b/>
      <sz val="8"/>
      <name val="Tahoma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sz val="10"/>
      <name val="Helv"/>
      <family val="2"/>
    </font>
    <font>
      <b/>
      <i/>
      <sz val="8"/>
      <name val="Helv"/>
    </font>
    <font>
      <sz val="8"/>
      <color indexed="10"/>
      <name val="Helv"/>
    </font>
    <font>
      <b/>
      <sz val="10"/>
      <color indexed="12"/>
      <name val="Tahoma"/>
      <family val="2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  <font>
      <sz val="11"/>
      <color theme="1"/>
      <name val="Calibri"/>
      <family val="3"/>
      <charset val="128"/>
      <scheme val="minor"/>
    </font>
    <font>
      <sz val="11"/>
      <color theme="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6600FF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rgb="FF006600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mediumGray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19"/>
      </patternFill>
    </fill>
    <fill>
      <patternFill patternType="solid">
        <fgColor rgb="FFFFFF99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00000"/>
        <bgColor indexed="64"/>
      </patternFill>
    </fill>
  </fills>
  <borders count="4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0" tint="-0.24994659260841701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 style="thin">
        <color theme="0" tint="-0.24994659260841701"/>
      </bottom>
      <diagonal/>
    </border>
  </borders>
  <cellStyleXfs count="7361">
    <xf numFmtId="0" fontId="0" fillId="0" borderId="0"/>
    <xf numFmtId="0" fontId="7" fillId="0" borderId="0">
      <alignment vertical="center"/>
    </xf>
    <xf numFmtId="164" fontId="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/>
    <xf numFmtId="0" fontId="9" fillId="0" borderId="0">
      <alignment vertical="center"/>
    </xf>
    <xf numFmtId="9" fontId="10" fillId="0" borderId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5" borderId="0" applyNumberFormat="0" applyBorder="0" applyAlignment="0" applyProtection="0"/>
    <xf numFmtId="0" fontId="11" fillId="13" borderId="0" applyNumberFormat="0" applyBorder="0" applyAlignment="0" applyProtection="0"/>
    <xf numFmtId="0" fontId="11" fillId="7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7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10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8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18" borderId="0" applyNumberFormat="0" applyBorder="0" applyAlignment="0" applyProtection="0"/>
    <xf numFmtId="0" fontId="12" fillId="29" borderId="0" applyNumberFormat="0" applyBorder="0" applyAlignment="0" applyProtection="0"/>
    <xf numFmtId="0" fontId="12" fillId="17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5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3" borderId="0" applyNumberFormat="0" applyBorder="0" applyAlignment="0" applyProtection="0"/>
    <xf numFmtId="0" fontId="12" fillId="30" borderId="0" applyNumberFormat="0" applyBorder="0" applyAlignment="0" applyProtection="0"/>
    <xf numFmtId="0" fontId="12" fillId="19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7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1" borderId="0" applyNumberFormat="0" applyBorder="0" applyAlignment="0" applyProtection="0"/>
    <xf numFmtId="0" fontId="12" fillId="29" borderId="0" applyNumberFormat="0" applyBorder="0" applyAlignment="0" applyProtection="0"/>
    <xf numFmtId="0" fontId="12" fillId="37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8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3" fillId="0" borderId="12" applyNumberFormat="0" applyFill="0" applyAlignment="0" applyProtection="0">
      <alignment horizontal="left"/>
    </xf>
    <xf numFmtId="0" fontId="14" fillId="0" borderId="12">
      <protection hidden="1"/>
    </xf>
    <xf numFmtId="0" fontId="15" fillId="40" borderId="0" applyNumberFormat="0" applyFont="0" applyBorder="0" applyAlignment="0" applyProtection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16" fillId="41" borderId="0" applyNumberFormat="0" applyBorder="0" applyAlignment="0" applyProtection="0"/>
    <xf numFmtId="0" fontId="17" fillId="9" borderId="0" applyNumberFormat="0" applyBorder="0" applyAlignment="0" applyProtection="0"/>
    <xf numFmtId="0" fontId="18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9" fillId="42" borderId="0"/>
    <xf numFmtId="0" fontId="20" fillId="43" borderId="0" applyNumberFormat="0" applyFont="0" applyBorder="0" applyAlignment="0" applyProtection="0">
      <alignment horizontal="center"/>
    </xf>
    <xf numFmtId="0" fontId="21" fillId="0" borderId="0">
      <alignment horizontal="right"/>
    </xf>
    <xf numFmtId="171" fontId="22" fillId="44" borderId="0"/>
    <xf numFmtId="0" fontId="23" fillId="45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19" fillId="35" borderId="14" applyNumberFormat="0" applyAlignment="0" applyProtection="0"/>
    <xf numFmtId="0" fontId="19" fillId="46" borderId="14" applyNumberFormat="0" applyAlignment="0" applyProtection="0"/>
    <xf numFmtId="0" fontId="19" fillId="46" borderId="14" applyNumberFormat="0" applyAlignment="0" applyProtection="0"/>
    <xf numFmtId="0" fontId="19" fillId="46" borderId="14" applyNumberFormat="0" applyAlignment="0" applyProtection="0"/>
    <xf numFmtId="0" fontId="25" fillId="0" borderId="12" applyNumberFormat="0" applyBorder="0" applyAlignment="0" applyProtection="0">
      <alignment horizontal="left"/>
    </xf>
    <xf numFmtId="38" fontId="26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8" fontId="7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0" fontId="27" fillId="0" borderId="0" applyFont="0" applyFill="0" applyBorder="0" applyAlignment="0" applyProtection="0">
      <alignment vertical="center"/>
    </xf>
    <xf numFmtId="40" fontId="27" fillId="0" borderId="0" applyFont="0" applyFill="0" applyBorder="0" applyAlignment="0" applyProtection="0">
      <alignment vertical="center"/>
    </xf>
    <xf numFmtId="40" fontId="27" fillId="0" borderId="0" applyFont="0" applyFill="0" applyBorder="0" applyAlignment="0" applyProtection="0">
      <alignment vertical="center"/>
    </xf>
    <xf numFmtId="40" fontId="27" fillId="0" borderId="0" applyFont="0" applyFill="0" applyBorder="0" applyAlignment="0" applyProtection="0">
      <alignment vertical="center"/>
    </xf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29" fillId="0" borderId="0">
      <alignment horizontal="right"/>
    </xf>
    <xf numFmtId="0" fontId="10" fillId="47" borderId="15" applyNumberFormat="0" applyFont="0" applyBorder="0" applyAlignment="0" applyProtection="0">
      <alignment horizontal="centerContinuous"/>
    </xf>
    <xf numFmtId="0" fontId="30" fillId="48" borderId="0" applyNumberFormat="0" applyBorder="0" applyAlignment="0">
      <alignment horizontal="center"/>
    </xf>
    <xf numFmtId="0" fontId="31" fillId="49" borderId="16">
      <alignment horizontal="center"/>
      <protection locked="0"/>
    </xf>
    <xf numFmtId="15" fontId="32" fillId="50" borderId="17" applyFont="0" applyFill="0" applyBorder="0" applyAlignment="0" applyProtection="0">
      <alignment horizontal="left"/>
    </xf>
    <xf numFmtId="17" fontId="32" fillId="50" borderId="17" applyFont="0" applyFill="0" applyBorder="0" applyAlignment="0" applyProtection="0">
      <alignment horizontal="left"/>
    </xf>
    <xf numFmtId="0" fontId="32" fillId="50" borderId="0">
      <alignment vertical="center"/>
    </xf>
    <xf numFmtId="174" fontId="32" fillId="0" borderId="0" applyFont="0" applyFill="0" applyBorder="0" applyAlignment="0" applyProtection="0"/>
    <xf numFmtId="0" fontId="15" fillId="1" borderId="18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35" borderId="0"/>
    <xf numFmtId="175" fontId="35" fillId="51" borderId="19" applyBorder="0"/>
    <xf numFmtId="0" fontId="8" fillId="20" borderId="18"/>
    <xf numFmtId="0" fontId="8" fillId="20" borderId="18"/>
    <xf numFmtId="0" fontId="8" fillId="20" borderId="18"/>
    <xf numFmtId="0" fontId="8" fillId="20" borderId="18"/>
    <xf numFmtId="176" fontId="36" fillId="45" borderId="0"/>
    <xf numFmtId="0" fontId="37" fillId="52" borderId="18"/>
    <xf numFmtId="175" fontId="35" fillId="0" borderId="18"/>
    <xf numFmtId="175" fontId="35" fillId="53" borderId="18"/>
    <xf numFmtId="175" fontId="35" fillId="54" borderId="20" applyBorder="0"/>
    <xf numFmtId="175" fontId="35" fillId="55" borderId="18"/>
    <xf numFmtId="0" fontId="38" fillId="45" borderId="18"/>
    <xf numFmtId="0" fontId="34" fillId="56" borderId="18"/>
    <xf numFmtId="0" fontId="39" fillId="57" borderId="21" applyBorder="0">
      <alignment horizontal="right"/>
    </xf>
    <xf numFmtId="38" fontId="8" fillId="0" borderId="18"/>
    <xf numFmtId="0" fontId="8" fillId="0" borderId="18"/>
    <xf numFmtId="0" fontId="8" fillId="8" borderId="18"/>
    <xf numFmtId="0" fontId="8" fillId="8" borderId="18"/>
    <xf numFmtId="0" fontId="8" fillId="8" borderId="18"/>
    <xf numFmtId="0" fontId="8" fillId="8" borderId="18"/>
    <xf numFmtId="175" fontId="35" fillId="53" borderId="18"/>
    <xf numFmtId="0" fontId="40" fillId="51" borderId="22">
      <alignment horizontal="center"/>
    </xf>
    <xf numFmtId="175" fontId="35" fillId="45" borderId="18"/>
    <xf numFmtId="0" fontId="41" fillId="58" borderId="0"/>
    <xf numFmtId="0" fontId="42" fillId="0" borderId="0"/>
    <xf numFmtId="0" fontId="43" fillId="0" borderId="0" applyNumberFormat="0" applyFill="0" applyBorder="0" applyAlignment="0" applyProtection="0"/>
    <xf numFmtId="0" fontId="44" fillId="35" borderId="0">
      <alignment horizontal="center"/>
    </xf>
    <xf numFmtId="0" fontId="45" fillId="20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6" fillId="59" borderId="23" applyNumberFormat="0" applyFont="0" applyBorder="0" applyAlignment="0">
      <alignment horizontal="centerContinuous"/>
    </xf>
    <xf numFmtId="0" fontId="47" fillId="18" borderId="18" applyProtection="0">
      <alignment horizontal="center"/>
      <protection locked="0"/>
    </xf>
    <xf numFmtId="0" fontId="48" fillId="0" borderId="24" applyNumberFormat="0" applyFill="0" applyAlignment="0" applyProtection="0"/>
    <xf numFmtId="0" fontId="49" fillId="0" borderId="25" applyNumberFormat="0" applyFill="0" applyAlignment="0" applyProtection="0"/>
    <xf numFmtId="0" fontId="48" fillId="0" borderId="26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50" fillId="0" borderId="27" applyNumberFormat="0" applyFill="0" applyAlignment="0" applyProtection="0"/>
    <xf numFmtId="0" fontId="51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8" applyNumberFormat="0" applyFill="0" applyAlignment="0" applyProtection="0"/>
    <xf numFmtId="0" fontId="51" fillId="0" borderId="28" applyNumberFormat="0" applyFill="0" applyAlignment="0" applyProtection="0"/>
    <xf numFmtId="0" fontId="51" fillId="0" borderId="28" applyNumberFormat="0" applyFill="0" applyAlignment="0" applyProtection="0"/>
    <xf numFmtId="0" fontId="52" fillId="0" borderId="29" applyNumberFormat="0" applyFill="0" applyAlignment="0" applyProtection="0"/>
    <xf numFmtId="0" fontId="53" fillId="0" borderId="30" applyNumberFormat="0" applyFill="0" applyAlignment="0" applyProtection="0"/>
    <xf numFmtId="0" fontId="52" fillId="0" borderId="31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60" borderId="0" applyNumberFormat="0" applyFont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/>
    <xf numFmtId="0" fontId="57" fillId="23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2" fontId="8" fillId="61" borderId="32" applyNumberFormat="0" applyBorder="0">
      <alignment horizontal="right" vertical="center"/>
    </xf>
    <xf numFmtId="2" fontId="58" fillId="62" borderId="33" applyBorder="0">
      <alignment horizontal="left" vertical="center"/>
    </xf>
    <xf numFmtId="10" fontId="59" fillId="45" borderId="0" applyBorder="0">
      <alignment horizontal="right"/>
      <protection locked="0"/>
    </xf>
    <xf numFmtId="15" fontId="59" fillId="45" borderId="18" applyBorder="0">
      <alignment horizontal="center"/>
      <protection locked="0"/>
    </xf>
    <xf numFmtId="15" fontId="59" fillId="45" borderId="0" applyBorder="0">
      <alignment horizontal="left"/>
      <protection locked="0"/>
    </xf>
    <xf numFmtId="0" fontId="60" fillId="63" borderId="0" applyFont="0" applyFill="0" applyBorder="0" applyAlignment="0" applyProtection="0">
      <alignment horizontal="right" vertical="center"/>
    </xf>
    <xf numFmtId="2" fontId="61" fillId="64" borderId="33" applyNumberFormat="0">
      <alignment horizontal="center" vertical="center"/>
    </xf>
    <xf numFmtId="0" fontId="62" fillId="0" borderId="12" applyNumberFormat="0" applyFill="0" applyBorder="0" applyAlignment="0" applyProtection="0"/>
    <xf numFmtId="177" fontId="63" fillId="18" borderId="23" applyBorder="0">
      <alignment horizontal="left"/>
      <protection locked="0"/>
    </xf>
    <xf numFmtId="177" fontId="63" fillId="18" borderId="34" applyBorder="0">
      <alignment horizontal="right"/>
      <protection locked="0"/>
    </xf>
    <xf numFmtId="0" fontId="64" fillId="0" borderId="35" applyNumberFormat="0" applyFill="0" applyAlignment="0" applyProtection="0"/>
    <xf numFmtId="0" fontId="65" fillId="0" borderId="35" applyNumberFormat="0" applyFill="0" applyAlignment="0" applyProtection="0"/>
    <xf numFmtId="0" fontId="65" fillId="0" borderId="35" applyNumberFormat="0" applyFill="0" applyAlignment="0" applyProtection="0"/>
    <xf numFmtId="0" fontId="65" fillId="0" borderId="35" applyNumberFormat="0" applyFill="0" applyAlignment="0" applyProtection="0"/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39" fillId="0" borderId="22"/>
    <xf numFmtId="0" fontId="15" fillId="0" borderId="0"/>
    <xf numFmtId="0" fontId="67" fillId="0" borderId="12">
      <alignment horizontal="left"/>
      <protection locked="0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0" fontId="68" fillId="65" borderId="0" applyNumberFormat="0" applyBorder="0" applyAlignment="0" applyProtection="0"/>
    <xf numFmtId="0" fontId="69" fillId="22" borderId="0" applyNumberFormat="0" applyBorder="0" applyAlignment="0" applyProtection="0"/>
    <xf numFmtId="0" fontId="69" fillId="22" borderId="0" applyNumberFormat="0" applyBorder="0" applyAlignment="0" applyProtection="0"/>
    <xf numFmtId="0" fontId="69" fillId="22" borderId="0" applyNumberFormat="0" applyBorder="0" applyAlignment="0" applyProtection="0"/>
    <xf numFmtId="179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>
      <alignment vertical="center"/>
    </xf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8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71" fillId="0" borderId="12" applyNumberFormat="0" applyFill="0" applyBorder="0" applyAlignment="0" applyProtection="0">
      <alignment horizontal="left"/>
      <protection locked="0"/>
    </xf>
    <xf numFmtId="0" fontId="72" fillId="45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3" fillId="66" borderId="0" applyNumberFormat="0" applyFont="0" applyBorder="0" applyAlignment="0" applyProtection="0"/>
    <xf numFmtId="0" fontId="73" fillId="67" borderId="0" applyNumberFormat="0" applyFont="0" applyBorder="0" applyAlignment="0" applyProtection="0"/>
    <xf numFmtId="0" fontId="73" fillId="68" borderId="0" applyNumberFormat="0" applyFont="0" applyBorder="0" applyAlignment="0" applyProtection="0">
      <alignment horizontal="center"/>
    </xf>
    <xf numFmtId="0" fontId="73" fillId="69" borderId="38" applyNumberFormat="0" applyFont="0" applyBorder="0" applyAlignment="0" applyProtection="0"/>
    <xf numFmtId="0" fontId="73" fillId="70" borderId="38" applyNumberFormat="0" applyFont="0" applyBorder="0" applyAlignment="0"/>
    <xf numFmtId="0" fontId="73" fillId="71" borderId="38" applyNumberFormat="0" applyFont="0" applyBorder="0" applyAlignment="0"/>
    <xf numFmtId="0" fontId="15" fillId="72" borderId="0" applyNumberFormat="0" applyFont="0" applyBorder="0" applyAlignment="0" applyProtection="0">
      <alignment horizontal="center"/>
      <protection hidden="1"/>
    </xf>
    <xf numFmtId="0" fontId="8" fillId="40" borderId="0" applyNumberFormat="0" applyFont="0" applyBorder="0" applyAlignment="0" applyProtection="0">
      <protection hidden="1"/>
    </xf>
    <xf numFmtId="0" fontId="8" fillId="73" borderId="0" applyNumberFormat="0" applyFont="0" applyBorder="0" applyAlignment="0" applyProtection="0">
      <protection hidden="1"/>
    </xf>
    <xf numFmtId="0" fontId="8" fillId="74" borderId="0" applyNumberFormat="0" applyFont="0" applyBorder="0" applyAlignment="0" applyProtection="0">
      <protection hidden="1"/>
    </xf>
    <xf numFmtId="0" fontId="8" fillId="75" borderId="0" applyNumberFormat="0" applyFont="0" applyBorder="0" applyAlignment="0" applyProtection="0">
      <protection hidden="1"/>
    </xf>
    <xf numFmtId="0" fontId="8" fillId="76" borderId="0" applyNumberFormat="0" applyFont="0" applyBorder="0" applyAlignment="0" applyProtection="0">
      <protection hidden="1"/>
    </xf>
    <xf numFmtId="0" fontId="8" fillId="77" borderId="0" applyNumberFormat="0" applyFont="0" applyBorder="0" applyAlignment="0" applyProtection="0">
      <protection hidden="1"/>
    </xf>
    <xf numFmtId="9" fontId="8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2" fillId="50" borderId="17" applyFont="0" applyFill="0" applyBorder="0" applyAlignment="0" applyProtection="0">
      <alignment horizontal="left"/>
    </xf>
    <xf numFmtId="0" fontId="74" fillId="0" borderId="39" applyBorder="0"/>
    <xf numFmtId="0" fontId="32" fillId="78" borderId="0" applyFont="0" applyFill="0" applyBorder="0">
      <alignment horizontal="left"/>
    </xf>
    <xf numFmtId="0" fontId="75" fillId="0" borderId="0"/>
    <xf numFmtId="180" fontId="76" fillId="0" borderId="39" applyBorder="0">
      <alignment horizontal="center"/>
      <protection locked="0"/>
    </xf>
    <xf numFmtId="0" fontId="8" fillId="0" borderId="0">
      <alignment horizontal="left" wrapText="1"/>
    </xf>
    <xf numFmtId="0" fontId="8" fillId="0" borderId="0"/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>
      <alignment horizontal="left" wrapText="1"/>
    </xf>
    <xf numFmtId="0" fontId="8" fillId="0" borderId="0" applyNumberFormat="0" applyFill="0" applyBorder="0" applyAlignment="0" applyProtection="0"/>
    <xf numFmtId="0" fontId="8" fillId="45" borderId="18" applyAlignment="0">
      <alignment horizontal="right"/>
    </xf>
    <xf numFmtId="0" fontId="8" fillId="45" borderId="18" applyAlignment="0">
      <alignment horizontal="right"/>
    </xf>
    <xf numFmtId="0" fontId="78" fillId="0" borderId="0"/>
    <xf numFmtId="0" fontId="79" fillId="0" borderId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3" fillId="0" borderId="0">
      <alignment horizontal="center"/>
    </xf>
    <xf numFmtId="0" fontId="84" fillId="17" borderId="12"/>
    <xf numFmtId="0" fontId="85" fillId="0" borderId="40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6" fillId="18" borderId="0" applyNumberFormat="0" applyFont="0" applyBorder="0" applyAlignment="0" applyProtection="0">
      <alignment horizontal="left"/>
    </xf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181" fontId="8" fillId="0" borderId="0" applyFont="0" applyFill="0" applyBorder="0" applyAlignment="0" applyProtection="0"/>
    <xf numFmtId="0" fontId="26" fillId="0" borderId="0">
      <alignment vertical="center"/>
    </xf>
    <xf numFmtId="0" fontId="88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</cellStyleXfs>
  <cellXfs count="22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5" xfId="0" applyFill="1" applyBorder="1"/>
    <xf numFmtId="0" fontId="5" fillId="2" borderId="6" xfId="0" applyFont="1" applyFill="1" applyBorder="1"/>
    <xf numFmtId="0" fontId="6" fillId="2" borderId="6" xfId="0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0" fillId="2" borderId="4" xfId="0" applyFill="1" applyBorder="1"/>
    <xf numFmtId="0" fontId="0" fillId="4" borderId="1" xfId="0" applyFill="1" applyBorder="1"/>
    <xf numFmtId="0" fontId="0" fillId="2" borderId="0" xfId="0" applyFill="1" applyBorder="1"/>
    <xf numFmtId="0" fontId="0" fillId="2" borderId="8" xfId="0" applyFill="1" applyBorder="1"/>
    <xf numFmtId="0" fontId="5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5" fillId="2" borderId="0" xfId="0" applyFont="1" applyFill="1"/>
    <xf numFmtId="0" fontId="1" fillId="2" borderId="10" xfId="0" applyFont="1" applyFill="1" applyBorder="1" applyAlignment="1">
      <alignment horizontal="center" vertical="center"/>
    </xf>
    <xf numFmtId="15" fontId="1" fillId="0" borderId="8" xfId="0" applyNumberFormat="1" applyFont="1" applyFill="1" applyBorder="1" applyAlignment="1">
      <alignment horizontal="center" vertical="center"/>
    </xf>
    <xf numFmtId="0" fontId="0" fillId="4" borderId="3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2" fillId="2" borderId="0" xfId="0" applyFont="1" applyFill="1"/>
    <xf numFmtId="0" fontId="2" fillId="2" borderId="0" xfId="0" applyFont="1" applyFill="1" applyBorder="1"/>
    <xf numFmtId="0" fontId="1" fillId="2" borderId="0" xfId="0" applyFont="1" applyFill="1" applyBorder="1"/>
    <xf numFmtId="0" fontId="1" fillId="2" borderId="8" xfId="0" applyFont="1" applyFill="1" applyBorder="1"/>
    <xf numFmtId="0" fontId="0" fillId="0" borderId="1" xfId="0" applyBorder="1"/>
    <xf numFmtId="15" fontId="1" fillId="0" borderId="6" xfId="0" applyNumberFormat="1" applyFont="1" applyFill="1" applyBorder="1" applyAlignment="1">
      <alignment horizontal="center" vertical="center"/>
    </xf>
    <xf numFmtId="15" fontId="1" fillId="0" borderId="0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Fill="1" applyBorder="1" applyAlignment="1">
      <alignment horizontal="center" vertical="center"/>
    </xf>
    <xf numFmtId="0" fontId="0" fillId="2" borderId="0" xfId="0" applyFont="1" applyFill="1" applyBorder="1"/>
    <xf numFmtId="0" fontId="0" fillId="2" borderId="0" xfId="0" applyFill="1" applyBorder="1" applyAlignment="1">
      <alignment horizontal="center" vertical="center"/>
    </xf>
    <xf numFmtId="0" fontId="1" fillId="4" borderId="1" xfId="0" applyFont="1" applyFill="1" applyBorder="1"/>
    <xf numFmtId="0" fontId="0" fillId="2" borderId="1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4" borderId="2" xfId="0" applyFont="1" applyFill="1" applyBorder="1"/>
    <xf numFmtId="171" fontId="1" fillId="4" borderId="7" xfId="2" quotePrefix="1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171" fontId="1" fillId="4" borderId="8" xfId="2" quotePrefix="1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71" fontId="1" fillId="4" borderId="8" xfId="2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72" fontId="3" fillId="4" borderId="10" xfId="0" applyNumberFormat="1" applyFont="1" applyFill="1" applyBorder="1" applyAlignment="1">
      <alignment horizontal="center" vertical="center"/>
    </xf>
    <xf numFmtId="171" fontId="1" fillId="4" borderId="11" xfId="2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69" fontId="1" fillId="0" borderId="7" xfId="0" applyNumberFormat="1" applyFont="1" applyFill="1" applyBorder="1" applyAlignment="1">
      <alignment horizontal="center" vertical="center"/>
    </xf>
    <xf numFmtId="169" fontId="1" fillId="0" borderId="8" xfId="0" applyNumberFormat="1" applyFont="1" applyFill="1" applyBorder="1" applyAlignment="1">
      <alignment horizontal="center" vertical="center"/>
    </xf>
    <xf numFmtId="169" fontId="1" fillId="0" borderId="11" xfId="0" applyNumberFormat="1" applyFont="1" applyFill="1" applyBorder="1" applyAlignment="1">
      <alignment horizontal="center" vertical="center"/>
    </xf>
    <xf numFmtId="0" fontId="1" fillId="2" borderId="0" xfId="0" applyFont="1" applyFill="1"/>
    <xf numFmtId="15" fontId="1" fillId="0" borderId="11" xfId="0" applyNumberFormat="1" applyFont="1" applyFill="1" applyBorder="1" applyAlignment="1">
      <alignment horizontal="center" vertical="center"/>
    </xf>
    <xf numFmtId="169" fontId="1" fillId="0" borderId="6" xfId="0" applyNumberFormat="1" applyFont="1" applyFill="1" applyBorder="1" applyAlignment="1">
      <alignment horizontal="center" vertical="center"/>
    </xf>
    <xf numFmtId="169" fontId="1" fillId="0" borderId="0" xfId="0" applyNumberFormat="1" applyFont="1" applyFill="1" applyBorder="1" applyAlignment="1">
      <alignment horizontal="center" vertical="center"/>
    </xf>
    <xf numFmtId="169" fontId="1" fillId="0" borderId="10" xfId="0" applyNumberFormat="1" applyFont="1" applyFill="1" applyBorder="1" applyAlignment="1">
      <alignment horizontal="center" vertical="center"/>
    </xf>
    <xf numFmtId="15" fontId="1" fillId="0" borderId="10" xfId="0" applyNumberFormat="1" applyFont="1" applyFill="1" applyBorder="1" applyAlignment="1">
      <alignment horizontal="center" vertical="center"/>
    </xf>
    <xf numFmtId="0" fontId="1" fillId="4" borderId="3" xfId="0" applyFont="1" applyFill="1" applyBorder="1"/>
    <xf numFmtId="170" fontId="1" fillId="0" borderId="7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72" fontId="1" fillId="4" borderId="6" xfId="0" applyNumberFormat="1" applyFont="1" applyFill="1" applyBorder="1" applyAlignment="1">
      <alignment horizontal="center" vertical="center"/>
    </xf>
    <xf numFmtId="170" fontId="1" fillId="4" borderId="6" xfId="0" applyNumberFormat="1" applyFont="1" applyFill="1" applyBorder="1" applyAlignment="1">
      <alignment horizontal="center" vertical="center"/>
    </xf>
    <xf numFmtId="170" fontId="1" fillId="0" borderId="8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72" fontId="1" fillId="4" borderId="0" xfId="0" applyNumberFormat="1" applyFont="1" applyFill="1" applyBorder="1" applyAlignment="1">
      <alignment horizontal="center" vertical="center"/>
    </xf>
    <xf numFmtId="170" fontId="1" fillId="4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4" fontId="1" fillId="2" borderId="0" xfId="0" quotePrefix="1" applyNumberFormat="1" applyFont="1" applyFill="1" applyBorder="1"/>
    <xf numFmtId="4" fontId="1" fillId="2" borderId="0" xfId="0" applyNumberFormat="1" applyFont="1" applyFill="1" applyBorder="1"/>
    <xf numFmtId="15" fontId="1" fillId="4" borderId="6" xfId="1" quotePrefix="1" applyNumberFormat="1" applyFont="1" applyFill="1" applyBorder="1" applyAlignment="1">
      <alignment horizontal="center" vertical="center"/>
    </xf>
    <xf numFmtId="15" fontId="1" fillId="4" borderId="0" xfId="1" quotePrefix="1" applyNumberFormat="1" applyFont="1" applyFill="1" applyBorder="1" applyAlignment="1">
      <alignment horizontal="center" vertical="center"/>
    </xf>
    <xf numFmtId="15" fontId="1" fillId="4" borderId="0" xfId="1" applyNumberFormat="1" applyFont="1" applyFill="1" applyBorder="1" applyAlignment="1">
      <alignment horizontal="center" vertical="center"/>
    </xf>
    <xf numFmtId="15" fontId="3" fillId="4" borderId="10" xfId="1" applyNumberFormat="1" applyFont="1" applyFill="1" applyBorder="1" applyAlignment="1">
      <alignment horizontal="center" vertical="center"/>
    </xf>
    <xf numFmtId="15" fontId="90" fillId="4" borderId="1" xfId="0" applyNumberFormat="1" applyFont="1" applyFill="1" applyBorder="1" applyAlignment="1">
      <alignment horizontal="center" vertical="center"/>
    </xf>
    <xf numFmtId="11" fontId="90" fillId="4" borderId="2" xfId="0" applyNumberFormat="1" applyFont="1" applyFill="1" applyBorder="1" applyAlignment="1">
      <alignment horizontal="center" vertical="center"/>
    </xf>
    <xf numFmtId="11" fontId="90" fillId="4" borderId="3" xfId="0" applyNumberFormat="1" applyFont="1" applyFill="1" applyBorder="1" applyAlignment="1">
      <alignment horizontal="center" vertical="center"/>
    </xf>
    <xf numFmtId="0" fontId="0" fillId="4" borderId="2" xfId="0" applyFill="1" applyBorder="1"/>
    <xf numFmtId="0" fontId="3" fillId="4" borderId="3" xfId="0" applyFont="1" applyFill="1" applyBorder="1"/>
    <xf numFmtId="0" fontId="3" fillId="4" borderId="1" xfId="0" applyFont="1" applyFill="1" applyBorder="1"/>
    <xf numFmtId="0" fontId="0" fillId="0" borderId="0" xfId="0" applyAlignment="1">
      <alignment vertical="center"/>
    </xf>
    <xf numFmtId="0" fontId="0" fillId="81" borderId="1" xfId="0" applyFill="1" applyBorder="1" applyAlignment="1">
      <alignment horizontal="center" vertical="center"/>
    </xf>
    <xf numFmtId="0" fontId="0" fillId="81" borderId="2" xfId="0" applyFill="1" applyBorder="1" applyAlignment="1">
      <alignment horizontal="center" vertical="center"/>
    </xf>
    <xf numFmtId="0" fontId="0" fillId="81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89" fillId="80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15" fontId="1" fillId="4" borderId="1" xfId="0" applyNumberFormat="1" applyFont="1" applyFill="1" applyBorder="1" applyAlignment="1">
      <alignment horizontal="center" vertical="center"/>
    </xf>
    <xf numFmtId="15" fontId="1" fillId="4" borderId="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15" fontId="3" fillId="2" borderId="5" xfId="0" applyNumberFormat="1" applyFont="1" applyFill="1" applyBorder="1" applyAlignment="1">
      <alignment horizontal="center" vertical="center"/>
    </xf>
    <xf numFmtId="169" fontId="3" fillId="2" borderId="6" xfId="0" applyNumberFormat="1" applyFont="1" applyFill="1" applyBorder="1" applyAlignment="1">
      <alignment horizontal="center" vertical="center"/>
    </xf>
    <xf numFmtId="169" fontId="3" fillId="2" borderId="7" xfId="0" applyNumberFormat="1" applyFont="1" applyFill="1" applyBorder="1" applyAlignment="1">
      <alignment horizontal="center" vertical="center"/>
    </xf>
    <xf numFmtId="15" fontId="3" fillId="2" borderId="4" xfId="0" applyNumberFormat="1" applyFont="1" applyFill="1" applyBorder="1" applyAlignment="1">
      <alignment horizontal="center" vertical="center"/>
    </xf>
    <xf numFmtId="169" fontId="3" fillId="2" borderId="0" xfId="0" applyNumberFormat="1" applyFont="1" applyFill="1" applyBorder="1" applyAlignment="1">
      <alignment horizontal="center" vertical="center"/>
    </xf>
    <xf numFmtId="169" fontId="3" fillId="2" borderId="8" xfId="0" applyNumberFormat="1" applyFont="1" applyFill="1" applyBorder="1" applyAlignment="1">
      <alignment horizontal="center" vertical="center"/>
    </xf>
    <xf numFmtId="15" fontId="3" fillId="2" borderId="9" xfId="0" applyNumberFormat="1" applyFont="1" applyFill="1" applyBorder="1" applyAlignment="1">
      <alignment horizontal="center" vertical="center"/>
    </xf>
    <xf numFmtId="169" fontId="3" fillId="2" borderId="10" xfId="0" applyNumberFormat="1" applyFont="1" applyFill="1" applyBorder="1" applyAlignment="1">
      <alignment horizontal="center" vertical="center"/>
    </xf>
    <xf numFmtId="169" fontId="3" fillId="2" borderId="11" xfId="0" applyNumberFormat="1" applyFont="1" applyFill="1" applyBorder="1" applyAlignment="1">
      <alignment horizontal="center" vertical="center"/>
    </xf>
    <xf numFmtId="0" fontId="91" fillId="0" borderId="0" xfId="0" applyFont="1" applyAlignment="1">
      <alignment horizontal="left" vertical="center"/>
    </xf>
    <xf numFmtId="0" fontId="92" fillId="0" borderId="0" xfId="0" applyFont="1"/>
    <xf numFmtId="0" fontId="93" fillId="0" borderId="0" xfId="0" applyFont="1" applyAlignment="1">
      <alignment horizontal="center" vertical="center"/>
    </xf>
    <xf numFmtId="168" fontId="3" fillId="2" borderId="5" xfId="0" applyNumberFormat="1" applyFont="1" applyFill="1" applyBorder="1" applyAlignment="1">
      <alignment horizontal="center" vertical="center"/>
    </xf>
    <xf numFmtId="168" fontId="3" fillId="2" borderId="7" xfId="0" applyNumberFormat="1" applyFont="1" applyFill="1" applyBorder="1" applyAlignment="1">
      <alignment horizontal="center" vertical="center"/>
    </xf>
    <xf numFmtId="168" fontId="0" fillId="3" borderId="5" xfId="0" quotePrefix="1" applyNumberFormat="1" applyFill="1" applyBorder="1" applyAlignment="1">
      <alignment horizontal="center" vertical="center"/>
    </xf>
    <xf numFmtId="168" fontId="0" fillId="3" borderId="6" xfId="0" applyNumberFormat="1" applyFill="1" applyBorder="1" applyAlignment="1">
      <alignment horizontal="center" vertical="center"/>
    </xf>
    <xf numFmtId="0" fontId="94" fillId="79" borderId="43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3" fontId="0" fillId="3" borderId="6" xfId="0" applyNumberFormat="1" applyFill="1" applyBorder="1" applyAlignment="1">
      <alignment horizontal="center" vertical="center"/>
    </xf>
    <xf numFmtId="169" fontId="0" fillId="3" borderId="6" xfId="0" applyNumberFormat="1" applyFill="1" applyBorder="1" applyAlignment="1">
      <alignment horizontal="center" vertical="center"/>
    </xf>
    <xf numFmtId="167" fontId="0" fillId="3" borderId="7" xfId="0" applyNumberForma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168" fontId="3" fillId="2" borderId="4" xfId="0" applyNumberFormat="1" applyFont="1" applyFill="1" applyBorder="1" applyAlignment="1">
      <alignment horizontal="center" vertical="center"/>
    </xf>
    <xf numFmtId="168" fontId="3" fillId="2" borderId="8" xfId="0" applyNumberFormat="1" applyFont="1" applyFill="1" applyBorder="1" applyAlignment="1">
      <alignment horizontal="center" vertical="center"/>
    </xf>
    <xf numFmtId="168" fontId="0" fillId="3" borderId="4" xfId="0" quotePrefix="1" applyNumberFormat="1" applyFill="1" applyBorder="1" applyAlignment="1">
      <alignment horizontal="center" vertical="center"/>
    </xf>
    <xf numFmtId="168" fontId="0" fillId="3" borderId="0" xfId="0" applyNumberFormat="1" applyFill="1" applyBorder="1" applyAlignment="1">
      <alignment horizontal="center" vertical="center"/>
    </xf>
    <xf numFmtId="0" fontId="94" fillId="79" borderId="44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3" fontId="0" fillId="3" borderId="0" xfId="0" applyNumberFormat="1" applyFill="1" applyBorder="1" applyAlignment="1">
      <alignment horizontal="center" vertical="center"/>
    </xf>
    <xf numFmtId="169" fontId="0" fillId="3" borderId="0" xfId="0" applyNumberFormat="1" applyFill="1" applyBorder="1" applyAlignment="1">
      <alignment horizontal="center" vertical="center"/>
    </xf>
    <xf numFmtId="167" fontId="0" fillId="3" borderId="8" xfId="0" applyNumberForma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168" fontId="3" fillId="2" borderId="9" xfId="0" applyNumberFormat="1" applyFont="1" applyFill="1" applyBorder="1" applyAlignment="1">
      <alignment horizontal="center" vertical="center"/>
    </xf>
    <xf numFmtId="168" fontId="3" fillId="2" borderId="11" xfId="0" applyNumberFormat="1" applyFont="1" applyFill="1" applyBorder="1" applyAlignment="1">
      <alignment horizontal="center" vertical="center"/>
    </xf>
    <xf numFmtId="168" fontId="0" fillId="3" borderId="9" xfId="0" quotePrefix="1" applyNumberFormat="1" applyFill="1" applyBorder="1" applyAlignment="1">
      <alignment horizontal="center" vertical="center"/>
    </xf>
    <xf numFmtId="168" fontId="0" fillId="3" borderId="10" xfId="0" applyNumberFormat="1" applyFill="1" applyBorder="1" applyAlignment="1">
      <alignment horizontal="center" vertical="center"/>
    </xf>
    <xf numFmtId="0" fontId="94" fillId="79" borderId="45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3" fontId="0" fillId="3" borderId="10" xfId="0" applyNumberFormat="1" applyFill="1" applyBorder="1" applyAlignment="1">
      <alignment horizontal="center" vertical="center"/>
    </xf>
    <xf numFmtId="169" fontId="0" fillId="3" borderId="10" xfId="0" applyNumberFormat="1" applyFill="1" applyBorder="1" applyAlignment="1">
      <alignment horizontal="center" vertical="center"/>
    </xf>
    <xf numFmtId="167" fontId="0" fillId="3" borderId="11" xfId="0" applyNumberForma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/>
    </xf>
    <xf numFmtId="3" fontId="3" fillId="2" borderId="10" xfId="0" applyNumberFormat="1" applyFont="1" applyFill="1" applyBorder="1" applyAlignment="1">
      <alignment horizontal="center" vertical="center"/>
    </xf>
    <xf numFmtId="0" fontId="0" fillId="0" borderId="0" xfId="0" applyFill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4" xfId="0" applyFont="1" applyFill="1" applyBorder="1"/>
    <xf numFmtId="0" fontId="3" fillId="2" borderId="0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11" xfId="0" applyFont="1" applyFill="1" applyBorder="1"/>
    <xf numFmtId="0" fontId="95" fillId="0" borderId="0" xfId="0" applyFont="1"/>
    <xf numFmtId="168" fontId="3" fillId="0" borderId="4" xfId="0" applyNumberFormat="1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68" fontId="3" fillId="2" borderId="6" xfId="0" applyNumberFormat="1" applyFont="1" applyFill="1" applyBorder="1" applyAlignment="1">
      <alignment horizontal="center" vertical="center"/>
    </xf>
    <xf numFmtId="168" fontId="3" fillId="2" borderId="0" xfId="0" applyNumberFormat="1" applyFont="1" applyFill="1" applyBorder="1" applyAlignment="1">
      <alignment horizontal="center" vertical="center"/>
    </xf>
    <xf numFmtId="168" fontId="3" fillId="2" borderId="10" xfId="0" applyNumberFormat="1" applyFont="1" applyFill="1" applyBorder="1" applyAlignment="1">
      <alignment horizontal="center" vertical="center"/>
    </xf>
    <xf numFmtId="0" fontId="93" fillId="4" borderId="9" xfId="0" applyFont="1" applyFill="1" applyBorder="1" applyAlignment="1">
      <alignment horizontal="center" vertical="center"/>
    </xf>
    <xf numFmtId="170" fontId="93" fillId="4" borderId="10" xfId="0" applyNumberFormat="1" applyFont="1" applyFill="1" applyBorder="1" applyAlignment="1">
      <alignment horizontal="center" vertical="center"/>
    </xf>
    <xf numFmtId="0" fontId="93" fillId="4" borderId="11" xfId="0" applyFont="1" applyFill="1" applyBorder="1" applyAlignment="1">
      <alignment horizontal="center" vertical="center"/>
    </xf>
    <xf numFmtId="0" fontId="93" fillId="2" borderId="8" xfId="0" applyFont="1" applyFill="1" applyBorder="1"/>
    <xf numFmtId="0" fontId="1" fillId="4" borderId="0" xfId="0" quotePrefix="1" applyFont="1" applyFill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93" fillId="0" borderId="9" xfId="0" applyFont="1" applyFill="1" applyBorder="1" applyAlignment="1">
      <alignment horizontal="center" vertical="center"/>
    </xf>
    <xf numFmtId="169" fontId="93" fillId="0" borderId="11" xfId="0" applyNumberFormat="1" applyFont="1" applyFill="1" applyBorder="1" applyAlignment="1">
      <alignment horizontal="center" vertical="center"/>
    </xf>
    <xf numFmtId="0" fontId="93" fillId="2" borderId="0" xfId="0" applyFont="1" applyFill="1" applyBorder="1"/>
    <xf numFmtId="0" fontId="5" fillId="0" borderId="0" xfId="0" applyFont="1"/>
    <xf numFmtId="0" fontId="0" fillId="0" borderId="0" xfId="0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93" fillId="2" borderId="4" xfId="0" applyFont="1" applyFill="1" applyBorder="1" applyAlignment="1">
      <alignment horizontal="center" vertical="center"/>
    </xf>
    <xf numFmtId="169" fontId="93" fillId="2" borderId="8" xfId="0" applyNumberFormat="1" applyFont="1" applyFill="1" applyBorder="1" applyAlignment="1">
      <alignment horizontal="center" vertical="center"/>
    </xf>
    <xf numFmtId="0" fontId="93" fillId="0" borderId="0" xfId="0" applyFont="1"/>
    <xf numFmtId="0" fontId="96" fillId="0" borderId="1" xfId="0" applyFont="1" applyBorder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169" fontId="1" fillId="2" borderId="8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1" fillId="2" borderId="9" xfId="0" applyFont="1" applyFill="1" applyBorder="1" applyAlignment="1">
      <alignment horizontal="center" vertical="center"/>
    </xf>
    <xf numFmtId="4" fontId="1" fillId="2" borderId="10" xfId="0" applyNumberFormat="1" applyFont="1" applyFill="1" applyBorder="1" applyAlignment="1">
      <alignment horizontal="center" vertical="center"/>
    </xf>
    <xf numFmtId="4" fontId="1" fillId="2" borderId="11" xfId="0" applyNumberFormat="1" applyFont="1" applyFill="1" applyBorder="1" applyAlignment="1">
      <alignment horizontal="center" vertical="center"/>
    </xf>
    <xf numFmtId="169" fontId="1" fillId="2" borderId="11" xfId="0" applyNumberFormat="1" applyFont="1" applyFill="1" applyBorder="1" applyAlignment="1">
      <alignment horizontal="center" vertical="center"/>
    </xf>
    <xf numFmtId="0" fontId="96" fillId="0" borderId="0" xfId="0" applyFont="1" applyFill="1" applyBorder="1" applyAlignment="1">
      <alignment horizontal="left" vertical="center"/>
    </xf>
    <xf numFmtId="0" fontId="0" fillId="0" borderId="0" xfId="0" quotePrefix="1" applyAlignment="1">
      <alignment horizontal="center" vertical="center"/>
    </xf>
    <xf numFmtId="168" fontId="89" fillId="82" borderId="3" xfId="0" applyNumberFormat="1" applyFont="1" applyFill="1" applyBorder="1" applyAlignment="1">
      <alignment horizontal="center" vertical="center"/>
    </xf>
    <xf numFmtId="168" fontId="3" fillId="4" borderId="2" xfId="0" applyNumberFormat="1" applyFont="1" applyFill="1" applyBorder="1" applyAlignment="1">
      <alignment horizontal="center" vertical="center"/>
    </xf>
    <xf numFmtId="168" fontId="3" fillId="4" borderId="3" xfId="0" applyNumberFormat="1" applyFont="1" applyFill="1" applyBorder="1" applyAlignment="1">
      <alignment horizontal="center" vertical="center"/>
    </xf>
    <xf numFmtId="168" fontId="3" fillId="0" borderId="3" xfId="0" applyNumberFormat="1" applyFont="1" applyBorder="1" applyAlignment="1">
      <alignment horizontal="left" vertical="center"/>
    </xf>
    <xf numFmtId="0" fontId="1" fillId="2" borderId="5" xfId="0" applyFont="1" applyFill="1" applyBorder="1"/>
    <xf numFmtId="0" fontId="1" fillId="2" borderId="4" xfId="0" applyFont="1" applyFill="1" applyBorder="1"/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/>
    <xf numFmtId="0" fontId="1" fillId="2" borderId="1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/>
    </xf>
    <xf numFmtId="169" fontId="0" fillId="0" borderId="0" xfId="0" applyNumberFormat="1"/>
    <xf numFmtId="185" fontId="3" fillId="2" borderId="7" xfId="0" applyNumberFormat="1" applyFont="1" applyFill="1" applyBorder="1" applyAlignment="1">
      <alignment horizontal="center"/>
    </xf>
    <xf numFmtId="185" fontId="3" fillId="2" borderId="8" xfId="0" applyNumberFormat="1" applyFont="1" applyFill="1" applyBorder="1" applyAlignment="1">
      <alignment horizontal="center"/>
    </xf>
    <xf numFmtId="185" fontId="3" fillId="2" borderId="11" xfId="0" applyNumberFormat="1" applyFont="1" applyFill="1" applyBorder="1" applyAlignment="1">
      <alignment horizontal="center"/>
    </xf>
    <xf numFmtId="0" fontId="1" fillId="0" borderId="0" xfId="0" applyFont="1"/>
    <xf numFmtId="15" fontId="1" fillId="2" borderId="10" xfId="0" applyNumberFormat="1" applyFont="1" applyFill="1" applyBorder="1" applyAlignment="1">
      <alignment horizontal="center" vertical="center"/>
    </xf>
    <xf numFmtId="186" fontId="1" fillId="2" borderId="11" xfId="1812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4" fontId="1" fillId="2" borderId="0" xfId="0" applyNumberFormat="1" applyFont="1" applyFill="1" applyBorder="1" applyAlignment="1">
      <alignment horizontal="center" vertical="center"/>
    </xf>
    <xf numFmtId="4" fontId="1" fillId="2" borderId="8" xfId="0" applyNumberFormat="1" applyFont="1" applyFill="1" applyBorder="1" applyAlignment="1">
      <alignment horizontal="center" vertical="center"/>
    </xf>
  </cellXfs>
  <cellStyles count="7361">
    <cellStyle name="_ADN" xfId="3"/>
    <cellStyle name="_Apollo" xfId="4"/>
    <cellStyle name="_Book2" xfId="5"/>
    <cellStyle name="_Book2_ValuationViewer" xfId="6"/>
    <cellStyle name="_btec" xfId="7"/>
    <cellStyle name="_Composite Page" xfId="8"/>
    <cellStyle name="_Composite Page_Composite Page" xfId="9"/>
    <cellStyle name="_Composite Page_Config" xfId="10"/>
    <cellStyle name="_Config" xfId="11"/>
    <cellStyle name="_Config_apollo_curves" xfId="12"/>
    <cellStyle name="_Config_Apollo_Spread" xfId="13"/>
    <cellStyle name="_config_db" xfId="14"/>
    <cellStyle name="_Cprty" xfId="15"/>
    <cellStyle name="_data" xfId="16"/>
    <cellStyle name="_DISPLAY" xfId="17"/>
    <cellStyle name="_DISPLAY 2" xfId="18"/>
    <cellStyle name="_DISPLAY_121Fut_View" xfId="19"/>
    <cellStyle name="_DISPLAY_121Fut_View 2" xfId="20"/>
    <cellStyle name="_DISPLAY_Apollo" xfId="21"/>
    <cellStyle name="_DISPLAY_AssetSwap" xfId="22"/>
    <cellStyle name="_DISPLAY_Closes" xfId="23"/>
    <cellStyle name="_DISPLAY_Composite Page" xfId="24"/>
    <cellStyle name="_DISPLAY_Config" xfId="25"/>
    <cellStyle name="_DISPLAY_Config_Composite Page" xfId="26"/>
    <cellStyle name="_DISPLAY_Convexity" xfId="27"/>
    <cellStyle name="_DISPLAY_Core" xfId="28"/>
    <cellStyle name="_DISPLAY_Core 2" xfId="29"/>
    <cellStyle name="_DISPLAY_Core_Composite Page" xfId="30"/>
    <cellStyle name="_DISPLAY_Core_Config" xfId="31"/>
    <cellStyle name="_DISPLAY_cp_Closes" xfId="32"/>
    <cellStyle name="_DISPLAY_DISPLAY" xfId="33"/>
    <cellStyle name="_DISPLAY_EOD_Closes" xfId="34"/>
    <cellStyle name="_DISPLAY_EOD_Closes_1" xfId="35"/>
    <cellStyle name="_DISPLAY_EOD_Curve" xfId="36"/>
    <cellStyle name="_DISPLAY_EOD_Curve 2" xfId="37"/>
    <cellStyle name="_DISPLAY_EOD_Curve 3" xfId="38"/>
    <cellStyle name="_DISPLAY_EOD_Curve_Composite Page" xfId="39"/>
    <cellStyle name="_DISPLAY_EOD_Curve_Core" xfId="40"/>
    <cellStyle name="_DISPLAY_EOD_Curve_Core 2" xfId="41"/>
    <cellStyle name="_DISPLAY_EOD_Curve_Futures" xfId="42"/>
    <cellStyle name="_DISPLAY_EOD_Curve_Swaps" xfId="43"/>
    <cellStyle name="_DISPLAY_Futures" xfId="44"/>
    <cellStyle name="_DISPLAY_Futures 2" xfId="45"/>
    <cellStyle name="_DISPLAY_Futures_Composite Page" xfId="46"/>
    <cellStyle name="_DISPLAY_Futures_Config" xfId="47"/>
    <cellStyle name="_DISPLAY_Gamma" xfId="48"/>
    <cellStyle name="_DISPLAY_Gamma_1" xfId="49"/>
    <cellStyle name="_DISPLAY_Gamma_Composite Page" xfId="50"/>
    <cellStyle name="_DISPLAY_Gamma_Core" xfId="51"/>
    <cellStyle name="_DISPLAY_Gamma_Futures" xfId="52"/>
    <cellStyle name="_DISPLAY_Gamma_Futures_1" xfId="53"/>
    <cellStyle name="_DISPLAY_Gamma_Swaps" xfId="54"/>
    <cellStyle name="_DISPLAY_Gamma_Treasuries" xfId="55"/>
    <cellStyle name="_DISPLAY_holidays" xfId="56"/>
    <cellStyle name="_DISPLAY_Real_Time" xfId="57"/>
    <cellStyle name="_DISPLAY_Real-Time" xfId="58"/>
    <cellStyle name="_DISPLAY_Real-Time 2" xfId="59"/>
    <cellStyle name="_DISPLAY_Real-Time_1" xfId="60"/>
    <cellStyle name="_DISPLAY_Real-Time_Composite Page" xfId="61"/>
    <cellStyle name="_DISPLAY_Real-Time_Core" xfId="62"/>
    <cellStyle name="_DISPLAY_Real-Time_Futures" xfId="63"/>
    <cellStyle name="_DISPLAY_Real-Time_Futures_1" xfId="64"/>
    <cellStyle name="_DISPLAY_Real-Time_Swaps" xfId="65"/>
    <cellStyle name="_DISPLAY_Real-Time_Treasuries" xfId="66"/>
    <cellStyle name="_DISPLAY_Sheet1" xfId="67"/>
    <cellStyle name="_DISPLAY_Swaps" xfId="68"/>
    <cellStyle name="_DISPLAY_Swaps 2" xfId="69"/>
    <cellStyle name="_DISPLAY_Swaps_Composite Page" xfId="70"/>
    <cellStyle name="_DISPLAY_Swaps_Config" xfId="71"/>
    <cellStyle name="_DISPLAY_T-Notes" xfId="72"/>
    <cellStyle name="_DISPLAY_T-Notes 2" xfId="73"/>
    <cellStyle name="_DISPLAY_T-Notes_Composite Page" xfId="74"/>
    <cellStyle name="_DISPLAY_T-Notes_Config" xfId="75"/>
    <cellStyle name="_DISPLAY_ToDo" xfId="76"/>
    <cellStyle name="_DISPLAY_ToDo 2" xfId="77"/>
    <cellStyle name="_DISPLAY_ToDoList" xfId="78"/>
    <cellStyle name="_DISPLAY_ToDoList 2" xfId="79"/>
    <cellStyle name="_DISPLAY_Treasuries" xfId="80"/>
    <cellStyle name="_DISPLAY_Treasuries 2" xfId="81"/>
    <cellStyle name="_DISPLAY_Treasuries_Composite Page" xfId="82"/>
    <cellStyle name="_DISPLAY_Treasuries_Config" xfId="83"/>
    <cellStyle name="_FRA_Map" xfId="84"/>
    <cellStyle name="_FRA_Map 2" xfId="85"/>
    <cellStyle name="_FRA_Map_121Fut_View" xfId="86"/>
    <cellStyle name="_FRA_Map_121Fut_View 2" xfId="87"/>
    <cellStyle name="_FRA_Map_Apollo" xfId="88"/>
    <cellStyle name="_FRA_Map_AssetSwap" xfId="89"/>
    <cellStyle name="_FRA_Map_Closes" xfId="90"/>
    <cellStyle name="_FRA_Map_Composite Page" xfId="91"/>
    <cellStyle name="_FRA_Map_Config" xfId="92"/>
    <cellStyle name="_FRA_Map_Config_Composite Page" xfId="93"/>
    <cellStyle name="_FRA_Map_Convexity" xfId="94"/>
    <cellStyle name="_FRA_Map_Core" xfId="95"/>
    <cellStyle name="_FRA_Map_Core 2" xfId="96"/>
    <cellStyle name="_FRA_Map_Core_Composite Page" xfId="97"/>
    <cellStyle name="_FRA_Map_Core_Config" xfId="98"/>
    <cellStyle name="_FRA_Map_cp_Closes" xfId="99"/>
    <cellStyle name="_FRA_Map_DISPLAY" xfId="100"/>
    <cellStyle name="_FRA_Map_EOD_Closes" xfId="101"/>
    <cellStyle name="_FRA_Map_EOD_Closes_1" xfId="102"/>
    <cellStyle name="_FRA_Map_EOD_Curve" xfId="103"/>
    <cellStyle name="_FRA_Map_EOD_Curve 2" xfId="104"/>
    <cellStyle name="_FRA_Map_EOD_Curve 3" xfId="105"/>
    <cellStyle name="_FRA_Map_EOD_Curve_Composite Page" xfId="106"/>
    <cellStyle name="_FRA_Map_EOD_Curve_Core" xfId="107"/>
    <cellStyle name="_FRA_Map_EOD_Curve_Core 2" xfId="108"/>
    <cellStyle name="_FRA_Map_EOD_Curve_Futures" xfId="109"/>
    <cellStyle name="_FRA_Map_EOD_Curve_Swaps" xfId="110"/>
    <cellStyle name="_FRA_Map_Futures" xfId="111"/>
    <cellStyle name="_FRA_Map_Futures 2" xfId="112"/>
    <cellStyle name="_FRA_Map_Futures_Composite Page" xfId="113"/>
    <cellStyle name="_FRA_Map_Futures_Config" xfId="114"/>
    <cellStyle name="_FRA_Map_Gamma" xfId="115"/>
    <cellStyle name="_FRA_Map_Gamma_1" xfId="116"/>
    <cellStyle name="_FRA_Map_Gamma_Composite Page" xfId="117"/>
    <cellStyle name="_FRA_Map_Gamma_Core" xfId="118"/>
    <cellStyle name="_FRA_Map_Gamma_Futures" xfId="119"/>
    <cellStyle name="_FRA_Map_Gamma_Futures_1" xfId="120"/>
    <cellStyle name="_FRA_Map_Gamma_Swaps" xfId="121"/>
    <cellStyle name="_FRA_Map_Gamma_Treasuries" xfId="122"/>
    <cellStyle name="_FRA_Map_holidays" xfId="123"/>
    <cellStyle name="_FRA_Map_Real_Time" xfId="124"/>
    <cellStyle name="_FRA_Map_Real-Time" xfId="125"/>
    <cellStyle name="_FRA_Map_Real-Time 2" xfId="126"/>
    <cellStyle name="_FRA_Map_Real-Time_1" xfId="127"/>
    <cellStyle name="_FRA_Map_Real-Time_Composite Page" xfId="128"/>
    <cellStyle name="_FRA_Map_Real-Time_Core" xfId="129"/>
    <cellStyle name="_FRA_Map_Real-Time_Futures" xfId="130"/>
    <cellStyle name="_FRA_Map_Real-Time_Futures_1" xfId="131"/>
    <cellStyle name="_FRA_Map_Real-Time_Swaps" xfId="132"/>
    <cellStyle name="_FRA_Map_Real-Time_Treasuries" xfId="133"/>
    <cellStyle name="_FRA_Map_Sheet1" xfId="134"/>
    <cellStyle name="_FRA_Map_Swaps" xfId="135"/>
    <cellStyle name="_FRA_Map_Swaps 2" xfId="136"/>
    <cellStyle name="_FRA_Map_Swaps_Composite Page" xfId="137"/>
    <cellStyle name="_FRA_Map_Swaps_Config" xfId="138"/>
    <cellStyle name="_FRA_Map_T-Notes" xfId="139"/>
    <cellStyle name="_FRA_Map_T-Notes 2" xfId="140"/>
    <cellStyle name="_FRA_Map_T-Notes_Composite Page" xfId="141"/>
    <cellStyle name="_FRA_Map_T-Notes_Config" xfId="142"/>
    <cellStyle name="_FRA_Map_ToDo" xfId="143"/>
    <cellStyle name="_FRA_Map_ToDo 2" xfId="144"/>
    <cellStyle name="_FRA_Map_ToDoList" xfId="145"/>
    <cellStyle name="_FRA_Map_ToDoList 2" xfId="146"/>
    <cellStyle name="_FRA_Map_Treasuries" xfId="147"/>
    <cellStyle name="_FRA_Map_Treasuries 2" xfId="148"/>
    <cellStyle name="_FRA_Map_Treasuries_Composite Page" xfId="149"/>
    <cellStyle name="_FRA_Map_Treasuries_Config" xfId="150"/>
    <cellStyle name="_Front" xfId="151"/>
    <cellStyle name="_Front_ADN" xfId="152"/>
    <cellStyle name="_Front_ImportBonds" xfId="153"/>
    <cellStyle name="_Front_Sheet1" xfId="154"/>
    <cellStyle name="_Front_Today" xfId="155"/>
    <cellStyle name="_Front_Yesterday" xfId="156"/>
    <cellStyle name="_Futures" xfId="157"/>
    <cellStyle name="_Gamma" xfId="158"/>
    <cellStyle name="_Gamma 2" xfId="159"/>
    <cellStyle name="_Gamma_Composite Page" xfId="160"/>
    <cellStyle name="_Gamma_Config" xfId="161"/>
    <cellStyle name="_Home" xfId="162"/>
    <cellStyle name="_Home 2" xfId="163"/>
    <cellStyle name="_Home_Composite Page" xfId="164"/>
    <cellStyle name="_Home_Config" xfId="165"/>
    <cellStyle name="_Hong Kong" xfId="166"/>
    <cellStyle name="_ImportBonds" xfId="167"/>
    <cellStyle name="_London" xfId="168"/>
    <cellStyle name="_London 2" xfId="169"/>
    <cellStyle name="_London_Composite Page" xfId="170"/>
    <cellStyle name="_London_Config" xfId="171"/>
    <cellStyle name="_LynxTrader" xfId="172"/>
    <cellStyle name="_LynxTrader_LynxTrader" xfId="173"/>
    <cellStyle name="_LynxTrader_Trade" xfId="174"/>
    <cellStyle name="_LynxTrader_Vector Editor" xfId="175"/>
    <cellStyle name="_Main" xfId="176"/>
    <cellStyle name="_manual" xfId="177"/>
    <cellStyle name="_manual_ADN" xfId="178"/>
    <cellStyle name="_manual_ImportBonds" xfId="179"/>
    <cellStyle name="_manual_Sheet1" xfId="180"/>
    <cellStyle name="_manual_Today" xfId="181"/>
    <cellStyle name="_manual_Yesterday" xfId="182"/>
    <cellStyle name="_New York" xfId="183"/>
    <cellStyle name="_NoteFuts" xfId="184"/>
    <cellStyle name="_Past 10 yr" xfId="185"/>
    <cellStyle name="_Past 10 yr 2" xfId="186"/>
    <cellStyle name="_Past 10 yr_Composite Page" xfId="187"/>
    <cellStyle name="_Past 10 yr_Config" xfId="188"/>
    <cellStyle name="_PnL" xfId="189"/>
    <cellStyle name="_PnL 2" xfId="190"/>
    <cellStyle name="_PnL Predictor" xfId="191"/>
    <cellStyle name="_PnL Predictor 2" xfId="192"/>
    <cellStyle name="_PnL Predictor_Composite Page" xfId="193"/>
    <cellStyle name="_PnL Predictor_Config" xfId="194"/>
    <cellStyle name="_PnL_Composite Page" xfId="195"/>
    <cellStyle name="_PnL_Config" xfId="196"/>
    <cellStyle name="_Positions" xfId="197"/>
    <cellStyle name="_Repo Blotter" xfId="198"/>
    <cellStyle name="_Repo Blotter_ADN" xfId="199"/>
    <cellStyle name="_Repo Blotter_ImportBonds" xfId="200"/>
    <cellStyle name="_Repo Blotter_Sheet1" xfId="201"/>
    <cellStyle name="_Repo Blotter_Today" xfId="202"/>
    <cellStyle name="_Repo Blotter_Yesterday" xfId="203"/>
    <cellStyle name="_Setup" xfId="204"/>
    <cellStyle name="_Setup_ADN" xfId="205"/>
    <cellStyle name="_Setup_ImportBonds" xfId="206"/>
    <cellStyle name="_Setup_Sheet1" xfId="207"/>
    <cellStyle name="_Setup_Today" xfId="208"/>
    <cellStyle name="_Setup_Yesterday" xfId="209"/>
    <cellStyle name="_Sheet1" xfId="210"/>
    <cellStyle name="_Strip_ZCurve" xfId="211"/>
    <cellStyle name="_Strip_ZCurve 2" xfId="212"/>
    <cellStyle name="_Strip_ZCurve_121Fut_View" xfId="213"/>
    <cellStyle name="_Strip_ZCurve_121Fut_View 2" xfId="214"/>
    <cellStyle name="_Strip_ZCurve_Apollo" xfId="215"/>
    <cellStyle name="_Strip_ZCurve_AssetSwap" xfId="216"/>
    <cellStyle name="_Strip_ZCurve_Closes" xfId="217"/>
    <cellStyle name="_Strip_ZCurve_Composite Page" xfId="218"/>
    <cellStyle name="_Strip_ZCurve_Config" xfId="219"/>
    <cellStyle name="_Strip_ZCurve_Config_Composite Page" xfId="220"/>
    <cellStyle name="_Strip_ZCurve_Convexity" xfId="221"/>
    <cellStyle name="_Strip_ZCurve_Core" xfId="222"/>
    <cellStyle name="_Strip_ZCurve_Core 2" xfId="223"/>
    <cellStyle name="_Strip_ZCurve_Core_Composite Page" xfId="224"/>
    <cellStyle name="_Strip_ZCurve_Core_Config" xfId="225"/>
    <cellStyle name="_Strip_ZCurve_cp_Closes" xfId="226"/>
    <cellStyle name="_Strip_ZCurve_DISPLAY" xfId="227"/>
    <cellStyle name="_Strip_ZCurve_EOD_Closes" xfId="228"/>
    <cellStyle name="_Strip_ZCurve_EOD_Closes_1" xfId="229"/>
    <cellStyle name="_Strip_ZCurve_EOD_Curve" xfId="230"/>
    <cellStyle name="_Strip_ZCurve_EOD_Curve 2" xfId="231"/>
    <cellStyle name="_Strip_ZCurve_EOD_Curve 3" xfId="232"/>
    <cellStyle name="_Strip_ZCurve_EOD_Curve_Composite Page" xfId="233"/>
    <cellStyle name="_Strip_ZCurve_EOD_Curve_Core" xfId="234"/>
    <cellStyle name="_Strip_ZCurve_EOD_Curve_Core 2" xfId="235"/>
    <cellStyle name="_Strip_ZCurve_EOD_Curve_Futures" xfId="236"/>
    <cellStyle name="_Strip_ZCurve_EOD_Curve_Swaps" xfId="237"/>
    <cellStyle name="_Strip_ZCurve_Futures" xfId="238"/>
    <cellStyle name="_Strip_ZCurve_Futures 2" xfId="239"/>
    <cellStyle name="_Strip_ZCurve_Futures_Composite Page" xfId="240"/>
    <cellStyle name="_Strip_ZCurve_Futures_Config" xfId="241"/>
    <cellStyle name="_Strip_ZCurve_Gamma" xfId="242"/>
    <cellStyle name="_Strip_ZCurve_Gamma_1" xfId="243"/>
    <cellStyle name="_Strip_ZCurve_Gamma_Composite Page" xfId="244"/>
    <cellStyle name="_Strip_ZCurve_Gamma_Core" xfId="245"/>
    <cellStyle name="_Strip_ZCurve_Gamma_Futures" xfId="246"/>
    <cellStyle name="_Strip_ZCurve_Gamma_Futures_1" xfId="247"/>
    <cellStyle name="_Strip_ZCurve_Gamma_Swaps" xfId="248"/>
    <cellStyle name="_Strip_ZCurve_Gamma_Treasuries" xfId="249"/>
    <cellStyle name="_Strip_ZCurve_holidays" xfId="250"/>
    <cellStyle name="_Strip_ZCurve_Real_Time" xfId="251"/>
    <cellStyle name="_Strip_ZCurve_Real-Time" xfId="252"/>
    <cellStyle name="_Strip_ZCurve_Real-Time 2" xfId="253"/>
    <cellStyle name="_Strip_ZCurve_Real-Time_1" xfId="254"/>
    <cellStyle name="_Strip_ZCurve_Real-Time_Composite Page" xfId="255"/>
    <cellStyle name="_Strip_ZCurve_Real-Time_Core" xfId="256"/>
    <cellStyle name="_Strip_ZCurve_Real-Time_Futures" xfId="257"/>
    <cellStyle name="_Strip_ZCurve_Real-Time_Futures_1" xfId="258"/>
    <cellStyle name="_Strip_ZCurve_Real-Time_Swaps" xfId="259"/>
    <cellStyle name="_Strip_ZCurve_Real-Time_Treasuries" xfId="260"/>
    <cellStyle name="_Strip_ZCurve_Sheet1" xfId="261"/>
    <cellStyle name="_Strip_ZCurve_Swaps" xfId="262"/>
    <cellStyle name="_Strip_ZCurve_Swaps 2" xfId="263"/>
    <cellStyle name="_Strip_ZCurve_Swaps_Composite Page" xfId="264"/>
    <cellStyle name="_Strip_ZCurve_Swaps_Config" xfId="265"/>
    <cellStyle name="_Strip_ZCurve_T-Notes" xfId="266"/>
    <cellStyle name="_Strip_ZCurve_T-Notes 2" xfId="267"/>
    <cellStyle name="_Strip_ZCurve_T-Notes_Composite Page" xfId="268"/>
    <cellStyle name="_Strip_ZCurve_T-Notes_Config" xfId="269"/>
    <cellStyle name="_Strip_ZCurve_ToDo" xfId="270"/>
    <cellStyle name="_Strip_ZCurve_ToDo 2" xfId="271"/>
    <cellStyle name="_Strip_ZCurve_ToDoList" xfId="272"/>
    <cellStyle name="_Strip_ZCurve_ToDoList 2" xfId="273"/>
    <cellStyle name="_Strip_ZCurve_Treasuries" xfId="274"/>
    <cellStyle name="_Strip_ZCurve_Treasuries 2" xfId="275"/>
    <cellStyle name="_Strip_ZCurve_Treasuries_Composite Page" xfId="276"/>
    <cellStyle name="_Strip_ZCurve_Treasuries_Config" xfId="277"/>
    <cellStyle name="_Summary" xfId="278"/>
    <cellStyle name="_Summary 2" xfId="279"/>
    <cellStyle name="_Summary_Composite Page" xfId="280"/>
    <cellStyle name="_Summary_Config" xfId="281"/>
    <cellStyle name="_Today" xfId="282"/>
    <cellStyle name="_Trade Blotter" xfId="283"/>
    <cellStyle name="_Treasuries" xfId="284"/>
    <cellStyle name="_Treasuries 2" xfId="285"/>
    <cellStyle name="_Treasuries_Composite Page" xfId="286"/>
    <cellStyle name="_Treasuries_Config" xfId="287"/>
    <cellStyle name="_Turn" xfId="288"/>
    <cellStyle name="_Turn 2" xfId="289"/>
    <cellStyle name="_Turn_121Fut_View" xfId="290"/>
    <cellStyle name="_Turn_121Fut_View 2" xfId="291"/>
    <cellStyle name="_Turn_Apollo" xfId="292"/>
    <cellStyle name="_Turn_apollo_curves" xfId="293"/>
    <cellStyle name="_Turn_Apollo_Spread" xfId="294"/>
    <cellStyle name="_Turn_AssetSwap" xfId="295"/>
    <cellStyle name="_Turn_Composite Page" xfId="296"/>
    <cellStyle name="_Turn_Config" xfId="297"/>
    <cellStyle name="_Turn_Config_Composite Page" xfId="298"/>
    <cellStyle name="_Turn_Convexity" xfId="299"/>
    <cellStyle name="_Turn_Core" xfId="300"/>
    <cellStyle name="_Turn_Core 2" xfId="301"/>
    <cellStyle name="_Turn_Core_Composite Page" xfId="302"/>
    <cellStyle name="_Turn_Core_Config" xfId="303"/>
    <cellStyle name="_Turn_cp_Closes" xfId="304"/>
    <cellStyle name="_Turn_DISPLAY" xfId="305"/>
    <cellStyle name="_Turn_EOD_Closes" xfId="306"/>
    <cellStyle name="_Turn_EOD_Curve" xfId="307"/>
    <cellStyle name="_Turn_EOD_Curve 2" xfId="308"/>
    <cellStyle name="_Turn_EOD_Curve 3" xfId="309"/>
    <cellStyle name="_Turn_EOD_Curve_Composite Page" xfId="310"/>
    <cellStyle name="_Turn_EOD_Curve_Core" xfId="311"/>
    <cellStyle name="_Turn_EOD_Curve_Core 2" xfId="312"/>
    <cellStyle name="_Turn_EOD_Curve_Futures" xfId="313"/>
    <cellStyle name="_Turn_EOD_Curve_Swaps" xfId="314"/>
    <cellStyle name="_Turn_Futures" xfId="315"/>
    <cellStyle name="_Turn_Futures 2" xfId="316"/>
    <cellStyle name="_Turn_Futures_Composite Page" xfId="317"/>
    <cellStyle name="_Turn_Futures_Config" xfId="318"/>
    <cellStyle name="_Turn_Gamma" xfId="319"/>
    <cellStyle name="_Turn_Gamma_1" xfId="320"/>
    <cellStyle name="_Turn_Gamma_Composite Page" xfId="321"/>
    <cellStyle name="_Turn_Gamma_Core" xfId="322"/>
    <cellStyle name="_Turn_Gamma_Futures" xfId="323"/>
    <cellStyle name="_Turn_Gamma_Futures_1" xfId="324"/>
    <cellStyle name="_Turn_Gamma_Swaps" xfId="325"/>
    <cellStyle name="_Turn_Gamma_Treasuries" xfId="326"/>
    <cellStyle name="_Turn_holidays" xfId="327"/>
    <cellStyle name="_Turn_Real_Time" xfId="328"/>
    <cellStyle name="_Turn_Real-Time" xfId="329"/>
    <cellStyle name="_Turn_Real-Time 2" xfId="330"/>
    <cellStyle name="_Turn_Real-Time_1" xfId="331"/>
    <cellStyle name="_Turn_Real-Time_Composite Page" xfId="332"/>
    <cellStyle name="_Turn_Real-Time_Core" xfId="333"/>
    <cellStyle name="_Turn_Real-Time_Futures" xfId="334"/>
    <cellStyle name="_Turn_Real-Time_Futures_1" xfId="335"/>
    <cellStyle name="_Turn_Real-Time_Swaps" xfId="336"/>
    <cellStyle name="_Turn_Real-Time_Treasuries" xfId="337"/>
    <cellStyle name="_Turn_Swaps" xfId="338"/>
    <cellStyle name="_Turn_Swaps 2" xfId="339"/>
    <cellStyle name="_Turn_Swaps_Composite Page" xfId="340"/>
    <cellStyle name="_Turn_Swaps_Config" xfId="341"/>
    <cellStyle name="_Turn_T-Notes" xfId="342"/>
    <cellStyle name="_Turn_T-Notes 2" xfId="343"/>
    <cellStyle name="_Turn_T-Notes_Composite Page" xfId="344"/>
    <cellStyle name="_Turn_T-Notes_Config" xfId="345"/>
    <cellStyle name="_Turn_ToDo" xfId="346"/>
    <cellStyle name="_Turn_ToDo 2" xfId="347"/>
    <cellStyle name="_Turn_ToDoList" xfId="348"/>
    <cellStyle name="_Turn_ToDoList 2" xfId="349"/>
    <cellStyle name="_Turn_Treasuries" xfId="350"/>
    <cellStyle name="_Turn_Treasuries 2" xfId="351"/>
    <cellStyle name="_Turn_Treasuries_Composite Page" xfId="352"/>
    <cellStyle name="_Turn_Treasuries_Config" xfId="353"/>
    <cellStyle name="_ValuationViewer" xfId="354"/>
    <cellStyle name="_ValuationViewer_ValuationViewer" xfId="355"/>
    <cellStyle name="_Yesterday" xfId="356"/>
    <cellStyle name="=C:\WINNT35\SYSTEM32\COMMAND.COM" xfId="357"/>
    <cellStyle name="0.0000%" xfId="358"/>
    <cellStyle name="20% - Accent1 2" xfId="359"/>
    <cellStyle name="20% - Accent1 2 2" xfId="360"/>
    <cellStyle name="20% - Accent1 3" xfId="361"/>
    <cellStyle name="20% - Accent1 4" xfId="362"/>
    <cellStyle name="20% - Accent1 5" xfId="363"/>
    <cellStyle name="20% - Accent1 6" xfId="364"/>
    <cellStyle name="20% - Accent2 2" xfId="365"/>
    <cellStyle name="20% - Accent2 2 2" xfId="366"/>
    <cellStyle name="20% - Accent2 3" xfId="367"/>
    <cellStyle name="20% - Accent2 4" xfId="368"/>
    <cellStyle name="20% - Accent2 5" xfId="369"/>
    <cellStyle name="20% - Accent2 6" xfId="370"/>
    <cellStyle name="20% - Accent3 2" xfId="371"/>
    <cellStyle name="20% - Accent3 2 2" xfId="372"/>
    <cellStyle name="20% - Accent3 3" xfId="373"/>
    <cellStyle name="20% - Accent3 4" xfId="374"/>
    <cellStyle name="20% - Accent3 5" xfId="375"/>
    <cellStyle name="20% - Accent3 6" xfId="376"/>
    <cellStyle name="20% - Accent4 2" xfId="377"/>
    <cellStyle name="20% - Accent4 2 2" xfId="378"/>
    <cellStyle name="20% - Accent4 3" xfId="379"/>
    <cellStyle name="20% - Accent4 4" xfId="380"/>
    <cellStyle name="20% - Accent4 5" xfId="381"/>
    <cellStyle name="20% - Accent4 6" xfId="382"/>
    <cellStyle name="20% - Accent5 2" xfId="383"/>
    <cellStyle name="20% - Accent5 2 2" xfId="384"/>
    <cellStyle name="20% - Accent5 3" xfId="385"/>
    <cellStyle name="20% - Accent5 4" xfId="386"/>
    <cellStyle name="20% - Accent6 2" xfId="387"/>
    <cellStyle name="20% - Accent6 2 2" xfId="388"/>
    <cellStyle name="20% - Accent6 3" xfId="389"/>
    <cellStyle name="20% - Accent6 4" xfId="390"/>
    <cellStyle name="40% - Accent1 2" xfId="391"/>
    <cellStyle name="40% - Accent1 2 2" xfId="392"/>
    <cellStyle name="40% - Accent1 3" xfId="393"/>
    <cellStyle name="40% - Accent1 4" xfId="394"/>
    <cellStyle name="40% - Accent1 5" xfId="395"/>
    <cellStyle name="40% - Accent1 6" xfId="396"/>
    <cellStyle name="40% - Accent2 2" xfId="397"/>
    <cellStyle name="40% - Accent2 2 2" xfId="398"/>
    <cellStyle name="40% - Accent2 3" xfId="399"/>
    <cellStyle name="40% - Accent2 4" xfId="400"/>
    <cellStyle name="40% - Accent3 2" xfId="401"/>
    <cellStyle name="40% - Accent3 2 2" xfId="402"/>
    <cellStyle name="40% - Accent3 3" xfId="403"/>
    <cellStyle name="40% - Accent3 4" xfId="404"/>
    <cellStyle name="40% - Accent3 5" xfId="405"/>
    <cellStyle name="40% - Accent3 6" xfId="406"/>
    <cellStyle name="40% - Accent4 2" xfId="407"/>
    <cellStyle name="40% - Accent4 2 2" xfId="408"/>
    <cellStyle name="40% - Accent4 3" xfId="409"/>
    <cellStyle name="40% - Accent4 4" xfId="410"/>
    <cellStyle name="40% - Accent4 5" xfId="411"/>
    <cellStyle name="40% - Accent4 6" xfId="412"/>
    <cellStyle name="40% - Accent5 2" xfId="413"/>
    <cellStyle name="40% - Accent5 2 2" xfId="414"/>
    <cellStyle name="40% - Accent5 3" xfId="415"/>
    <cellStyle name="40% - Accent5 4" xfId="416"/>
    <cellStyle name="40% - Accent6 2" xfId="417"/>
    <cellStyle name="40% - Accent6 2 2" xfId="418"/>
    <cellStyle name="40% - Accent6 3" xfId="419"/>
    <cellStyle name="40% - Accent6 4" xfId="420"/>
    <cellStyle name="40% - Accent6 5" xfId="421"/>
    <cellStyle name="40% - Accent6 6" xfId="422"/>
    <cellStyle name="60% - Accent1 2" xfId="423"/>
    <cellStyle name="60% - Accent1 2 2" xfId="424"/>
    <cellStyle name="60% - Accent1 3" xfId="425"/>
    <cellStyle name="60% - Accent1 4" xfId="426"/>
    <cellStyle name="60% - Accent1 5" xfId="427"/>
    <cellStyle name="60% - Accent1 6" xfId="428"/>
    <cellStyle name="60% - Accent2 2" xfId="429"/>
    <cellStyle name="60% - Accent2 2 2" xfId="430"/>
    <cellStyle name="60% - Accent2 3" xfId="431"/>
    <cellStyle name="60% - Accent2 4" xfId="432"/>
    <cellStyle name="60% - Accent3 2" xfId="433"/>
    <cellStyle name="60% - Accent3 2 2" xfId="434"/>
    <cellStyle name="60% - Accent3 3" xfId="435"/>
    <cellStyle name="60% - Accent3 4" xfId="436"/>
    <cellStyle name="60% - Accent3 5" xfId="437"/>
    <cellStyle name="60% - Accent3 6" xfId="438"/>
    <cellStyle name="60% - Accent4 2" xfId="439"/>
    <cellStyle name="60% - Accent4 2 2" xfId="440"/>
    <cellStyle name="60% - Accent4 3" xfId="441"/>
    <cellStyle name="60% - Accent4 4" xfId="442"/>
    <cellStyle name="60% - Accent4 5" xfId="443"/>
    <cellStyle name="60% - Accent4 6" xfId="444"/>
    <cellStyle name="60% - Accent5 2" xfId="445"/>
    <cellStyle name="60% - Accent5 2 2" xfId="446"/>
    <cellStyle name="60% - Accent5 3" xfId="447"/>
    <cellStyle name="60% - Accent5 4" xfId="448"/>
    <cellStyle name="60% - Accent6 2" xfId="449"/>
    <cellStyle name="60% - Accent6 2 2" xfId="450"/>
    <cellStyle name="60% - Accent6 3" xfId="451"/>
    <cellStyle name="60% - Accent6 4" xfId="452"/>
    <cellStyle name="60% - Accent6 5" xfId="453"/>
    <cellStyle name="60% - Accent6 6" xfId="454"/>
    <cellStyle name="Accent1 2" xfId="455"/>
    <cellStyle name="Accent1 2 2" xfId="456"/>
    <cellStyle name="Accent1 3" xfId="457"/>
    <cellStyle name="Accent1 4" xfId="458"/>
    <cellStyle name="Accent1 5" xfId="459"/>
    <cellStyle name="Accent1 6" xfId="460"/>
    <cellStyle name="Accent2 2" xfId="461"/>
    <cellStyle name="Accent2 2 2" xfId="462"/>
    <cellStyle name="Accent2 3" xfId="463"/>
    <cellStyle name="Accent2 4" xfId="464"/>
    <cellStyle name="Accent3 2" xfId="465"/>
    <cellStyle name="Accent3 2 2" xfId="466"/>
    <cellStyle name="Accent3 3" xfId="467"/>
    <cellStyle name="Accent3 4" xfId="468"/>
    <cellStyle name="Accent4 2" xfId="469"/>
    <cellStyle name="Accent4 2 2" xfId="470"/>
    <cellStyle name="Accent4 3" xfId="471"/>
    <cellStyle name="Accent4 4" xfId="472"/>
    <cellStyle name="Accent4 5" xfId="473"/>
    <cellStyle name="Accent4 6" xfId="474"/>
    <cellStyle name="Accent5 2" xfId="475"/>
    <cellStyle name="Accent5 2 2" xfId="476"/>
    <cellStyle name="Accent5 3" xfId="477"/>
    <cellStyle name="Accent5 4" xfId="478"/>
    <cellStyle name="Accent6 2" xfId="479"/>
    <cellStyle name="Accent6 2 2" xfId="480"/>
    <cellStyle name="Accent6 3" xfId="481"/>
    <cellStyle name="Accent6 4" xfId="482"/>
    <cellStyle name="AppSvrCode" xfId="483"/>
    <cellStyle name="Array" xfId="484"/>
    <cellStyle name="Background" xfId="485"/>
    <cellStyle name="BackGround 2" xfId="486"/>
    <cellStyle name="Background 3" xfId="487"/>
    <cellStyle name="Background 4" xfId="488"/>
    <cellStyle name="Background 5" xfId="489"/>
    <cellStyle name="Background 6" xfId="490"/>
    <cellStyle name="Background 7" xfId="491"/>
    <cellStyle name="Background_apollo_curves" xfId="492"/>
    <cellStyle name="Bad 2" xfId="493"/>
    <cellStyle name="Bad 2 2" xfId="494"/>
    <cellStyle name="Bad 3" xfId="495"/>
    <cellStyle name="Bad 4" xfId="496"/>
    <cellStyle name="Bad 5" xfId="497"/>
    <cellStyle name="Bad 6" xfId="498"/>
    <cellStyle name="blp_column_header" xfId="499"/>
    <cellStyle name="Border" xfId="500"/>
    <cellStyle name="bullet" xfId="501"/>
    <cellStyle name="calc" xfId="502"/>
    <cellStyle name="Calculation 2" xfId="503"/>
    <cellStyle name="Calculation 2 2" xfId="504"/>
    <cellStyle name="Calculation 2 2 2" xfId="505"/>
    <cellStyle name="Calculation 2 2 2 2" xfId="506"/>
    <cellStyle name="Calculation 2 2 2 2 2" xfId="507"/>
    <cellStyle name="Calculation 2 2 2 2 2 2" xfId="508"/>
    <cellStyle name="Calculation 2 2 2 2 2 2 2" xfId="509"/>
    <cellStyle name="Calculation 2 2 2 2 2 2 2 2" xfId="510"/>
    <cellStyle name="Calculation 2 2 2 2 2 2 2 2 2" xfId="511"/>
    <cellStyle name="Calculation 2 2 2 2 2 2 2 3" xfId="512"/>
    <cellStyle name="Calculation 2 2 2 2 2 2 3" xfId="513"/>
    <cellStyle name="Calculation 2 2 2 2 2 2 3 2" xfId="514"/>
    <cellStyle name="Calculation 2 2 2 2 2 2 4" xfId="515"/>
    <cellStyle name="Calculation 2 2 2 2 2 3" xfId="516"/>
    <cellStyle name="Calculation 2 2 2 2 2 3 2" xfId="517"/>
    <cellStyle name="Calculation 2 2 2 2 2 3 2 2" xfId="518"/>
    <cellStyle name="Calculation 2 2 2 2 2 3 3" xfId="519"/>
    <cellStyle name="Calculation 2 2 2 2 2 3 4" xfId="520"/>
    <cellStyle name="Calculation 2 2 2 2 2 4" xfId="521"/>
    <cellStyle name="Calculation 2 2 2 2 2 4 2" xfId="522"/>
    <cellStyle name="Calculation 2 2 2 2 2 4 2 2" xfId="523"/>
    <cellStyle name="Calculation 2 2 2 2 2 4 3" xfId="524"/>
    <cellStyle name="Calculation 2 2 2 2 2 5" xfId="525"/>
    <cellStyle name="Calculation 2 2 2 2 2 5 2" xfId="526"/>
    <cellStyle name="Calculation 2 2 2 2 2 6" xfId="527"/>
    <cellStyle name="Calculation 2 2 2 2 3" xfId="528"/>
    <cellStyle name="Calculation 2 2 2 2 3 2" xfId="529"/>
    <cellStyle name="Calculation 2 2 2 2 3 2 2" xfId="530"/>
    <cellStyle name="Calculation 2 2 2 2 3 2 2 2" xfId="531"/>
    <cellStyle name="Calculation 2 2 2 2 3 2 2 2 2" xfId="532"/>
    <cellStyle name="Calculation 2 2 2 2 3 2 2 3" xfId="533"/>
    <cellStyle name="Calculation 2 2 2 2 3 2 3" xfId="534"/>
    <cellStyle name="Calculation 2 2 2 2 3 2 3 2" xfId="535"/>
    <cellStyle name="Calculation 2 2 2 2 3 2 4" xfId="536"/>
    <cellStyle name="Calculation 2 2 2 2 3 3" xfId="537"/>
    <cellStyle name="Calculation 2 2 2 2 3 3 2" xfId="538"/>
    <cellStyle name="Calculation 2 2 2 2 3 3 2 2" xfId="539"/>
    <cellStyle name="Calculation 2 2 2 2 3 3 3" xfId="540"/>
    <cellStyle name="Calculation 2 2 2 2 3 3 4" xfId="541"/>
    <cellStyle name="Calculation 2 2 2 2 3 4" xfId="542"/>
    <cellStyle name="Calculation 2 2 2 2 3 4 2" xfId="543"/>
    <cellStyle name="Calculation 2 2 2 2 3 4 2 2" xfId="544"/>
    <cellStyle name="Calculation 2 2 2 2 3 4 3" xfId="545"/>
    <cellStyle name="Calculation 2 2 2 2 3 5" xfId="546"/>
    <cellStyle name="Calculation 2 2 2 2 3 5 2" xfId="547"/>
    <cellStyle name="Calculation 2 2 2 2 3 6" xfId="548"/>
    <cellStyle name="Calculation 2 2 2 2 4" xfId="549"/>
    <cellStyle name="Calculation 2 2 2 2 4 2" xfId="550"/>
    <cellStyle name="Calculation 2 2 2 2 4 2 2" xfId="551"/>
    <cellStyle name="Calculation 2 2 2 2 4 2 2 2" xfId="552"/>
    <cellStyle name="Calculation 2 2 2 2 4 2 2 2 2" xfId="553"/>
    <cellStyle name="Calculation 2 2 2 2 4 2 2 3" xfId="554"/>
    <cellStyle name="Calculation 2 2 2 2 4 2 3" xfId="555"/>
    <cellStyle name="Calculation 2 2 2 2 4 2 3 2" xfId="556"/>
    <cellStyle name="Calculation 2 2 2 2 4 2 4" xfId="557"/>
    <cellStyle name="Calculation 2 2 2 2 4 3" xfId="558"/>
    <cellStyle name="Calculation 2 2 2 2 4 3 2" xfId="559"/>
    <cellStyle name="Calculation 2 2 2 2 4 3 2 2" xfId="560"/>
    <cellStyle name="Calculation 2 2 2 2 4 3 3" xfId="561"/>
    <cellStyle name="Calculation 2 2 2 2 4 3 4" xfId="562"/>
    <cellStyle name="Calculation 2 2 2 2 4 4" xfId="563"/>
    <cellStyle name="Calculation 2 2 2 2 4 4 2" xfId="564"/>
    <cellStyle name="Calculation 2 2 2 2 4 4 2 2" xfId="565"/>
    <cellStyle name="Calculation 2 2 2 2 4 4 3" xfId="566"/>
    <cellStyle name="Calculation 2 2 2 2 4 5" xfId="567"/>
    <cellStyle name="Calculation 2 2 2 2 4 5 2" xfId="568"/>
    <cellStyle name="Calculation 2 2 2 2 4 6" xfId="569"/>
    <cellStyle name="Calculation 2 2 2 2 5" xfId="570"/>
    <cellStyle name="Calculation 2 2 2 2 5 2" xfId="571"/>
    <cellStyle name="Calculation 2 2 2 3" xfId="572"/>
    <cellStyle name="Calculation 2 2 2 3 2" xfId="573"/>
    <cellStyle name="Calculation 2 2 2 3 2 2" xfId="574"/>
    <cellStyle name="Calculation 2 2 2 3 2 2 2" xfId="575"/>
    <cellStyle name="Calculation 2 2 2 3 2 2 2 2" xfId="576"/>
    <cellStyle name="Calculation 2 2 2 3 2 2 3" xfId="577"/>
    <cellStyle name="Calculation 2 2 2 3 2 3" xfId="578"/>
    <cellStyle name="Calculation 2 2 2 3 2 3 2" xfId="579"/>
    <cellStyle name="Calculation 2 2 2 3 2 4" xfId="580"/>
    <cellStyle name="Calculation 2 2 2 3 3" xfId="581"/>
    <cellStyle name="Calculation 2 2 2 3 3 2" xfId="582"/>
    <cellStyle name="Calculation 2 2 2 3 3 2 2" xfId="583"/>
    <cellStyle name="Calculation 2 2 2 3 3 3" xfId="584"/>
    <cellStyle name="Calculation 2 2 2 3 3 4" xfId="585"/>
    <cellStyle name="Calculation 2 2 2 3 4" xfId="586"/>
    <cellStyle name="Calculation 2 2 2 3 4 2" xfId="587"/>
    <cellStyle name="Calculation 2 2 2 3 4 2 2" xfId="588"/>
    <cellStyle name="Calculation 2 2 2 3 4 3" xfId="589"/>
    <cellStyle name="Calculation 2 2 2 3 5" xfId="590"/>
    <cellStyle name="Calculation 2 2 2 3 5 2" xfId="591"/>
    <cellStyle name="Calculation 2 2 2 3 6" xfId="592"/>
    <cellStyle name="Calculation 2 2 2 4" xfId="593"/>
    <cellStyle name="Calculation 2 2 2 4 2" xfId="594"/>
    <cellStyle name="Calculation 2 2 2 4 2 2" xfId="595"/>
    <cellStyle name="Calculation 2 2 2 4 2 2 2" xfId="596"/>
    <cellStyle name="Calculation 2 2 2 4 2 2 2 2" xfId="597"/>
    <cellStyle name="Calculation 2 2 2 4 2 2 3" xfId="598"/>
    <cellStyle name="Calculation 2 2 2 4 2 3" xfId="599"/>
    <cellStyle name="Calculation 2 2 2 4 2 3 2" xfId="600"/>
    <cellStyle name="Calculation 2 2 2 4 2 4" xfId="601"/>
    <cellStyle name="Calculation 2 2 2 4 3" xfId="602"/>
    <cellStyle name="Calculation 2 2 2 4 3 2" xfId="603"/>
    <cellStyle name="Calculation 2 2 2 4 3 2 2" xfId="604"/>
    <cellStyle name="Calculation 2 2 2 4 3 3" xfId="605"/>
    <cellStyle name="Calculation 2 2 2 4 3 4" xfId="606"/>
    <cellStyle name="Calculation 2 2 2 4 4" xfId="607"/>
    <cellStyle name="Calculation 2 2 2 4 4 2" xfId="608"/>
    <cellStyle name="Calculation 2 2 2 4 4 2 2" xfId="609"/>
    <cellStyle name="Calculation 2 2 2 4 4 3" xfId="610"/>
    <cellStyle name="Calculation 2 2 2 4 5" xfId="611"/>
    <cellStyle name="Calculation 2 2 2 4 5 2" xfId="612"/>
    <cellStyle name="Calculation 2 2 2 4 6" xfId="613"/>
    <cellStyle name="Calculation 2 2 2 5" xfId="614"/>
    <cellStyle name="Calculation 2 2 2 5 2" xfId="615"/>
    <cellStyle name="Calculation 2 2 2 5 2 2" xfId="616"/>
    <cellStyle name="Calculation 2 2 2 5 2 2 2" xfId="617"/>
    <cellStyle name="Calculation 2 2 2 5 2 2 2 2" xfId="618"/>
    <cellStyle name="Calculation 2 2 2 5 2 2 3" xfId="619"/>
    <cellStyle name="Calculation 2 2 2 5 2 3" xfId="620"/>
    <cellStyle name="Calculation 2 2 2 5 2 3 2" xfId="621"/>
    <cellStyle name="Calculation 2 2 2 5 2 4" xfId="622"/>
    <cellStyle name="Calculation 2 2 2 5 3" xfId="623"/>
    <cellStyle name="Calculation 2 2 2 5 3 2" xfId="624"/>
    <cellStyle name="Calculation 2 2 2 5 3 2 2" xfId="625"/>
    <cellStyle name="Calculation 2 2 2 5 3 3" xfId="626"/>
    <cellStyle name="Calculation 2 2 2 5 3 4" xfId="627"/>
    <cellStyle name="Calculation 2 2 2 5 4" xfId="628"/>
    <cellStyle name="Calculation 2 2 2 5 4 2" xfId="629"/>
    <cellStyle name="Calculation 2 2 2 5 4 2 2" xfId="630"/>
    <cellStyle name="Calculation 2 2 2 5 4 3" xfId="631"/>
    <cellStyle name="Calculation 2 2 2 5 5" xfId="632"/>
    <cellStyle name="Calculation 2 2 2 5 5 2" xfId="633"/>
    <cellStyle name="Calculation 2 2 2 5 6" xfId="634"/>
    <cellStyle name="Calculation 2 2 3" xfId="635"/>
    <cellStyle name="Calculation 2 2 3 2" xfId="636"/>
    <cellStyle name="Calculation 2 2 3 2 2" xfId="637"/>
    <cellStyle name="Calculation 2 2 3 2 2 2" xfId="638"/>
    <cellStyle name="Calculation 2 2 3 2 2 2 2" xfId="639"/>
    <cellStyle name="Calculation 2 2 3 2 2 2 2 2" xfId="640"/>
    <cellStyle name="Calculation 2 2 3 2 2 2 3" xfId="641"/>
    <cellStyle name="Calculation 2 2 3 2 2 3" xfId="642"/>
    <cellStyle name="Calculation 2 2 3 2 2 3 2" xfId="643"/>
    <cellStyle name="Calculation 2 2 3 2 2 4" xfId="644"/>
    <cellStyle name="Calculation 2 2 3 2 3" xfId="645"/>
    <cellStyle name="Calculation 2 2 3 2 3 2" xfId="646"/>
    <cellStyle name="Calculation 2 2 3 2 3 2 2" xfId="647"/>
    <cellStyle name="Calculation 2 2 3 2 3 3" xfId="648"/>
    <cellStyle name="Calculation 2 2 3 2 3 4" xfId="649"/>
    <cellStyle name="Calculation 2 2 3 2 4" xfId="650"/>
    <cellStyle name="Calculation 2 2 3 2 4 2" xfId="651"/>
    <cellStyle name="Calculation 2 2 3 2 4 2 2" xfId="652"/>
    <cellStyle name="Calculation 2 2 3 2 4 3" xfId="653"/>
    <cellStyle name="Calculation 2 2 3 2 5" xfId="654"/>
    <cellStyle name="Calculation 2 2 3 2 5 2" xfId="655"/>
    <cellStyle name="Calculation 2 2 3 2 6" xfId="656"/>
    <cellStyle name="Calculation 2 2 3 3" xfId="657"/>
    <cellStyle name="Calculation 2 2 3 3 2" xfId="658"/>
    <cellStyle name="Calculation 2 2 3 3 2 2" xfId="659"/>
    <cellStyle name="Calculation 2 2 3 3 2 2 2" xfId="660"/>
    <cellStyle name="Calculation 2 2 3 3 2 2 2 2" xfId="661"/>
    <cellStyle name="Calculation 2 2 3 3 2 2 3" xfId="662"/>
    <cellStyle name="Calculation 2 2 3 3 2 3" xfId="663"/>
    <cellStyle name="Calculation 2 2 3 3 2 3 2" xfId="664"/>
    <cellStyle name="Calculation 2 2 3 3 2 4" xfId="665"/>
    <cellStyle name="Calculation 2 2 3 3 3" xfId="666"/>
    <cellStyle name="Calculation 2 2 3 3 3 2" xfId="667"/>
    <cellStyle name="Calculation 2 2 3 3 3 2 2" xfId="668"/>
    <cellStyle name="Calculation 2 2 3 3 3 3" xfId="669"/>
    <cellStyle name="Calculation 2 2 3 3 3 4" xfId="670"/>
    <cellStyle name="Calculation 2 2 3 3 4" xfId="671"/>
    <cellStyle name="Calculation 2 2 3 3 4 2" xfId="672"/>
    <cellStyle name="Calculation 2 2 3 3 4 2 2" xfId="673"/>
    <cellStyle name="Calculation 2 2 3 3 4 3" xfId="674"/>
    <cellStyle name="Calculation 2 2 3 3 5" xfId="675"/>
    <cellStyle name="Calculation 2 2 3 3 5 2" xfId="676"/>
    <cellStyle name="Calculation 2 2 3 3 6" xfId="677"/>
    <cellStyle name="Calculation 2 2 3 4" xfId="678"/>
    <cellStyle name="Calculation 2 2 3 4 2" xfId="679"/>
    <cellStyle name="Calculation 2 2 3 4 2 2" xfId="680"/>
    <cellStyle name="Calculation 2 2 3 4 2 2 2" xfId="681"/>
    <cellStyle name="Calculation 2 2 3 4 2 2 2 2" xfId="682"/>
    <cellStyle name="Calculation 2 2 3 4 2 2 3" xfId="683"/>
    <cellStyle name="Calculation 2 2 3 4 2 3" xfId="684"/>
    <cellStyle name="Calculation 2 2 3 4 2 3 2" xfId="685"/>
    <cellStyle name="Calculation 2 2 3 4 2 4" xfId="686"/>
    <cellStyle name="Calculation 2 2 3 4 3" xfId="687"/>
    <cellStyle name="Calculation 2 2 3 4 3 2" xfId="688"/>
    <cellStyle name="Calculation 2 2 3 4 3 2 2" xfId="689"/>
    <cellStyle name="Calculation 2 2 3 4 3 3" xfId="690"/>
    <cellStyle name="Calculation 2 2 3 4 3 4" xfId="691"/>
    <cellStyle name="Calculation 2 2 3 4 4" xfId="692"/>
    <cellStyle name="Calculation 2 2 3 4 4 2" xfId="693"/>
    <cellStyle name="Calculation 2 2 3 4 4 2 2" xfId="694"/>
    <cellStyle name="Calculation 2 2 3 4 4 3" xfId="695"/>
    <cellStyle name="Calculation 2 2 3 4 5" xfId="696"/>
    <cellStyle name="Calculation 2 2 3 4 5 2" xfId="697"/>
    <cellStyle name="Calculation 2 2 3 4 6" xfId="698"/>
    <cellStyle name="Calculation 2 2 3 5" xfId="699"/>
    <cellStyle name="Calculation 2 2 3 5 2" xfId="700"/>
    <cellStyle name="Calculation 2 2 4" xfId="701"/>
    <cellStyle name="Calculation 2 2 4 2" xfId="702"/>
    <cellStyle name="Calculation 2 2 4 2 2" xfId="703"/>
    <cellStyle name="Calculation 2 2 4 2 2 2" xfId="704"/>
    <cellStyle name="Calculation 2 2 4 2 2 2 2" xfId="705"/>
    <cellStyle name="Calculation 2 2 4 2 2 2 2 2" xfId="706"/>
    <cellStyle name="Calculation 2 2 4 2 2 2 3" xfId="707"/>
    <cellStyle name="Calculation 2 2 4 2 2 3" xfId="708"/>
    <cellStyle name="Calculation 2 2 4 2 2 3 2" xfId="709"/>
    <cellStyle name="Calculation 2 2 4 2 2 4" xfId="710"/>
    <cellStyle name="Calculation 2 2 4 2 3" xfId="711"/>
    <cellStyle name="Calculation 2 2 4 2 3 2" xfId="712"/>
    <cellStyle name="Calculation 2 2 4 2 3 2 2" xfId="713"/>
    <cellStyle name="Calculation 2 2 4 2 3 3" xfId="714"/>
    <cellStyle name="Calculation 2 2 4 2 3 4" xfId="715"/>
    <cellStyle name="Calculation 2 2 4 2 4" xfId="716"/>
    <cellStyle name="Calculation 2 2 4 2 4 2" xfId="717"/>
    <cellStyle name="Calculation 2 2 4 2 4 2 2" xfId="718"/>
    <cellStyle name="Calculation 2 2 4 2 4 3" xfId="719"/>
    <cellStyle name="Calculation 2 2 4 2 5" xfId="720"/>
    <cellStyle name="Calculation 2 2 4 2 5 2" xfId="721"/>
    <cellStyle name="Calculation 2 2 4 2 6" xfId="722"/>
    <cellStyle name="Calculation 2 2 4 3" xfId="723"/>
    <cellStyle name="Calculation 2 2 4 3 2" xfId="724"/>
    <cellStyle name="Calculation 2 2 4 3 2 2" xfId="725"/>
    <cellStyle name="Calculation 2 2 4 3 2 2 2" xfId="726"/>
    <cellStyle name="Calculation 2 2 4 3 2 2 2 2" xfId="727"/>
    <cellStyle name="Calculation 2 2 4 3 2 2 3" xfId="728"/>
    <cellStyle name="Calculation 2 2 4 3 2 3" xfId="729"/>
    <cellStyle name="Calculation 2 2 4 3 2 3 2" xfId="730"/>
    <cellStyle name="Calculation 2 2 4 3 2 4" xfId="731"/>
    <cellStyle name="Calculation 2 2 4 3 3" xfId="732"/>
    <cellStyle name="Calculation 2 2 4 3 3 2" xfId="733"/>
    <cellStyle name="Calculation 2 2 4 3 3 2 2" xfId="734"/>
    <cellStyle name="Calculation 2 2 4 3 3 3" xfId="735"/>
    <cellStyle name="Calculation 2 2 4 3 3 4" xfId="736"/>
    <cellStyle name="Calculation 2 2 4 3 4" xfId="737"/>
    <cellStyle name="Calculation 2 2 4 3 4 2" xfId="738"/>
    <cellStyle name="Calculation 2 2 4 3 4 2 2" xfId="739"/>
    <cellStyle name="Calculation 2 2 4 3 4 3" xfId="740"/>
    <cellStyle name="Calculation 2 2 4 3 5" xfId="741"/>
    <cellStyle name="Calculation 2 2 4 3 5 2" xfId="742"/>
    <cellStyle name="Calculation 2 2 4 3 6" xfId="743"/>
    <cellStyle name="Calculation 2 2 4 4" xfId="744"/>
    <cellStyle name="Calculation 2 2 4 4 2" xfId="745"/>
    <cellStyle name="Calculation 2 2 4 4 2 2" xfId="746"/>
    <cellStyle name="Calculation 2 2 4 4 2 2 2" xfId="747"/>
    <cellStyle name="Calculation 2 2 4 4 2 3" xfId="748"/>
    <cellStyle name="Calculation 2 2 4 4 3" xfId="749"/>
    <cellStyle name="Calculation 2 2 4 4 3 2" xfId="750"/>
    <cellStyle name="Calculation 2 2 4 4 4" xfId="751"/>
    <cellStyle name="Calculation 2 2 4 5" xfId="752"/>
    <cellStyle name="Calculation 2 2 4 5 2" xfId="753"/>
    <cellStyle name="Calculation 2 2 4 5 2 2" xfId="754"/>
    <cellStyle name="Calculation 2 2 4 5 3" xfId="755"/>
    <cellStyle name="Calculation 2 2 4 5 4" xfId="756"/>
    <cellStyle name="Calculation 2 2 4 6" xfId="757"/>
    <cellStyle name="Calculation 2 2 4 6 2" xfId="758"/>
    <cellStyle name="Calculation 2 2 4 6 2 2" xfId="759"/>
    <cellStyle name="Calculation 2 2 4 6 3" xfId="760"/>
    <cellStyle name="Calculation 2 2 4 7" xfId="761"/>
    <cellStyle name="Calculation 2 2 4 7 2" xfId="762"/>
    <cellStyle name="Calculation 2 2 4 8" xfId="763"/>
    <cellStyle name="Calculation 2 2 5" xfId="764"/>
    <cellStyle name="Calculation 2 2 5 2" xfId="765"/>
    <cellStyle name="Calculation 2 2 5 2 2" xfId="766"/>
    <cellStyle name="Calculation 2 2 5 2 2 2" xfId="767"/>
    <cellStyle name="Calculation 2 2 5 2 2 2 2" xfId="768"/>
    <cellStyle name="Calculation 2 2 5 2 2 3" xfId="769"/>
    <cellStyle name="Calculation 2 2 5 2 3" xfId="770"/>
    <cellStyle name="Calculation 2 2 5 2 3 2" xfId="771"/>
    <cellStyle name="Calculation 2 2 5 2 4" xfId="772"/>
    <cellStyle name="Calculation 2 2 5 3" xfId="773"/>
    <cellStyle name="Calculation 2 2 5 3 2" xfId="774"/>
    <cellStyle name="Calculation 2 2 5 3 2 2" xfId="775"/>
    <cellStyle name="Calculation 2 2 5 3 3" xfId="776"/>
    <cellStyle name="Calculation 2 2 5 3 4" xfId="777"/>
    <cellStyle name="Calculation 2 2 5 4" xfId="778"/>
    <cellStyle name="Calculation 2 2 5 4 2" xfId="779"/>
    <cellStyle name="Calculation 2 2 5 4 2 2" xfId="780"/>
    <cellStyle name="Calculation 2 2 5 4 3" xfId="781"/>
    <cellStyle name="Calculation 2 2 5 5" xfId="782"/>
    <cellStyle name="Calculation 2 2 5 5 2" xfId="783"/>
    <cellStyle name="Calculation 2 2 5 6" xfId="784"/>
    <cellStyle name="Calculation 2 3" xfId="785"/>
    <cellStyle name="Calculation 2 3 2" xfId="786"/>
    <cellStyle name="Calculation 2 3 2 2" xfId="787"/>
    <cellStyle name="Calculation 2 3 2 2 2" xfId="788"/>
    <cellStyle name="Calculation 2 3 2 2 2 2" xfId="789"/>
    <cellStyle name="Calculation 2 3 2 2 2 2 2" xfId="790"/>
    <cellStyle name="Calculation 2 3 2 2 2 2 2 2" xfId="791"/>
    <cellStyle name="Calculation 2 3 2 2 2 2 3" xfId="792"/>
    <cellStyle name="Calculation 2 3 2 2 2 3" xfId="793"/>
    <cellStyle name="Calculation 2 3 2 2 2 3 2" xfId="794"/>
    <cellStyle name="Calculation 2 3 2 2 2 4" xfId="795"/>
    <cellStyle name="Calculation 2 3 2 2 3" xfId="796"/>
    <cellStyle name="Calculation 2 3 2 2 3 2" xfId="797"/>
    <cellStyle name="Calculation 2 3 2 2 3 2 2" xfId="798"/>
    <cellStyle name="Calculation 2 3 2 2 3 3" xfId="799"/>
    <cellStyle name="Calculation 2 3 2 2 3 4" xfId="800"/>
    <cellStyle name="Calculation 2 3 2 2 4" xfId="801"/>
    <cellStyle name="Calculation 2 3 2 2 4 2" xfId="802"/>
    <cellStyle name="Calculation 2 3 2 2 4 2 2" xfId="803"/>
    <cellStyle name="Calculation 2 3 2 2 4 3" xfId="804"/>
    <cellStyle name="Calculation 2 3 2 2 5" xfId="805"/>
    <cellStyle name="Calculation 2 3 2 2 5 2" xfId="806"/>
    <cellStyle name="Calculation 2 3 2 2 6" xfId="807"/>
    <cellStyle name="Calculation 2 3 2 3" xfId="808"/>
    <cellStyle name="Calculation 2 3 2 3 2" xfId="809"/>
    <cellStyle name="Calculation 2 3 2 3 2 2" xfId="810"/>
    <cellStyle name="Calculation 2 3 2 3 2 2 2" xfId="811"/>
    <cellStyle name="Calculation 2 3 2 3 2 2 2 2" xfId="812"/>
    <cellStyle name="Calculation 2 3 2 3 2 2 3" xfId="813"/>
    <cellStyle name="Calculation 2 3 2 3 2 3" xfId="814"/>
    <cellStyle name="Calculation 2 3 2 3 2 3 2" xfId="815"/>
    <cellStyle name="Calculation 2 3 2 3 2 4" xfId="816"/>
    <cellStyle name="Calculation 2 3 2 3 3" xfId="817"/>
    <cellStyle name="Calculation 2 3 2 3 3 2" xfId="818"/>
    <cellStyle name="Calculation 2 3 2 3 3 2 2" xfId="819"/>
    <cellStyle name="Calculation 2 3 2 3 3 3" xfId="820"/>
    <cellStyle name="Calculation 2 3 2 3 3 4" xfId="821"/>
    <cellStyle name="Calculation 2 3 2 3 4" xfId="822"/>
    <cellStyle name="Calculation 2 3 2 3 4 2" xfId="823"/>
    <cellStyle name="Calculation 2 3 2 3 4 2 2" xfId="824"/>
    <cellStyle name="Calculation 2 3 2 3 4 3" xfId="825"/>
    <cellStyle name="Calculation 2 3 2 3 5" xfId="826"/>
    <cellStyle name="Calculation 2 3 2 3 5 2" xfId="827"/>
    <cellStyle name="Calculation 2 3 2 3 6" xfId="828"/>
    <cellStyle name="Calculation 2 3 2 4" xfId="829"/>
    <cellStyle name="Calculation 2 3 2 4 2" xfId="830"/>
    <cellStyle name="Calculation 2 3 2 4 2 2" xfId="831"/>
    <cellStyle name="Calculation 2 3 2 4 2 2 2" xfId="832"/>
    <cellStyle name="Calculation 2 3 2 4 2 2 2 2" xfId="833"/>
    <cellStyle name="Calculation 2 3 2 4 2 2 3" xfId="834"/>
    <cellStyle name="Calculation 2 3 2 4 2 3" xfId="835"/>
    <cellStyle name="Calculation 2 3 2 4 2 3 2" xfId="836"/>
    <cellStyle name="Calculation 2 3 2 4 2 4" xfId="837"/>
    <cellStyle name="Calculation 2 3 2 4 3" xfId="838"/>
    <cellStyle name="Calculation 2 3 2 4 3 2" xfId="839"/>
    <cellStyle name="Calculation 2 3 2 4 3 2 2" xfId="840"/>
    <cellStyle name="Calculation 2 3 2 4 3 3" xfId="841"/>
    <cellStyle name="Calculation 2 3 2 4 3 4" xfId="842"/>
    <cellStyle name="Calculation 2 3 2 4 4" xfId="843"/>
    <cellStyle name="Calculation 2 3 2 4 4 2" xfId="844"/>
    <cellStyle name="Calculation 2 3 2 4 4 2 2" xfId="845"/>
    <cellStyle name="Calculation 2 3 2 4 4 3" xfId="846"/>
    <cellStyle name="Calculation 2 3 2 4 5" xfId="847"/>
    <cellStyle name="Calculation 2 3 2 4 5 2" xfId="848"/>
    <cellStyle name="Calculation 2 3 2 4 6" xfId="849"/>
    <cellStyle name="Calculation 2 3 2 5" xfId="850"/>
    <cellStyle name="Calculation 2 3 2 5 2" xfId="851"/>
    <cellStyle name="Calculation 2 3 3" xfId="852"/>
    <cellStyle name="Calculation 2 3 3 2" xfId="853"/>
    <cellStyle name="Calculation 2 3 3 2 2" xfId="854"/>
    <cellStyle name="Calculation 2 3 3 2 2 2" xfId="855"/>
    <cellStyle name="Calculation 2 3 3 2 2 2 2" xfId="856"/>
    <cellStyle name="Calculation 2 3 3 2 2 3" xfId="857"/>
    <cellStyle name="Calculation 2 3 3 2 3" xfId="858"/>
    <cellStyle name="Calculation 2 3 3 2 3 2" xfId="859"/>
    <cellStyle name="Calculation 2 3 3 2 4" xfId="860"/>
    <cellStyle name="Calculation 2 3 3 3" xfId="861"/>
    <cellStyle name="Calculation 2 3 3 3 2" xfId="862"/>
    <cellStyle name="Calculation 2 3 3 3 2 2" xfId="863"/>
    <cellStyle name="Calculation 2 3 3 3 3" xfId="864"/>
    <cellStyle name="Calculation 2 3 3 3 4" xfId="865"/>
    <cellStyle name="Calculation 2 3 3 4" xfId="866"/>
    <cellStyle name="Calculation 2 3 3 4 2" xfId="867"/>
    <cellStyle name="Calculation 2 3 3 4 2 2" xfId="868"/>
    <cellStyle name="Calculation 2 3 3 4 3" xfId="869"/>
    <cellStyle name="Calculation 2 3 3 5" xfId="870"/>
    <cellStyle name="Calculation 2 3 3 5 2" xfId="871"/>
    <cellStyle name="Calculation 2 3 3 6" xfId="872"/>
    <cellStyle name="Calculation 2 3 4" xfId="873"/>
    <cellStyle name="Calculation 2 3 4 2" xfId="874"/>
    <cellStyle name="Calculation 2 3 4 2 2" xfId="875"/>
    <cellStyle name="Calculation 2 3 4 2 2 2" xfId="876"/>
    <cellStyle name="Calculation 2 3 4 2 2 2 2" xfId="877"/>
    <cellStyle name="Calculation 2 3 4 2 2 3" xfId="878"/>
    <cellStyle name="Calculation 2 3 4 2 3" xfId="879"/>
    <cellStyle name="Calculation 2 3 4 2 3 2" xfId="880"/>
    <cellStyle name="Calculation 2 3 4 2 4" xfId="881"/>
    <cellStyle name="Calculation 2 3 4 3" xfId="882"/>
    <cellStyle name="Calculation 2 3 4 3 2" xfId="883"/>
    <cellStyle name="Calculation 2 3 4 3 2 2" xfId="884"/>
    <cellStyle name="Calculation 2 3 4 3 3" xfId="885"/>
    <cellStyle name="Calculation 2 3 4 3 4" xfId="886"/>
    <cellStyle name="Calculation 2 3 4 4" xfId="887"/>
    <cellStyle name="Calculation 2 3 4 4 2" xfId="888"/>
    <cellStyle name="Calculation 2 3 4 4 2 2" xfId="889"/>
    <cellStyle name="Calculation 2 3 4 4 3" xfId="890"/>
    <cellStyle name="Calculation 2 3 4 5" xfId="891"/>
    <cellStyle name="Calculation 2 3 4 5 2" xfId="892"/>
    <cellStyle name="Calculation 2 3 4 6" xfId="893"/>
    <cellStyle name="Calculation 2 3 5" xfId="894"/>
    <cellStyle name="Calculation 2 3 5 2" xfId="895"/>
    <cellStyle name="Calculation 2 3 5 2 2" xfId="896"/>
    <cellStyle name="Calculation 2 3 5 2 2 2" xfId="897"/>
    <cellStyle name="Calculation 2 3 5 2 2 2 2" xfId="898"/>
    <cellStyle name="Calculation 2 3 5 2 2 3" xfId="899"/>
    <cellStyle name="Calculation 2 3 5 2 3" xfId="900"/>
    <cellStyle name="Calculation 2 3 5 2 3 2" xfId="901"/>
    <cellStyle name="Calculation 2 3 5 2 4" xfId="902"/>
    <cellStyle name="Calculation 2 3 5 3" xfId="903"/>
    <cellStyle name="Calculation 2 3 5 3 2" xfId="904"/>
    <cellStyle name="Calculation 2 3 5 3 2 2" xfId="905"/>
    <cellStyle name="Calculation 2 3 5 3 3" xfId="906"/>
    <cellStyle name="Calculation 2 3 5 3 4" xfId="907"/>
    <cellStyle name="Calculation 2 3 5 4" xfId="908"/>
    <cellStyle name="Calculation 2 3 5 4 2" xfId="909"/>
    <cellStyle name="Calculation 2 3 5 4 2 2" xfId="910"/>
    <cellStyle name="Calculation 2 3 5 4 3" xfId="911"/>
    <cellStyle name="Calculation 2 3 5 5" xfId="912"/>
    <cellStyle name="Calculation 2 3 5 5 2" xfId="913"/>
    <cellStyle name="Calculation 2 3 5 6" xfId="914"/>
    <cellStyle name="Calculation 2 4" xfId="915"/>
    <cellStyle name="Calculation 2 4 2" xfId="916"/>
    <cellStyle name="Calculation 2 4 2 2" xfId="917"/>
    <cellStyle name="Calculation 2 4 2 2 2" xfId="918"/>
    <cellStyle name="Calculation 2 4 2 2 2 2" xfId="919"/>
    <cellStyle name="Calculation 2 4 2 2 2 2 2" xfId="920"/>
    <cellStyle name="Calculation 2 4 2 2 2 3" xfId="921"/>
    <cellStyle name="Calculation 2 4 2 2 3" xfId="922"/>
    <cellStyle name="Calculation 2 4 2 2 3 2" xfId="923"/>
    <cellStyle name="Calculation 2 4 2 2 4" xfId="924"/>
    <cellStyle name="Calculation 2 4 2 3" xfId="925"/>
    <cellStyle name="Calculation 2 4 2 3 2" xfId="926"/>
    <cellStyle name="Calculation 2 4 2 3 2 2" xfId="927"/>
    <cellStyle name="Calculation 2 4 2 3 3" xfId="928"/>
    <cellStyle name="Calculation 2 4 2 3 4" xfId="929"/>
    <cellStyle name="Calculation 2 4 2 4" xfId="930"/>
    <cellStyle name="Calculation 2 4 2 4 2" xfId="931"/>
    <cellStyle name="Calculation 2 4 2 4 2 2" xfId="932"/>
    <cellStyle name="Calculation 2 4 2 4 3" xfId="933"/>
    <cellStyle name="Calculation 2 4 2 5" xfId="934"/>
    <cellStyle name="Calculation 2 4 2 5 2" xfId="935"/>
    <cellStyle name="Calculation 2 4 2 6" xfId="936"/>
    <cellStyle name="Calculation 2 4 3" xfId="937"/>
    <cellStyle name="Calculation 2 4 3 2" xfId="938"/>
    <cellStyle name="Calculation 2 4 3 2 2" xfId="939"/>
    <cellStyle name="Calculation 2 4 3 2 2 2" xfId="940"/>
    <cellStyle name="Calculation 2 4 3 2 2 2 2" xfId="941"/>
    <cellStyle name="Calculation 2 4 3 2 2 3" xfId="942"/>
    <cellStyle name="Calculation 2 4 3 2 3" xfId="943"/>
    <cellStyle name="Calculation 2 4 3 2 3 2" xfId="944"/>
    <cellStyle name="Calculation 2 4 3 2 4" xfId="945"/>
    <cellStyle name="Calculation 2 4 3 3" xfId="946"/>
    <cellStyle name="Calculation 2 4 3 3 2" xfId="947"/>
    <cellStyle name="Calculation 2 4 3 3 2 2" xfId="948"/>
    <cellStyle name="Calculation 2 4 3 3 3" xfId="949"/>
    <cellStyle name="Calculation 2 4 3 3 4" xfId="950"/>
    <cellStyle name="Calculation 2 4 3 4" xfId="951"/>
    <cellStyle name="Calculation 2 4 3 4 2" xfId="952"/>
    <cellStyle name="Calculation 2 4 3 4 2 2" xfId="953"/>
    <cellStyle name="Calculation 2 4 3 4 3" xfId="954"/>
    <cellStyle name="Calculation 2 4 3 5" xfId="955"/>
    <cellStyle name="Calculation 2 4 3 5 2" xfId="956"/>
    <cellStyle name="Calculation 2 4 3 6" xfId="957"/>
    <cellStyle name="Calculation 2 4 4" xfId="958"/>
    <cellStyle name="Calculation 2 4 4 2" xfId="959"/>
    <cellStyle name="Calculation 2 4 4 2 2" xfId="960"/>
    <cellStyle name="Calculation 2 4 4 2 2 2" xfId="961"/>
    <cellStyle name="Calculation 2 4 4 2 2 2 2" xfId="962"/>
    <cellStyle name="Calculation 2 4 4 2 2 3" xfId="963"/>
    <cellStyle name="Calculation 2 4 4 2 3" xfId="964"/>
    <cellStyle name="Calculation 2 4 4 2 3 2" xfId="965"/>
    <cellStyle name="Calculation 2 4 4 2 4" xfId="966"/>
    <cellStyle name="Calculation 2 4 4 3" xfId="967"/>
    <cellStyle name="Calculation 2 4 4 3 2" xfId="968"/>
    <cellStyle name="Calculation 2 4 4 3 2 2" xfId="969"/>
    <cellStyle name="Calculation 2 4 4 3 3" xfId="970"/>
    <cellStyle name="Calculation 2 4 4 3 4" xfId="971"/>
    <cellStyle name="Calculation 2 4 4 4" xfId="972"/>
    <cellStyle name="Calculation 2 4 4 4 2" xfId="973"/>
    <cellStyle name="Calculation 2 4 4 4 2 2" xfId="974"/>
    <cellStyle name="Calculation 2 4 4 4 3" xfId="975"/>
    <cellStyle name="Calculation 2 4 4 5" xfId="976"/>
    <cellStyle name="Calculation 2 4 4 5 2" xfId="977"/>
    <cellStyle name="Calculation 2 4 4 6" xfId="978"/>
    <cellStyle name="Calculation 2 4 5" xfId="979"/>
    <cellStyle name="Calculation 2 4 5 2" xfId="980"/>
    <cellStyle name="Calculation 2 5" xfId="981"/>
    <cellStyle name="Calculation 2 5 2" xfId="982"/>
    <cellStyle name="Calculation 2 5 2 2" xfId="983"/>
    <cellStyle name="Calculation 2 5 2 2 2" xfId="984"/>
    <cellStyle name="Calculation 2 5 2 2 2 2" xfId="985"/>
    <cellStyle name="Calculation 2 5 2 2 2 2 2" xfId="986"/>
    <cellStyle name="Calculation 2 5 2 2 2 3" xfId="987"/>
    <cellStyle name="Calculation 2 5 2 2 3" xfId="988"/>
    <cellStyle name="Calculation 2 5 2 2 3 2" xfId="989"/>
    <cellStyle name="Calculation 2 5 2 2 4" xfId="990"/>
    <cellStyle name="Calculation 2 5 2 3" xfId="991"/>
    <cellStyle name="Calculation 2 5 2 3 2" xfId="992"/>
    <cellStyle name="Calculation 2 5 2 3 2 2" xfId="993"/>
    <cellStyle name="Calculation 2 5 2 3 3" xfId="994"/>
    <cellStyle name="Calculation 2 5 2 3 4" xfId="995"/>
    <cellStyle name="Calculation 2 5 2 4" xfId="996"/>
    <cellStyle name="Calculation 2 5 2 4 2" xfId="997"/>
    <cellStyle name="Calculation 2 5 2 4 2 2" xfId="998"/>
    <cellStyle name="Calculation 2 5 2 4 3" xfId="999"/>
    <cellStyle name="Calculation 2 5 2 5" xfId="1000"/>
    <cellStyle name="Calculation 2 5 2 5 2" xfId="1001"/>
    <cellStyle name="Calculation 2 5 2 6" xfId="1002"/>
    <cellStyle name="Calculation 2 5 3" xfId="1003"/>
    <cellStyle name="Calculation 2 5 3 2" xfId="1004"/>
    <cellStyle name="Calculation 2 5 3 2 2" xfId="1005"/>
    <cellStyle name="Calculation 2 5 3 2 2 2" xfId="1006"/>
    <cellStyle name="Calculation 2 5 3 2 2 2 2" xfId="1007"/>
    <cellStyle name="Calculation 2 5 3 2 2 3" xfId="1008"/>
    <cellStyle name="Calculation 2 5 3 2 3" xfId="1009"/>
    <cellStyle name="Calculation 2 5 3 2 3 2" xfId="1010"/>
    <cellStyle name="Calculation 2 5 3 2 4" xfId="1011"/>
    <cellStyle name="Calculation 2 5 3 3" xfId="1012"/>
    <cellStyle name="Calculation 2 5 3 3 2" xfId="1013"/>
    <cellStyle name="Calculation 2 5 3 3 2 2" xfId="1014"/>
    <cellStyle name="Calculation 2 5 3 3 3" xfId="1015"/>
    <cellStyle name="Calculation 2 5 3 3 4" xfId="1016"/>
    <cellStyle name="Calculation 2 5 3 4" xfId="1017"/>
    <cellStyle name="Calculation 2 5 3 4 2" xfId="1018"/>
    <cellStyle name="Calculation 2 5 3 4 2 2" xfId="1019"/>
    <cellStyle name="Calculation 2 5 3 4 3" xfId="1020"/>
    <cellStyle name="Calculation 2 5 3 5" xfId="1021"/>
    <cellStyle name="Calculation 2 5 3 5 2" xfId="1022"/>
    <cellStyle name="Calculation 2 5 3 6" xfId="1023"/>
    <cellStyle name="Calculation 2 5 4" xfId="1024"/>
    <cellStyle name="Calculation 2 5 4 2" xfId="1025"/>
    <cellStyle name="Calculation 2 5 4 2 2" xfId="1026"/>
    <cellStyle name="Calculation 2 5 4 2 2 2" xfId="1027"/>
    <cellStyle name="Calculation 2 5 4 2 3" xfId="1028"/>
    <cellStyle name="Calculation 2 5 4 3" xfId="1029"/>
    <cellStyle name="Calculation 2 5 4 3 2" xfId="1030"/>
    <cellStyle name="Calculation 2 5 4 4" xfId="1031"/>
    <cellStyle name="Calculation 2 5 5" xfId="1032"/>
    <cellStyle name="Calculation 2 5 5 2" xfId="1033"/>
    <cellStyle name="Calculation 2 5 5 2 2" xfId="1034"/>
    <cellStyle name="Calculation 2 5 5 3" xfId="1035"/>
    <cellStyle name="Calculation 2 5 5 4" xfId="1036"/>
    <cellStyle name="Calculation 2 5 6" xfId="1037"/>
    <cellStyle name="Calculation 2 5 6 2" xfId="1038"/>
    <cellStyle name="Calculation 2 5 6 2 2" xfId="1039"/>
    <cellStyle name="Calculation 2 5 6 3" xfId="1040"/>
    <cellStyle name="Calculation 2 5 7" xfId="1041"/>
    <cellStyle name="Calculation 2 5 7 2" xfId="1042"/>
    <cellStyle name="Calculation 2 5 8" xfId="1043"/>
    <cellStyle name="Calculation 2 6" xfId="1044"/>
    <cellStyle name="Calculation 2 6 2" xfId="1045"/>
    <cellStyle name="Calculation 2 6 2 2" xfId="1046"/>
    <cellStyle name="Calculation 2 6 2 2 2" xfId="1047"/>
    <cellStyle name="Calculation 2 6 2 2 2 2" xfId="1048"/>
    <cellStyle name="Calculation 2 6 2 2 3" xfId="1049"/>
    <cellStyle name="Calculation 2 6 2 3" xfId="1050"/>
    <cellStyle name="Calculation 2 6 2 3 2" xfId="1051"/>
    <cellStyle name="Calculation 2 6 2 4" xfId="1052"/>
    <cellStyle name="Calculation 2 6 3" xfId="1053"/>
    <cellStyle name="Calculation 2 6 3 2" xfId="1054"/>
    <cellStyle name="Calculation 2 6 3 2 2" xfId="1055"/>
    <cellStyle name="Calculation 2 6 3 3" xfId="1056"/>
    <cellStyle name="Calculation 2 6 3 4" xfId="1057"/>
    <cellStyle name="Calculation 2 6 4" xfId="1058"/>
    <cellStyle name="Calculation 2 6 4 2" xfId="1059"/>
    <cellStyle name="Calculation 2 6 4 2 2" xfId="1060"/>
    <cellStyle name="Calculation 2 6 4 3" xfId="1061"/>
    <cellStyle name="Calculation 2 6 5" xfId="1062"/>
    <cellStyle name="Calculation 2 6 5 2" xfId="1063"/>
    <cellStyle name="Calculation 2 6 6" xfId="1064"/>
    <cellStyle name="Calculation 3" xfId="1065"/>
    <cellStyle name="Calculation 3 2" xfId="1066"/>
    <cellStyle name="Calculation 3 2 2" xfId="1067"/>
    <cellStyle name="Calculation 3 2 2 2" xfId="1068"/>
    <cellStyle name="Calculation 3 2 2 2 2" xfId="1069"/>
    <cellStyle name="Calculation 3 2 2 2 2 2" xfId="1070"/>
    <cellStyle name="Calculation 3 2 2 2 2 2 2" xfId="1071"/>
    <cellStyle name="Calculation 3 2 2 2 2 2 2 2" xfId="1072"/>
    <cellStyle name="Calculation 3 2 2 2 2 2 3" xfId="1073"/>
    <cellStyle name="Calculation 3 2 2 2 2 3" xfId="1074"/>
    <cellStyle name="Calculation 3 2 2 2 2 3 2" xfId="1075"/>
    <cellStyle name="Calculation 3 2 2 2 2 4" xfId="1076"/>
    <cellStyle name="Calculation 3 2 2 2 3" xfId="1077"/>
    <cellStyle name="Calculation 3 2 2 2 3 2" xfId="1078"/>
    <cellStyle name="Calculation 3 2 2 2 3 2 2" xfId="1079"/>
    <cellStyle name="Calculation 3 2 2 2 3 3" xfId="1080"/>
    <cellStyle name="Calculation 3 2 2 2 3 4" xfId="1081"/>
    <cellStyle name="Calculation 3 2 2 2 4" xfId="1082"/>
    <cellStyle name="Calculation 3 2 2 2 4 2" xfId="1083"/>
    <cellStyle name="Calculation 3 2 2 2 4 2 2" xfId="1084"/>
    <cellStyle name="Calculation 3 2 2 2 4 3" xfId="1085"/>
    <cellStyle name="Calculation 3 2 2 2 5" xfId="1086"/>
    <cellStyle name="Calculation 3 2 2 2 5 2" xfId="1087"/>
    <cellStyle name="Calculation 3 2 2 2 6" xfId="1088"/>
    <cellStyle name="Calculation 3 2 2 3" xfId="1089"/>
    <cellStyle name="Calculation 3 2 2 3 2" xfId="1090"/>
    <cellStyle name="Calculation 3 2 2 3 2 2" xfId="1091"/>
    <cellStyle name="Calculation 3 2 2 3 2 2 2" xfId="1092"/>
    <cellStyle name="Calculation 3 2 2 3 2 2 2 2" xfId="1093"/>
    <cellStyle name="Calculation 3 2 2 3 2 2 3" xfId="1094"/>
    <cellStyle name="Calculation 3 2 2 3 2 3" xfId="1095"/>
    <cellStyle name="Calculation 3 2 2 3 2 3 2" xfId="1096"/>
    <cellStyle name="Calculation 3 2 2 3 2 4" xfId="1097"/>
    <cellStyle name="Calculation 3 2 2 3 3" xfId="1098"/>
    <cellStyle name="Calculation 3 2 2 3 3 2" xfId="1099"/>
    <cellStyle name="Calculation 3 2 2 3 3 2 2" xfId="1100"/>
    <cellStyle name="Calculation 3 2 2 3 3 3" xfId="1101"/>
    <cellStyle name="Calculation 3 2 2 3 3 4" xfId="1102"/>
    <cellStyle name="Calculation 3 2 2 3 4" xfId="1103"/>
    <cellStyle name="Calculation 3 2 2 3 4 2" xfId="1104"/>
    <cellStyle name="Calculation 3 2 2 3 4 2 2" xfId="1105"/>
    <cellStyle name="Calculation 3 2 2 3 4 3" xfId="1106"/>
    <cellStyle name="Calculation 3 2 2 3 5" xfId="1107"/>
    <cellStyle name="Calculation 3 2 2 3 5 2" xfId="1108"/>
    <cellStyle name="Calculation 3 2 2 3 6" xfId="1109"/>
    <cellStyle name="Calculation 3 2 2 4" xfId="1110"/>
    <cellStyle name="Calculation 3 2 2 4 2" xfId="1111"/>
    <cellStyle name="Calculation 3 2 2 4 2 2" xfId="1112"/>
    <cellStyle name="Calculation 3 2 2 4 2 2 2" xfId="1113"/>
    <cellStyle name="Calculation 3 2 2 4 2 2 2 2" xfId="1114"/>
    <cellStyle name="Calculation 3 2 2 4 2 2 3" xfId="1115"/>
    <cellStyle name="Calculation 3 2 2 4 2 3" xfId="1116"/>
    <cellStyle name="Calculation 3 2 2 4 2 3 2" xfId="1117"/>
    <cellStyle name="Calculation 3 2 2 4 2 4" xfId="1118"/>
    <cellStyle name="Calculation 3 2 2 4 3" xfId="1119"/>
    <cellStyle name="Calculation 3 2 2 4 3 2" xfId="1120"/>
    <cellStyle name="Calculation 3 2 2 4 3 2 2" xfId="1121"/>
    <cellStyle name="Calculation 3 2 2 4 3 3" xfId="1122"/>
    <cellStyle name="Calculation 3 2 2 4 3 4" xfId="1123"/>
    <cellStyle name="Calculation 3 2 2 4 4" xfId="1124"/>
    <cellStyle name="Calculation 3 2 2 4 4 2" xfId="1125"/>
    <cellStyle name="Calculation 3 2 2 4 4 2 2" xfId="1126"/>
    <cellStyle name="Calculation 3 2 2 4 4 3" xfId="1127"/>
    <cellStyle name="Calculation 3 2 2 4 5" xfId="1128"/>
    <cellStyle name="Calculation 3 2 2 4 5 2" xfId="1129"/>
    <cellStyle name="Calculation 3 2 2 4 6" xfId="1130"/>
    <cellStyle name="Calculation 3 2 2 5" xfId="1131"/>
    <cellStyle name="Calculation 3 2 2 5 2" xfId="1132"/>
    <cellStyle name="Calculation 3 2 3" xfId="1133"/>
    <cellStyle name="Calculation 3 2 3 2" xfId="1134"/>
    <cellStyle name="Calculation 3 2 3 2 2" xfId="1135"/>
    <cellStyle name="Calculation 3 2 3 2 2 2" xfId="1136"/>
    <cellStyle name="Calculation 3 2 3 2 2 2 2" xfId="1137"/>
    <cellStyle name="Calculation 3 2 3 2 2 3" xfId="1138"/>
    <cellStyle name="Calculation 3 2 3 2 3" xfId="1139"/>
    <cellStyle name="Calculation 3 2 3 2 3 2" xfId="1140"/>
    <cellStyle name="Calculation 3 2 3 2 4" xfId="1141"/>
    <cellStyle name="Calculation 3 2 3 3" xfId="1142"/>
    <cellStyle name="Calculation 3 2 3 3 2" xfId="1143"/>
    <cellStyle name="Calculation 3 2 3 3 2 2" xfId="1144"/>
    <cellStyle name="Calculation 3 2 3 3 3" xfId="1145"/>
    <cellStyle name="Calculation 3 2 3 3 4" xfId="1146"/>
    <cellStyle name="Calculation 3 2 3 4" xfId="1147"/>
    <cellStyle name="Calculation 3 2 3 4 2" xfId="1148"/>
    <cellStyle name="Calculation 3 2 3 4 2 2" xfId="1149"/>
    <cellStyle name="Calculation 3 2 3 4 3" xfId="1150"/>
    <cellStyle name="Calculation 3 2 3 5" xfId="1151"/>
    <cellStyle name="Calculation 3 2 3 5 2" xfId="1152"/>
    <cellStyle name="Calculation 3 2 3 6" xfId="1153"/>
    <cellStyle name="Calculation 3 2 4" xfId="1154"/>
    <cellStyle name="Calculation 3 2 4 2" xfId="1155"/>
    <cellStyle name="Calculation 3 2 4 2 2" xfId="1156"/>
    <cellStyle name="Calculation 3 2 4 2 2 2" xfId="1157"/>
    <cellStyle name="Calculation 3 2 4 2 2 2 2" xfId="1158"/>
    <cellStyle name="Calculation 3 2 4 2 2 3" xfId="1159"/>
    <cellStyle name="Calculation 3 2 4 2 3" xfId="1160"/>
    <cellStyle name="Calculation 3 2 4 2 3 2" xfId="1161"/>
    <cellStyle name="Calculation 3 2 4 2 4" xfId="1162"/>
    <cellStyle name="Calculation 3 2 4 3" xfId="1163"/>
    <cellStyle name="Calculation 3 2 4 3 2" xfId="1164"/>
    <cellStyle name="Calculation 3 2 4 3 2 2" xfId="1165"/>
    <cellStyle name="Calculation 3 2 4 3 3" xfId="1166"/>
    <cellStyle name="Calculation 3 2 4 3 4" xfId="1167"/>
    <cellStyle name="Calculation 3 2 4 4" xfId="1168"/>
    <cellStyle name="Calculation 3 2 4 4 2" xfId="1169"/>
    <cellStyle name="Calculation 3 2 4 4 2 2" xfId="1170"/>
    <cellStyle name="Calculation 3 2 4 4 3" xfId="1171"/>
    <cellStyle name="Calculation 3 2 4 5" xfId="1172"/>
    <cellStyle name="Calculation 3 2 4 5 2" xfId="1173"/>
    <cellStyle name="Calculation 3 2 4 6" xfId="1174"/>
    <cellStyle name="Calculation 3 2 5" xfId="1175"/>
    <cellStyle name="Calculation 3 2 5 2" xfId="1176"/>
    <cellStyle name="Calculation 3 2 5 2 2" xfId="1177"/>
    <cellStyle name="Calculation 3 2 5 2 2 2" xfId="1178"/>
    <cellStyle name="Calculation 3 2 5 2 2 2 2" xfId="1179"/>
    <cellStyle name="Calculation 3 2 5 2 2 3" xfId="1180"/>
    <cellStyle name="Calculation 3 2 5 2 3" xfId="1181"/>
    <cellStyle name="Calculation 3 2 5 2 3 2" xfId="1182"/>
    <cellStyle name="Calculation 3 2 5 2 4" xfId="1183"/>
    <cellStyle name="Calculation 3 2 5 3" xfId="1184"/>
    <cellStyle name="Calculation 3 2 5 3 2" xfId="1185"/>
    <cellStyle name="Calculation 3 2 5 3 2 2" xfId="1186"/>
    <cellStyle name="Calculation 3 2 5 3 3" xfId="1187"/>
    <cellStyle name="Calculation 3 2 5 3 4" xfId="1188"/>
    <cellStyle name="Calculation 3 2 5 4" xfId="1189"/>
    <cellStyle name="Calculation 3 2 5 4 2" xfId="1190"/>
    <cellStyle name="Calculation 3 2 5 4 2 2" xfId="1191"/>
    <cellStyle name="Calculation 3 2 5 4 3" xfId="1192"/>
    <cellStyle name="Calculation 3 2 5 5" xfId="1193"/>
    <cellStyle name="Calculation 3 2 5 5 2" xfId="1194"/>
    <cellStyle name="Calculation 3 2 5 6" xfId="1195"/>
    <cellStyle name="Calculation 3 3" xfId="1196"/>
    <cellStyle name="Calculation 3 3 2" xfId="1197"/>
    <cellStyle name="Calculation 3 3 2 2" xfId="1198"/>
    <cellStyle name="Calculation 3 3 2 2 2" xfId="1199"/>
    <cellStyle name="Calculation 3 3 2 2 2 2" xfId="1200"/>
    <cellStyle name="Calculation 3 3 2 2 2 2 2" xfId="1201"/>
    <cellStyle name="Calculation 3 3 2 2 2 3" xfId="1202"/>
    <cellStyle name="Calculation 3 3 2 2 3" xfId="1203"/>
    <cellStyle name="Calculation 3 3 2 2 3 2" xfId="1204"/>
    <cellStyle name="Calculation 3 3 2 2 4" xfId="1205"/>
    <cellStyle name="Calculation 3 3 2 3" xfId="1206"/>
    <cellStyle name="Calculation 3 3 2 3 2" xfId="1207"/>
    <cellStyle name="Calculation 3 3 2 3 2 2" xfId="1208"/>
    <cellStyle name="Calculation 3 3 2 3 3" xfId="1209"/>
    <cellStyle name="Calculation 3 3 2 3 4" xfId="1210"/>
    <cellStyle name="Calculation 3 3 2 4" xfId="1211"/>
    <cellStyle name="Calculation 3 3 2 4 2" xfId="1212"/>
    <cellStyle name="Calculation 3 3 2 4 2 2" xfId="1213"/>
    <cellStyle name="Calculation 3 3 2 4 3" xfId="1214"/>
    <cellStyle name="Calculation 3 3 2 5" xfId="1215"/>
    <cellStyle name="Calculation 3 3 2 5 2" xfId="1216"/>
    <cellStyle name="Calculation 3 3 2 6" xfId="1217"/>
    <cellStyle name="Calculation 3 3 3" xfId="1218"/>
    <cellStyle name="Calculation 3 3 3 2" xfId="1219"/>
    <cellStyle name="Calculation 3 3 3 2 2" xfId="1220"/>
    <cellStyle name="Calculation 3 3 3 2 2 2" xfId="1221"/>
    <cellStyle name="Calculation 3 3 3 2 2 2 2" xfId="1222"/>
    <cellStyle name="Calculation 3 3 3 2 2 3" xfId="1223"/>
    <cellStyle name="Calculation 3 3 3 2 3" xfId="1224"/>
    <cellStyle name="Calculation 3 3 3 2 3 2" xfId="1225"/>
    <cellStyle name="Calculation 3 3 3 2 4" xfId="1226"/>
    <cellStyle name="Calculation 3 3 3 3" xfId="1227"/>
    <cellStyle name="Calculation 3 3 3 3 2" xfId="1228"/>
    <cellStyle name="Calculation 3 3 3 3 2 2" xfId="1229"/>
    <cellStyle name="Calculation 3 3 3 3 3" xfId="1230"/>
    <cellStyle name="Calculation 3 3 3 3 4" xfId="1231"/>
    <cellStyle name="Calculation 3 3 3 4" xfId="1232"/>
    <cellStyle name="Calculation 3 3 3 4 2" xfId="1233"/>
    <cellStyle name="Calculation 3 3 3 4 2 2" xfId="1234"/>
    <cellStyle name="Calculation 3 3 3 4 3" xfId="1235"/>
    <cellStyle name="Calculation 3 3 3 5" xfId="1236"/>
    <cellStyle name="Calculation 3 3 3 5 2" xfId="1237"/>
    <cellStyle name="Calculation 3 3 3 6" xfId="1238"/>
    <cellStyle name="Calculation 3 3 4" xfId="1239"/>
    <cellStyle name="Calculation 3 3 4 2" xfId="1240"/>
    <cellStyle name="Calculation 3 3 4 2 2" xfId="1241"/>
    <cellStyle name="Calculation 3 3 4 2 2 2" xfId="1242"/>
    <cellStyle name="Calculation 3 3 4 2 2 2 2" xfId="1243"/>
    <cellStyle name="Calculation 3 3 4 2 2 3" xfId="1244"/>
    <cellStyle name="Calculation 3 3 4 2 3" xfId="1245"/>
    <cellStyle name="Calculation 3 3 4 2 3 2" xfId="1246"/>
    <cellStyle name="Calculation 3 3 4 2 4" xfId="1247"/>
    <cellStyle name="Calculation 3 3 4 3" xfId="1248"/>
    <cellStyle name="Calculation 3 3 4 3 2" xfId="1249"/>
    <cellStyle name="Calculation 3 3 4 3 2 2" xfId="1250"/>
    <cellStyle name="Calculation 3 3 4 3 3" xfId="1251"/>
    <cellStyle name="Calculation 3 3 4 3 4" xfId="1252"/>
    <cellStyle name="Calculation 3 3 4 4" xfId="1253"/>
    <cellStyle name="Calculation 3 3 4 4 2" xfId="1254"/>
    <cellStyle name="Calculation 3 3 4 4 2 2" xfId="1255"/>
    <cellStyle name="Calculation 3 3 4 4 3" xfId="1256"/>
    <cellStyle name="Calculation 3 3 4 5" xfId="1257"/>
    <cellStyle name="Calculation 3 3 4 5 2" xfId="1258"/>
    <cellStyle name="Calculation 3 3 4 6" xfId="1259"/>
    <cellStyle name="Calculation 3 3 5" xfId="1260"/>
    <cellStyle name="Calculation 3 3 5 2" xfId="1261"/>
    <cellStyle name="Calculation 3 4" xfId="1262"/>
    <cellStyle name="Calculation 3 4 2" xfId="1263"/>
    <cellStyle name="Calculation 3 4 2 2" xfId="1264"/>
    <cellStyle name="Calculation 3 4 2 2 2" xfId="1265"/>
    <cellStyle name="Calculation 3 4 2 2 2 2" xfId="1266"/>
    <cellStyle name="Calculation 3 4 2 2 2 2 2" xfId="1267"/>
    <cellStyle name="Calculation 3 4 2 2 2 3" xfId="1268"/>
    <cellStyle name="Calculation 3 4 2 2 3" xfId="1269"/>
    <cellStyle name="Calculation 3 4 2 2 3 2" xfId="1270"/>
    <cellStyle name="Calculation 3 4 2 2 4" xfId="1271"/>
    <cellStyle name="Calculation 3 4 2 3" xfId="1272"/>
    <cellStyle name="Calculation 3 4 2 3 2" xfId="1273"/>
    <cellStyle name="Calculation 3 4 2 3 2 2" xfId="1274"/>
    <cellStyle name="Calculation 3 4 2 3 3" xfId="1275"/>
    <cellStyle name="Calculation 3 4 2 3 4" xfId="1276"/>
    <cellStyle name="Calculation 3 4 2 4" xfId="1277"/>
    <cellStyle name="Calculation 3 4 2 4 2" xfId="1278"/>
    <cellStyle name="Calculation 3 4 2 4 2 2" xfId="1279"/>
    <cellStyle name="Calculation 3 4 2 4 3" xfId="1280"/>
    <cellStyle name="Calculation 3 4 2 5" xfId="1281"/>
    <cellStyle name="Calculation 3 4 2 5 2" xfId="1282"/>
    <cellStyle name="Calculation 3 4 2 6" xfId="1283"/>
    <cellStyle name="Calculation 3 4 3" xfId="1284"/>
    <cellStyle name="Calculation 3 4 3 2" xfId="1285"/>
    <cellStyle name="Calculation 3 4 3 2 2" xfId="1286"/>
    <cellStyle name="Calculation 3 4 3 2 2 2" xfId="1287"/>
    <cellStyle name="Calculation 3 4 3 2 2 2 2" xfId="1288"/>
    <cellStyle name="Calculation 3 4 3 2 2 3" xfId="1289"/>
    <cellStyle name="Calculation 3 4 3 2 3" xfId="1290"/>
    <cellStyle name="Calculation 3 4 3 2 3 2" xfId="1291"/>
    <cellStyle name="Calculation 3 4 3 2 4" xfId="1292"/>
    <cellStyle name="Calculation 3 4 3 3" xfId="1293"/>
    <cellStyle name="Calculation 3 4 3 3 2" xfId="1294"/>
    <cellStyle name="Calculation 3 4 3 3 2 2" xfId="1295"/>
    <cellStyle name="Calculation 3 4 3 3 3" xfId="1296"/>
    <cellStyle name="Calculation 3 4 3 3 4" xfId="1297"/>
    <cellStyle name="Calculation 3 4 3 4" xfId="1298"/>
    <cellStyle name="Calculation 3 4 3 4 2" xfId="1299"/>
    <cellStyle name="Calculation 3 4 3 4 2 2" xfId="1300"/>
    <cellStyle name="Calculation 3 4 3 4 3" xfId="1301"/>
    <cellStyle name="Calculation 3 4 3 5" xfId="1302"/>
    <cellStyle name="Calculation 3 4 3 5 2" xfId="1303"/>
    <cellStyle name="Calculation 3 4 3 6" xfId="1304"/>
    <cellStyle name="Calculation 3 4 4" xfId="1305"/>
    <cellStyle name="Calculation 3 4 4 2" xfId="1306"/>
    <cellStyle name="Calculation 3 4 4 2 2" xfId="1307"/>
    <cellStyle name="Calculation 3 4 4 2 2 2" xfId="1308"/>
    <cellStyle name="Calculation 3 4 4 2 3" xfId="1309"/>
    <cellStyle name="Calculation 3 4 4 3" xfId="1310"/>
    <cellStyle name="Calculation 3 4 4 3 2" xfId="1311"/>
    <cellStyle name="Calculation 3 4 4 4" xfId="1312"/>
    <cellStyle name="Calculation 3 4 5" xfId="1313"/>
    <cellStyle name="Calculation 3 4 5 2" xfId="1314"/>
    <cellStyle name="Calculation 3 4 5 2 2" xfId="1315"/>
    <cellStyle name="Calculation 3 4 5 3" xfId="1316"/>
    <cellStyle name="Calculation 3 4 5 4" xfId="1317"/>
    <cellStyle name="Calculation 3 4 6" xfId="1318"/>
    <cellStyle name="Calculation 3 4 6 2" xfId="1319"/>
    <cellStyle name="Calculation 3 4 6 2 2" xfId="1320"/>
    <cellStyle name="Calculation 3 4 6 3" xfId="1321"/>
    <cellStyle name="Calculation 3 4 7" xfId="1322"/>
    <cellStyle name="Calculation 3 4 7 2" xfId="1323"/>
    <cellStyle name="Calculation 3 4 8" xfId="1324"/>
    <cellStyle name="Calculation 3 5" xfId="1325"/>
    <cellStyle name="Calculation 3 5 2" xfId="1326"/>
    <cellStyle name="Calculation 3 5 2 2" xfId="1327"/>
    <cellStyle name="Calculation 3 5 2 2 2" xfId="1328"/>
    <cellStyle name="Calculation 3 5 2 2 2 2" xfId="1329"/>
    <cellStyle name="Calculation 3 5 2 2 3" xfId="1330"/>
    <cellStyle name="Calculation 3 5 2 3" xfId="1331"/>
    <cellStyle name="Calculation 3 5 2 3 2" xfId="1332"/>
    <cellStyle name="Calculation 3 5 2 4" xfId="1333"/>
    <cellStyle name="Calculation 3 5 3" xfId="1334"/>
    <cellStyle name="Calculation 3 5 3 2" xfId="1335"/>
    <cellStyle name="Calculation 3 5 3 2 2" xfId="1336"/>
    <cellStyle name="Calculation 3 5 3 3" xfId="1337"/>
    <cellStyle name="Calculation 3 5 3 4" xfId="1338"/>
    <cellStyle name="Calculation 3 5 4" xfId="1339"/>
    <cellStyle name="Calculation 3 5 4 2" xfId="1340"/>
    <cellStyle name="Calculation 3 5 4 2 2" xfId="1341"/>
    <cellStyle name="Calculation 3 5 4 3" xfId="1342"/>
    <cellStyle name="Calculation 3 5 5" xfId="1343"/>
    <cellStyle name="Calculation 3 5 5 2" xfId="1344"/>
    <cellStyle name="Calculation 3 5 6" xfId="1345"/>
    <cellStyle name="Calculation 4" xfId="1346"/>
    <cellStyle name="Calculation 4 2" xfId="1347"/>
    <cellStyle name="Calculation 4 2 2" xfId="1348"/>
    <cellStyle name="Calculation 4 2 2 2" xfId="1349"/>
    <cellStyle name="Calculation 4 2 2 2 2" xfId="1350"/>
    <cellStyle name="Calculation 4 2 2 2 2 2" xfId="1351"/>
    <cellStyle name="Calculation 4 2 2 2 2 2 2" xfId="1352"/>
    <cellStyle name="Calculation 4 2 2 2 2 3" xfId="1353"/>
    <cellStyle name="Calculation 4 2 2 2 3" xfId="1354"/>
    <cellStyle name="Calculation 4 2 2 2 3 2" xfId="1355"/>
    <cellStyle name="Calculation 4 2 2 2 4" xfId="1356"/>
    <cellStyle name="Calculation 4 2 2 3" xfId="1357"/>
    <cellStyle name="Calculation 4 2 2 3 2" xfId="1358"/>
    <cellStyle name="Calculation 4 2 2 3 2 2" xfId="1359"/>
    <cellStyle name="Calculation 4 2 2 3 3" xfId="1360"/>
    <cellStyle name="Calculation 4 2 2 3 4" xfId="1361"/>
    <cellStyle name="Calculation 4 2 2 4" xfId="1362"/>
    <cellStyle name="Calculation 4 2 2 4 2" xfId="1363"/>
    <cellStyle name="Calculation 4 2 2 4 2 2" xfId="1364"/>
    <cellStyle name="Calculation 4 2 2 4 3" xfId="1365"/>
    <cellStyle name="Calculation 4 2 2 5" xfId="1366"/>
    <cellStyle name="Calculation 4 2 2 5 2" xfId="1367"/>
    <cellStyle name="Calculation 4 2 2 6" xfId="1368"/>
    <cellStyle name="Calculation 4 2 3" xfId="1369"/>
    <cellStyle name="Calculation 4 2 3 2" xfId="1370"/>
    <cellStyle name="Calculation 4 2 3 2 2" xfId="1371"/>
    <cellStyle name="Calculation 4 2 3 2 2 2" xfId="1372"/>
    <cellStyle name="Calculation 4 2 3 2 2 2 2" xfId="1373"/>
    <cellStyle name="Calculation 4 2 3 2 2 3" xfId="1374"/>
    <cellStyle name="Calculation 4 2 3 2 3" xfId="1375"/>
    <cellStyle name="Calculation 4 2 3 2 3 2" xfId="1376"/>
    <cellStyle name="Calculation 4 2 3 2 4" xfId="1377"/>
    <cellStyle name="Calculation 4 2 3 3" xfId="1378"/>
    <cellStyle name="Calculation 4 2 3 3 2" xfId="1379"/>
    <cellStyle name="Calculation 4 2 3 3 2 2" xfId="1380"/>
    <cellStyle name="Calculation 4 2 3 3 3" xfId="1381"/>
    <cellStyle name="Calculation 4 2 3 3 4" xfId="1382"/>
    <cellStyle name="Calculation 4 2 3 4" xfId="1383"/>
    <cellStyle name="Calculation 4 2 3 4 2" xfId="1384"/>
    <cellStyle name="Calculation 4 2 3 4 2 2" xfId="1385"/>
    <cellStyle name="Calculation 4 2 3 4 3" xfId="1386"/>
    <cellStyle name="Calculation 4 2 3 5" xfId="1387"/>
    <cellStyle name="Calculation 4 2 3 5 2" xfId="1388"/>
    <cellStyle name="Calculation 4 2 3 6" xfId="1389"/>
    <cellStyle name="Calculation 4 2 4" xfId="1390"/>
    <cellStyle name="Calculation 4 2 4 2" xfId="1391"/>
    <cellStyle name="Calculation 4 2 4 2 2" xfId="1392"/>
    <cellStyle name="Calculation 4 2 4 2 2 2" xfId="1393"/>
    <cellStyle name="Calculation 4 2 4 2 2 2 2" xfId="1394"/>
    <cellStyle name="Calculation 4 2 4 2 2 3" xfId="1395"/>
    <cellStyle name="Calculation 4 2 4 2 3" xfId="1396"/>
    <cellStyle name="Calculation 4 2 4 2 3 2" xfId="1397"/>
    <cellStyle name="Calculation 4 2 4 2 4" xfId="1398"/>
    <cellStyle name="Calculation 4 2 4 3" xfId="1399"/>
    <cellStyle name="Calculation 4 2 4 3 2" xfId="1400"/>
    <cellStyle name="Calculation 4 2 4 3 2 2" xfId="1401"/>
    <cellStyle name="Calculation 4 2 4 3 3" xfId="1402"/>
    <cellStyle name="Calculation 4 2 4 3 4" xfId="1403"/>
    <cellStyle name="Calculation 4 2 4 4" xfId="1404"/>
    <cellStyle name="Calculation 4 2 4 4 2" xfId="1405"/>
    <cellStyle name="Calculation 4 2 4 4 2 2" xfId="1406"/>
    <cellStyle name="Calculation 4 2 4 4 3" xfId="1407"/>
    <cellStyle name="Calculation 4 2 4 5" xfId="1408"/>
    <cellStyle name="Calculation 4 2 4 5 2" xfId="1409"/>
    <cellStyle name="Calculation 4 2 4 6" xfId="1410"/>
    <cellStyle name="Calculation 4 2 5" xfId="1411"/>
    <cellStyle name="Calculation 4 2 5 2" xfId="1412"/>
    <cellStyle name="Calculation 4 3" xfId="1413"/>
    <cellStyle name="Calculation 4 3 2" xfId="1414"/>
    <cellStyle name="Calculation 4 3 2 2" xfId="1415"/>
    <cellStyle name="Calculation 4 3 2 2 2" xfId="1416"/>
    <cellStyle name="Calculation 4 3 2 2 2 2" xfId="1417"/>
    <cellStyle name="Calculation 4 3 2 2 2 2 2" xfId="1418"/>
    <cellStyle name="Calculation 4 3 2 2 2 3" xfId="1419"/>
    <cellStyle name="Calculation 4 3 2 2 3" xfId="1420"/>
    <cellStyle name="Calculation 4 3 2 2 3 2" xfId="1421"/>
    <cellStyle name="Calculation 4 3 2 2 4" xfId="1422"/>
    <cellStyle name="Calculation 4 3 2 3" xfId="1423"/>
    <cellStyle name="Calculation 4 3 2 3 2" xfId="1424"/>
    <cellStyle name="Calculation 4 3 2 3 2 2" xfId="1425"/>
    <cellStyle name="Calculation 4 3 2 3 3" xfId="1426"/>
    <cellStyle name="Calculation 4 3 2 3 4" xfId="1427"/>
    <cellStyle name="Calculation 4 3 2 4" xfId="1428"/>
    <cellStyle name="Calculation 4 3 2 4 2" xfId="1429"/>
    <cellStyle name="Calculation 4 3 2 4 2 2" xfId="1430"/>
    <cellStyle name="Calculation 4 3 2 4 3" xfId="1431"/>
    <cellStyle name="Calculation 4 3 2 5" xfId="1432"/>
    <cellStyle name="Calculation 4 3 2 5 2" xfId="1433"/>
    <cellStyle name="Calculation 4 3 2 6" xfId="1434"/>
    <cellStyle name="Calculation 4 3 3" xfId="1435"/>
    <cellStyle name="Calculation 4 3 3 2" xfId="1436"/>
    <cellStyle name="Calculation 4 3 3 2 2" xfId="1437"/>
    <cellStyle name="Calculation 4 3 3 2 2 2" xfId="1438"/>
    <cellStyle name="Calculation 4 3 3 2 2 2 2" xfId="1439"/>
    <cellStyle name="Calculation 4 3 3 2 2 3" xfId="1440"/>
    <cellStyle name="Calculation 4 3 3 2 3" xfId="1441"/>
    <cellStyle name="Calculation 4 3 3 2 3 2" xfId="1442"/>
    <cellStyle name="Calculation 4 3 3 2 4" xfId="1443"/>
    <cellStyle name="Calculation 4 3 3 3" xfId="1444"/>
    <cellStyle name="Calculation 4 3 3 3 2" xfId="1445"/>
    <cellStyle name="Calculation 4 3 3 3 2 2" xfId="1446"/>
    <cellStyle name="Calculation 4 3 3 3 3" xfId="1447"/>
    <cellStyle name="Calculation 4 3 3 3 4" xfId="1448"/>
    <cellStyle name="Calculation 4 3 3 4" xfId="1449"/>
    <cellStyle name="Calculation 4 3 3 4 2" xfId="1450"/>
    <cellStyle name="Calculation 4 3 3 4 2 2" xfId="1451"/>
    <cellStyle name="Calculation 4 3 3 4 3" xfId="1452"/>
    <cellStyle name="Calculation 4 3 3 5" xfId="1453"/>
    <cellStyle name="Calculation 4 3 3 5 2" xfId="1454"/>
    <cellStyle name="Calculation 4 3 3 6" xfId="1455"/>
    <cellStyle name="Calculation 4 3 4" xfId="1456"/>
    <cellStyle name="Calculation 4 3 4 2" xfId="1457"/>
    <cellStyle name="Calculation 4 3 4 2 2" xfId="1458"/>
    <cellStyle name="Calculation 4 3 4 2 2 2" xfId="1459"/>
    <cellStyle name="Calculation 4 3 4 2 3" xfId="1460"/>
    <cellStyle name="Calculation 4 3 4 3" xfId="1461"/>
    <cellStyle name="Calculation 4 3 4 3 2" xfId="1462"/>
    <cellStyle name="Calculation 4 3 4 4" xfId="1463"/>
    <cellStyle name="Calculation 4 3 5" xfId="1464"/>
    <cellStyle name="Calculation 4 3 5 2" xfId="1465"/>
    <cellStyle name="Calculation 4 3 5 2 2" xfId="1466"/>
    <cellStyle name="Calculation 4 3 5 3" xfId="1467"/>
    <cellStyle name="Calculation 4 3 5 4" xfId="1468"/>
    <cellStyle name="Calculation 4 3 6" xfId="1469"/>
    <cellStyle name="Calculation 4 3 6 2" xfId="1470"/>
    <cellStyle name="Calculation 4 3 6 2 2" xfId="1471"/>
    <cellStyle name="Calculation 4 3 6 3" xfId="1472"/>
    <cellStyle name="Calculation 4 3 7" xfId="1473"/>
    <cellStyle name="Calculation 4 3 7 2" xfId="1474"/>
    <cellStyle name="Calculation 4 3 8" xfId="1475"/>
    <cellStyle name="Calculation 4 4" xfId="1476"/>
    <cellStyle name="Calculation 4 4 2" xfId="1477"/>
    <cellStyle name="Calculation 4 4 2 2" xfId="1478"/>
    <cellStyle name="Calculation 4 4 2 2 2" xfId="1479"/>
    <cellStyle name="Calculation 4 4 2 2 2 2" xfId="1480"/>
    <cellStyle name="Calculation 4 4 2 2 3" xfId="1481"/>
    <cellStyle name="Calculation 4 4 2 3" xfId="1482"/>
    <cellStyle name="Calculation 4 4 2 3 2" xfId="1483"/>
    <cellStyle name="Calculation 4 4 2 4" xfId="1484"/>
    <cellStyle name="Calculation 4 4 3" xfId="1485"/>
    <cellStyle name="Calculation 4 4 3 2" xfId="1486"/>
    <cellStyle name="Calculation 4 4 3 2 2" xfId="1487"/>
    <cellStyle name="Calculation 4 4 3 3" xfId="1488"/>
    <cellStyle name="Calculation 4 4 3 4" xfId="1489"/>
    <cellStyle name="Calculation 4 4 4" xfId="1490"/>
    <cellStyle name="Calculation 4 4 4 2" xfId="1491"/>
    <cellStyle name="Calculation 4 4 4 2 2" xfId="1492"/>
    <cellStyle name="Calculation 4 4 4 3" xfId="1493"/>
    <cellStyle name="Calculation 4 4 5" xfId="1494"/>
    <cellStyle name="Calculation 4 4 5 2" xfId="1495"/>
    <cellStyle name="Calculation 4 4 6" xfId="1496"/>
    <cellStyle name="Calculation 5" xfId="1497"/>
    <cellStyle name="Calculation 5 2" xfId="1498"/>
    <cellStyle name="Calculation 5 2 2" xfId="1499"/>
    <cellStyle name="Calculation 5 2 2 2" xfId="1500"/>
    <cellStyle name="Calculation 5 2 2 2 2" xfId="1501"/>
    <cellStyle name="Calculation 5 2 2 2 2 2" xfId="1502"/>
    <cellStyle name="Calculation 5 2 2 2 2 2 2" xfId="1503"/>
    <cellStyle name="Calculation 5 2 2 2 2 3" xfId="1504"/>
    <cellStyle name="Calculation 5 2 2 2 3" xfId="1505"/>
    <cellStyle name="Calculation 5 2 2 2 3 2" xfId="1506"/>
    <cellStyle name="Calculation 5 2 2 2 4" xfId="1507"/>
    <cellStyle name="Calculation 5 2 2 3" xfId="1508"/>
    <cellStyle name="Calculation 5 2 2 3 2" xfId="1509"/>
    <cellStyle name="Calculation 5 2 2 3 2 2" xfId="1510"/>
    <cellStyle name="Calculation 5 2 2 3 3" xfId="1511"/>
    <cellStyle name="Calculation 5 2 2 3 4" xfId="1512"/>
    <cellStyle name="Calculation 5 2 2 4" xfId="1513"/>
    <cellStyle name="Calculation 5 2 2 4 2" xfId="1514"/>
    <cellStyle name="Calculation 5 2 2 4 2 2" xfId="1515"/>
    <cellStyle name="Calculation 5 2 2 4 3" xfId="1516"/>
    <cellStyle name="Calculation 5 2 2 5" xfId="1517"/>
    <cellStyle name="Calculation 5 2 2 5 2" xfId="1518"/>
    <cellStyle name="Calculation 5 2 2 6" xfId="1519"/>
    <cellStyle name="Calculation 5 2 3" xfId="1520"/>
    <cellStyle name="Calculation 5 2 3 2" xfId="1521"/>
    <cellStyle name="Calculation 5 2 3 2 2" xfId="1522"/>
    <cellStyle name="Calculation 5 2 3 2 2 2" xfId="1523"/>
    <cellStyle name="Calculation 5 2 3 2 2 2 2" xfId="1524"/>
    <cellStyle name="Calculation 5 2 3 2 2 3" xfId="1525"/>
    <cellStyle name="Calculation 5 2 3 2 3" xfId="1526"/>
    <cellStyle name="Calculation 5 2 3 2 3 2" xfId="1527"/>
    <cellStyle name="Calculation 5 2 3 2 4" xfId="1528"/>
    <cellStyle name="Calculation 5 2 3 3" xfId="1529"/>
    <cellStyle name="Calculation 5 2 3 3 2" xfId="1530"/>
    <cellStyle name="Calculation 5 2 3 3 2 2" xfId="1531"/>
    <cellStyle name="Calculation 5 2 3 3 3" xfId="1532"/>
    <cellStyle name="Calculation 5 2 3 3 4" xfId="1533"/>
    <cellStyle name="Calculation 5 2 3 4" xfId="1534"/>
    <cellStyle name="Calculation 5 2 3 4 2" xfId="1535"/>
    <cellStyle name="Calculation 5 2 3 4 2 2" xfId="1536"/>
    <cellStyle name="Calculation 5 2 3 4 3" xfId="1537"/>
    <cellStyle name="Calculation 5 2 3 5" xfId="1538"/>
    <cellStyle name="Calculation 5 2 3 5 2" xfId="1539"/>
    <cellStyle name="Calculation 5 2 3 6" xfId="1540"/>
    <cellStyle name="Calculation 5 2 4" xfId="1541"/>
    <cellStyle name="Calculation 5 2 4 2" xfId="1542"/>
    <cellStyle name="Calculation 5 2 4 2 2" xfId="1543"/>
    <cellStyle name="Calculation 5 2 4 2 2 2" xfId="1544"/>
    <cellStyle name="Calculation 5 2 4 2 2 2 2" xfId="1545"/>
    <cellStyle name="Calculation 5 2 4 2 2 3" xfId="1546"/>
    <cellStyle name="Calculation 5 2 4 2 3" xfId="1547"/>
    <cellStyle name="Calculation 5 2 4 2 3 2" xfId="1548"/>
    <cellStyle name="Calculation 5 2 4 2 4" xfId="1549"/>
    <cellStyle name="Calculation 5 2 4 3" xfId="1550"/>
    <cellStyle name="Calculation 5 2 4 3 2" xfId="1551"/>
    <cellStyle name="Calculation 5 2 4 3 2 2" xfId="1552"/>
    <cellStyle name="Calculation 5 2 4 3 3" xfId="1553"/>
    <cellStyle name="Calculation 5 2 4 3 4" xfId="1554"/>
    <cellStyle name="Calculation 5 2 4 4" xfId="1555"/>
    <cellStyle name="Calculation 5 2 4 4 2" xfId="1556"/>
    <cellStyle name="Calculation 5 2 4 4 2 2" xfId="1557"/>
    <cellStyle name="Calculation 5 2 4 4 3" xfId="1558"/>
    <cellStyle name="Calculation 5 2 4 5" xfId="1559"/>
    <cellStyle name="Calculation 5 2 4 5 2" xfId="1560"/>
    <cellStyle name="Calculation 5 2 4 6" xfId="1561"/>
    <cellStyle name="Calculation 5 2 5" xfId="1562"/>
    <cellStyle name="Calculation 5 2 5 2" xfId="1563"/>
    <cellStyle name="Calculation 5 3" xfId="1564"/>
    <cellStyle name="Calculation 5 3 2" xfId="1565"/>
    <cellStyle name="Calculation 5 3 2 2" xfId="1566"/>
    <cellStyle name="Calculation 5 3 2 2 2" xfId="1567"/>
    <cellStyle name="Calculation 5 3 2 2 2 2" xfId="1568"/>
    <cellStyle name="Calculation 5 3 2 2 2 2 2" xfId="1569"/>
    <cellStyle name="Calculation 5 3 2 2 2 3" xfId="1570"/>
    <cellStyle name="Calculation 5 3 2 2 3" xfId="1571"/>
    <cellStyle name="Calculation 5 3 2 2 3 2" xfId="1572"/>
    <cellStyle name="Calculation 5 3 2 2 4" xfId="1573"/>
    <cellStyle name="Calculation 5 3 2 3" xfId="1574"/>
    <cellStyle name="Calculation 5 3 2 3 2" xfId="1575"/>
    <cellStyle name="Calculation 5 3 2 3 2 2" xfId="1576"/>
    <cellStyle name="Calculation 5 3 2 3 3" xfId="1577"/>
    <cellStyle name="Calculation 5 3 2 3 4" xfId="1578"/>
    <cellStyle name="Calculation 5 3 2 4" xfId="1579"/>
    <cellStyle name="Calculation 5 3 2 4 2" xfId="1580"/>
    <cellStyle name="Calculation 5 3 2 4 2 2" xfId="1581"/>
    <cellStyle name="Calculation 5 3 2 4 3" xfId="1582"/>
    <cellStyle name="Calculation 5 3 2 5" xfId="1583"/>
    <cellStyle name="Calculation 5 3 2 5 2" xfId="1584"/>
    <cellStyle name="Calculation 5 3 2 6" xfId="1585"/>
    <cellStyle name="Calculation 5 3 3" xfId="1586"/>
    <cellStyle name="Calculation 5 3 3 2" xfId="1587"/>
    <cellStyle name="Calculation 5 3 3 2 2" xfId="1588"/>
    <cellStyle name="Calculation 5 3 3 2 2 2" xfId="1589"/>
    <cellStyle name="Calculation 5 3 3 2 2 2 2" xfId="1590"/>
    <cellStyle name="Calculation 5 3 3 2 2 3" xfId="1591"/>
    <cellStyle name="Calculation 5 3 3 2 3" xfId="1592"/>
    <cellStyle name="Calculation 5 3 3 2 3 2" xfId="1593"/>
    <cellStyle name="Calculation 5 3 3 2 4" xfId="1594"/>
    <cellStyle name="Calculation 5 3 3 3" xfId="1595"/>
    <cellStyle name="Calculation 5 3 3 3 2" xfId="1596"/>
    <cellStyle name="Calculation 5 3 3 3 2 2" xfId="1597"/>
    <cellStyle name="Calculation 5 3 3 3 3" xfId="1598"/>
    <cellStyle name="Calculation 5 3 3 3 4" xfId="1599"/>
    <cellStyle name="Calculation 5 3 3 4" xfId="1600"/>
    <cellStyle name="Calculation 5 3 3 4 2" xfId="1601"/>
    <cellStyle name="Calculation 5 3 3 4 2 2" xfId="1602"/>
    <cellStyle name="Calculation 5 3 3 4 3" xfId="1603"/>
    <cellStyle name="Calculation 5 3 3 5" xfId="1604"/>
    <cellStyle name="Calculation 5 3 3 5 2" xfId="1605"/>
    <cellStyle name="Calculation 5 3 3 6" xfId="1606"/>
    <cellStyle name="Calculation 5 3 4" xfId="1607"/>
    <cellStyle name="Calculation 5 3 4 2" xfId="1608"/>
    <cellStyle name="Calculation 5 3 4 2 2" xfId="1609"/>
    <cellStyle name="Calculation 5 3 4 2 2 2" xfId="1610"/>
    <cellStyle name="Calculation 5 3 4 2 3" xfId="1611"/>
    <cellStyle name="Calculation 5 3 4 3" xfId="1612"/>
    <cellStyle name="Calculation 5 3 4 3 2" xfId="1613"/>
    <cellStyle name="Calculation 5 3 4 4" xfId="1614"/>
    <cellStyle name="Calculation 5 3 5" xfId="1615"/>
    <cellStyle name="Calculation 5 3 5 2" xfId="1616"/>
    <cellStyle name="Calculation 5 3 5 2 2" xfId="1617"/>
    <cellStyle name="Calculation 5 3 5 3" xfId="1618"/>
    <cellStyle name="Calculation 5 3 5 4" xfId="1619"/>
    <cellStyle name="Calculation 5 3 6" xfId="1620"/>
    <cellStyle name="Calculation 5 3 6 2" xfId="1621"/>
    <cellStyle name="Calculation 5 3 6 2 2" xfId="1622"/>
    <cellStyle name="Calculation 5 3 6 3" xfId="1623"/>
    <cellStyle name="Calculation 5 3 7" xfId="1624"/>
    <cellStyle name="Calculation 5 3 7 2" xfId="1625"/>
    <cellStyle name="Calculation 5 3 8" xfId="1626"/>
    <cellStyle name="Calculation 5 4" xfId="1627"/>
    <cellStyle name="Calculation 5 4 2" xfId="1628"/>
    <cellStyle name="Calculation 5 4 2 2" xfId="1629"/>
    <cellStyle name="Calculation 5 4 2 2 2" xfId="1630"/>
    <cellStyle name="Calculation 5 4 2 2 2 2" xfId="1631"/>
    <cellStyle name="Calculation 5 4 2 2 3" xfId="1632"/>
    <cellStyle name="Calculation 5 4 2 3" xfId="1633"/>
    <cellStyle name="Calculation 5 4 2 3 2" xfId="1634"/>
    <cellStyle name="Calculation 5 4 2 4" xfId="1635"/>
    <cellStyle name="Calculation 5 4 3" xfId="1636"/>
    <cellStyle name="Calculation 5 4 3 2" xfId="1637"/>
    <cellStyle name="Calculation 5 4 3 2 2" xfId="1638"/>
    <cellStyle name="Calculation 5 4 3 3" xfId="1639"/>
    <cellStyle name="Calculation 5 4 3 4" xfId="1640"/>
    <cellStyle name="Calculation 5 4 4" xfId="1641"/>
    <cellStyle name="Calculation 5 4 4 2" xfId="1642"/>
    <cellStyle name="Calculation 5 4 4 2 2" xfId="1643"/>
    <cellStyle name="Calculation 5 4 4 3" xfId="1644"/>
    <cellStyle name="Calculation 5 4 5" xfId="1645"/>
    <cellStyle name="Calculation 5 4 5 2" xfId="1646"/>
    <cellStyle name="Calculation 5 4 6" xfId="1647"/>
    <cellStyle name="Calculation 6" xfId="1648"/>
    <cellStyle name="Calculation 6 2" xfId="1649"/>
    <cellStyle name="Calculation 6 2 2" xfId="1650"/>
    <cellStyle name="Calculation 6 2 2 2" xfId="1651"/>
    <cellStyle name="Calculation 6 2 2 2 2" xfId="1652"/>
    <cellStyle name="Calculation 6 2 2 2 2 2" xfId="1653"/>
    <cellStyle name="Calculation 6 2 2 2 2 2 2" xfId="1654"/>
    <cellStyle name="Calculation 6 2 2 2 2 3" xfId="1655"/>
    <cellStyle name="Calculation 6 2 2 2 3" xfId="1656"/>
    <cellStyle name="Calculation 6 2 2 2 3 2" xfId="1657"/>
    <cellStyle name="Calculation 6 2 2 2 4" xfId="1658"/>
    <cellStyle name="Calculation 6 2 2 3" xfId="1659"/>
    <cellStyle name="Calculation 6 2 2 3 2" xfId="1660"/>
    <cellStyle name="Calculation 6 2 2 3 2 2" xfId="1661"/>
    <cellStyle name="Calculation 6 2 2 3 3" xfId="1662"/>
    <cellStyle name="Calculation 6 2 2 3 4" xfId="1663"/>
    <cellStyle name="Calculation 6 2 2 4" xfId="1664"/>
    <cellStyle name="Calculation 6 2 2 4 2" xfId="1665"/>
    <cellStyle name="Calculation 6 2 2 4 2 2" xfId="1666"/>
    <cellStyle name="Calculation 6 2 2 4 3" xfId="1667"/>
    <cellStyle name="Calculation 6 2 2 5" xfId="1668"/>
    <cellStyle name="Calculation 6 2 2 5 2" xfId="1669"/>
    <cellStyle name="Calculation 6 2 2 6" xfId="1670"/>
    <cellStyle name="Calculation 6 2 3" xfId="1671"/>
    <cellStyle name="Calculation 6 2 3 2" xfId="1672"/>
    <cellStyle name="Calculation 6 2 3 2 2" xfId="1673"/>
    <cellStyle name="Calculation 6 2 3 2 2 2" xfId="1674"/>
    <cellStyle name="Calculation 6 2 3 2 2 2 2" xfId="1675"/>
    <cellStyle name="Calculation 6 2 3 2 2 3" xfId="1676"/>
    <cellStyle name="Calculation 6 2 3 2 3" xfId="1677"/>
    <cellStyle name="Calculation 6 2 3 2 3 2" xfId="1678"/>
    <cellStyle name="Calculation 6 2 3 2 4" xfId="1679"/>
    <cellStyle name="Calculation 6 2 3 3" xfId="1680"/>
    <cellStyle name="Calculation 6 2 3 3 2" xfId="1681"/>
    <cellStyle name="Calculation 6 2 3 3 2 2" xfId="1682"/>
    <cellStyle name="Calculation 6 2 3 3 3" xfId="1683"/>
    <cellStyle name="Calculation 6 2 3 3 4" xfId="1684"/>
    <cellStyle name="Calculation 6 2 3 4" xfId="1685"/>
    <cellStyle name="Calculation 6 2 3 4 2" xfId="1686"/>
    <cellStyle name="Calculation 6 2 3 4 2 2" xfId="1687"/>
    <cellStyle name="Calculation 6 2 3 4 3" xfId="1688"/>
    <cellStyle name="Calculation 6 2 3 5" xfId="1689"/>
    <cellStyle name="Calculation 6 2 3 5 2" xfId="1690"/>
    <cellStyle name="Calculation 6 2 3 6" xfId="1691"/>
    <cellStyle name="Calculation 6 2 4" xfId="1692"/>
    <cellStyle name="Calculation 6 2 4 2" xfId="1693"/>
    <cellStyle name="Calculation 6 2 4 2 2" xfId="1694"/>
    <cellStyle name="Calculation 6 2 4 2 2 2" xfId="1695"/>
    <cellStyle name="Calculation 6 2 4 2 3" xfId="1696"/>
    <cellStyle name="Calculation 6 2 4 3" xfId="1697"/>
    <cellStyle name="Calculation 6 2 4 3 2" xfId="1698"/>
    <cellStyle name="Calculation 6 2 4 4" xfId="1699"/>
    <cellStyle name="Calculation 6 2 5" xfId="1700"/>
    <cellStyle name="Calculation 6 2 5 2" xfId="1701"/>
    <cellStyle name="Calculation 6 2 5 2 2" xfId="1702"/>
    <cellStyle name="Calculation 6 2 5 3" xfId="1703"/>
    <cellStyle name="Calculation 6 2 5 4" xfId="1704"/>
    <cellStyle name="Calculation 6 2 6" xfId="1705"/>
    <cellStyle name="Calculation 6 2 6 2" xfId="1706"/>
    <cellStyle name="Calculation 6 2 6 2 2" xfId="1707"/>
    <cellStyle name="Calculation 6 2 6 3" xfId="1708"/>
    <cellStyle name="Calculation 6 2 7" xfId="1709"/>
    <cellStyle name="Calculation 6 2 7 2" xfId="1710"/>
    <cellStyle name="Calculation 6 2 8" xfId="1711"/>
    <cellStyle name="Calculation 6 3" xfId="1712"/>
    <cellStyle name="Calculation 6 3 2" xfId="1713"/>
    <cellStyle name="Calculation 6 3 2 2" xfId="1714"/>
    <cellStyle name="Calculation 6 3 2 2 2" xfId="1715"/>
    <cellStyle name="Calculation 6 3 2 2 2 2" xfId="1716"/>
    <cellStyle name="Calculation 6 3 2 2 3" xfId="1717"/>
    <cellStyle name="Calculation 6 3 2 3" xfId="1718"/>
    <cellStyle name="Calculation 6 3 2 3 2" xfId="1719"/>
    <cellStyle name="Calculation 6 3 2 4" xfId="1720"/>
    <cellStyle name="Calculation 6 3 3" xfId="1721"/>
    <cellStyle name="Calculation 6 3 3 2" xfId="1722"/>
    <cellStyle name="Calculation 6 3 3 2 2" xfId="1723"/>
    <cellStyle name="Calculation 6 3 3 3" xfId="1724"/>
    <cellStyle name="Calculation 6 3 3 4" xfId="1725"/>
    <cellStyle name="Calculation 6 3 4" xfId="1726"/>
    <cellStyle name="Calculation 6 3 4 2" xfId="1727"/>
    <cellStyle name="Calculation 6 3 4 2 2" xfId="1728"/>
    <cellStyle name="Calculation 6 3 4 3" xfId="1729"/>
    <cellStyle name="Calculation 6 3 5" xfId="1730"/>
    <cellStyle name="Calculation 6 3 5 2" xfId="1731"/>
    <cellStyle name="Calculation 6 3 6" xfId="1732"/>
    <cellStyle name="Calculation 6 4" xfId="1733"/>
    <cellStyle name="Calculation 6 4 2" xfId="1734"/>
    <cellStyle name="Calculation 7" xfId="1735"/>
    <cellStyle name="Calculation 7 2" xfId="1736"/>
    <cellStyle name="Calculation 7 2 2" xfId="1737"/>
    <cellStyle name="Calculation 7 2 2 2" xfId="1738"/>
    <cellStyle name="Calculation 7 2 2 2 2" xfId="1739"/>
    <cellStyle name="Calculation 7 2 2 2 2 2" xfId="1740"/>
    <cellStyle name="Calculation 7 2 2 2 3" xfId="1741"/>
    <cellStyle name="Calculation 7 2 2 3" xfId="1742"/>
    <cellStyle name="Calculation 7 2 2 3 2" xfId="1743"/>
    <cellStyle name="Calculation 7 2 2 4" xfId="1744"/>
    <cellStyle name="Calculation 7 2 3" xfId="1745"/>
    <cellStyle name="Calculation 7 2 3 2" xfId="1746"/>
    <cellStyle name="Calculation 7 2 3 2 2" xfId="1747"/>
    <cellStyle name="Calculation 7 2 3 3" xfId="1748"/>
    <cellStyle name="Calculation 7 2 3 4" xfId="1749"/>
    <cellStyle name="Calculation 7 2 4" xfId="1750"/>
    <cellStyle name="Calculation 7 2 4 2" xfId="1751"/>
    <cellStyle name="Calculation 7 2 4 2 2" xfId="1752"/>
    <cellStyle name="Calculation 7 2 4 3" xfId="1753"/>
    <cellStyle name="Calculation 7 2 5" xfId="1754"/>
    <cellStyle name="Calculation 7 2 5 2" xfId="1755"/>
    <cellStyle name="Calculation 7 2 6" xfId="1756"/>
    <cellStyle name="Calculation 7 3" xfId="1757"/>
    <cellStyle name="Calculation 7 3 2" xfId="1758"/>
    <cellStyle name="Calculation 7 3 2 2" xfId="1759"/>
    <cellStyle name="Calculation 7 3 2 2 2" xfId="1760"/>
    <cellStyle name="Calculation 7 3 2 2 2 2" xfId="1761"/>
    <cellStyle name="Calculation 7 3 2 2 3" xfId="1762"/>
    <cellStyle name="Calculation 7 3 2 3" xfId="1763"/>
    <cellStyle name="Calculation 7 3 2 3 2" xfId="1764"/>
    <cellStyle name="Calculation 7 3 2 4" xfId="1765"/>
    <cellStyle name="Calculation 7 3 3" xfId="1766"/>
    <cellStyle name="Calculation 7 3 3 2" xfId="1767"/>
    <cellStyle name="Calculation 7 3 3 2 2" xfId="1768"/>
    <cellStyle name="Calculation 7 3 3 3" xfId="1769"/>
    <cellStyle name="Calculation 7 3 3 4" xfId="1770"/>
    <cellStyle name="Calculation 7 3 4" xfId="1771"/>
    <cellStyle name="Calculation 7 3 4 2" xfId="1772"/>
    <cellStyle name="Calculation 7 3 4 2 2" xfId="1773"/>
    <cellStyle name="Calculation 7 3 4 3" xfId="1774"/>
    <cellStyle name="Calculation 7 3 5" xfId="1775"/>
    <cellStyle name="Calculation 7 3 5 2" xfId="1776"/>
    <cellStyle name="Calculation 7 3 6" xfId="1777"/>
    <cellStyle name="Calculation 7 4" xfId="1778"/>
    <cellStyle name="Calculation 7 4 2" xfId="1779"/>
    <cellStyle name="Calculation 7 4 2 2" xfId="1780"/>
    <cellStyle name="Calculation 7 4 2 2 2" xfId="1781"/>
    <cellStyle name="Calculation 7 4 2 3" xfId="1782"/>
    <cellStyle name="Calculation 7 4 3" xfId="1783"/>
    <cellStyle name="Calculation 7 4 3 2" xfId="1784"/>
    <cellStyle name="Calculation 7 4 4" xfId="1785"/>
    <cellStyle name="Calculation 7 5" xfId="1786"/>
    <cellStyle name="Calculation 7 5 2" xfId="1787"/>
    <cellStyle name="Calculation 7 5 2 2" xfId="1788"/>
    <cellStyle name="Calculation 7 5 3" xfId="1789"/>
    <cellStyle name="Calculation 7 5 4" xfId="1790"/>
    <cellStyle name="Calculation 7 6" xfId="1791"/>
    <cellStyle name="Calculation 7 6 2" xfId="1792"/>
    <cellStyle name="Calculation 7 6 2 2" xfId="1793"/>
    <cellStyle name="Calculation 7 6 3" xfId="1794"/>
    <cellStyle name="Calculation 7 7" xfId="1795"/>
    <cellStyle name="Calculation 7 7 2" xfId="1796"/>
    <cellStyle name="Calculation 7 8" xfId="1797"/>
    <cellStyle name="Check Cell 2" xfId="1798"/>
    <cellStyle name="Check Cell 2 2" xfId="1799"/>
    <cellStyle name="Check Cell 3" xfId="1800"/>
    <cellStyle name="Check Cell 4" xfId="1801"/>
    <cellStyle name="code" xfId="1802"/>
    <cellStyle name="Comma [0] 2" xfId="1803"/>
    <cellStyle name="Comma [0] 2 2" xfId="1804"/>
    <cellStyle name="Comma [0] 2 2 2" xfId="1805"/>
    <cellStyle name="Comma [0] 3" xfId="1806"/>
    <cellStyle name="Comma [0] 3 2" xfId="1807"/>
    <cellStyle name="Comma [0] 3 2 2" xfId="1808"/>
    <cellStyle name="Comma [0] 4" xfId="1809"/>
    <cellStyle name="Comma [0] 4 2" xfId="1810"/>
    <cellStyle name="Comma [0] 5" xfId="2"/>
    <cellStyle name="Comma 10" xfId="1811"/>
    <cellStyle name="Comma 10 2" xfId="1812"/>
    <cellStyle name="Comma 10 2 2" xfId="1813"/>
    <cellStyle name="Comma 10 2 2 2" xfId="1814"/>
    <cellStyle name="Comma 10 2 2 2 2" xfId="1815"/>
    <cellStyle name="Comma 10 2 2 3" xfId="1816"/>
    <cellStyle name="Comma 10 2 3" xfId="1817"/>
    <cellStyle name="Comma 10 2 3 2" xfId="1818"/>
    <cellStyle name="Comma 10 2 4" xfId="1819"/>
    <cellStyle name="Comma 10 3" xfId="1820"/>
    <cellStyle name="Comma 10 3 2" xfId="1821"/>
    <cellStyle name="Comma 10 3 2 2" xfId="1822"/>
    <cellStyle name="Comma 10 3 3" xfId="1823"/>
    <cellStyle name="Comma 10 4" xfId="1824"/>
    <cellStyle name="Comma 10 4 2" xfId="1825"/>
    <cellStyle name="Comma 10 5" xfId="1826"/>
    <cellStyle name="Comma 10 5 2" xfId="1827"/>
    <cellStyle name="Comma 10 6" xfId="1828"/>
    <cellStyle name="Comma 100" xfId="1829"/>
    <cellStyle name="Comma 101" xfId="1830"/>
    <cellStyle name="Comma 102" xfId="1831"/>
    <cellStyle name="Comma 103" xfId="1832"/>
    <cellStyle name="Comma 104" xfId="1833"/>
    <cellStyle name="Comma 105" xfId="1834"/>
    <cellStyle name="Comma 106" xfId="1835"/>
    <cellStyle name="Comma 107" xfId="1836"/>
    <cellStyle name="Comma 108" xfId="1837"/>
    <cellStyle name="Comma 109" xfId="1838"/>
    <cellStyle name="Comma 11" xfId="1839"/>
    <cellStyle name="Comma 11 2" xfId="1840"/>
    <cellStyle name="Comma 11 2 2" xfId="1841"/>
    <cellStyle name="Comma 11 2 2 2" xfId="1842"/>
    <cellStyle name="Comma 11 2 3" xfId="1843"/>
    <cellStyle name="Comma 11 3" xfId="1844"/>
    <cellStyle name="Comma 11 3 2" xfId="1845"/>
    <cellStyle name="Comma 11 4" xfId="1846"/>
    <cellStyle name="Comma 11 4 2" xfId="1847"/>
    <cellStyle name="Comma 11 5" xfId="1848"/>
    <cellStyle name="Comma 110" xfId="1849"/>
    <cellStyle name="Comma 111" xfId="1850"/>
    <cellStyle name="Comma 112" xfId="1851"/>
    <cellStyle name="Comma 113" xfId="1852"/>
    <cellStyle name="Comma 114" xfId="1853"/>
    <cellStyle name="Comma 115" xfId="1854"/>
    <cellStyle name="Comma 116" xfId="1855"/>
    <cellStyle name="Comma 117" xfId="1856"/>
    <cellStyle name="Comma 118" xfId="1857"/>
    <cellStyle name="Comma 119" xfId="1858"/>
    <cellStyle name="Comma 12" xfId="1859"/>
    <cellStyle name="Comma 12 2" xfId="1860"/>
    <cellStyle name="Comma 12 2 2" xfId="1861"/>
    <cellStyle name="Comma 12 2 2 2" xfId="1862"/>
    <cellStyle name="Comma 12 2 3" xfId="1863"/>
    <cellStyle name="Comma 12 3" xfId="1864"/>
    <cellStyle name="Comma 12 3 2" xfId="1865"/>
    <cellStyle name="Comma 12 4" xfId="1866"/>
    <cellStyle name="Comma 12 4 2" xfId="1867"/>
    <cellStyle name="Comma 12 5" xfId="1868"/>
    <cellStyle name="Comma 120" xfId="1869"/>
    <cellStyle name="Comma 121" xfId="1870"/>
    <cellStyle name="Comma 122" xfId="1871"/>
    <cellStyle name="Comma 123" xfId="1872"/>
    <cellStyle name="Comma 124" xfId="1873"/>
    <cellStyle name="Comma 125" xfId="1874"/>
    <cellStyle name="Comma 126" xfId="1875"/>
    <cellStyle name="Comma 127" xfId="1876"/>
    <cellStyle name="Comma 128" xfId="1877"/>
    <cellStyle name="Comma 13" xfId="1878"/>
    <cellStyle name="Comma 13 2" xfId="1879"/>
    <cellStyle name="Comma 14" xfId="1880"/>
    <cellStyle name="Comma 14 2" xfId="1881"/>
    <cellStyle name="Comma 15" xfId="1882"/>
    <cellStyle name="Comma 15 2" xfId="1883"/>
    <cellStyle name="Comma 16" xfId="1884"/>
    <cellStyle name="Comma 16 2" xfId="1885"/>
    <cellStyle name="Comma 17" xfId="1886"/>
    <cellStyle name="Comma 17 2" xfId="1887"/>
    <cellStyle name="Comma 18" xfId="1888"/>
    <cellStyle name="Comma 18 2" xfId="1889"/>
    <cellStyle name="Comma 19" xfId="1890"/>
    <cellStyle name="Comma 19 2" xfId="1891"/>
    <cellStyle name="Comma 2" xfId="1892"/>
    <cellStyle name="Comma 2 2" xfId="1893"/>
    <cellStyle name="Comma 2 2 2" xfId="1894"/>
    <cellStyle name="Comma 2 3" xfId="1895"/>
    <cellStyle name="Comma 20" xfId="1896"/>
    <cellStyle name="Comma 20 2" xfId="1897"/>
    <cellStyle name="Comma 21" xfId="1898"/>
    <cellStyle name="Comma 21 2" xfId="1899"/>
    <cellStyle name="Comma 22" xfId="1900"/>
    <cellStyle name="Comma 23" xfId="1901"/>
    <cellStyle name="Comma 24" xfId="1902"/>
    <cellStyle name="Comma 25" xfId="1903"/>
    <cellStyle name="Comma 26" xfId="1904"/>
    <cellStyle name="Comma 26 2" xfId="1905"/>
    <cellStyle name="Comma 27" xfId="1906"/>
    <cellStyle name="Comma 27 2" xfId="1907"/>
    <cellStyle name="Comma 28" xfId="1908"/>
    <cellStyle name="Comma 28 2" xfId="1909"/>
    <cellStyle name="Comma 29" xfId="1910"/>
    <cellStyle name="Comma 29 2" xfId="1911"/>
    <cellStyle name="Comma 3" xfId="1912"/>
    <cellStyle name="Comma 3 2" xfId="1913"/>
    <cellStyle name="Comma 30" xfId="1914"/>
    <cellStyle name="Comma 30 2" xfId="1915"/>
    <cellStyle name="Comma 31" xfId="1916"/>
    <cellStyle name="Comma 31 2" xfId="1917"/>
    <cellStyle name="Comma 32" xfId="1918"/>
    <cellStyle name="Comma 32 2" xfId="1919"/>
    <cellStyle name="Comma 33" xfId="1920"/>
    <cellStyle name="Comma 33 2" xfId="1921"/>
    <cellStyle name="Comma 34" xfId="1922"/>
    <cellStyle name="Comma 34 2" xfId="1923"/>
    <cellStyle name="Comma 35" xfId="1924"/>
    <cellStyle name="Comma 35 2" xfId="1925"/>
    <cellStyle name="Comma 36" xfId="1926"/>
    <cellStyle name="Comma 36 2" xfId="1927"/>
    <cellStyle name="Comma 37" xfId="1928"/>
    <cellStyle name="Comma 37 2" xfId="1929"/>
    <cellStyle name="Comma 38" xfId="1930"/>
    <cellStyle name="Comma 38 2" xfId="1931"/>
    <cellStyle name="Comma 39" xfId="1932"/>
    <cellStyle name="Comma 39 2" xfId="1933"/>
    <cellStyle name="Comma 4" xfId="1934"/>
    <cellStyle name="Comma 4 2" xfId="1935"/>
    <cellStyle name="Comma 40" xfId="1936"/>
    <cellStyle name="Comma 40 2" xfId="1937"/>
    <cellStyle name="Comma 41" xfId="1938"/>
    <cellStyle name="Comma 41 2" xfId="1939"/>
    <cellStyle name="Comma 42" xfId="1940"/>
    <cellStyle name="Comma 42 2" xfId="1941"/>
    <cellStyle name="Comma 43" xfId="1942"/>
    <cellStyle name="Comma 43 2" xfId="1943"/>
    <cellStyle name="Comma 44" xfId="1944"/>
    <cellStyle name="Comma 44 2" xfId="1945"/>
    <cellStyle name="Comma 45" xfId="1946"/>
    <cellStyle name="Comma 45 2" xfId="1947"/>
    <cellStyle name="Comma 46" xfId="1948"/>
    <cellStyle name="Comma 46 2" xfId="1949"/>
    <cellStyle name="Comma 47" xfId="1950"/>
    <cellStyle name="Comma 47 2" xfId="1951"/>
    <cellStyle name="Comma 48" xfId="1952"/>
    <cellStyle name="Comma 48 2" xfId="1953"/>
    <cellStyle name="Comma 49" xfId="1954"/>
    <cellStyle name="Comma 49 2" xfId="1955"/>
    <cellStyle name="Comma 5" xfId="1956"/>
    <cellStyle name="Comma 5 2" xfId="1957"/>
    <cellStyle name="Comma 5 2 2" xfId="1958"/>
    <cellStyle name="Comma 5 3" xfId="1959"/>
    <cellStyle name="Comma 50" xfId="1960"/>
    <cellStyle name="Comma 50 2" xfId="1961"/>
    <cellStyle name="Comma 51" xfId="1962"/>
    <cellStyle name="Comma 51 2" xfId="1963"/>
    <cellStyle name="Comma 52" xfId="1964"/>
    <cellStyle name="Comma 52 2" xfId="1965"/>
    <cellStyle name="Comma 53" xfId="1966"/>
    <cellStyle name="Comma 53 2" xfId="1967"/>
    <cellStyle name="Comma 54" xfId="1968"/>
    <cellStyle name="Comma 54 2" xfId="1969"/>
    <cellStyle name="Comma 55" xfId="1970"/>
    <cellStyle name="Comma 55 2" xfId="1971"/>
    <cellStyle name="Comma 56" xfId="1972"/>
    <cellStyle name="Comma 56 2" xfId="1973"/>
    <cellStyle name="Comma 57" xfId="1974"/>
    <cellStyle name="Comma 57 2" xfId="1975"/>
    <cellStyle name="Comma 58" xfId="1976"/>
    <cellStyle name="Comma 58 2" xfId="1977"/>
    <cellStyle name="Comma 59" xfId="1978"/>
    <cellStyle name="Comma 59 2" xfId="1979"/>
    <cellStyle name="Comma 6" xfId="1980"/>
    <cellStyle name="Comma 6 2" xfId="1981"/>
    <cellStyle name="Comma 6 2 2" xfId="1982"/>
    <cellStyle name="Comma 6 3" xfId="1983"/>
    <cellStyle name="Comma 60" xfId="1984"/>
    <cellStyle name="Comma 60 2" xfId="1985"/>
    <cellStyle name="Comma 61" xfId="1986"/>
    <cellStyle name="Comma 62" xfId="1987"/>
    <cellStyle name="Comma 63" xfId="1988"/>
    <cellStyle name="Comma 64" xfId="1989"/>
    <cellStyle name="Comma 65" xfId="1990"/>
    <cellStyle name="Comma 66" xfId="1991"/>
    <cellStyle name="Comma 67" xfId="1992"/>
    <cellStyle name="Comma 68" xfId="1993"/>
    <cellStyle name="Comma 69" xfId="1994"/>
    <cellStyle name="Comma 7" xfId="1995"/>
    <cellStyle name="Comma 7 2" xfId="1996"/>
    <cellStyle name="Comma 7 2 2" xfId="1997"/>
    <cellStyle name="Comma 7 2 2 2" xfId="1998"/>
    <cellStyle name="Comma 7 2 3" xfId="1999"/>
    <cellStyle name="Comma 7 3" xfId="2000"/>
    <cellStyle name="Comma 7 3 2" xfId="2001"/>
    <cellStyle name="Comma 7 4" xfId="2002"/>
    <cellStyle name="Comma 7 4 2" xfId="2003"/>
    <cellStyle name="Comma 7 5" xfId="2004"/>
    <cellStyle name="Comma 70" xfId="2005"/>
    <cellStyle name="Comma 71" xfId="2006"/>
    <cellStyle name="Comma 72" xfId="2007"/>
    <cellStyle name="Comma 73" xfId="2008"/>
    <cellStyle name="Comma 74" xfId="2009"/>
    <cellStyle name="Comma 75" xfId="2010"/>
    <cellStyle name="Comma 76" xfId="2011"/>
    <cellStyle name="Comma 77" xfId="2012"/>
    <cellStyle name="Comma 78" xfId="2013"/>
    <cellStyle name="Comma 79" xfId="2014"/>
    <cellStyle name="Comma 8" xfId="2015"/>
    <cellStyle name="Comma 8 2" xfId="2016"/>
    <cellStyle name="Comma 8 2 2" xfId="2017"/>
    <cellStyle name="Comma 8 2 2 2" xfId="2018"/>
    <cellStyle name="Comma 8 2 3" xfId="2019"/>
    <cellStyle name="Comma 8 3" xfId="2020"/>
    <cellStyle name="Comma 8 3 2" xfId="2021"/>
    <cellStyle name="Comma 8 4" xfId="2022"/>
    <cellStyle name="Comma 8 4 2" xfId="2023"/>
    <cellStyle name="Comma 8 5" xfId="2024"/>
    <cellStyle name="Comma 80" xfId="2025"/>
    <cellStyle name="Comma 81" xfId="2026"/>
    <cellStyle name="Comma 82" xfId="2027"/>
    <cellStyle name="Comma 83" xfId="2028"/>
    <cellStyle name="Comma 84" xfId="2029"/>
    <cellStyle name="Comma 85" xfId="2030"/>
    <cellStyle name="Comma 86" xfId="2031"/>
    <cellStyle name="Comma 87" xfId="2032"/>
    <cellStyle name="Comma 88" xfId="2033"/>
    <cellStyle name="Comma 89" xfId="2034"/>
    <cellStyle name="Comma 9" xfId="2035"/>
    <cellStyle name="Comma 9 2" xfId="2036"/>
    <cellStyle name="Comma 9 2 2" xfId="2037"/>
    <cellStyle name="Comma 9 2 2 2" xfId="2038"/>
    <cellStyle name="Comma 9 2 3" xfId="2039"/>
    <cellStyle name="Comma 9 3" xfId="2040"/>
    <cellStyle name="Comma 9 3 2" xfId="2041"/>
    <cellStyle name="Comma 9 4" xfId="2042"/>
    <cellStyle name="Comma 9 4 2" xfId="2043"/>
    <cellStyle name="Comma 9 5" xfId="2044"/>
    <cellStyle name="Comma 90" xfId="2045"/>
    <cellStyle name="Comma 91" xfId="2046"/>
    <cellStyle name="Comma 92" xfId="2047"/>
    <cellStyle name="Comma 93" xfId="2048"/>
    <cellStyle name="Comma 94" xfId="2049"/>
    <cellStyle name="Comma 95" xfId="2050"/>
    <cellStyle name="Comma 96" xfId="2051"/>
    <cellStyle name="Comma 97" xfId="2052"/>
    <cellStyle name="Comma 98" xfId="2053"/>
    <cellStyle name="Comma 99" xfId="2054"/>
    <cellStyle name="COMMENTS" xfId="2055"/>
    <cellStyle name="Currency 2" xfId="2056"/>
    <cellStyle name="Currency 2 2" xfId="2057"/>
    <cellStyle name="Currency 3" xfId="2058"/>
    <cellStyle name="Currency 3 2" xfId="2059"/>
    <cellStyle name="Currency 4" xfId="2060"/>
    <cellStyle name="Currency 4 2" xfId="2061"/>
    <cellStyle name="Currency 5" xfId="2062"/>
    <cellStyle name="Currency 5 2" xfId="2063"/>
    <cellStyle name="Currency 6" xfId="2064"/>
    <cellStyle name="Currency 6 2" xfId="2065"/>
    <cellStyle name="Currency 7" xfId="2066"/>
    <cellStyle name="dash" xfId="2067"/>
    <cellStyle name="Data" xfId="2068"/>
    <cellStyle name="Data2" xfId="2069"/>
    <cellStyle name="Data5" xfId="2070"/>
    <cellStyle name="date" xfId="2071"/>
    <cellStyle name="date 2" xfId="2072"/>
    <cellStyle name="Daymethod" xfId="2073"/>
    <cellStyle name="days" xfId="2074"/>
    <cellStyle name="Dialog" xfId="2075"/>
    <cellStyle name="Explanatory Text 2" xfId="2076"/>
    <cellStyle name="Explanatory Text 3" xfId="2077"/>
    <cellStyle name="FcBackground" xfId="2078"/>
    <cellStyle name="FcBluesFuts" xfId="2079"/>
    <cellStyle name="FcCalculated" xfId="2080"/>
    <cellStyle name="FcCalculated 2" xfId="2081"/>
    <cellStyle name="FcCalculated 3" xfId="2082"/>
    <cellStyle name="FcCalculated_apollo_curves" xfId="2083"/>
    <cellStyle name="FcCalculated2" xfId="2084"/>
    <cellStyle name="FcExtData" xfId="2085"/>
    <cellStyle name="FcFrontFut" xfId="2086"/>
    <cellStyle name="FcFrontRed" xfId="2087"/>
    <cellStyle name="FcGoldFuts" xfId="2088"/>
    <cellStyle name="FcGreenFuts" xfId="2089"/>
    <cellStyle name="FcInput" xfId="2090"/>
    <cellStyle name="FcLabel1" xfId="2091"/>
    <cellStyle name="FcLabel2" xfId="2092"/>
    <cellStyle name="FcNumeric" xfId="2093"/>
    <cellStyle name="FcNumeric 2" xfId="2094"/>
    <cellStyle name="FcRealTime" xfId="2095"/>
    <cellStyle name="FcRealTime 2" xfId="2096"/>
    <cellStyle name="FcRealTime 3" xfId="2097"/>
    <cellStyle name="FcRealTime_apollo_curves" xfId="2098"/>
    <cellStyle name="FcRedFuts" xfId="2099"/>
    <cellStyle name="FcSubHeading" xfId="2100"/>
    <cellStyle name="FcTechHackers" xfId="2101"/>
    <cellStyle name="FcTopLine" xfId="2102"/>
    <cellStyle name="footnote" xfId="2103"/>
    <cellStyle name="footnote2" xfId="2104"/>
    <cellStyle name="GeneralText" xfId="2105"/>
    <cellStyle name="Good 2" xfId="2106"/>
    <cellStyle name="Good 2 2" xfId="2107"/>
    <cellStyle name="Good 3" xfId="2108"/>
    <cellStyle name="Good 4" xfId="2109"/>
    <cellStyle name="Header" xfId="2110"/>
    <cellStyle name="Header 2" xfId="2111"/>
    <cellStyle name="Heading 1 2" xfId="2112"/>
    <cellStyle name="Heading 1 2 2" xfId="2113"/>
    <cellStyle name="Heading 1 3" xfId="2114"/>
    <cellStyle name="Heading 1 3 2" xfId="2115"/>
    <cellStyle name="Heading 1 4" xfId="2116"/>
    <cellStyle name="Heading 1 5" xfId="2117"/>
    <cellStyle name="Heading 1 6" xfId="2118"/>
    <cellStyle name="Heading 2 2" xfId="2119"/>
    <cellStyle name="Heading 2 2 2" xfId="2120"/>
    <cellStyle name="Heading 2 3" xfId="2121"/>
    <cellStyle name="Heading 2 4" xfId="2122"/>
    <cellStyle name="Heading 2 5" xfId="2123"/>
    <cellStyle name="Heading 2 6" xfId="2124"/>
    <cellStyle name="Heading 3 2" xfId="2125"/>
    <cellStyle name="Heading 3 2 2" xfId="2126"/>
    <cellStyle name="Heading 3 3" xfId="2127"/>
    <cellStyle name="Heading 3 3 2" xfId="2128"/>
    <cellStyle name="Heading 3 4" xfId="2129"/>
    <cellStyle name="Heading 3 5" xfId="2130"/>
    <cellStyle name="Heading 3 6" xfId="2131"/>
    <cellStyle name="Heading 4 2" xfId="2132"/>
    <cellStyle name="Heading 4 2 2" xfId="2133"/>
    <cellStyle name="Heading 4 3" xfId="2134"/>
    <cellStyle name="Heading 4 4" xfId="2135"/>
    <cellStyle name="Heading 4 5" xfId="2136"/>
    <cellStyle name="Hidden" xfId="2137"/>
    <cellStyle name="Hyperlink 2" xfId="2138"/>
    <cellStyle name="Hyperlink 2 2" xfId="2139"/>
    <cellStyle name="Hyperlink 2_Instructions and Positions" xfId="2140"/>
    <cellStyle name="implemented" xfId="2141"/>
    <cellStyle name="Input 2" xfId="2142"/>
    <cellStyle name="Input 2 2" xfId="2143"/>
    <cellStyle name="Input 2 2 2" xfId="2144"/>
    <cellStyle name="Input 2 2 2 2" xfId="2145"/>
    <cellStyle name="Input 2 2 2 2 2" xfId="2146"/>
    <cellStyle name="Input 2 2 2 2 2 2" xfId="2147"/>
    <cellStyle name="Input 2 2 2 2 2 2 2" xfId="2148"/>
    <cellStyle name="Input 2 2 2 2 2 2 2 2" xfId="2149"/>
    <cellStyle name="Input 2 2 2 2 2 2 2 2 2" xfId="2150"/>
    <cellStyle name="Input 2 2 2 2 2 2 2 3" xfId="2151"/>
    <cellStyle name="Input 2 2 2 2 2 2 3" xfId="2152"/>
    <cellStyle name="Input 2 2 2 2 2 2 3 2" xfId="2153"/>
    <cellStyle name="Input 2 2 2 2 2 2 4" xfId="2154"/>
    <cellStyle name="Input 2 2 2 2 2 3" xfId="2155"/>
    <cellStyle name="Input 2 2 2 2 2 3 2" xfId="2156"/>
    <cellStyle name="Input 2 2 2 2 2 3 2 2" xfId="2157"/>
    <cellStyle name="Input 2 2 2 2 2 3 3" xfId="2158"/>
    <cellStyle name="Input 2 2 2 2 2 3 4" xfId="2159"/>
    <cellStyle name="Input 2 2 2 2 2 4" xfId="2160"/>
    <cellStyle name="Input 2 2 2 2 2 4 2" xfId="2161"/>
    <cellStyle name="Input 2 2 2 2 2 4 2 2" xfId="2162"/>
    <cellStyle name="Input 2 2 2 2 2 4 3" xfId="2163"/>
    <cellStyle name="Input 2 2 2 2 2 5" xfId="2164"/>
    <cellStyle name="Input 2 2 2 2 2 5 2" xfId="2165"/>
    <cellStyle name="Input 2 2 2 2 2 6" xfId="2166"/>
    <cellStyle name="Input 2 2 2 2 3" xfId="2167"/>
    <cellStyle name="Input 2 2 2 2 3 2" xfId="2168"/>
    <cellStyle name="Input 2 2 2 2 3 2 2" xfId="2169"/>
    <cellStyle name="Input 2 2 2 2 3 2 2 2" xfId="2170"/>
    <cellStyle name="Input 2 2 2 2 3 2 2 2 2" xfId="2171"/>
    <cellStyle name="Input 2 2 2 2 3 2 2 3" xfId="2172"/>
    <cellStyle name="Input 2 2 2 2 3 2 3" xfId="2173"/>
    <cellStyle name="Input 2 2 2 2 3 2 3 2" xfId="2174"/>
    <cellStyle name="Input 2 2 2 2 3 2 4" xfId="2175"/>
    <cellStyle name="Input 2 2 2 2 3 3" xfId="2176"/>
    <cellStyle name="Input 2 2 2 2 3 3 2" xfId="2177"/>
    <cellStyle name="Input 2 2 2 2 3 3 2 2" xfId="2178"/>
    <cellStyle name="Input 2 2 2 2 3 3 3" xfId="2179"/>
    <cellStyle name="Input 2 2 2 2 3 3 4" xfId="2180"/>
    <cellStyle name="Input 2 2 2 2 3 4" xfId="2181"/>
    <cellStyle name="Input 2 2 2 2 3 4 2" xfId="2182"/>
    <cellStyle name="Input 2 2 2 2 3 4 2 2" xfId="2183"/>
    <cellStyle name="Input 2 2 2 2 3 4 3" xfId="2184"/>
    <cellStyle name="Input 2 2 2 2 3 5" xfId="2185"/>
    <cellStyle name="Input 2 2 2 2 3 5 2" xfId="2186"/>
    <cellStyle name="Input 2 2 2 2 3 6" xfId="2187"/>
    <cellStyle name="Input 2 2 2 2 4" xfId="2188"/>
    <cellStyle name="Input 2 2 2 2 4 2" xfId="2189"/>
    <cellStyle name="Input 2 2 2 2 4 2 2" xfId="2190"/>
    <cellStyle name="Input 2 2 2 2 4 2 2 2" xfId="2191"/>
    <cellStyle name="Input 2 2 2 2 4 2 2 2 2" xfId="2192"/>
    <cellStyle name="Input 2 2 2 2 4 2 2 3" xfId="2193"/>
    <cellStyle name="Input 2 2 2 2 4 2 3" xfId="2194"/>
    <cellStyle name="Input 2 2 2 2 4 2 3 2" xfId="2195"/>
    <cellStyle name="Input 2 2 2 2 4 2 4" xfId="2196"/>
    <cellStyle name="Input 2 2 2 2 4 3" xfId="2197"/>
    <cellStyle name="Input 2 2 2 2 4 3 2" xfId="2198"/>
    <cellStyle name="Input 2 2 2 2 4 3 2 2" xfId="2199"/>
    <cellStyle name="Input 2 2 2 2 4 3 3" xfId="2200"/>
    <cellStyle name="Input 2 2 2 2 4 3 4" xfId="2201"/>
    <cellStyle name="Input 2 2 2 2 4 4" xfId="2202"/>
    <cellStyle name="Input 2 2 2 2 4 4 2" xfId="2203"/>
    <cellStyle name="Input 2 2 2 2 4 4 2 2" xfId="2204"/>
    <cellStyle name="Input 2 2 2 2 4 4 3" xfId="2205"/>
    <cellStyle name="Input 2 2 2 2 4 5" xfId="2206"/>
    <cellStyle name="Input 2 2 2 2 4 5 2" xfId="2207"/>
    <cellStyle name="Input 2 2 2 2 4 6" xfId="2208"/>
    <cellStyle name="Input 2 2 2 2 5" xfId="2209"/>
    <cellStyle name="Input 2 2 2 2 5 2" xfId="2210"/>
    <cellStyle name="Input 2 2 2 3" xfId="2211"/>
    <cellStyle name="Input 2 2 2 3 2" xfId="2212"/>
    <cellStyle name="Input 2 2 2 3 2 2" xfId="2213"/>
    <cellStyle name="Input 2 2 2 3 2 2 2" xfId="2214"/>
    <cellStyle name="Input 2 2 2 3 2 2 2 2" xfId="2215"/>
    <cellStyle name="Input 2 2 2 3 2 2 3" xfId="2216"/>
    <cellStyle name="Input 2 2 2 3 2 3" xfId="2217"/>
    <cellStyle name="Input 2 2 2 3 2 3 2" xfId="2218"/>
    <cellStyle name="Input 2 2 2 3 2 4" xfId="2219"/>
    <cellStyle name="Input 2 2 2 3 3" xfId="2220"/>
    <cellStyle name="Input 2 2 2 3 3 2" xfId="2221"/>
    <cellStyle name="Input 2 2 2 3 3 2 2" xfId="2222"/>
    <cellStyle name="Input 2 2 2 3 3 3" xfId="2223"/>
    <cellStyle name="Input 2 2 2 3 3 4" xfId="2224"/>
    <cellStyle name="Input 2 2 2 3 4" xfId="2225"/>
    <cellStyle name="Input 2 2 2 3 4 2" xfId="2226"/>
    <cellStyle name="Input 2 2 2 3 4 2 2" xfId="2227"/>
    <cellStyle name="Input 2 2 2 3 4 3" xfId="2228"/>
    <cellStyle name="Input 2 2 2 3 5" xfId="2229"/>
    <cellStyle name="Input 2 2 2 3 5 2" xfId="2230"/>
    <cellStyle name="Input 2 2 2 3 6" xfId="2231"/>
    <cellStyle name="Input 2 2 2 4" xfId="2232"/>
    <cellStyle name="Input 2 2 2 4 2" xfId="2233"/>
    <cellStyle name="Input 2 2 2 4 2 2" xfId="2234"/>
    <cellStyle name="Input 2 2 2 4 2 2 2" xfId="2235"/>
    <cellStyle name="Input 2 2 2 4 2 2 2 2" xfId="2236"/>
    <cellStyle name="Input 2 2 2 4 2 2 3" xfId="2237"/>
    <cellStyle name="Input 2 2 2 4 2 3" xfId="2238"/>
    <cellStyle name="Input 2 2 2 4 2 3 2" xfId="2239"/>
    <cellStyle name="Input 2 2 2 4 2 4" xfId="2240"/>
    <cellStyle name="Input 2 2 2 4 3" xfId="2241"/>
    <cellStyle name="Input 2 2 2 4 3 2" xfId="2242"/>
    <cellStyle name="Input 2 2 2 4 3 2 2" xfId="2243"/>
    <cellStyle name="Input 2 2 2 4 3 3" xfId="2244"/>
    <cellStyle name="Input 2 2 2 4 3 4" xfId="2245"/>
    <cellStyle name="Input 2 2 2 4 4" xfId="2246"/>
    <cellStyle name="Input 2 2 2 4 4 2" xfId="2247"/>
    <cellStyle name="Input 2 2 2 4 4 2 2" xfId="2248"/>
    <cellStyle name="Input 2 2 2 4 4 3" xfId="2249"/>
    <cellStyle name="Input 2 2 2 4 5" xfId="2250"/>
    <cellStyle name="Input 2 2 2 4 5 2" xfId="2251"/>
    <cellStyle name="Input 2 2 2 4 6" xfId="2252"/>
    <cellStyle name="Input 2 2 2 5" xfId="2253"/>
    <cellStyle name="Input 2 2 2 5 2" xfId="2254"/>
    <cellStyle name="Input 2 2 2 5 2 2" xfId="2255"/>
    <cellStyle name="Input 2 2 2 5 2 2 2" xfId="2256"/>
    <cellStyle name="Input 2 2 2 5 2 2 2 2" xfId="2257"/>
    <cellStyle name="Input 2 2 2 5 2 2 3" xfId="2258"/>
    <cellStyle name="Input 2 2 2 5 2 3" xfId="2259"/>
    <cellStyle name="Input 2 2 2 5 2 3 2" xfId="2260"/>
    <cellStyle name="Input 2 2 2 5 2 4" xfId="2261"/>
    <cellStyle name="Input 2 2 2 5 3" xfId="2262"/>
    <cellStyle name="Input 2 2 2 5 3 2" xfId="2263"/>
    <cellStyle name="Input 2 2 2 5 3 2 2" xfId="2264"/>
    <cellStyle name="Input 2 2 2 5 3 3" xfId="2265"/>
    <cellStyle name="Input 2 2 2 5 3 4" xfId="2266"/>
    <cellStyle name="Input 2 2 2 5 4" xfId="2267"/>
    <cellStyle name="Input 2 2 2 5 4 2" xfId="2268"/>
    <cellStyle name="Input 2 2 2 5 4 2 2" xfId="2269"/>
    <cellStyle name="Input 2 2 2 5 4 3" xfId="2270"/>
    <cellStyle name="Input 2 2 2 5 5" xfId="2271"/>
    <cellStyle name="Input 2 2 2 5 5 2" xfId="2272"/>
    <cellStyle name="Input 2 2 2 5 6" xfId="2273"/>
    <cellStyle name="Input 2 2 3" xfId="2274"/>
    <cellStyle name="Input 2 2 3 2" xfId="2275"/>
    <cellStyle name="Input 2 2 3 2 2" xfId="2276"/>
    <cellStyle name="Input 2 2 3 2 2 2" xfId="2277"/>
    <cellStyle name="Input 2 2 3 2 2 2 2" xfId="2278"/>
    <cellStyle name="Input 2 2 3 2 2 2 2 2" xfId="2279"/>
    <cellStyle name="Input 2 2 3 2 2 2 3" xfId="2280"/>
    <cellStyle name="Input 2 2 3 2 2 3" xfId="2281"/>
    <cellStyle name="Input 2 2 3 2 2 3 2" xfId="2282"/>
    <cellStyle name="Input 2 2 3 2 2 4" xfId="2283"/>
    <cellStyle name="Input 2 2 3 2 3" xfId="2284"/>
    <cellStyle name="Input 2 2 3 2 3 2" xfId="2285"/>
    <cellStyle name="Input 2 2 3 2 3 2 2" xfId="2286"/>
    <cellStyle name="Input 2 2 3 2 3 3" xfId="2287"/>
    <cellStyle name="Input 2 2 3 2 3 4" xfId="2288"/>
    <cellStyle name="Input 2 2 3 2 4" xfId="2289"/>
    <cellStyle name="Input 2 2 3 2 4 2" xfId="2290"/>
    <cellStyle name="Input 2 2 3 2 4 2 2" xfId="2291"/>
    <cellStyle name="Input 2 2 3 2 4 3" xfId="2292"/>
    <cellStyle name="Input 2 2 3 2 5" xfId="2293"/>
    <cellStyle name="Input 2 2 3 2 5 2" xfId="2294"/>
    <cellStyle name="Input 2 2 3 2 6" xfId="2295"/>
    <cellStyle name="Input 2 2 3 3" xfId="2296"/>
    <cellStyle name="Input 2 2 3 3 2" xfId="2297"/>
    <cellStyle name="Input 2 2 3 3 2 2" xfId="2298"/>
    <cellStyle name="Input 2 2 3 3 2 2 2" xfId="2299"/>
    <cellStyle name="Input 2 2 3 3 2 2 2 2" xfId="2300"/>
    <cellStyle name="Input 2 2 3 3 2 2 3" xfId="2301"/>
    <cellStyle name="Input 2 2 3 3 2 3" xfId="2302"/>
    <cellStyle name="Input 2 2 3 3 2 3 2" xfId="2303"/>
    <cellStyle name="Input 2 2 3 3 2 4" xfId="2304"/>
    <cellStyle name="Input 2 2 3 3 3" xfId="2305"/>
    <cellStyle name="Input 2 2 3 3 3 2" xfId="2306"/>
    <cellStyle name="Input 2 2 3 3 3 2 2" xfId="2307"/>
    <cellStyle name="Input 2 2 3 3 3 3" xfId="2308"/>
    <cellStyle name="Input 2 2 3 3 3 4" xfId="2309"/>
    <cellStyle name="Input 2 2 3 3 4" xfId="2310"/>
    <cellStyle name="Input 2 2 3 3 4 2" xfId="2311"/>
    <cellStyle name="Input 2 2 3 3 4 2 2" xfId="2312"/>
    <cellStyle name="Input 2 2 3 3 4 3" xfId="2313"/>
    <cellStyle name="Input 2 2 3 3 5" xfId="2314"/>
    <cellStyle name="Input 2 2 3 3 5 2" xfId="2315"/>
    <cellStyle name="Input 2 2 3 3 6" xfId="2316"/>
    <cellStyle name="Input 2 2 3 4" xfId="2317"/>
    <cellStyle name="Input 2 2 3 4 2" xfId="2318"/>
    <cellStyle name="Input 2 2 3 4 2 2" xfId="2319"/>
    <cellStyle name="Input 2 2 3 4 2 2 2" xfId="2320"/>
    <cellStyle name="Input 2 2 3 4 2 2 2 2" xfId="2321"/>
    <cellStyle name="Input 2 2 3 4 2 2 3" xfId="2322"/>
    <cellStyle name="Input 2 2 3 4 2 3" xfId="2323"/>
    <cellStyle name="Input 2 2 3 4 2 3 2" xfId="2324"/>
    <cellStyle name="Input 2 2 3 4 2 4" xfId="2325"/>
    <cellStyle name="Input 2 2 3 4 3" xfId="2326"/>
    <cellStyle name="Input 2 2 3 4 3 2" xfId="2327"/>
    <cellStyle name="Input 2 2 3 4 3 2 2" xfId="2328"/>
    <cellStyle name="Input 2 2 3 4 3 3" xfId="2329"/>
    <cellStyle name="Input 2 2 3 4 3 4" xfId="2330"/>
    <cellStyle name="Input 2 2 3 4 4" xfId="2331"/>
    <cellStyle name="Input 2 2 3 4 4 2" xfId="2332"/>
    <cellStyle name="Input 2 2 3 4 4 2 2" xfId="2333"/>
    <cellStyle name="Input 2 2 3 4 4 3" xfId="2334"/>
    <cellStyle name="Input 2 2 3 4 5" xfId="2335"/>
    <cellStyle name="Input 2 2 3 4 5 2" xfId="2336"/>
    <cellStyle name="Input 2 2 3 4 6" xfId="2337"/>
    <cellStyle name="Input 2 2 3 5" xfId="2338"/>
    <cellStyle name="Input 2 2 3 5 2" xfId="2339"/>
    <cellStyle name="Input 2 2 4" xfId="2340"/>
    <cellStyle name="Input 2 2 4 2" xfId="2341"/>
    <cellStyle name="Input 2 2 4 2 2" xfId="2342"/>
    <cellStyle name="Input 2 2 4 2 2 2" xfId="2343"/>
    <cellStyle name="Input 2 2 4 2 2 2 2" xfId="2344"/>
    <cellStyle name="Input 2 2 4 2 2 2 2 2" xfId="2345"/>
    <cellStyle name="Input 2 2 4 2 2 2 3" xfId="2346"/>
    <cellStyle name="Input 2 2 4 2 2 3" xfId="2347"/>
    <cellStyle name="Input 2 2 4 2 2 3 2" xfId="2348"/>
    <cellStyle name="Input 2 2 4 2 2 4" xfId="2349"/>
    <cellStyle name="Input 2 2 4 2 3" xfId="2350"/>
    <cellStyle name="Input 2 2 4 2 3 2" xfId="2351"/>
    <cellStyle name="Input 2 2 4 2 3 2 2" xfId="2352"/>
    <cellStyle name="Input 2 2 4 2 3 3" xfId="2353"/>
    <cellStyle name="Input 2 2 4 2 3 4" xfId="2354"/>
    <cellStyle name="Input 2 2 4 2 4" xfId="2355"/>
    <cellStyle name="Input 2 2 4 2 4 2" xfId="2356"/>
    <cellStyle name="Input 2 2 4 2 4 2 2" xfId="2357"/>
    <cellStyle name="Input 2 2 4 2 4 3" xfId="2358"/>
    <cellStyle name="Input 2 2 4 2 5" xfId="2359"/>
    <cellStyle name="Input 2 2 4 2 5 2" xfId="2360"/>
    <cellStyle name="Input 2 2 4 2 6" xfId="2361"/>
    <cellStyle name="Input 2 2 4 3" xfId="2362"/>
    <cellStyle name="Input 2 2 4 3 2" xfId="2363"/>
    <cellStyle name="Input 2 2 4 3 2 2" xfId="2364"/>
    <cellStyle name="Input 2 2 4 3 2 2 2" xfId="2365"/>
    <cellStyle name="Input 2 2 4 3 2 2 2 2" xfId="2366"/>
    <cellStyle name="Input 2 2 4 3 2 2 3" xfId="2367"/>
    <cellStyle name="Input 2 2 4 3 2 3" xfId="2368"/>
    <cellStyle name="Input 2 2 4 3 2 3 2" xfId="2369"/>
    <cellStyle name="Input 2 2 4 3 2 4" xfId="2370"/>
    <cellStyle name="Input 2 2 4 3 3" xfId="2371"/>
    <cellStyle name="Input 2 2 4 3 3 2" xfId="2372"/>
    <cellStyle name="Input 2 2 4 3 3 2 2" xfId="2373"/>
    <cellStyle name="Input 2 2 4 3 3 3" xfId="2374"/>
    <cellStyle name="Input 2 2 4 3 3 4" xfId="2375"/>
    <cellStyle name="Input 2 2 4 3 4" xfId="2376"/>
    <cellStyle name="Input 2 2 4 3 4 2" xfId="2377"/>
    <cellStyle name="Input 2 2 4 3 4 2 2" xfId="2378"/>
    <cellStyle name="Input 2 2 4 3 4 3" xfId="2379"/>
    <cellStyle name="Input 2 2 4 3 5" xfId="2380"/>
    <cellStyle name="Input 2 2 4 3 5 2" xfId="2381"/>
    <cellStyle name="Input 2 2 4 3 6" xfId="2382"/>
    <cellStyle name="Input 2 2 4 4" xfId="2383"/>
    <cellStyle name="Input 2 2 4 4 2" xfId="2384"/>
    <cellStyle name="Input 2 2 4 4 2 2" xfId="2385"/>
    <cellStyle name="Input 2 2 4 4 2 2 2" xfId="2386"/>
    <cellStyle name="Input 2 2 4 4 2 3" xfId="2387"/>
    <cellStyle name="Input 2 2 4 4 3" xfId="2388"/>
    <cellStyle name="Input 2 2 4 4 3 2" xfId="2389"/>
    <cellStyle name="Input 2 2 4 4 4" xfId="2390"/>
    <cellStyle name="Input 2 2 4 5" xfId="2391"/>
    <cellStyle name="Input 2 2 4 5 2" xfId="2392"/>
    <cellStyle name="Input 2 2 4 5 2 2" xfId="2393"/>
    <cellStyle name="Input 2 2 4 5 3" xfId="2394"/>
    <cellStyle name="Input 2 2 4 5 4" xfId="2395"/>
    <cellStyle name="Input 2 2 4 6" xfId="2396"/>
    <cellStyle name="Input 2 2 4 6 2" xfId="2397"/>
    <cellStyle name="Input 2 2 4 6 2 2" xfId="2398"/>
    <cellStyle name="Input 2 2 4 6 3" xfId="2399"/>
    <cellStyle name="Input 2 2 4 7" xfId="2400"/>
    <cellStyle name="Input 2 2 4 7 2" xfId="2401"/>
    <cellStyle name="Input 2 2 4 8" xfId="2402"/>
    <cellStyle name="Input 2 2 5" xfId="2403"/>
    <cellStyle name="Input 2 2 5 2" xfId="2404"/>
    <cellStyle name="Input 2 2 5 2 2" xfId="2405"/>
    <cellStyle name="Input 2 2 5 2 2 2" xfId="2406"/>
    <cellStyle name="Input 2 2 5 2 2 2 2" xfId="2407"/>
    <cellStyle name="Input 2 2 5 2 2 3" xfId="2408"/>
    <cellStyle name="Input 2 2 5 2 3" xfId="2409"/>
    <cellStyle name="Input 2 2 5 2 3 2" xfId="2410"/>
    <cellStyle name="Input 2 2 5 2 4" xfId="2411"/>
    <cellStyle name="Input 2 2 5 3" xfId="2412"/>
    <cellStyle name="Input 2 2 5 3 2" xfId="2413"/>
    <cellStyle name="Input 2 2 5 3 2 2" xfId="2414"/>
    <cellStyle name="Input 2 2 5 3 3" xfId="2415"/>
    <cellStyle name="Input 2 2 5 3 4" xfId="2416"/>
    <cellStyle name="Input 2 2 5 4" xfId="2417"/>
    <cellStyle name="Input 2 2 5 4 2" xfId="2418"/>
    <cellStyle name="Input 2 2 5 4 2 2" xfId="2419"/>
    <cellStyle name="Input 2 2 5 4 3" xfId="2420"/>
    <cellStyle name="Input 2 2 5 5" xfId="2421"/>
    <cellStyle name="Input 2 2 5 5 2" xfId="2422"/>
    <cellStyle name="Input 2 2 5 6" xfId="2423"/>
    <cellStyle name="Input 2 3" xfId="2424"/>
    <cellStyle name="Input 2 3 2" xfId="2425"/>
    <cellStyle name="Input 2 3 2 2" xfId="2426"/>
    <cellStyle name="Input 2 3 2 2 2" xfId="2427"/>
    <cellStyle name="Input 2 3 2 2 2 2" xfId="2428"/>
    <cellStyle name="Input 2 3 2 2 2 2 2" xfId="2429"/>
    <cellStyle name="Input 2 3 2 2 2 2 2 2" xfId="2430"/>
    <cellStyle name="Input 2 3 2 2 2 2 3" xfId="2431"/>
    <cellStyle name="Input 2 3 2 2 2 3" xfId="2432"/>
    <cellStyle name="Input 2 3 2 2 2 3 2" xfId="2433"/>
    <cellStyle name="Input 2 3 2 2 2 4" xfId="2434"/>
    <cellStyle name="Input 2 3 2 2 3" xfId="2435"/>
    <cellStyle name="Input 2 3 2 2 3 2" xfId="2436"/>
    <cellStyle name="Input 2 3 2 2 3 2 2" xfId="2437"/>
    <cellStyle name="Input 2 3 2 2 3 3" xfId="2438"/>
    <cellStyle name="Input 2 3 2 2 3 4" xfId="2439"/>
    <cellStyle name="Input 2 3 2 2 4" xfId="2440"/>
    <cellStyle name="Input 2 3 2 2 4 2" xfId="2441"/>
    <cellStyle name="Input 2 3 2 2 4 2 2" xfId="2442"/>
    <cellStyle name="Input 2 3 2 2 4 3" xfId="2443"/>
    <cellStyle name="Input 2 3 2 2 5" xfId="2444"/>
    <cellStyle name="Input 2 3 2 2 5 2" xfId="2445"/>
    <cellStyle name="Input 2 3 2 2 6" xfId="2446"/>
    <cellStyle name="Input 2 3 2 3" xfId="2447"/>
    <cellStyle name="Input 2 3 2 3 2" xfId="2448"/>
    <cellStyle name="Input 2 3 2 3 2 2" xfId="2449"/>
    <cellStyle name="Input 2 3 2 3 2 2 2" xfId="2450"/>
    <cellStyle name="Input 2 3 2 3 2 2 2 2" xfId="2451"/>
    <cellStyle name="Input 2 3 2 3 2 2 3" xfId="2452"/>
    <cellStyle name="Input 2 3 2 3 2 3" xfId="2453"/>
    <cellStyle name="Input 2 3 2 3 2 3 2" xfId="2454"/>
    <cellStyle name="Input 2 3 2 3 2 4" xfId="2455"/>
    <cellStyle name="Input 2 3 2 3 3" xfId="2456"/>
    <cellStyle name="Input 2 3 2 3 3 2" xfId="2457"/>
    <cellStyle name="Input 2 3 2 3 3 2 2" xfId="2458"/>
    <cellStyle name="Input 2 3 2 3 3 3" xfId="2459"/>
    <cellStyle name="Input 2 3 2 3 3 4" xfId="2460"/>
    <cellStyle name="Input 2 3 2 3 4" xfId="2461"/>
    <cellStyle name="Input 2 3 2 3 4 2" xfId="2462"/>
    <cellStyle name="Input 2 3 2 3 4 2 2" xfId="2463"/>
    <cellStyle name="Input 2 3 2 3 4 3" xfId="2464"/>
    <cellStyle name="Input 2 3 2 3 5" xfId="2465"/>
    <cellStyle name="Input 2 3 2 3 5 2" xfId="2466"/>
    <cellStyle name="Input 2 3 2 3 6" xfId="2467"/>
    <cellStyle name="Input 2 3 2 4" xfId="2468"/>
    <cellStyle name="Input 2 3 2 4 2" xfId="2469"/>
    <cellStyle name="Input 2 3 2 4 2 2" xfId="2470"/>
    <cellStyle name="Input 2 3 2 4 2 2 2" xfId="2471"/>
    <cellStyle name="Input 2 3 2 4 2 2 2 2" xfId="2472"/>
    <cellStyle name="Input 2 3 2 4 2 2 3" xfId="2473"/>
    <cellStyle name="Input 2 3 2 4 2 3" xfId="2474"/>
    <cellStyle name="Input 2 3 2 4 2 3 2" xfId="2475"/>
    <cellStyle name="Input 2 3 2 4 2 4" xfId="2476"/>
    <cellStyle name="Input 2 3 2 4 3" xfId="2477"/>
    <cellStyle name="Input 2 3 2 4 3 2" xfId="2478"/>
    <cellStyle name="Input 2 3 2 4 3 2 2" xfId="2479"/>
    <cellStyle name="Input 2 3 2 4 3 3" xfId="2480"/>
    <cellStyle name="Input 2 3 2 4 3 4" xfId="2481"/>
    <cellStyle name="Input 2 3 2 4 4" xfId="2482"/>
    <cellStyle name="Input 2 3 2 4 4 2" xfId="2483"/>
    <cellStyle name="Input 2 3 2 4 4 2 2" xfId="2484"/>
    <cellStyle name="Input 2 3 2 4 4 3" xfId="2485"/>
    <cellStyle name="Input 2 3 2 4 5" xfId="2486"/>
    <cellStyle name="Input 2 3 2 4 5 2" xfId="2487"/>
    <cellStyle name="Input 2 3 2 4 6" xfId="2488"/>
    <cellStyle name="Input 2 3 2 5" xfId="2489"/>
    <cellStyle name="Input 2 3 2 5 2" xfId="2490"/>
    <cellStyle name="Input 2 3 3" xfId="2491"/>
    <cellStyle name="Input 2 3 3 2" xfId="2492"/>
    <cellStyle name="Input 2 3 3 2 2" xfId="2493"/>
    <cellStyle name="Input 2 3 3 2 2 2" xfId="2494"/>
    <cellStyle name="Input 2 3 3 2 2 2 2" xfId="2495"/>
    <cellStyle name="Input 2 3 3 2 2 3" xfId="2496"/>
    <cellStyle name="Input 2 3 3 2 3" xfId="2497"/>
    <cellStyle name="Input 2 3 3 2 3 2" xfId="2498"/>
    <cellStyle name="Input 2 3 3 2 4" xfId="2499"/>
    <cellStyle name="Input 2 3 3 3" xfId="2500"/>
    <cellStyle name="Input 2 3 3 3 2" xfId="2501"/>
    <cellStyle name="Input 2 3 3 3 2 2" xfId="2502"/>
    <cellStyle name="Input 2 3 3 3 3" xfId="2503"/>
    <cellStyle name="Input 2 3 3 3 4" xfId="2504"/>
    <cellStyle name="Input 2 3 3 4" xfId="2505"/>
    <cellStyle name="Input 2 3 3 4 2" xfId="2506"/>
    <cellStyle name="Input 2 3 3 4 2 2" xfId="2507"/>
    <cellStyle name="Input 2 3 3 4 3" xfId="2508"/>
    <cellStyle name="Input 2 3 3 5" xfId="2509"/>
    <cellStyle name="Input 2 3 3 5 2" xfId="2510"/>
    <cellStyle name="Input 2 3 3 6" xfId="2511"/>
    <cellStyle name="Input 2 3 4" xfId="2512"/>
    <cellStyle name="Input 2 3 4 2" xfId="2513"/>
    <cellStyle name="Input 2 3 4 2 2" xfId="2514"/>
    <cellStyle name="Input 2 3 4 2 2 2" xfId="2515"/>
    <cellStyle name="Input 2 3 4 2 2 2 2" xfId="2516"/>
    <cellStyle name="Input 2 3 4 2 2 3" xfId="2517"/>
    <cellStyle name="Input 2 3 4 2 3" xfId="2518"/>
    <cellStyle name="Input 2 3 4 2 3 2" xfId="2519"/>
    <cellStyle name="Input 2 3 4 2 4" xfId="2520"/>
    <cellStyle name="Input 2 3 4 3" xfId="2521"/>
    <cellStyle name="Input 2 3 4 3 2" xfId="2522"/>
    <cellStyle name="Input 2 3 4 3 2 2" xfId="2523"/>
    <cellStyle name="Input 2 3 4 3 3" xfId="2524"/>
    <cellStyle name="Input 2 3 4 3 4" xfId="2525"/>
    <cellStyle name="Input 2 3 4 4" xfId="2526"/>
    <cellStyle name="Input 2 3 4 4 2" xfId="2527"/>
    <cellStyle name="Input 2 3 4 4 2 2" xfId="2528"/>
    <cellStyle name="Input 2 3 4 4 3" xfId="2529"/>
    <cellStyle name="Input 2 3 4 5" xfId="2530"/>
    <cellStyle name="Input 2 3 4 5 2" xfId="2531"/>
    <cellStyle name="Input 2 3 4 6" xfId="2532"/>
    <cellStyle name="Input 2 3 5" xfId="2533"/>
    <cellStyle name="Input 2 3 5 2" xfId="2534"/>
    <cellStyle name="Input 2 3 5 2 2" xfId="2535"/>
    <cellStyle name="Input 2 3 5 2 2 2" xfId="2536"/>
    <cellStyle name="Input 2 3 5 2 2 2 2" xfId="2537"/>
    <cellStyle name="Input 2 3 5 2 2 3" xfId="2538"/>
    <cellStyle name="Input 2 3 5 2 3" xfId="2539"/>
    <cellStyle name="Input 2 3 5 2 3 2" xfId="2540"/>
    <cellStyle name="Input 2 3 5 2 4" xfId="2541"/>
    <cellStyle name="Input 2 3 5 3" xfId="2542"/>
    <cellStyle name="Input 2 3 5 3 2" xfId="2543"/>
    <cellStyle name="Input 2 3 5 3 2 2" xfId="2544"/>
    <cellStyle name="Input 2 3 5 3 3" xfId="2545"/>
    <cellStyle name="Input 2 3 5 3 4" xfId="2546"/>
    <cellStyle name="Input 2 3 5 4" xfId="2547"/>
    <cellStyle name="Input 2 3 5 4 2" xfId="2548"/>
    <cellStyle name="Input 2 3 5 4 2 2" xfId="2549"/>
    <cellStyle name="Input 2 3 5 4 3" xfId="2550"/>
    <cellStyle name="Input 2 3 5 5" xfId="2551"/>
    <cellStyle name="Input 2 3 5 5 2" xfId="2552"/>
    <cellStyle name="Input 2 3 5 6" xfId="2553"/>
    <cellStyle name="Input 2 4" xfId="2554"/>
    <cellStyle name="Input 2 4 2" xfId="2555"/>
    <cellStyle name="Input 2 4 2 2" xfId="2556"/>
    <cellStyle name="Input 2 4 2 2 2" xfId="2557"/>
    <cellStyle name="Input 2 4 2 2 2 2" xfId="2558"/>
    <cellStyle name="Input 2 4 2 2 2 2 2" xfId="2559"/>
    <cellStyle name="Input 2 4 2 2 2 3" xfId="2560"/>
    <cellStyle name="Input 2 4 2 2 3" xfId="2561"/>
    <cellStyle name="Input 2 4 2 2 3 2" xfId="2562"/>
    <cellStyle name="Input 2 4 2 2 4" xfId="2563"/>
    <cellStyle name="Input 2 4 2 3" xfId="2564"/>
    <cellStyle name="Input 2 4 2 3 2" xfId="2565"/>
    <cellStyle name="Input 2 4 2 3 2 2" xfId="2566"/>
    <cellStyle name="Input 2 4 2 3 3" xfId="2567"/>
    <cellStyle name="Input 2 4 2 3 4" xfId="2568"/>
    <cellStyle name="Input 2 4 2 4" xfId="2569"/>
    <cellStyle name="Input 2 4 2 4 2" xfId="2570"/>
    <cellStyle name="Input 2 4 2 4 2 2" xfId="2571"/>
    <cellStyle name="Input 2 4 2 4 3" xfId="2572"/>
    <cellStyle name="Input 2 4 2 5" xfId="2573"/>
    <cellStyle name="Input 2 4 2 5 2" xfId="2574"/>
    <cellStyle name="Input 2 4 2 6" xfId="2575"/>
    <cellStyle name="Input 2 4 3" xfId="2576"/>
    <cellStyle name="Input 2 4 3 2" xfId="2577"/>
    <cellStyle name="Input 2 4 3 2 2" xfId="2578"/>
    <cellStyle name="Input 2 4 3 2 2 2" xfId="2579"/>
    <cellStyle name="Input 2 4 3 2 2 2 2" xfId="2580"/>
    <cellStyle name="Input 2 4 3 2 2 3" xfId="2581"/>
    <cellStyle name="Input 2 4 3 2 3" xfId="2582"/>
    <cellStyle name="Input 2 4 3 2 3 2" xfId="2583"/>
    <cellStyle name="Input 2 4 3 2 4" xfId="2584"/>
    <cellStyle name="Input 2 4 3 3" xfId="2585"/>
    <cellStyle name="Input 2 4 3 3 2" xfId="2586"/>
    <cellStyle name="Input 2 4 3 3 2 2" xfId="2587"/>
    <cellStyle name="Input 2 4 3 3 3" xfId="2588"/>
    <cellStyle name="Input 2 4 3 3 4" xfId="2589"/>
    <cellStyle name="Input 2 4 3 4" xfId="2590"/>
    <cellStyle name="Input 2 4 3 4 2" xfId="2591"/>
    <cellStyle name="Input 2 4 3 4 2 2" xfId="2592"/>
    <cellStyle name="Input 2 4 3 4 3" xfId="2593"/>
    <cellStyle name="Input 2 4 3 5" xfId="2594"/>
    <cellStyle name="Input 2 4 3 5 2" xfId="2595"/>
    <cellStyle name="Input 2 4 3 6" xfId="2596"/>
    <cellStyle name="Input 2 4 4" xfId="2597"/>
    <cellStyle name="Input 2 4 4 2" xfId="2598"/>
    <cellStyle name="Input 2 4 4 2 2" xfId="2599"/>
    <cellStyle name="Input 2 4 4 2 2 2" xfId="2600"/>
    <cellStyle name="Input 2 4 4 2 2 2 2" xfId="2601"/>
    <cellStyle name="Input 2 4 4 2 2 3" xfId="2602"/>
    <cellStyle name="Input 2 4 4 2 3" xfId="2603"/>
    <cellStyle name="Input 2 4 4 2 3 2" xfId="2604"/>
    <cellStyle name="Input 2 4 4 2 4" xfId="2605"/>
    <cellStyle name="Input 2 4 4 3" xfId="2606"/>
    <cellStyle name="Input 2 4 4 3 2" xfId="2607"/>
    <cellStyle name="Input 2 4 4 3 2 2" xfId="2608"/>
    <cellStyle name="Input 2 4 4 3 3" xfId="2609"/>
    <cellStyle name="Input 2 4 4 3 4" xfId="2610"/>
    <cellStyle name="Input 2 4 4 4" xfId="2611"/>
    <cellStyle name="Input 2 4 4 4 2" xfId="2612"/>
    <cellStyle name="Input 2 4 4 4 2 2" xfId="2613"/>
    <cellStyle name="Input 2 4 4 4 3" xfId="2614"/>
    <cellStyle name="Input 2 4 4 5" xfId="2615"/>
    <cellStyle name="Input 2 4 4 5 2" xfId="2616"/>
    <cellStyle name="Input 2 4 4 6" xfId="2617"/>
    <cellStyle name="Input 2 4 5" xfId="2618"/>
    <cellStyle name="Input 2 4 5 2" xfId="2619"/>
    <cellStyle name="Input 2 5" xfId="2620"/>
    <cellStyle name="Input 2 5 2" xfId="2621"/>
    <cellStyle name="Input 2 5 2 2" xfId="2622"/>
    <cellStyle name="Input 2 5 2 2 2" xfId="2623"/>
    <cellStyle name="Input 2 5 2 2 2 2" xfId="2624"/>
    <cellStyle name="Input 2 5 2 2 2 2 2" xfId="2625"/>
    <cellStyle name="Input 2 5 2 2 2 3" xfId="2626"/>
    <cellStyle name="Input 2 5 2 2 3" xfId="2627"/>
    <cellStyle name="Input 2 5 2 2 3 2" xfId="2628"/>
    <cellStyle name="Input 2 5 2 2 4" xfId="2629"/>
    <cellStyle name="Input 2 5 2 3" xfId="2630"/>
    <cellStyle name="Input 2 5 2 3 2" xfId="2631"/>
    <cellStyle name="Input 2 5 2 3 2 2" xfId="2632"/>
    <cellStyle name="Input 2 5 2 3 3" xfId="2633"/>
    <cellStyle name="Input 2 5 2 3 4" xfId="2634"/>
    <cellStyle name="Input 2 5 2 4" xfId="2635"/>
    <cellStyle name="Input 2 5 2 4 2" xfId="2636"/>
    <cellStyle name="Input 2 5 2 4 2 2" xfId="2637"/>
    <cellStyle name="Input 2 5 2 4 3" xfId="2638"/>
    <cellStyle name="Input 2 5 2 5" xfId="2639"/>
    <cellStyle name="Input 2 5 2 5 2" xfId="2640"/>
    <cellStyle name="Input 2 5 2 6" xfId="2641"/>
    <cellStyle name="Input 2 5 3" xfId="2642"/>
    <cellStyle name="Input 2 5 3 2" xfId="2643"/>
    <cellStyle name="Input 2 5 3 2 2" xfId="2644"/>
    <cellStyle name="Input 2 5 3 2 2 2" xfId="2645"/>
    <cellStyle name="Input 2 5 3 2 2 2 2" xfId="2646"/>
    <cellStyle name="Input 2 5 3 2 2 3" xfId="2647"/>
    <cellStyle name="Input 2 5 3 2 3" xfId="2648"/>
    <cellStyle name="Input 2 5 3 2 3 2" xfId="2649"/>
    <cellStyle name="Input 2 5 3 2 4" xfId="2650"/>
    <cellStyle name="Input 2 5 3 3" xfId="2651"/>
    <cellStyle name="Input 2 5 3 3 2" xfId="2652"/>
    <cellStyle name="Input 2 5 3 3 2 2" xfId="2653"/>
    <cellStyle name="Input 2 5 3 3 3" xfId="2654"/>
    <cellStyle name="Input 2 5 3 3 4" xfId="2655"/>
    <cellStyle name="Input 2 5 3 4" xfId="2656"/>
    <cellStyle name="Input 2 5 3 4 2" xfId="2657"/>
    <cellStyle name="Input 2 5 3 4 2 2" xfId="2658"/>
    <cellStyle name="Input 2 5 3 4 3" xfId="2659"/>
    <cellStyle name="Input 2 5 3 5" xfId="2660"/>
    <cellStyle name="Input 2 5 3 5 2" xfId="2661"/>
    <cellStyle name="Input 2 5 3 6" xfId="2662"/>
    <cellStyle name="Input 2 5 4" xfId="2663"/>
    <cellStyle name="Input 2 5 4 2" xfId="2664"/>
    <cellStyle name="Input 2 5 4 2 2" xfId="2665"/>
    <cellStyle name="Input 2 5 4 2 2 2" xfId="2666"/>
    <cellStyle name="Input 2 5 4 2 3" xfId="2667"/>
    <cellStyle name="Input 2 5 4 3" xfId="2668"/>
    <cellStyle name="Input 2 5 4 3 2" xfId="2669"/>
    <cellStyle name="Input 2 5 4 4" xfId="2670"/>
    <cellStyle name="Input 2 5 5" xfId="2671"/>
    <cellStyle name="Input 2 5 5 2" xfId="2672"/>
    <cellStyle name="Input 2 5 5 2 2" xfId="2673"/>
    <cellStyle name="Input 2 5 5 3" xfId="2674"/>
    <cellStyle name="Input 2 5 5 4" xfId="2675"/>
    <cellStyle name="Input 2 5 6" xfId="2676"/>
    <cellStyle name="Input 2 5 6 2" xfId="2677"/>
    <cellStyle name="Input 2 5 6 2 2" xfId="2678"/>
    <cellStyle name="Input 2 5 6 3" xfId="2679"/>
    <cellStyle name="Input 2 5 7" xfId="2680"/>
    <cellStyle name="Input 2 5 7 2" xfId="2681"/>
    <cellStyle name="Input 2 5 8" xfId="2682"/>
    <cellStyle name="Input 2 6" xfId="2683"/>
    <cellStyle name="Input 2 6 2" xfId="2684"/>
    <cellStyle name="Input 2 6 2 2" xfId="2685"/>
    <cellStyle name="Input 2 6 2 2 2" xfId="2686"/>
    <cellStyle name="Input 2 6 2 2 2 2" xfId="2687"/>
    <cellStyle name="Input 2 6 2 2 3" xfId="2688"/>
    <cellStyle name="Input 2 6 2 3" xfId="2689"/>
    <cellStyle name="Input 2 6 2 3 2" xfId="2690"/>
    <cellStyle name="Input 2 6 2 4" xfId="2691"/>
    <cellStyle name="Input 2 6 3" xfId="2692"/>
    <cellStyle name="Input 2 6 3 2" xfId="2693"/>
    <cellStyle name="Input 2 6 3 2 2" xfId="2694"/>
    <cellStyle name="Input 2 6 3 3" xfId="2695"/>
    <cellStyle name="Input 2 6 3 4" xfId="2696"/>
    <cellStyle name="Input 2 6 4" xfId="2697"/>
    <cellStyle name="Input 2 6 4 2" xfId="2698"/>
    <cellStyle name="Input 2 6 4 2 2" xfId="2699"/>
    <cellStyle name="Input 2 6 4 3" xfId="2700"/>
    <cellStyle name="Input 2 6 5" xfId="2701"/>
    <cellStyle name="Input 2 6 5 2" xfId="2702"/>
    <cellStyle name="Input 2 6 6" xfId="2703"/>
    <cellStyle name="Input 3" xfId="2704"/>
    <cellStyle name="Input 3 2" xfId="2705"/>
    <cellStyle name="Input 3 2 2" xfId="2706"/>
    <cellStyle name="Input 3 2 2 2" xfId="2707"/>
    <cellStyle name="Input 3 2 2 2 2" xfId="2708"/>
    <cellStyle name="Input 3 2 2 2 2 2" xfId="2709"/>
    <cellStyle name="Input 3 2 2 2 2 2 2" xfId="2710"/>
    <cellStyle name="Input 3 2 2 2 2 3" xfId="2711"/>
    <cellStyle name="Input 3 2 2 2 3" xfId="2712"/>
    <cellStyle name="Input 3 2 2 2 3 2" xfId="2713"/>
    <cellStyle name="Input 3 2 2 2 4" xfId="2714"/>
    <cellStyle name="Input 3 2 2 3" xfId="2715"/>
    <cellStyle name="Input 3 2 2 3 2" xfId="2716"/>
    <cellStyle name="Input 3 2 2 3 2 2" xfId="2717"/>
    <cellStyle name="Input 3 2 2 3 3" xfId="2718"/>
    <cellStyle name="Input 3 2 2 3 4" xfId="2719"/>
    <cellStyle name="Input 3 2 2 4" xfId="2720"/>
    <cellStyle name="Input 3 2 2 4 2" xfId="2721"/>
    <cellStyle name="Input 3 2 2 4 2 2" xfId="2722"/>
    <cellStyle name="Input 3 2 2 4 3" xfId="2723"/>
    <cellStyle name="Input 3 2 2 5" xfId="2724"/>
    <cellStyle name="Input 3 2 2 5 2" xfId="2725"/>
    <cellStyle name="Input 3 2 2 6" xfId="2726"/>
    <cellStyle name="Input 3 2 3" xfId="2727"/>
    <cellStyle name="Input 3 2 3 2" xfId="2728"/>
    <cellStyle name="Input 3 2 3 2 2" xfId="2729"/>
    <cellStyle name="Input 3 2 3 2 2 2" xfId="2730"/>
    <cellStyle name="Input 3 2 3 2 2 2 2" xfId="2731"/>
    <cellStyle name="Input 3 2 3 2 2 3" xfId="2732"/>
    <cellStyle name="Input 3 2 3 2 3" xfId="2733"/>
    <cellStyle name="Input 3 2 3 2 3 2" xfId="2734"/>
    <cellStyle name="Input 3 2 3 2 4" xfId="2735"/>
    <cellStyle name="Input 3 2 3 3" xfId="2736"/>
    <cellStyle name="Input 3 2 3 3 2" xfId="2737"/>
    <cellStyle name="Input 3 2 3 3 2 2" xfId="2738"/>
    <cellStyle name="Input 3 2 3 3 3" xfId="2739"/>
    <cellStyle name="Input 3 2 3 3 4" xfId="2740"/>
    <cellStyle name="Input 3 2 3 4" xfId="2741"/>
    <cellStyle name="Input 3 2 3 4 2" xfId="2742"/>
    <cellStyle name="Input 3 2 3 4 2 2" xfId="2743"/>
    <cellStyle name="Input 3 2 3 4 3" xfId="2744"/>
    <cellStyle name="Input 3 2 3 5" xfId="2745"/>
    <cellStyle name="Input 3 2 3 5 2" xfId="2746"/>
    <cellStyle name="Input 3 2 3 6" xfId="2747"/>
    <cellStyle name="Input 3 2 4" xfId="2748"/>
    <cellStyle name="Input 3 2 4 2" xfId="2749"/>
    <cellStyle name="Input 3 2 4 2 2" xfId="2750"/>
    <cellStyle name="Input 3 2 4 2 2 2" xfId="2751"/>
    <cellStyle name="Input 3 2 4 2 2 2 2" xfId="2752"/>
    <cellStyle name="Input 3 2 4 2 2 3" xfId="2753"/>
    <cellStyle name="Input 3 2 4 2 3" xfId="2754"/>
    <cellStyle name="Input 3 2 4 2 3 2" xfId="2755"/>
    <cellStyle name="Input 3 2 4 2 4" xfId="2756"/>
    <cellStyle name="Input 3 2 4 3" xfId="2757"/>
    <cellStyle name="Input 3 2 4 3 2" xfId="2758"/>
    <cellStyle name="Input 3 2 4 3 2 2" xfId="2759"/>
    <cellStyle name="Input 3 2 4 3 3" xfId="2760"/>
    <cellStyle name="Input 3 2 4 3 4" xfId="2761"/>
    <cellStyle name="Input 3 2 4 4" xfId="2762"/>
    <cellStyle name="Input 3 2 4 4 2" xfId="2763"/>
    <cellStyle name="Input 3 2 4 4 2 2" xfId="2764"/>
    <cellStyle name="Input 3 2 4 4 3" xfId="2765"/>
    <cellStyle name="Input 3 2 4 5" xfId="2766"/>
    <cellStyle name="Input 3 2 4 5 2" xfId="2767"/>
    <cellStyle name="Input 3 2 4 6" xfId="2768"/>
    <cellStyle name="Input 3 2 5" xfId="2769"/>
    <cellStyle name="Input 3 2 5 2" xfId="2770"/>
    <cellStyle name="Input 3 3" xfId="2771"/>
    <cellStyle name="Input 3 3 2" xfId="2772"/>
    <cellStyle name="Input 3 3 2 2" xfId="2773"/>
    <cellStyle name="Input 3 3 2 2 2" xfId="2774"/>
    <cellStyle name="Input 3 3 2 2 2 2" xfId="2775"/>
    <cellStyle name="Input 3 3 2 2 2 2 2" xfId="2776"/>
    <cellStyle name="Input 3 3 2 2 2 3" xfId="2777"/>
    <cellStyle name="Input 3 3 2 2 3" xfId="2778"/>
    <cellStyle name="Input 3 3 2 2 3 2" xfId="2779"/>
    <cellStyle name="Input 3 3 2 2 4" xfId="2780"/>
    <cellStyle name="Input 3 3 2 3" xfId="2781"/>
    <cellStyle name="Input 3 3 2 3 2" xfId="2782"/>
    <cellStyle name="Input 3 3 2 3 2 2" xfId="2783"/>
    <cellStyle name="Input 3 3 2 3 3" xfId="2784"/>
    <cellStyle name="Input 3 3 2 3 4" xfId="2785"/>
    <cellStyle name="Input 3 3 2 4" xfId="2786"/>
    <cellStyle name="Input 3 3 2 4 2" xfId="2787"/>
    <cellStyle name="Input 3 3 2 4 2 2" xfId="2788"/>
    <cellStyle name="Input 3 3 2 4 3" xfId="2789"/>
    <cellStyle name="Input 3 3 2 5" xfId="2790"/>
    <cellStyle name="Input 3 3 2 5 2" xfId="2791"/>
    <cellStyle name="Input 3 3 2 6" xfId="2792"/>
    <cellStyle name="Input 3 3 3" xfId="2793"/>
    <cellStyle name="Input 3 3 3 2" xfId="2794"/>
    <cellStyle name="Input 3 3 3 2 2" xfId="2795"/>
    <cellStyle name="Input 3 3 3 2 2 2" xfId="2796"/>
    <cellStyle name="Input 3 3 3 2 2 2 2" xfId="2797"/>
    <cellStyle name="Input 3 3 3 2 2 3" xfId="2798"/>
    <cellStyle name="Input 3 3 3 2 3" xfId="2799"/>
    <cellStyle name="Input 3 3 3 2 3 2" xfId="2800"/>
    <cellStyle name="Input 3 3 3 2 4" xfId="2801"/>
    <cellStyle name="Input 3 3 3 3" xfId="2802"/>
    <cellStyle name="Input 3 3 3 3 2" xfId="2803"/>
    <cellStyle name="Input 3 3 3 3 2 2" xfId="2804"/>
    <cellStyle name="Input 3 3 3 3 3" xfId="2805"/>
    <cellStyle name="Input 3 3 3 3 4" xfId="2806"/>
    <cellStyle name="Input 3 3 3 4" xfId="2807"/>
    <cellStyle name="Input 3 3 3 4 2" xfId="2808"/>
    <cellStyle name="Input 3 3 3 4 2 2" xfId="2809"/>
    <cellStyle name="Input 3 3 3 4 3" xfId="2810"/>
    <cellStyle name="Input 3 3 3 5" xfId="2811"/>
    <cellStyle name="Input 3 3 3 5 2" xfId="2812"/>
    <cellStyle name="Input 3 3 3 6" xfId="2813"/>
    <cellStyle name="Input 3 3 4" xfId="2814"/>
    <cellStyle name="Input 3 3 4 2" xfId="2815"/>
    <cellStyle name="Input 3 3 4 2 2" xfId="2816"/>
    <cellStyle name="Input 3 3 4 2 2 2" xfId="2817"/>
    <cellStyle name="Input 3 3 4 2 3" xfId="2818"/>
    <cellStyle name="Input 3 3 4 3" xfId="2819"/>
    <cellStyle name="Input 3 3 4 3 2" xfId="2820"/>
    <cellStyle name="Input 3 3 4 4" xfId="2821"/>
    <cellStyle name="Input 3 3 5" xfId="2822"/>
    <cellStyle name="Input 3 3 5 2" xfId="2823"/>
    <cellStyle name="Input 3 3 5 2 2" xfId="2824"/>
    <cellStyle name="Input 3 3 5 3" xfId="2825"/>
    <cellStyle name="Input 3 3 5 4" xfId="2826"/>
    <cellStyle name="Input 3 3 6" xfId="2827"/>
    <cellStyle name="Input 3 3 6 2" xfId="2828"/>
    <cellStyle name="Input 3 3 6 2 2" xfId="2829"/>
    <cellStyle name="Input 3 3 6 3" xfId="2830"/>
    <cellStyle name="Input 3 3 7" xfId="2831"/>
    <cellStyle name="Input 3 3 7 2" xfId="2832"/>
    <cellStyle name="Input 3 3 8" xfId="2833"/>
    <cellStyle name="Input 3 4" xfId="2834"/>
    <cellStyle name="Input 3 4 2" xfId="2835"/>
    <cellStyle name="Input 3 4 2 2" xfId="2836"/>
    <cellStyle name="Input 3 4 2 2 2" xfId="2837"/>
    <cellStyle name="Input 3 4 2 2 2 2" xfId="2838"/>
    <cellStyle name="Input 3 4 2 2 3" xfId="2839"/>
    <cellStyle name="Input 3 4 2 3" xfId="2840"/>
    <cellStyle name="Input 3 4 2 3 2" xfId="2841"/>
    <cellStyle name="Input 3 4 2 4" xfId="2842"/>
    <cellStyle name="Input 3 4 3" xfId="2843"/>
    <cellStyle name="Input 3 4 3 2" xfId="2844"/>
    <cellStyle name="Input 3 4 3 2 2" xfId="2845"/>
    <cellStyle name="Input 3 4 3 3" xfId="2846"/>
    <cellStyle name="Input 3 4 3 4" xfId="2847"/>
    <cellStyle name="Input 3 4 4" xfId="2848"/>
    <cellStyle name="Input 3 4 4 2" xfId="2849"/>
    <cellStyle name="Input 3 4 4 2 2" xfId="2850"/>
    <cellStyle name="Input 3 4 4 3" xfId="2851"/>
    <cellStyle name="Input 3 4 5" xfId="2852"/>
    <cellStyle name="Input 3 4 5 2" xfId="2853"/>
    <cellStyle name="Input 3 4 6" xfId="2854"/>
    <cellStyle name="Input 4" xfId="2855"/>
    <cellStyle name="Input 4 2" xfId="2856"/>
    <cellStyle name="Input 4 2 2" xfId="2857"/>
    <cellStyle name="Input 4 2 2 2" xfId="2858"/>
    <cellStyle name="Input 4 2 2 2 2" xfId="2859"/>
    <cellStyle name="Input 4 2 2 2 2 2" xfId="2860"/>
    <cellStyle name="Input 4 2 2 2 2 2 2" xfId="2861"/>
    <cellStyle name="Input 4 2 2 2 2 3" xfId="2862"/>
    <cellStyle name="Input 4 2 2 2 3" xfId="2863"/>
    <cellStyle name="Input 4 2 2 2 3 2" xfId="2864"/>
    <cellStyle name="Input 4 2 2 2 4" xfId="2865"/>
    <cellStyle name="Input 4 2 2 3" xfId="2866"/>
    <cellStyle name="Input 4 2 2 3 2" xfId="2867"/>
    <cellStyle name="Input 4 2 2 3 2 2" xfId="2868"/>
    <cellStyle name="Input 4 2 2 3 3" xfId="2869"/>
    <cellStyle name="Input 4 2 2 3 4" xfId="2870"/>
    <cellStyle name="Input 4 2 2 4" xfId="2871"/>
    <cellStyle name="Input 4 2 2 4 2" xfId="2872"/>
    <cellStyle name="Input 4 2 2 4 2 2" xfId="2873"/>
    <cellStyle name="Input 4 2 2 4 3" xfId="2874"/>
    <cellStyle name="Input 4 2 2 5" xfId="2875"/>
    <cellStyle name="Input 4 2 2 5 2" xfId="2876"/>
    <cellStyle name="Input 4 2 2 6" xfId="2877"/>
    <cellStyle name="Input 4 2 3" xfId="2878"/>
    <cellStyle name="Input 4 2 3 2" xfId="2879"/>
    <cellStyle name="Input 4 2 3 2 2" xfId="2880"/>
    <cellStyle name="Input 4 2 3 2 2 2" xfId="2881"/>
    <cellStyle name="Input 4 2 3 2 2 2 2" xfId="2882"/>
    <cellStyle name="Input 4 2 3 2 2 3" xfId="2883"/>
    <cellStyle name="Input 4 2 3 2 3" xfId="2884"/>
    <cellStyle name="Input 4 2 3 2 3 2" xfId="2885"/>
    <cellStyle name="Input 4 2 3 2 4" xfId="2886"/>
    <cellStyle name="Input 4 2 3 3" xfId="2887"/>
    <cellStyle name="Input 4 2 3 3 2" xfId="2888"/>
    <cellStyle name="Input 4 2 3 3 2 2" xfId="2889"/>
    <cellStyle name="Input 4 2 3 3 3" xfId="2890"/>
    <cellStyle name="Input 4 2 3 3 4" xfId="2891"/>
    <cellStyle name="Input 4 2 3 4" xfId="2892"/>
    <cellStyle name="Input 4 2 3 4 2" xfId="2893"/>
    <cellStyle name="Input 4 2 3 4 2 2" xfId="2894"/>
    <cellStyle name="Input 4 2 3 4 3" xfId="2895"/>
    <cellStyle name="Input 4 2 3 5" xfId="2896"/>
    <cellStyle name="Input 4 2 3 5 2" xfId="2897"/>
    <cellStyle name="Input 4 2 3 6" xfId="2898"/>
    <cellStyle name="Input 4 2 4" xfId="2899"/>
    <cellStyle name="Input 4 2 4 2" xfId="2900"/>
    <cellStyle name="Input 4 2 4 2 2" xfId="2901"/>
    <cellStyle name="Input 4 2 4 2 2 2" xfId="2902"/>
    <cellStyle name="Input 4 2 4 2 2 2 2" xfId="2903"/>
    <cellStyle name="Input 4 2 4 2 2 3" xfId="2904"/>
    <cellStyle name="Input 4 2 4 2 3" xfId="2905"/>
    <cellStyle name="Input 4 2 4 2 3 2" xfId="2906"/>
    <cellStyle name="Input 4 2 4 2 4" xfId="2907"/>
    <cellStyle name="Input 4 2 4 3" xfId="2908"/>
    <cellStyle name="Input 4 2 4 3 2" xfId="2909"/>
    <cellStyle name="Input 4 2 4 3 2 2" xfId="2910"/>
    <cellStyle name="Input 4 2 4 3 3" xfId="2911"/>
    <cellStyle name="Input 4 2 4 3 4" xfId="2912"/>
    <cellStyle name="Input 4 2 4 4" xfId="2913"/>
    <cellStyle name="Input 4 2 4 4 2" xfId="2914"/>
    <cellStyle name="Input 4 2 4 4 2 2" xfId="2915"/>
    <cellStyle name="Input 4 2 4 4 3" xfId="2916"/>
    <cellStyle name="Input 4 2 4 5" xfId="2917"/>
    <cellStyle name="Input 4 2 4 5 2" xfId="2918"/>
    <cellStyle name="Input 4 2 4 6" xfId="2919"/>
    <cellStyle name="Input 4 2 5" xfId="2920"/>
    <cellStyle name="Input 4 2 5 2" xfId="2921"/>
    <cellStyle name="Input 4 3" xfId="2922"/>
    <cellStyle name="Input 4 3 2" xfId="2923"/>
    <cellStyle name="Input 4 3 2 2" xfId="2924"/>
    <cellStyle name="Input 4 3 2 2 2" xfId="2925"/>
    <cellStyle name="Input 4 3 2 2 2 2" xfId="2926"/>
    <cellStyle name="Input 4 3 2 2 2 2 2" xfId="2927"/>
    <cellStyle name="Input 4 3 2 2 2 3" xfId="2928"/>
    <cellStyle name="Input 4 3 2 2 3" xfId="2929"/>
    <cellStyle name="Input 4 3 2 2 3 2" xfId="2930"/>
    <cellStyle name="Input 4 3 2 2 4" xfId="2931"/>
    <cellStyle name="Input 4 3 2 3" xfId="2932"/>
    <cellStyle name="Input 4 3 2 3 2" xfId="2933"/>
    <cellStyle name="Input 4 3 2 3 2 2" xfId="2934"/>
    <cellStyle name="Input 4 3 2 3 3" xfId="2935"/>
    <cellStyle name="Input 4 3 2 3 4" xfId="2936"/>
    <cellStyle name="Input 4 3 2 4" xfId="2937"/>
    <cellStyle name="Input 4 3 2 4 2" xfId="2938"/>
    <cellStyle name="Input 4 3 2 4 2 2" xfId="2939"/>
    <cellStyle name="Input 4 3 2 4 3" xfId="2940"/>
    <cellStyle name="Input 4 3 2 5" xfId="2941"/>
    <cellStyle name="Input 4 3 2 5 2" xfId="2942"/>
    <cellStyle name="Input 4 3 2 6" xfId="2943"/>
    <cellStyle name="Input 4 3 3" xfId="2944"/>
    <cellStyle name="Input 4 3 3 2" xfId="2945"/>
    <cellStyle name="Input 4 3 3 2 2" xfId="2946"/>
    <cellStyle name="Input 4 3 3 2 2 2" xfId="2947"/>
    <cellStyle name="Input 4 3 3 2 2 2 2" xfId="2948"/>
    <cellStyle name="Input 4 3 3 2 2 3" xfId="2949"/>
    <cellStyle name="Input 4 3 3 2 3" xfId="2950"/>
    <cellStyle name="Input 4 3 3 2 3 2" xfId="2951"/>
    <cellStyle name="Input 4 3 3 2 4" xfId="2952"/>
    <cellStyle name="Input 4 3 3 3" xfId="2953"/>
    <cellStyle name="Input 4 3 3 3 2" xfId="2954"/>
    <cellStyle name="Input 4 3 3 3 2 2" xfId="2955"/>
    <cellStyle name="Input 4 3 3 3 3" xfId="2956"/>
    <cellStyle name="Input 4 3 3 3 4" xfId="2957"/>
    <cellStyle name="Input 4 3 3 4" xfId="2958"/>
    <cellStyle name="Input 4 3 3 4 2" xfId="2959"/>
    <cellStyle name="Input 4 3 3 4 2 2" xfId="2960"/>
    <cellStyle name="Input 4 3 3 4 3" xfId="2961"/>
    <cellStyle name="Input 4 3 3 5" xfId="2962"/>
    <cellStyle name="Input 4 3 3 5 2" xfId="2963"/>
    <cellStyle name="Input 4 3 3 6" xfId="2964"/>
    <cellStyle name="Input 4 3 4" xfId="2965"/>
    <cellStyle name="Input 4 3 4 2" xfId="2966"/>
    <cellStyle name="Input 4 3 4 2 2" xfId="2967"/>
    <cellStyle name="Input 4 3 4 2 2 2" xfId="2968"/>
    <cellStyle name="Input 4 3 4 2 3" xfId="2969"/>
    <cellStyle name="Input 4 3 4 3" xfId="2970"/>
    <cellStyle name="Input 4 3 4 3 2" xfId="2971"/>
    <cellStyle name="Input 4 3 4 4" xfId="2972"/>
    <cellStyle name="Input 4 3 5" xfId="2973"/>
    <cellStyle name="Input 4 3 5 2" xfId="2974"/>
    <cellStyle name="Input 4 3 5 2 2" xfId="2975"/>
    <cellStyle name="Input 4 3 5 3" xfId="2976"/>
    <cellStyle name="Input 4 3 5 4" xfId="2977"/>
    <cellStyle name="Input 4 3 6" xfId="2978"/>
    <cellStyle name="Input 4 3 6 2" xfId="2979"/>
    <cellStyle name="Input 4 3 6 2 2" xfId="2980"/>
    <cellStyle name="Input 4 3 6 3" xfId="2981"/>
    <cellStyle name="Input 4 3 7" xfId="2982"/>
    <cellStyle name="Input 4 3 7 2" xfId="2983"/>
    <cellStyle name="Input 4 3 8" xfId="2984"/>
    <cellStyle name="Input 4 4" xfId="2985"/>
    <cellStyle name="Input 4 4 2" xfId="2986"/>
    <cellStyle name="Input 4 4 2 2" xfId="2987"/>
    <cellStyle name="Input 4 4 2 2 2" xfId="2988"/>
    <cellStyle name="Input 4 4 2 2 2 2" xfId="2989"/>
    <cellStyle name="Input 4 4 2 2 3" xfId="2990"/>
    <cellStyle name="Input 4 4 2 3" xfId="2991"/>
    <cellStyle name="Input 4 4 2 3 2" xfId="2992"/>
    <cellStyle name="Input 4 4 2 4" xfId="2993"/>
    <cellStyle name="Input 4 4 3" xfId="2994"/>
    <cellStyle name="Input 4 4 3 2" xfId="2995"/>
    <cellStyle name="Input 4 4 3 2 2" xfId="2996"/>
    <cellStyle name="Input 4 4 3 3" xfId="2997"/>
    <cellStyle name="Input 4 4 3 4" xfId="2998"/>
    <cellStyle name="Input 4 4 4" xfId="2999"/>
    <cellStyle name="Input 4 4 4 2" xfId="3000"/>
    <cellStyle name="Input 4 4 4 2 2" xfId="3001"/>
    <cellStyle name="Input 4 4 4 3" xfId="3002"/>
    <cellStyle name="Input 4 4 5" xfId="3003"/>
    <cellStyle name="Input 4 4 5 2" xfId="3004"/>
    <cellStyle name="Input 4 4 6" xfId="3005"/>
    <cellStyle name="Input 5" xfId="3006"/>
    <cellStyle name="Input 5 2" xfId="3007"/>
    <cellStyle name="Input 5 2 2" xfId="3008"/>
    <cellStyle name="Input 5 2 2 2" xfId="3009"/>
    <cellStyle name="Input 5 2 2 2 2" xfId="3010"/>
    <cellStyle name="Input 5 2 2 2 2 2" xfId="3011"/>
    <cellStyle name="Input 5 2 2 2 3" xfId="3012"/>
    <cellStyle name="Input 5 2 2 3" xfId="3013"/>
    <cellStyle name="Input 5 2 2 3 2" xfId="3014"/>
    <cellStyle name="Input 5 2 2 4" xfId="3015"/>
    <cellStyle name="Input 5 2 3" xfId="3016"/>
    <cellStyle name="Input 5 2 3 2" xfId="3017"/>
    <cellStyle name="Input 5 2 3 2 2" xfId="3018"/>
    <cellStyle name="Input 5 2 3 3" xfId="3019"/>
    <cellStyle name="Input 5 2 3 4" xfId="3020"/>
    <cellStyle name="Input 5 2 4" xfId="3021"/>
    <cellStyle name="Input 5 2 4 2" xfId="3022"/>
    <cellStyle name="Input 5 2 4 2 2" xfId="3023"/>
    <cellStyle name="Input 5 2 4 3" xfId="3024"/>
    <cellStyle name="Input 5 2 5" xfId="3025"/>
    <cellStyle name="Input 5 2 5 2" xfId="3026"/>
    <cellStyle name="Input 5 2 6" xfId="3027"/>
    <cellStyle name="Input 5 3" xfId="3028"/>
    <cellStyle name="Input 5 3 2" xfId="3029"/>
    <cellStyle name="Input 5 3 2 2" xfId="3030"/>
    <cellStyle name="Input 5 3 2 2 2" xfId="3031"/>
    <cellStyle name="Input 5 3 2 2 2 2" xfId="3032"/>
    <cellStyle name="Input 5 3 2 2 3" xfId="3033"/>
    <cellStyle name="Input 5 3 2 3" xfId="3034"/>
    <cellStyle name="Input 5 3 2 3 2" xfId="3035"/>
    <cellStyle name="Input 5 3 2 4" xfId="3036"/>
    <cellStyle name="Input 5 3 3" xfId="3037"/>
    <cellStyle name="Input 5 3 3 2" xfId="3038"/>
    <cellStyle name="Input 5 3 3 2 2" xfId="3039"/>
    <cellStyle name="Input 5 3 3 3" xfId="3040"/>
    <cellStyle name="Input 5 3 3 4" xfId="3041"/>
    <cellStyle name="Input 5 3 4" xfId="3042"/>
    <cellStyle name="Input 5 3 4 2" xfId="3043"/>
    <cellStyle name="Input 5 3 4 2 2" xfId="3044"/>
    <cellStyle name="Input 5 3 4 3" xfId="3045"/>
    <cellStyle name="Input 5 3 5" xfId="3046"/>
    <cellStyle name="Input 5 3 5 2" xfId="3047"/>
    <cellStyle name="Input 5 3 6" xfId="3048"/>
    <cellStyle name="Input 5 4" xfId="3049"/>
    <cellStyle name="Input 5 4 2" xfId="3050"/>
    <cellStyle name="Input 5 4 2 2" xfId="3051"/>
    <cellStyle name="Input 5 4 2 2 2" xfId="3052"/>
    <cellStyle name="Input 5 4 2 2 2 2" xfId="3053"/>
    <cellStyle name="Input 5 4 2 2 3" xfId="3054"/>
    <cellStyle name="Input 5 4 2 3" xfId="3055"/>
    <cellStyle name="Input 5 4 2 3 2" xfId="3056"/>
    <cellStyle name="Input 5 4 2 4" xfId="3057"/>
    <cellStyle name="Input 5 4 3" xfId="3058"/>
    <cellStyle name="Input 5 4 3 2" xfId="3059"/>
    <cellStyle name="Input 5 4 3 2 2" xfId="3060"/>
    <cellStyle name="Input 5 4 3 3" xfId="3061"/>
    <cellStyle name="Input 5 4 3 4" xfId="3062"/>
    <cellStyle name="Input 5 4 4" xfId="3063"/>
    <cellStyle name="Input 5 4 4 2" xfId="3064"/>
    <cellStyle name="Input 5 4 4 2 2" xfId="3065"/>
    <cellStyle name="Input 5 4 4 3" xfId="3066"/>
    <cellStyle name="Input 5 4 5" xfId="3067"/>
    <cellStyle name="Input 5 4 5 2" xfId="3068"/>
    <cellStyle name="Input 5 4 6" xfId="3069"/>
    <cellStyle name="Input 5 5" xfId="3070"/>
    <cellStyle name="Input 5 5 2" xfId="3071"/>
    <cellStyle name="Input 6" xfId="3072"/>
    <cellStyle name="Input 6 2" xfId="3073"/>
    <cellStyle name="Input 6 2 2" xfId="3074"/>
    <cellStyle name="Input 6 2 2 2" xfId="3075"/>
    <cellStyle name="Input 6 2 2 2 2" xfId="3076"/>
    <cellStyle name="Input 6 2 2 2 2 2" xfId="3077"/>
    <cellStyle name="Input 6 2 2 2 3" xfId="3078"/>
    <cellStyle name="Input 6 2 2 3" xfId="3079"/>
    <cellStyle name="Input 6 2 2 3 2" xfId="3080"/>
    <cellStyle name="Input 6 2 2 4" xfId="3081"/>
    <cellStyle name="Input 6 2 3" xfId="3082"/>
    <cellStyle name="Input 6 2 3 2" xfId="3083"/>
    <cellStyle name="Input 6 2 3 2 2" xfId="3084"/>
    <cellStyle name="Input 6 2 3 3" xfId="3085"/>
    <cellStyle name="Input 6 2 3 4" xfId="3086"/>
    <cellStyle name="Input 6 2 4" xfId="3087"/>
    <cellStyle name="Input 6 2 4 2" xfId="3088"/>
    <cellStyle name="Input 6 2 4 2 2" xfId="3089"/>
    <cellStyle name="Input 6 2 4 3" xfId="3090"/>
    <cellStyle name="Input 6 2 5" xfId="3091"/>
    <cellStyle name="Input 6 2 5 2" xfId="3092"/>
    <cellStyle name="Input 6 2 6" xfId="3093"/>
    <cellStyle name="Input 6 3" xfId="3094"/>
    <cellStyle name="Input 6 3 2" xfId="3095"/>
    <cellStyle name="Input 6 3 2 2" xfId="3096"/>
    <cellStyle name="Input 6 3 2 2 2" xfId="3097"/>
    <cellStyle name="Input 6 3 2 2 2 2" xfId="3098"/>
    <cellStyle name="Input 6 3 2 2 3" xfId="3099"/>
    <cellStyle name="Input 6 3 2 3" xfId="3100"/>
    <cellStyle name="Input 6 3 2 3 2" xfId="3101"/>
    <cellStyle name="Input 6 3 2 4" xfId="3102"/>
    <cellStyle name="Input 6 3 3" xfId="3103"/>
    <cellStyle name="Input 6 3 3 2" xfId="3104"/>
    <cellStyle name="Input 6 3 3 2 2" xfId="3105"/>
    <cellStyle name="Input 6 3 3 3" xfId="3106"/>
    <cellStyle name="Input 6 3 3 4" xfId="3107"/>
    <cellStyle name="Input 6 3 4" xfId="3108"/>
    <cellStyle name="Input 6 3 4 2" xfId="3109"/>
    <cellStyle name="Input 6 3 4 2 2" xfId="3110"/>
    <cellStyle name="Input 6 3 4 3" xfId="3111"/>
    <cellStyle name="Input 6 3 5" xfId="3112"/>
    <cellStyle name="Input 6 3 5 2" xfId="3113"/>
    <cellStyle name="Input 6 3 6" xfId="3114"/>
    <cellStyle name="Input 6 4" xfId="3115"/>
    <cellStyle name="Input 6 4 2" xfId="3116"/>
    <cellStyle name="Input 6 4 2 2" xfId="3117"/>
    <cellStyle name="Input 6 4 2 2 2" xfId="3118"/>
    <cellStyle name="Input 6 4 2 3" xfId="3119"/>
    <cellStyle name="Input 6 4 3" xfId="3120"/>
    <cellStyle name="Input 6 4 3 2" xfId="3121"/>
    <cellStyle name="Input 6 4 4" xfId="3122"/>
    <cellStyle name="Input 6 5" xfId="3123"/>
    <cellStyle name="Input 6 5 2" xfId="3124"/>
    <cellStyle name="Input 6 5 2 2" xfId="3125"/>
    <cellStyle name="Input 6 5 3" xfId="3126"/>
    <cellStyle name="Input 6 5 4" xfId="3127"/>
    <cellStyle name="Input 6 6" xfId="3128"/>
    <cellStyle name="Input 6 6 2" xfId="3129"/>
    <cellStyle name="Input 6 6 2 2" xfId="3130"/>
    <cellStyle name="Input 6 6 3" xfId="3131"/>
    <cellStyle name="Input 6 7" xfId="3132"/>
    <cellStyle name="Input 6 7 2" xfId="3133"/>
    <cellStyle name="Input 6 8" xfId="3134"/>
    <cellStyle name="InputDataRow" xfId="3135"/>
    <cellStyle name="InputLabelRow" xfId="3136"/>
    <cellStyle name="InputPc2Right" xfId="3137"/>
    <cellStyle name="InputShortText" xfId="3138"/>
    <cellStyle name="InputTextLeft" xfId="3139"/>
    <cellStyle name="Int.conven" xfId="3140"/>
    <cellStyle name="IntermediateLabelColumn" xfId="3141"/>
    <cellStyle name="JG" xfId="3142"/>
    <cellStyle name="LabelLeft" xfId="3143"/>
    <cellStyle name="LabelRight" xfId="3144"/>
    <cellStyle name="Linked Cell 2" xfId="3145"/>
    <cellStyle name="Linked Cell 2 2" xfId="3146"/>
    <cellStyle name="Linked Cell 3" xfId="3147"/>
    <cellStyle name="Linked Cell 4" xfId="3148"/>
    <cellStyle name="LocalFormat" xfId="3149"/>
    <cellStyle name="LocalFormat 2" xfId="3150"/>
    <cellStyle name="LocalFormat 2 2" xfId="3151"/>
    <cellStyle name="LocalFormat 2 2 2" xfId="3152"/>
    <cellStyle name="LocalFormat 2 2 2 2" xfId="3153"/>
    <cellStyle name="LocalFormat 2 2 2 2 2" xfId="3154"/>
    <cellStyle name="LocalFormat 2 2 2 2 2 2" xfId="3155"/>
    <cellStyle name="LocalFormat 2 2 2 2 2 2 2" xfId="3156"/>
    <cellStyle name="LocalFormat 2 2 2 2 2 3" xfId="3157"/>
    <cellStyle name="LocalFormat 2 2 2 2 3" xfId="3158"/>
    <cellStyle name="LocalFormat 2 2 2 2 3 2" xfId="3159"/>
    <cellStyle name="LocalFormat 2 2 2 2 4" xfId="3160"/>
    <cellStyle name="LocalFormat 2 2 2 3" xfId="3161"/>
    <cellStyle name="LocalFormat 2 2 2 3 2" xfId="3162"/>
    <cellStyle name="LocalFormat 2 2 2 3 2 2" xfId="3163"/>
    <cellStyle name="LocalFormat 2 2 2 3 3" xfId="3164"/>
    <cellStyle name="LocalFormat 2 2 2 3 4" xfId="3165"/>
    <cellStyle name="LocalFormat 2 2 2 4" xfId="3166"/>
    <cellStyle name="LocalFormat 2 2 2 4 2" xfId="3167"/>
    <cellStyle name="LocalFormat 2 2 2 4 2 2" xfId="3168"/>
    <cellStyle name="LocalFormat 2 2 2 4 3" xfId="3169"/>
    <cellStyle name="LocalFormat 2 2 2 5" xfId="3170"/>
    <cellStyle name="LocalFormat 2 2 3" xfId="3171"/>
    <cellStyle name="LocalFormat 2 2 3 2" xfId="3172"/>
    <cellStyle name="LocalFormat 2 2 3 2 2" xfId="3173"/>
    <cellStyle name="LocalFormat 2 2 3 2 2 2" xfId="3174"/>
    <cellStyle name="LocalFormat 2 2 3 2 2 2 2" xfId="3175"/>
    <cellStyle name="LocalFormat 2 2 3 2 2 3" xfId="3176"/>
    <cellStyle name="LocalFormat 2 2 3 2 3" xfId="3177"/>
    <cellStyle name="LocalFormat 2 2 3 2 3 2" xfId="3178"/>
    <cellStyle name="LocalFormat 2 2 3 2 4" xfId="3179"/>
    <cellStyle name="LocalFormat 2 2 3 3" xfId="3180"/>
    <cellStyle name="LocalFormat 2 2 3 3 2" xfId="3181"/>
    <cellStyle name="LocalFormat 2 2 3 3 2 2" xfId="3182"/>
    <cellStyle name="LocalFormat 2 2 3 3 3" xfId="3183"/>
    <cellStyle name="LocalFormat 2 2 3 3 4" xfId="3184"/>
    <cellStyle name="LocalFormat 2 2 3 4" xfId="3185"/>
    <cellStyle name="LocalFormat 2 2 3 4 2" xfId="3186"/>
    <cellStyle name="LocalFormat 2 2 3 4 2 2" xfId="3187"/>
    <cellStyle name="LocalFormat 2 2 3 4 3" xfId="3188"/>
    <cellStyle name="LocalFormat 2 2 3 5" xfId="3189"/>
    <cellStyle name="LocalFormat 2 2 3 5 2" xfId="3190"/>
    <cellStyle name="LocalFormat 2 2 3 6" xfId="3191"/>
    <cellStyle name="LocalFormat 2 2 4" xfId="3192"/>
    <cellStyle name="LocalFormat 2 2 4 2" xfId="3193"/>
    <cellStyle name="LocalFormat 2 2 4 2 2" xfId="3194"/>
    <cellStyle name="LocalFormat 2 2 4 2 2 2" xfId="3195"/>
    <cellStyle name="LocalFormat 2 2 4 2 2 2 2" xfId="3196"/>
    <cellStyle name="LocalFormat 2 2 4 2 2 3" xfId="3197"/>
    <cellStyle name="LocalFormat 2 2 4 2 3" xfId="3198"/>
    <cellStyle name="LocalFormat 2 2 4 2 3 2" xfId="3199"/>
    <cellStyle name="LocalFormat 2 2 4 2 4" xfId="3200"/>
    <cellStyle name="LocalFormat 2 2 4 3" xfId="3201"/>
    <cellStyle name="LocalFormat 2 2 4 3 2" xfId="3202"/>
    <cellStyle name="LocalFormat 2 2 4 3 2 2" xfId="3203"/>
    <cellStyle name="LocalFormat 2 2 4 3 3" xfId="3204"/>
    <cellStyle name="LocalFormat 2 2 4 3 4" xfId="3205"/>
    <cellStyle name="LocalFormat 2 2 4 4" xfId="3206"/>
    <cellStyle name="LocalFormat 2 2 4 4 2" xfId="3207"/>
    <cellStyle name="LocalFormat 2 2 4 4 2 2" xfId="3208"/>
    <cellStyle name="LocalFormat 2 2 4 4 3" xfId="3209"/>
    <cellStyle name="LocalFormat 2 2 4 5" xfId="3210"/>
    <cellStyle name="LocalFormat 2 2 4 5 2" xfId="3211"/>
    <cellStyle name="LocalFormat 2 2 4 6" xfId="3212"/>
    <cellStyle name="LocalFormat 2 2 5" xfId="3213"/>
    <cellStyle name="LocalFormat 2 2 5 2" xfId="3214"/>
    <cellStyle name="LocalFormat 2 3" xfId="3215"/>
    <cellStyle name="LocalFormat 2 3 2" xfId="3216"/>
    <cellStyle name="LocalFormat 2 3 2 2" xfId="3217"/>
    <cellStyle name="LocalFormat 2 3 2 2 2" xfId="3218"/>
    <cellStyle name="LocalFormat 2 3 2 2 2 2" xfId="3219"/>
    <cellStyle name="LocalFormat 2 3 2 2 3" xfId="3220"/>
    <cellStyle name="LocalFormat 2 3 2 3" xfId="3221"/>
    <cellStyle name="LocalFormat 2 3 2 3 2" xfId="3222"/>
    <cellStyle name="LocalFormat 2 3 2 4" xfId="3223"/>
    <cellStyle name="LocalFormat 2 3 3" xfId="3224"/>
    <cellStyle name="LocalFormat 2 3 3 2" xfId="3225"/>
    <cellStyle name="LocalFormat 2 3 3 2 2" xfId="3226"/>
    <cellStyle name="LocalFormat 2 3 3 3" xfId="3227"/>
    <cellStyle name="LocalFormat 2 3 3 4" xfId="3228"/>
    <cellStyle name="LocalFormat 2 3 4" xfId="3229"/>
    <cellStyle name="LocalFormat 2 3 4 2" xfId="3230"/>
    <cellStyle name="LocalFormat 2 3 4 2 2" xfId="3231"/>
    <cellStyle name="LocalFormat 2 3 4 3" xfId="3232"/>
    <cellStyle name="LocalFormat 2 3 5" xfId="3233"/>
    <cellStyle name="LocalFormat 2 4" xfId="3234"/>
    <cellStyle name="LocalFormat 2 4 2" xfId="3235"/>
    <cellStyle name="LocalFormat 2 4 2 2" xfId="3236"/>
    <cellStyle name="LocalFormat 2 4 2 2 2" xfId="3237"/>
    <cellStyle name="LocalFormat 2 4 2 2 2 2" xfId="3238"/>
    <cellStyle name="LocalFormat 2 4 2 2 3" xfId="3239"/>
    <cellStyle name="LocalFormat 2 4 2 3" xfId="3240"/>
    <cellStyle name="LocalFormat 2 4 2 3 2" xfId="3241"/>
    <cellStyle name="LocalFormat 2 4 2 4" xfId="3242"/>
    <cellStyle name="LocalFormat 2 4 3" xfId="3243"/>
    <cellStyle name="LocalFormat 2 4 3 2" xfId="3244"/>
    <cellStyle name="LocalFormat 2 4 3 2 2" xfId="3245"/>
    <cellStyle name="LocalFormat 2 4 3 3" xfId="3246"/>
    <cellStyle name="LocalFormat 2 4 3 4" xfId="3247"/>
    <cellStyle name="LocalFormat 2 4 4" xfId="3248"/>
    <cellStyle name="LocalFormat 2 4 4 2" xfId="3249"/>
    <cellStyle name="LocalFormat 2 4 4 2 2" xfId="3250"/>
    <cellStyle name="LocalFormat 2 4 4 3" xfId="3251"/>
    <cellStyle name="LocalFormat 2 4 5" xfId="3252"/>
    <cellStyle name="LocalFormat 2 4 5 2" xfId="3253"/>
    <cellStyle name="LocalFormat 2 4 6" xfId="3254"/>
    <cellStyle name="LocalFormat 2 5" xfId="3255"/>
    <cellStyle name="LocalFormat 2 5 2" xfId="3256"/>
    <cellStyle name="LocalFormat 2 5 2 2" xfId="3257"/>
    <cellStyle name="LocalFormat 2 5 2 2 2" xfId="3258"/>
    <cellStyle name="LocalFormat 2 5 2 2 2 2" xfId="3259"/>
    <cellStyle name="LocalFormat 2 5 2 2 3" xfId="3260"/>
    <cellStyle name="LocalFormat 2 5 2 3" xfId="3261"/>
    <cellStyle name="LocalFormat 2 5 2 3 2" xfId="3262"/>
    <cellStyle name="LocalFormat 2 5 2 4" xfId="3263"/>
    <cellStyle name="LocalFormat 2 5 3" xfId="3264"/>
    <cellStyle name="LocalFormat 2 5 3 2" xfId="3265"/>
    <cellStyle name="LocalFormat 2 5 3 2 2" xfId="3266"/>
    <cellStyle name="LocalFormat 2 5 3 3" xfId="3267"/>
    <cellStyle name="LocalFormat 2 5 3 4" xfId="3268"/>
    <cellStyle name="LocalFormat 2 5 4" xfId="3269"/>
    <cellStyle name="LocalFormat 2 5 4 2" xfId="3270"/>
    <cellStyle name="LocalFormat 2 5 4 2 2" xfId="3271"/>
    <cellStyle name="LocalFormat 2 5 4 3" xfId="3272"/>
    <cellStyle name="LocalFormat 2 5 5" xfId="3273"/>
    <cellStyle name="LocalFormat 2 5 5 2" xfId="3274"/>
    <cellStyle name="LocalFormat 2 5 6" xfId="3275"/>
    <cellStyle name="LocalFormat 3" xfId="3276"/>
    <cellStyle name="LocalFormat 3 2" xfId="3277"/>
    <cellStyle name="LocalFormat 3 2 2" xfId="3278"/>
    <cellStyle name="LocalFormat 3 2 2 2" xfId="3279"/>
    <cellStyle name="LocalFormat 3 2 2 2 2" xfId="3280"/>
    <cellStyle name="LocalFormat 3 2 2 2 2 2" xfId="3281"/>
    <cellStyle name="LocalFormat 3 2 2 2 3" xfId="3282"/>
    <cellStyle name="LocalFormat 3 2 2 3" xfId="3283"/>
    <cellStyle name="LocalFormat 3 2 2 3 2" xfId="3284"/>
    <cellStyle name="LocalFormat 3 2 2 4" xfId="3285"/>
    <cellStyle name="LocalFormat 3 2 3" xfId="3286"/>
    <cellStyle name="LocalFormat 3 2 3 2" xfId="3287"/>
    <cellStyle name="LocalFormat 3 2 3 2 2" xfId="3288"/>
    <cellStyle name="LocalFormat 3 2 3 3" xfId="3289"/>
    <cellStyle name="LocalFormat 3 2 3 4" xfId="3290"/>
    <cellStyle name="LocalFormat 3 2 4" xfId="3291"/>
    <cellStyle name="LocalFormat 3 2 4 2" xfId="3292"/>
    <cellStyle name="LocalFormat 3 2 4 2 2" xfId="3293"/>
    <cellStyle name="LocalFormat 3 2 4 3" xfId="3294"/>
    <cellStyle name="LocalFormat 3 2 5" xfId="3295"/>
    <cellStyle name="LocalFormat 3 3" xfId="3296"/>
    <cellStyle name="LocalFormat 3 3 2" xfId="3297"/>
    <cellStyle name="LocalFormat 3 3 2 2" xfId="3298"/>
    <cellStyle name="LocalFormat 3 3 2 2 2" xfId="3299"/>
    <cellStyle name="LocalFormat 3 3 2 2 2 2" xfId="3300"/>
    <cellStyle name="LocalFormat 3 3 2 2 3" xfId="3301"/>
    <cellStyle name="LocalFormat 3 3 2 3" xfId="3302"/>
    <cellStyle name="LocalFormat 3 3 2 3 2" xfId="3303"/>
    <cellStyle name="LocalFormat 3 3 2 4" xfId="3304"/>
    <cellStyle name="LocalFormat 3 3 3" xfId="3305"/>
    <cellStyle name="LocalFormat 3 3 3 2" xfId="3306"/>
    <cellStyle name="LocalFormat 3 3 3 2 2" xfId="3307"/>
    <cellStyle name="LocalFormat 3 3 3 3" xfId="3308"/>
    <cellStyle name="LocalFormat 3 3 3 4" xfId="3309"/>
    <cellStyle name="LocalFormat 3 3 4" xfId="3310"/>
    <cellStyle name="LocalFormat 3 3 4 2" xfId="3311"/>
    <cellStyle name="LocalFormat 3 3 4 2 2" xfId="3312"/>
    <cellStyle name="LocalFormat 3 3 4 3" xfId="3313"/>
    <cellStyle name="LocalFormat 3 3 5" xfId="3314"/>
    <cellStyle name="LocalFormat 3 3 5 2" xfId="3315"/>
    <cellStyle name="LocalFormat 3 3 6" xfId="3316"/>
    <cellStyle name="LocalFormat 3 4" xfId="3317"/>
    <cellStyle name="LocalFormat 3 4 2" xfId="3318"/>
    <cellStyle name="LocalFormat 3 4 2 2" xfId="3319"/>
    <cellStyle name="LocalFormat 3 4 2 2 2" xfId="3320"/>
    <cellStyle name="LocalFormat 3 4 2 2 2 2" xfId="3321"/>
    <cellStyle name="LocalFormat 3 4 2 2 3" xfId="3322"/>
    <cellStyle name="LocalFormat 3 4 2 3" xfId="3323"/>
    <cellStyle name="LocalFormat 3 4 2 3 2" xfId="3324"/>
    <cellStyle name="LocalFormat 3 4 2 4" xfId="3325"/>
    <cellStyle name="LocalFormat 3 4 3" xfId="3326"/>
    <cellStyle name="LocalFormat 3 4 3 2" xfId="3327"/>
    <cellStyle name="LocalFormat 3 4 3 2 2" xfId="3328"/>
    <cellStyle name="LocalFormat 3 4 3 3" xfId="3329"/>
    <cellStyle name="LocalFormat 3 4 3 4" xfId="3330"/>
    <cellStyle name="LocalFormat 3 4 4" xfId="3331"/>
    <cellStyle name="LocalFormat 3 4 4 2" xfId="3332"/>
    <cellStyle name="LocalFormat 3 4 4 2 2" xfId="3333"/>
    <cellStyle name="LocalFormat 3 4 4 3" xfId="3334"/>
    <cellStyle name="LocalFormat 3 4 5" xfId="3335"/>
    <cellStyle name="LocalFormat 3 4 5 2" xfId="3336"/>
    <cellStyle name="LocalFormat 3 4 6" xfId="3337"/>
    <cellStyle name="LocalFormat 3 5" xfId="3338"/>
    <cellStyle name="LocalFormat 3 5 2" xfId="3339"/>
    <cellStyle name="LocalFormat 4" xfId="3340"/>
    <cellStyle name="LocalFormat 4 2" xfId="3341"/>
    <cellStyle name="LocalFormat 4 2 2" xfId="3342"/>
    <cellStyle name="LocalFormat 4 2 2 2" xfId="3343"/>
    <cellStyle name="LocalFormat 4 2 2 2 2" xfId="3344"/>
    <cellStyle name="LocalFormat 4 2 2 2 2 2" xfId="3345"/>
    <cellStyle name="LocalFormat 4 2 2 2 3" xfId="3346"/>
    <cellStyle name="LocalFormat 4 2 2 3" xfId="3347"/>
    <cellStyle name="LocalFormat 4 2 2 3 2" xfId="3348"/>
    <cellStyle name="LocalFormat 4 2 2 4" xfId="3349"/>
    <cellStyle name="LocalFormat 4 2 3" xfId="3350"/>
    <cellStyle name="LocalFormat 4 2 3 2" xfId="3351"/>
    <cellStyle name="LocalFormat 4 2 3 2 2" xfId="3352"/>
    <cellStyle name="LocalFormat 4 2 3 3" xfId="3353"/>
    <cellStyle name="LocalFormat 4 2 3 4" xfId="3354"/>
    <cellStyle name="LocalFormat 4 2 4" xfId="3355"/>
    <cellStyle name="LocalFormat 4 2 4 2" xfId="3356"/>
    <cellStyle name="LocalFormat 4 2 4 2 2" xfId="3357"/>
    <cellStyle name="LocalFormat 4 2 4 3" xfId="3358"/>
    <cellStyle name="LocalFormat 4 2 5" xfId="3359"/>
    <cellStyle name="LocalFormat 4 2 5 2" xfId="3360"/>
    <cellStyle name="LocalFormat 4 2 6" xfId="3361"/>
    <cellStyle name="LocalFormat 4 3" xfId="3362"/>
    <cellStyle name="LocalFormat 4 3 2" xfId="3363"/>
    <cellStyle name="LocalFormat 4 3 2 2" xfId="3364"/>
    <cellStyle name="LocalFormat 4 3 2 2 2" xfId="3365"/>
    <cellStyle name="LocalFormat 4 3 2 2 2 2" xfId="3366"/>
    <cellStyle name="LocalFormat 4 3 2 2 3" xfId="3367"/>
    <cellStyle name="LocalFormat 4 3 2 3" xfId="3368"/>
    <cellStyle name="LocalFormat 4 3 2 3 2" xfId="3369"/>
    <cellStyle name="LocalFormat 4 3 2 4" xfId="3370"/>
    <cellStyle name="LocalFormat 4 3 3" xfId="3371"/>
    <cellStyle name="LocalFormat 4 3 3 2" xfId="3372"/>
    <cellStyle name="LocalFormat 4 3 3 2 2" xfId="3373"/>
    <cellStyle name="LocalFormat 4 3 3 3" xfId="3374"/>
    <cellStyle name="LocalFormat 4 3 3 4" xfId="3375"/>
    <cellStyle name="LocalFormat 4 3 4" xfId="3376"/>
    <cellStyle name="LocalFormat 4 3 4 2" xfId="3377"/>
    <cellStyle name="LocalFormat 4 3 4 2 2" xfId="3378"/>
    <cellStyle name="LocalFormat 4 3 4 3" xfId="3379"/>
    <cellStyle name="LocalFormat 4 3 5" xfId="3380"/>
    <cellStyle name="LocalFormat 4 3 5 2" xfId="3381"/>
    <cellStyle name="LocalFormat 4 3 6" xfId="3382"/>
    <cellStyle name="LocalFormat 4 4" xfId="3383"/>
    <cellStyle name="LocalFormat 4 4 2" xfId="3384"/>
    <cellStyle name="LocalFormat 4 4 2 2" xfId="3385"/>
    <cellStyle name="LocalFormat 4 4 2 2 2" xfId="3386"/>
    <cellStyle name="LocalFormat 4 4 2 3" xfId="3387"/>
    <cellStyle name="LocalFormat 4 4 3" xfId="3388"/>
    <cellStyle name="LocalFormat 4 4 3 2" xfId="3389"/>
    <cellStyle name="LocalFormat 4 4 4" xfId="3390"/>
    <cellStyle name="LocalFormat 4 5" xfId="3391"/>
    <cellStyle name="LocalFormat 4 5 2" xfId="3392"/>
    <cellStyle name="LocalFormat 4 5 2 2" xfId="3393"/>
    <cellStyle name="LocalFormat 4 5 3" xfId="3394"/>
    <cellStyle name="LocalFormat 4 5 4" xfId="3395"/>
    <cellStyle name="LocalFormat 4 6" xfId="3396"/>
    <cellStyle name="LocalFormat 4 6 2" xfId="3397"/>
    <cellStyle name="LocalFormat 4 6 2 2" xfId="3398"/>
    <cellStyle name="LocalFormat 4 6 3" xfId="3399"/>
    <cellStyle name="LocalFormat 4 7" xfId="3400"/>
    <cellStyle name="LocalFormat 5" xfId="3401"/>
    <cellStyle name="LocalFormat 5 2" xfId="3402"/>
    <cellStyle name="LocalFormat 5 2 2" xfId="3403"/>
    <cellStyle name="LocalFormat 5 2 2 2" xfId="3404"/>
    <cellStyle name="LocalFormat 5 2 2 2 2" xfId="3405"/>
    <cellStyle name="LocalFormat 5 2 2 3" xfId="3406"/>
    <cellStyle name="LocalFormat 5 2 3" xfId="3407"/>
    <cellStyle name="LocalFormat 5 2 3 2" xfId="3408"/>
    <cellStyle name="LocalFormat 5 2 4" xfId="3409"/>
    <cellStyle name="LocalFormat 5 3" xfId="3410"/>
    <cellStyle name="LocalFormat 5 3 2" xfId="3411"/>
    <cellStyle name="LocalFormat 5 3 2 2" xfId="3412"/>
    <cellStyle name="LocalFormat 5 3 3" xfId="3413"/>
    <cellStyle name="LocalFormat 5 3 4" xfId="3414"/>
    <cellStyle name="LocalFormat 5 4" xfId="3415"/>
    <cellStyle name="LocalFormat 5 4 2" xfId="3416"/>
    <cellStyle name="LocalFormat 5 4 2 2" xfId="3417"/>
    <cellStyle name="LocalFormat 5 4 3" xfId="3418"/>
    <cellStyle name="LocalFormat 5 5" xfId="3419"/>
    <cellStyle name="Macro Header" xfId="3420"/>
    <cellStyle name="Macro Text" xfId="3421"/>
    <cellStyle name="MacroCode" xfId="3422"/>
    <cellStyle name="Millares [0]_2AV_M_M " xfId="3423"/>
    <cellStyle name="Millares_2AV_M_M " xfId="3424"/>
    <cellStyle name="Milliers [0]_Open&amp;Close" xfId="3425"/>
    <cellStyle name="Milliers_Open&amp;Close" xfId="3426"/>
    <cellStyle name="Mon?taire [0]_Open&amp;Close" xfId="3427"/>
    <cellStyle name="Mon?taire_Open&amp;Close" xfId="3428"/>
    <cellStyle name="Moneda [0]_2AV_M_M " xfId="3429"/>
    <cellStyle name="Moneda_2AV_M_M " xfId="3430"/>
    <cellStyle name="Monétaire [0]_Open&amp;Close" xfId="3431"/>
    <cellStyle name="Monétaire_Open&amp;Close" xfId="3432"/>
    <cellStyle name="Neutral 2" xfId="3433"/>
    <cellStyle name="Neutral 2 2" xfId="3434"/>
    <cellStyle name="Neutral 3" xfId="3435"/>
    <cellStyle name="Neutral 4" xfId="3436"/>
    <cellStyle name="Normal" xfId="0" builtinId="0"/>
    <cellStyle name="Normal - Style1" xfId="3437"/>
    <cellStyle name="Normal 10" xfId="3438"/>
    <cellStyle name="Normal 10 2" xfId="3439"/>
    <cellStyle name="Normal 10 2 2" xfId="3440"/>
    <cellStyle name="Normal 10 2 2 2" xfId="3441"/>
    <cellStyle name="Normal 10 2 2 2 2" xfId="3442"/>
    <cellStyle name="Normal 10 2 2 3" xfId="3443"/>
    <cellStyle name="Normal 10 2 3" xfId="3444"/>
    <cellStyle name="Normal 10 2 3 2" xfId="3445"/>
    <cellStyle name="Normal 10 2 4" xfId="3446"/>
    <cellStyle name="Normal 10 3" xfId="3447"/>
    <cellStyle name="Normal 10 3 2" xfId="3448"/>
    <cellStyle name="Normal 10 3 2 2" xfId="3449"/>
    <cellStyle name="Normal 10 3 2 2 2" xfId="3450"/>
    <cellStyle name="Normal 10 3 2 3" xfId="3451"/>
    <cellStyle name="Normal 10 3 3" xfId="3452"/>
    <cellStyle name="Normal 10 3 3 2" xfId="3453"/>
    <cellStyle name="Normal 10 3 4" xfId="3454"/>
    <cellStyle name="Normal 10 4" xfId="3455"/>
    <cellStyle name="Normal 10 4 2" xfId="3456"/>
    <cellStyle name="Normal 10 4 2 2" xfId="3457"/>
    <cellStyle name="Normal 10 4 3" xfId="3458"/>
    <cellStyle name="Normal 10 5" xfId="3459"/>
    <cellStyle name="Normal 10 5 2" xfId="3460"/>
    <cellStyle name="Normal 10 6" xfId="3461"/>
    <cellStyle name="Normal 11" xfId="3462"/>
    <cellStyle name="Normal 11 2" xfId="3463"/>
    <cellStyle name="Normal 11 2 2" xfId="3464"/>
    <cellStyle name="Normal 12" xfId="3465"/>
    <cellStyle name="Normal 12 2" xfId="3466"/>
    <cellStyle name="Normal 12 2 2" xfId="3467"/>
    <cellStyle name="Normal 13" xfId="3468"/>
    <cellStyle name="Normal 13 2" xfId="3469"/>
    <cellStyle name="Normal 13 2 2" xfId="3470"/>
    <cellStyle name="Normal 13 3" xfId="3471"/>
    <cellStyle name="Normal 13 4" xfId="3472"/>
    <cellStyle name="Normal 14" xfId="3473"/>
    <cellStyle name="Normal 14 2" xfId="3474"/>
    <cellStyle name="Normal 14 2 2" xfId="3475"/>
    <cellStyle name="Normal 14 3" xfId="3476"/>
    <cellStyle name="Normal 14 4" xfId="3477"/>
    <cellStyle name="Normal 15" xfId="3478"/>
    <cellStyle name="Normal 15 2" xfId="3479"/>
    <cellStyle name="Normal 15 2 2" xfId="3480"/>
    <cellStyle name="Normal 15 3" xfId="3481"/>
    <cellStyle name="Normal 15 4" xfId="3482"/>
    <cellStyle name="Normal 16" xfId="3483"/>
    <cellStyle name="Normal 16 2" xfId="3484"/>
    <cellStyle name="Normal 17" xfId="3485"/>
    <cellStyle name="Normal 17 2" xfId="3486"/>
    <cellStyle name="Normal 18" xfId="3487"/>
    <cellStyle name="Normal 18 2" xfId="3488"/>
    <cellStyle name="Normal 19" xfId="3489"/>
    <cellStyle name="Normal 19 2" xfId="3490"/>
    <cellStyle name="Normal 2" xfId="3491"/>
    <cellStyle name="Normal 2 2" xfId="3492"/>
    <cellStyle name="Normal 2 3" xfId="3493"/>
    <cellStyle name="Normal 20" xfId="3494"/>
    <cellStyle name="Normal 20 2" xfId="3495"/>
    <cellStyle name="Normal 21" xfId="3496"/>
    <cellStyle name="Normal 21 2" xfId="3497"/>
    <cellStyle name="Normal 22" xfId="3498"/>
    <cellStyle name="Normal 22 2" xfId="3499"/>
    <cellStyle name="Normal 22 2 2" xfId="3500"/>
    <cellStyle name="Normal 22 3" xfId="3501"/>
    <cellStyle name="Normal 22 4" xfId="3502"/>
    <cellStyle name="Normal 23" xfId="3503"/>
    <cellStyle name="Normal 23 2" xfId="3504"/>
    <cellStyle name="Normal 24" xfId="3505"/>
    <cellStyle name="Normal 24 2" xfId="3506"/>
    <cellStyle name="Normal 25" xfId="3507"/>
    <cellStyle name="Normal 25 2" xfId="3508"/>
    <cellStyle name="Normal 25 2 2" xfId="3509"/>
    <cellStyle name="Normal 25 3" xfId="3510"/>
    <cellStyle name="Normal 26" xfId="3511"/>
    <cellStyle name="Normal 26 2" xfId="3512"/>
    <cellStyle name="Normal 26 2 2" xfId="3513"/>
    <cellStyle name="Normal 26 3" xfId="3514"/>
    <cellStyle name="Normal 27" xfId="3515"/>
    <cellStyle name="Normal 27 2" xfId="3516"/>
    <cellStyle name="Normal 28" xfId="3517"/>
    <cellStyle name="Normal 28 2" xfId="3518"/>
    <cellStyle name="Normal 29" xfId="3519"/>
    <cellStyle name="Normal 29 2" xfId="3520"/>
    <cellStyle name="Normal 3" xfId="3521"/>
    <cellStyle name="Normal 3 2" xfId="3522"/>
    <cellStyle name="Normal 3 3" xfId="3523"/>
    <cellStyle name="Normal 3 3 2" xfId="3524"/>
    <cellStyle name="Normal 3 3 2 2" xfId="3525"/>
    <cellStyle name="Normal 3 3 2 2 2" xfId="3526"/>
    <cellStyle name="Normal 3 3 2 2 2 2" xfId="3527"/>
    <cellStyle name="Normal 3 3 2 2 3" xfId="3528"/>
    <cellStyle name="Normal 3 3 2 3" xfId="3529"/>
    <cellStyle name="Normal 3 3 2 3 2" xfId="3530"/>
    <cellStyle name="Normal 3 3 2 4" xfId="3531"/>
    <cellStyle name="Normal 3 3 3" xfId="3532"/>
    <cellStyle name="Normal 3 3 3 2" xfId="3533"/>
    <cellStyle name="Normal 3 3 3 2 2" xfId="3534"/>
    <cellStyle name="Normal 3 3 3 2 2 2" xfId="3535"/>
    <cellStyle name="Normal 3 3 3 2 3" xfId="3536"/>
    <cellStyle name="Normal 3 3 3 3" xfId="3537"/>
    <cellStyle name="Normal 3 3 3 3 2" xfId="3538"/>
    <cellStyle name="Normal 3 3 3 4" xfId="3539"/>
    <cellStyle name="Normal 3 3 4" xfId="3540"/>
    <cellStyle name="Normal 3 3 4 2" xfId="3541"/>
    <cellStyle name="Normal 3 3 4 2 2" xfId="3542"/>
    <cellStyle name="Normal 3 3 4 3" xfId="3543"/>
    <cellStyle name="Normal 3 3 5" xfId="3544"/>
    <cellStyle name="Normal 3 3 5 2" xfId="3545"/>
    <cellStyle name="Normal 3 3 6" xfId="3546"/>
    <cellStyle name="Normal 3 4" xfId="3547"/>
    <cellStyle name="Normal 3 4 2" xfId="3548"/>
    <cellStyle name="Normal 3 4 2 2" xfId="3549"/>
    <cellStyle name="Normal 3 4 2 2 2" xfId="3550"/>
    <cellStyle name="Normal 3 4 2 2 2 2" xfId="3551"/>
    <cellStyle name="Normal 3 4 2 2 3" xfId="3552"/>
    <cellStyle name="Normal 3 4 2 3" xfId="3553"/>
    <cellStyle name="Normal 3 4 2 3 2" xfId="3554"/>
    <cellStyle name="Normal 3 4 2 4" xfId="3555"/>
    <cellStyle name="Normal 3 4 3" xfId="3556"/>
    <cellStyle name="Normal 3 4 3 2" xfId="3557"/>
    <cellStyle name="Normal 3 4 3 2 2" xfId="3558"/>
    <cellStyle name="Normal 3 4 3 2 2 2" xfId="3559"/>
    <cellStyle name="Normal 3 4 3 2 3" xfId="3560"/>
    <cellStyle name="Normal 3 4 3 3" xfId="3561"/>
    <cellStyle name="Normal 3 4 3 3 2" xfId="3562"/>
    <cellStyle name="Normal 3 4 3 4" xfId="3563"/>
    <cellStyle name="Normal 3 4 4" xfId="3564"/>
    <cellStyle name="Normal 3 4 4 2" xfId="3565"/>
    <cellStyle name="Normal 3 4 4 2 2" xfId="3566"/>
    <cellStyle name="Normal 3 4 4 3" xfId="3567"/>
    <cellStyle name="Normal 3 4 5" xfId="3568"/>
    <cellStyle name="Normal 3 4 5 2" xfId="3569"/>
    <cellStyle name="Normal 3 4 6" xfId="3570"/>
    <cellStyle name="Normal 3 5" xfId="3571"/>
    <cellStyle name="Normal 30" xfId="3572"/>
    <cellStyle name="Normal 30 2" xfId="3573"/>
    <cellStyle name="Normal 30 2 2" xfId="3574"/>
    <cellStyle name="Normal 30 3" xfId="3575"/>
    <cellStyle name="Normal 31" xfId="3576"/>
    <cellStyle name="Normal 31 2" xfId="3577"/>
    <cellStyle name="Normal 32" xfId="3578"/>
    <cellStyle name="Normal 32 2" xfId="3579"/>
    <cellStyle name="Normal 33" xfId="3580"/>
    <cellStyle name="Normal 33 2" xfId="3581"/>
    <cellStyle name="Normal 34" xfId="3582"/>
    <cellStyle name="Normal 34 2" xfId="3583"/>
    <cellStyle name="Normal 35" xfId="3584"/>
    <cellStyle name="Normal 35 2" xfId="3585"/>
    <cellStyle name="Normal 36" xfId="3586"/>
    <cellStyle name="Normal 36 2" xfId="3587"/>
    <cellStyle name="Normal 37" xfId="3588"/>
    <cellStyle name="Normal 37 2" xfId="3589"/>
    <cellStyle name="Normal 38" xfId="3590"/>
    <cellStyle name="Normal 38 2" xfId="3591"/>
    <cellStyle name="Normal 39" xfId="3592"/>
    <cellStyle name="Normal 39 2" xfId="3593"/>
    <cellStyle name="Normal 4" xfId="3594"/>
    <cellStyle name="Normal 4 2" xfId="3595"/>
    <cellStyle name="Normal 4 3" xfId="3596"/>
    <cellStyle name="Normal 40" xfId="3597"/>
    <cellStyle name="Normal 40 2" xfId="3598"/>
    <cellStyle name="Normal 41" xfId="3599"/>
    <cellStyle name="Normal 41 2" xfId="3600"/>
    <cellStyle name="Normal 41 2 2" xfId="3601"/>
    <cellStyle name="Normal 41 3" xfId="3602"/>
    <cellStyle name="Normal 42" xfId="3603"/>
    <cellStyle name="Normal 42 2" xfId="3604"/>
    <cellStyle name="Normal 42 2 2" xfId="3605"/>
    <cellStyle name="Normal 42 3" xfId="3606"/>
    <cellStyle name="Normal 43" xfId="3607"/>
    <cellStyle name="Normal 43 2" xfId="3608"/>
    <cellStyle name="Normal 44" xfId="3609"/>
    <cellStyle name="Normal 44 2" xfId="3610"/>
    <cellStyle name="Normal 45" xfId="3611"/>
    <cellStyle name="Normal 45 2" xfId="3612"/>
    <cellStyle name="Normal 46" xfId="3613"/>
    <cellStyle name="Normal 47" xfId="3614"/>
    <cellStyle name="Normal 48" xfId="3615"/>
    <cellStyle name="Normal 49" xfId="3616"/>
    <cellStyle name="Normal 49 2" xfId="3617"/>
    <cellStyle name="Normal 5" xfId="3618"/>
    <cellStyle name="Normal 5 2" xfId="3619"/>
    <cellStyle name="Normal 5 3" xfId="3620"/>
    <cellStyle name="Normal 50" xfId="3621"/>
    <cellStyle name="Normal 50 2" xfId="3622"/>
    <cellStyle name="Normal 51" xfId="3623"/>
    <cellStyle name="Normal 51 2" xfId="3624"/>
    <cellStyle name="Normal 52" xfId="3625"/>
    <cellStyle name="Normal 52 2" xfId="3626"/>
    <cellStyle name="Normal 53" xfId="3627"/>
    <cellStyle name="Normal 53 2" xfId="3628"/>
    <cellStyle name="Normal 54" xfId="3629"/>
    <cellStyle name="Normal 54 2" xfId="3630"/>
    <cellStyle name="Normal 55" xfId="3631"/>
    <cellStyle name="Normal 55 2" xfId="3632"/>
    <cellStyle name="Normal 56" xfId="3633"/>
    <cellStyle name="Normal 56 2" xfId="3634"/>
    <cellStyle name="Normal 57" xfId="3635"/>
    <cellStyle name="Normal 57 2" xfId="3636"/>
    <cellStyle name="Normal 58" xfId="3637"/>
    <cellStyle name="Normal 59" xfId="3638"/>
    <cellStyle name="Normal 6" xfId="3639"/>
    <cellStyle name="Normal 60" xfId="3640"/>
    <cellStyle name="Normal 61" xfId="3641"/>
    <cellStyle name="Normal 62" xfId="3642"/>
    <cellStyle name="Normal 63" xfId="3643"/>
    <cellStyle name="Normal 64" xfId="3644"/>
    <cellStyle name="Normal 65" xfId="3645"/>
    <cellStyle name="Normal 66" xfId="3646"/>
    <cellStyle name="Normal 67" xfId="3647"/>
    <cellStyle name="Normal 68" xfId="3648"/>
    <cellStyle name="Normal 7" xfId="3649"/>
    <cellStyle name="Normal 8" xfId="3650"/>
    <cellStyle name="Normal 9" xfId="3651"/>
    <cellStyle name="Normal 9 2" xfId="3652"/>
    <cellStyle name="Normal 9 2 2" xfId="3653"/>
    <cellStyle name="Normal 9 2 2 2" xfId="3654"/>
    <cellStyle name="Normal 9 2 2 2 2" xfId="3655"/>
    <cellStyle name="Normal 9 2 2 3" xfId="3656"/>
    <cellStyle name="Normal 9 2 3" xfId="3657"/>
    <cellStyle name="Normal 9 2 3 2" xfId="3658"/>
    <cellStyle name="Normal 9 2 4" xfId="3659"/>
    <cellStyle name="Normal 9 3" xfId="3660"/>
    <cellStyle name="Normal 9 3 2" xfId="3661"/>
    <cellStyle name="Normal 9 3 2 2" xfId="3662"/>
    <cellStyle name="Normal 9 3 2 2 2" xfId="3663"/>
    <cellStyle name="Normal 9 3 2 3" xfId="3664"/>
    <cellStyle name="Normal 9 3 3" xfId="3665"/>
    <cellStyle name="Normal 9 3 3 2" xfId="3666"/>
    <cellStyle name="Normal 9 3 4" xfId="3667"/>
    <cellStyle name="Normal 9 4" xfId="3668"/>
    <cellStyle name="Normal 9 4 2" xfId="3669"/>
    <cellStyle name="Normal 9 4 2 2" xfId="3670"/>
    <cellStyle name="Normal 9 4 3" xfId="3671"/>
    <cellStyle name="Normal 9 5" xfId="3672"/>
    <cellStyle name="Normal 9 5 2" xfId="3673"/>
    <cellStyle name="Normal 9 6" xfId="3674"/>
    <cellStyle name="Note 2" xfId="3675"/>
    <cellStyle name="Note 2 2" xfId="3676"/>
    <cellStyle name="Note 2 2 2" xfId="3677"/>
    <cellStyle name="Note 2 2 2 2" xfId="3678"/>
    <cellStyle name="Note 2 2 2 2 2" xfId="3679"/>
    <cellStyle name="Note 2 2 2 2 2 2" xfId="3680"/>
    <cellStyle name="Note 2 2 2 2 2 2 2" xfId="3681"/>
    <cellStyle name="Note 2 2 2 2 2 2 2 2" xfId="3682"/>
    <cellStyle name="Note 2 2 2 2 2 2 2 2 2" xfId="3683"/>
    <cellStyle name="Note 2 2 2 2 2 2 2 3" xfId="3684"/>
    <cellStyle name="Note 2 2 2 2 2 2 3" xfId="3685"/>
    <cellStyle name="Note 2 2 2 2 2 2 3 2" xfId="3686"/>
    <cellStyle name="Note 2 2 2 2 2 2 4" xfId="3687"/>
    <cellStyle name="Note 2 2 2 2 2 3" xfId="3688"/>
    <cellStyle name="Note 2 2 2 2 2 3 2" xfId="3689"/>
    <cellStyle name="Note 2 2 2 2 2 3 2 2" xfId="3690"/>
    <cellStyle name="Note 2 2 2 2 2 3 3" xfId="3691"/>
    <cellStyle name="Note 2 2 2 2 2 3 4" xfId="3692"/>
    <cellStyle name="Note 2 2 2 2 2 4" xfId="3693"/>
    <cellStyle name="Note 2 2 2 2 2 4 2" xfId="3694"/>
    <cellStyle name="Note 2 2 2 2 2 4 2 2" xfId="3695"/>
    <cellStyle name="Note 2 2 2 2 2 4 3" xfId="3696"/>
    <cellStyle name="Note 2 2 2 2 2 5" xfId="3697"/>
    <cellStyle name="Note 2 2 2 2 3" xfId="3698"/>
    <cellStyle name="Note 2 2 2 2 3 2" xfId="3699"/>
    <cellStyle name="Note 2 2 2 2 3 2 2" xfId="3700"/>
    <cellStyle name="Note 2 2 2 2 3 2 2 2" xfId="3701"/>
    <cellStyle name="Note 2 2 2 2 3 2 2 2 2" xfId="3702"/>
    <cellStyle name="Note 2 2 2 2 3 2 2 3" xfId="3703"/>
    <cellStyle name="Note 2 2 2 2 3 2 3" xfId="3704"/>
    <cellStyle name="Note 2 2 2 2 3 2 3 2" xfId="3705"/>
    <cellStyle name="Note 2 2 2 2 3 2 4" xfId="3706"/>
    <cellStyle name="Note 2 2 2 2 3 3" xfId="3707"/>
    <cellStyle name="Note 2 2 2 2 3 3 2" xfId="3708"/>
    <cellStyle name="Note 2 2 2 2 3 3 2 2" xfId="3709"/>
    <cellStyle name="Note 2 2 2 2 3 3 3" xfId="3710"/>
    <cellStyle name="Note 2 2 2 2 3 3 4" xfId="3711"/>
    <cellStyle name="Note 2 2 2 2 3 4" xfId="3712"/>
    <cellStyle name="Note 2 2 2 2 3 4 2" xfId="3713"/>
    <cellStyle name="Note 2 2 2 2 3 4 2 2" xfId="3714"/>
    <cellStyle name="Note 2 2 2 2 3 4 3" xfId="3715"/>
    <cellStyle name="Note 2 2 2 2 3 5" xfId="3716"/>
    <cellStyle name="Note 2 2 2 2 3 5 2" xfId="3717"/>
    <cellStyle name="Note 2 2 2 2 3 6" xfId="3718"/>
    <cellStyle name="Note 2 2 2 2 4" xfId="3719"/>
    <cellStyle name="Note 2 2 2 2 4 2" xfId="3720"/>
    <cellStyle name="Note 2 2 2 2 4 2 2" xfId="3721"/>
    <cellStyle name="Note 2 2 2 2 4 2 2 2" xfId="3722"/>
    <cellStyle name="Note 2 2 2 2 4 2 2 2 2" xfId="3723"/>
    <cellStyle name="Note 2 2 2 2 4 2 2 3" xfId="3724"/>
    <cellStyle name="Note 2 2 2 2 4 2 3" xfId="3725"/>
    <cellStyle name="Note 2 2 2 2 4 2 3 2" xfId="3726"/>
    <cellStyle name="Note 2 2 2 2 4 2 4" xfId="3727"/>
    <cellStyle name="Note 2 2 2 2 4 3" xfId="3728"/>
    <cellStyle name="Note 2 2 2 2 4 3 2" xfId="3729"/>
    <cellStyle name="Note 2 2 2 2 4 3 2 2" xfId="3730"/>
    <cellStyle name="Note 2 2 2 2 4 3 3" xfId="3731"/>
    <cellStyle name="Note 2 2 2 2 4 3 4" xfId="3732"/>
    <cellStyle name="Note 2 2 2 2 4 4" xfId="3733"/>
    <cellStyle name="Note 2 2 2 2 4 4 2" xfId="3734"/>
    <cellStyle name="Note 2 2 2 2 4 4 2 2" xfId="3735"/>
    <cellStyle name="Note 2 2 2 2 4 4 3" xfId="3736"/>
    <cellStyle name="Note 2 2 2 2 4 5" xfId="3737"/>
    <cellStyle name="Note 2 2 2 2 4 5 2" xfId="3738"/>
    <cellStyle name="Note 2 2 2 2 4 6" xfId="3739"/>
    <cellStyle name="Note 2 2 2 2 5" xfId="3740"/>
    <cellStyle name="Note 2 2 2 2 5 2" xfId="3741"/>
    <cellStyle name="Note 2 2 2 3" xfId="3742"/>
    <cellStyle name="Note 2 2 2 3 2" xfId="3743"/>
    <cellStyle name="Note 2 2 2 3 2 2" xfId="3744"/>
    <cellStyle name="Note 2 2 2 3 2 2 2" xfId="3745"/>
    <cellStyle name="Note 2 2 2 3 2 2 2 2" xfId="3746"/>
    <cellStyle name="Note 2 2 2 3 2 2 3" xfId="3747"/>
    <cellStyle name="Note 2 2 2 3 2 3" xfId="3748"/>
    <cellStyle name="Note 2 2 2 3 2 3 2" xfId="3749"/>
    <cellStyle name="Note 2 2 2 3 2 4" xfId="3750"/>
    <cellStyle name="Note 2 2 2 3 3" xfId="3751"/>
    <cellStyle name="Note 2 2 2 3 3 2" xfId="3752"/>
    <cellStyle name="Note 2 2 2 3 3 2 2" xfId="3753"/>
    <cellStyle name="Note 2 2 2 3 3 3" xfId="3754"/>
    <cellStyle name="Note 2 2 2 3 3 4" xfId="3755"/>
    <cellStyle name="Note 2 2 2 3 4" xfId="3756"/>
    <cellStyle name="Note 2 2 2 3 4 2" xfId="3757"/>
    <cellStyle name="Note 2 2 2 3 4 2 2" xfId="3758"/>
    <cellStyle name="Note 2 2 2 3 4 3" xfId="3759"/>
    <cellStyle name="Note 2 2 2 3 5" xfId="3760"/>
    <cellStyle name="Note 2 2 2 4" xfId="3761"/>
    <cellStyle name="Note 2 2 2 4 2" xfId="3762"/>
    <cellStyle name="Note 2 2 2 4 2 2" xfId="3763"/>
    <cellStyle name="Note 2 2 2 4 2 2 2" xfId="3764"/>
    <cellStyle name="Note 2 2 2 4 2 2 2 2" xfId="3765"/>
    <cellStyle name="Note 2 2 2 4 2 2 3" xfId="3766"/>
    <cellStyle name="Note 2 2 2 4 2 3" xfId="3767"/>
    <cellStyle name="Note 2 2 2 4 2 3 2" xfId="3768"/>
    <cellStyle name="Note 2 2 2 4 2 4" xfId="3769"/>
    <cellStyle name="Note 2 2 2 4 3" xfId="3770"/>
    <cellStyle name="Note 2 2 2 4 3 2" xfId="3771"/>
    <cellStyle name="Note 2 2 2 4 3 2 2" xfId="3772"/>
    <cellStyle name="Note 2 2 2 4 3 3" xfId="3773"/>
    <cellStyle name="Note 2 2 2 4 3 4" xfId="3774"/>
    <cellStyle name="Note 2 2 2 4 4" xfId="3775"/>
    <cellStyle name="Note 2 2 2 4 4 2" xfId="3776"/>
    <cellStyle name="Note 2 2 2 4 4 2 2" xfId="3777"/>
    <cellStyle name="Note 2 2 2 4 4 3" xfId="3778"/>
    <cellStyle name="Note 2 2 2 4 5" xfId="3779"/>
    <cellStyle name="Note 2 2 2 4 5 2" xfId="3780"/>
    <cellStyle name="Note 2 2 2 4 6" xfId="3781"/>
    <cellStyle name="Note 2 2 2 5" xfId="3782"/>
    <cellStyle name="Note 2 2 2 5 2" xfId="3783"/>
    <cellStyle name="Note 2 2 2 5 2 2" xfId="3784"/>
    <cellStyle name="Note 2 2 2 5 2 2 2" xfId="3785"/>
    <cellStyle name="Note 2 2 2 5 2 2 2 2" xfId="3786"/>
    <cellStyle name="Note 2 2 2 5 2 2 3" xfId="3787"/>
    <cellStyle name="Note 2 2 2 5 2 3" xfId="3788"/>
    <cellStyle name="Note 2 2 2 5 2 3 2" xfId="3789"/>
    <cellStyle name="Note 2 2 2 5 2 4" xfId="3790"/>
    <cellStyle name="Note 2 2 2 5 3" xfId="3791"/>
    <cellStyle name="Note 2 2 2 5 3 2" xfId="3792"/>
    <cellStyle name="Note 2 2 2 5 3 2 2" xfId="3793"/>
    <cellStyle name="Note 2 2 2 5 3 3" xfId="3794"/>
    <cellStyle name="Note 2 2 2 5 3 4" xfId="3795"/>
    <cellStyle name="Note 2 2 2 5 4" xfId="3796"/>
    <cellStyle name="Note 2 2 2 5 4 2" xfId="3797"/>
    <cellStyle name="Note 2 2 2 5 4 2 2" xfId="3798"/>
    <cellStyle name="Note 2 2 2 5 4 3" xfId="3799"/>
    <cellStyle name="Note 2 2 2 5 5" xfId="3800"/>
    <cellStyle name="Note 2 2 2 5 5 2" xfId="3801"/>
    <cellStyle name="Note 2 2 2 5 6" xfId="3802"/>
    <cellStyle name="Note 2 2 3" xfId="3803"/>
    <cellStyle name="Note 2 2 3 2" xfId="3804"/>
    <cellStyle name="Note 2 2 3 2 2" xfId="3805"/>
    <cellStyle name="Note 2 2 3 2 2 2" xfId="3806"/>
    <cellStyle name="Note 2 2 3 2 2 2 2" xfId="3807"/>
    <cellStyle name="Note 2 2 3 2 2 2 2 2" xfId="3808"/>
    <cellStyle name="Note 2 2 3 2 2 2 3" xfId="3809"/>
    <cellStyle name="Note 2 2 3 2 2 3" xfId="3810"/>
    <cellStyle name="Note 2 2 3 2 2 3 2" xfId="3811"/>
    <cellStyle name="Note 2 2 3 2 2 4" xfId="3812"/>
    <cellStyle name="Note 2 2 3 2 3" xfId="3813"/>
    <cellStyle name="Note 2 2 3 2 3 2" xfId="3814"/>
    <cellStyle name="Note 2 2 3 2 3 2 2" xfId="3815"/>
    <cellStyle name="Note 2 2 3 2 3 3" xfId="3816"/>
    <cellStyle name="Note 2 2 3 2 3 4" xfId="3817"/>
    <cellStyle name="Note 2 2 3 2 4" xfId="3818"/>
    <cellStyle name="Note 2 2 3 2 4 2" xfId="3819"/>
    <cellStyle name="Note 2 2 3 2 4 2 2" xfId="3820"/>
    <cellStyle name="Note 2 2 3 2 4 3" xfId="3821"/>
    <cellStyle name="Note 2 2 3 2 5" xfId="3822"/>
    <cellStyle name="Note 2 2 3 3" xfId="3823"/>
    <cellStyle name="Note 2 2 3 3 2" xfId="3824"/>
    <cellStyle name="Note 2 2 3 3 2 2" xfId="3825"/>
    <cellStyle name="Note 2 2 3 3 2 2 2" xfId="3826"/>
    <cellStyle name="Note 2 2 3 3 2 2 2 2" xfId="3827"/>
    <cellStyle name="Note 2 2 3 3 2 2 3" xfId="3828"/>
    <cellStyle name="Note 2 2 3 3 2 3" xfId="3829"/>
    <cellStyle name="Note 2 2 3 3 2 3 2" xfId="3830"/>
    <cellStyle name="Note 2 2 3 3 2 4" xfId="3831"/>
    <cellStyle name="Note 2 2 3 3 3" xfId="3832"/>
    <cellStyle name="Note 2 2 3 3 3 2" xfId="3833"/>
    <cellStyle name="Note 2 2 3 3 3 2 2" xfId="3834"/>
    <cellStyle name="Note 2 2 3 3 3 3" xfId="3835"/>
    <cellStyle name="Note 2 2 3 3 3 4" xfId="3836"/>
    <cellStyle name="Note 2 2 3 3 4" xfId="3837"/>
    <cellStyle name="Note 2 2 3 3 4 2" xfId="3838"/>
    <cellStyle name="Note 2 2 3 3 4 2 2" xfId="3839"/>
    <cellStyle name="Note 2 2 3 3 4 3" xfId="3840"/>
    <cellStyle name="Note 2 2 3 3 5" xfId="3841"/>
    <cellStyle name="Note 2 2 3 3 5 2" xfId="3842"/>
    <cellStyle name="Note 2 2 3 3 6" xfId="3843"/>
    <cellStyle name="Note 2 2 3 4" xfId="3844"/>
    <cellStyle name="Note 2 2 3 4 2" xfId="3845"/>
    <cellStyle name="Note 2 2 3 4 2 2" xfId="3846"/>
    <cellStyle name="Note 2 2 3 4 2 2 2" xfId="3847"/>
    <cellStyle name="Note 2 2 3 4 2 2 2 2" xfId="3848"/>
    <cellStyle name="Note 2 2 3 4 2 2 3" xfId="3849"/>
    <cellStyle name="Note 2 2 3 4 2 3" xfId="3850"/>
    <cellStyle name="Note 2 2 3 4 2 3 2" xfId="3851"/>
    <cellStyle name="Note 2 2 3 4 2 4" xfId="3852"/>
    <cellStyle name="Note 2 2 3 4 3" xfId="3853"/>
    <cellStyle name="Note 2 2 3 4 3 2" xfId="3854"/>
    <cellStyle name="Note 2 2 3 4 3 2 2" xfId="3855"/>
    <cellStyle name="Note 2 2 3 4 3 3" xfId="3856"/>
    <cellStyle name="Note 2 2 3 4 3 4" xfId="3857"/>
    <cellStyle name="Note 2 2 3 4 4" xfId="3858"/>
    <cellStyle name="Note 2 2 3 4 4 2" xfId="3859"/>
    <cellStyle name="Note 2 2 3 4 4 2 2" xfId="3860"/>
    <cellStyle name="Note 2 2 3 4 4 3" xfId="3861"/>
    <cellStyle name="Note 2 2 3 4 5" xfId="3862"/>
    <cellStyle name="Note 2 2 3 4 5 2" xfId="3863"/>
    <cellStyle name="Note 2 2 3 4 6" xfId="3864"/>
    <cellStyle name="Note 2 2 3 5" xfId="3865"/>
    <cellStyle name="Note 2 2 3 5 2" xfId="3866"/>
    <cellStyle name="Note 2 2 4" xfId="3867"/>
    <cellStyle name="Note 2 2 4 2" xfId="3868"/>
    <cellStyle name="Note 2 2 4 2 2" xfId="3869"/>
    <cellStyle name="Note 2 2 4 2 2 2" xfId="3870"/>
    <cellStyle name="Note 2 2 4 2 2 2 2" xfId="3871"/>
    <cellStyle name="Note 2 2 4 2 2 2 2 2" xfId="3872"/>
    <cellStyle name="Note 2 2 4 2 2 2 3" xfId="3873"/>
    <cellStyle name="Note 2 2 4 2 2 3" xfId="3874"/>
    <cellStyle name="Note 2 2 4 2 2 3 2" xfId="3875"/>
    <cellStyle name="Note 2 2 4 2 2 4" xfId="3876"/>
    <cellStyle name="Note 2 2 4 2 3" xfId="3877"/>
    <cellStyle name="Note 2 2 4 2 3 2" xfId="3878"/>
    <cellStyle name="Note 2 2 4 2 3 2 2" xfId="3879"/>
    <cellStyle name="Note 2 2 4 2 3 3" xfId="3880"/>
    <cellStyle name="Note 2 2 4 2 3 4" xfId="3881"/>
    <cellStyle name="Note 2 2 4 2 4" xfId="3882"/>
    <cellStyle name="Note 2 2 4 2 4 2" xfId="3883"/>
    <cellStyle name="Note 2 2 4 2 4 2 2" xfId="3884"/>
    <cellStyle name="Note 2 2 4 2 4 3" xfId="3885"/>
    <cellStyle name="Note 2 2 4 2 5" xfId="3886"/>
    <cellStyle name="Note 2 2 4 2 5 2" xfId="3887"/>
    <cellStyle name="Note 2 2 4 2 6" xfId="3888"/>
    <cellStyle name="Note 2 2 4 3" xfId="3889"/>
    <cellStyle name="Note 2 2 4 3 2" xfId="3890"/>
    <cellStyle name="Note 2 2 4 3 2 2" xfId="3891"/>
    <cellStyle name="Note 2 2 4 3 2 2 2" xfId="3892"/>
    <cellStyle name="Note 2 2 4 3 2 2 2 2" xfId="3893"/>
    <cellStyle name="Note 2 2 4 3 2 2 3" xfId="3894"/>
    <cellStyle name="Note 2 2 4 3 2 3" xfId="3895"/>
    <cellStyle name="Note 2 2 4 3 2 3 2" xfId="3896"/>
    <cellStyle name="Note 2 2 4 3 2 4" xfId="3897"/>
    <cellStyle name="Note 2 2 4 3 3" xfId="3898"/>
    <cellStyle name="Note 2 2 4 3 3 2" xfId="3899"/>
    <cellStyle name="Note 2 2 4 3 3 2 2" xfId="3900"/>
    <cellStyle name="Note 2 2 4 3 3 3" xfId="3901"/>
    <cellStyle name="Note 2 2 4 3 3 4" xfId="3902"/>
    <cellStyle name="Note 2 2 4 3 4" xfId="3903"/>
    <cellStyle name="Note 2 2 4 3 4 2" xfId="3904"/>
    <cellStyle name="Note 2 2 4 3 4 2 2" xfId="3905"/>
    <cellStyle name="Note 2 2 4 3 4 3" xfId="3906"/>
    <cellStyle name="Note 2 2 4 3 5" xfId="3907"/>
    <cellStyle name="Note 2 2 4 3 5 2" xfId="3908"/>
    <cellStyle name="Note 2 2 4 3 6" xfId="3909"/>
    <cellStyle name="Note 2 2 4 4" xfId="3910"/>
    <cellStyle name="Note 2 2 4 4 2" xfId="3911"/>
    <cellStyle name="Note 2 2 4 4 2 2" xfId="3912"/>
    <cellStyle name="Note 2 2 4 4 2 2 2" xfId="3913"/>
    <cellStyle name="Note 2 2 4 4 2 3" xfId="3914"/>
    <cellStyle name="Note 2 2 4 4 3" xfId="3915"/>
    <cellStyle name="Note 2 2 4 4 3 2" xfId="3916"/>
    <cellStyle name="Note 2 2 4 4 4" xfId="3917"/>
    <cellStyle name="Note 2 2 4 5" xfId="3918"/>
    <cellStyle name="Note 2 2 4 5 2" xfId="3919"/>
    <cellStyle name="Note 2 2 4 5 2 2" xfId="3920"/>
    <cellStyle name="Note 2 2 4 5 3" xfId="3921"/>
    <cellStyle name="Note 2 2 4 5 4" xfId="3922"/>
    <cellStyle name="Note 2 2 4 6" xfId="3923"/>
    <cellStyle name="Note 2 2 4 6 2" xfId="3924"/>
    <cellStyle name="Note 2 2 4 6 2 2" xfId="3925"/>
    <cellStyle name="Note 2 2 4 6 3" xfId="3926"/>
    <cellStyle name="Note 2 2 4 7" xfId="3927"/>
    <cellStyle name="Note 2 2 5" xfId="3928"/>
    <cellStyle name="Note 2 2 5 2" xfId="3929"/>
    <cellStyle name="Note 2 2 5 2 2" xfId="3930"/>
    <cellStyle name="Note 2 2 5 2 2 2" xfId="3931"/>
    <cellStyle name="Note 2 2 5 2 2 2 2" xfId="3932"/>
    <cellStyle name="Note 2 2 5 2 2 3" xfId="3933"/>
    <cellStyle name="Note 2 2 5 2 3" xfId="3934"/>
    <cellStyle name="Note 2 2 5 2 3 2" xfId="3935"/>
    <cellStyle name="Note 2 2 5 2 4" xfId="3936"/>
    <cellStyle name="Note 2 2 5 3" xfId="3937"/>
    <cellStyle name="Note 2 2 5 3 2" xfId="3938"/>
    <cellStyle name="Note 2 2 5 3 2 2" xfId="3939"/>
    <cellStyle name="Note 2 2 5 3 3" xfId="3940"/>
    <cellStyle name="Note 2 2 5 3 4" xfId="3941"/>
    <cellStyle name="Note 2 2 5 4" xfId="3942"/>
    <cellStyle name="Note 2 2 5 4 2" xfId="3943"/>
    <cellStyle name="Note 2 2 5 4 2 2" xfId="3944"/>
    <cellStyle name="Note 2 2 5 4 3" xfId="3945"/>
    <cellStyle name="Note 2 2 5 5" xfId="3946"/>
    <cellStyle name="Note 2 3" xfId="3947"/>
    <cellStyle name="Note 2 3 2" xfId="3948"/>
    <cellStyle name="Note 2 3 2 2" xfId="3949"/>
    <cellStyle name="Note 2 3 2 2 2" xfId="3950"/>
    <cellStyle name="Note 2 3 2 2 2 2" xfId="3951"/>
    <cellStyle name="Note 2 3 2 2 2 2 2" xfId="3952"/>
    <cellStyle name="Note 2 3 2 2 2 2 2 2" xfId="3953"/>
    <cellStyle name="Note 2 3 2 2 2 2 3" xfId="3954"/>
    <cellStyle name="Note 2 3 2 2 2 3" xfId="3955"/>
    <cellStyle name="Note 2 3 2 2 2 3 2" xfId="3956"/>
    <cellStyle name="Note 2 3 2 2 2 4" xfId="3957"/>
    <cellStyle name="Note 2 3 2 2 3" xfId="3958"/>
    <cellStyle name="Note 2 3 2 2 3 2" xfId="3959"/>
    <cellStyle name="Note 2 3 2 2 3 2 2" xfId="3960"/>
    <cellStyle name="Note 2 3 2 2 3 3" xfId="3961"/>
    <cellStyle name="Note 2 3 2 2 3 4" xfId="3962"/>
    <cellStyle name="Note 2 3 2 2 4" xfId="3963"/>
    <cellStyle name="Note 2 3 2 2 4 2" xfId="3964"/>
    <cellStyle name="Note 2 3 2 2 4 2 2" xfId="3965"/>
    <cellStyle name="Note 2 3 2 2 4 3" xfId="3966"/>
    <cellStyle name="Note 2 3 2 2 5" xfId="3967"/>
    <cellStyle name="Note 2 3 2 3" xfId="3968"/>
    <cellStyle name="Note 2 3 2 3 2" xfId="3969"/>
    <cellStyle name="Note 2 3 2 3 2 2" xfId="3970"/>
    <cellStyle name="Note 2 3 2 3 2 2 2" xfId="3971"/>
    <cellStyle name="Note 2 3 2 3 2 2 2 2" xfId="3972"/>
    <cellStyle name="Note 2 3 2 3 2 2 3" xfId="3973"/>
    <cellStyle name="Note 2 3 2 3 2 3" xfId="3974"/>
    <cellStyle name="Note 2 3 2 3 2 3 2" xfId="3975"/>
    <cellStyle name="Note 2 3 2 3 2 4" xfId="3976"/>
    <cellStyle name="Note 2 3 2 3 3" xfId="3977"/>
    <cellStyle name="Note 2 3 2 3 3 2" xfId="3978"/>
    <cellStyle name="Note 2 3 2 3 3 2 2" xfId="3979"/>
    <cellStyle name="Note 2 3 2 3 3 3" xfId="3980"/>
    <cellStyle name="Note 2 3 2 3 3 4" xfId="3981"/>
    <cellStyle name="Note 2 3 2 3 4" xfId="3982"/>
    <cellStyle name="Note 2 3 2 3 4 2" xfId="3983"/>
    <cellStyle name="Note 2 3 2 3 4 2 2" xfId="3984"/>
    <cellStyle name="Note 2 3 2 3 4 3" xfId="3985"/>
    <cellStyle name="Note 2 3 2 3 5" xfId="3986"/>
    <cellStyle name="Note 2 3 2 3 5 2" xfId="3987"/>
    <cellStyle name="Note 2 3 2 3 6" xfId="3988"/>
    <cellStyle name="Note 2 3 2 4" xfId="3989"/>
    <cellStyle name="Note 2 3 2 4 2" xfId="3990"/>
    <cellStyle name="Note 2 3 2 4 2 2" xfId="3991"/>
    <cellStyle name="Note 2 3 2 4 2 2 2" xfId="3992"/>
    <cellStyle name="Note 2 3 2 4 2 2 2 2" xfId="3993"/>
    <cellStyle name="Note 2 3 2 4 2 2 3" xfId="3994"/>
    <cellStyle name="Note 2 3 2 4 2 3" xfId="3995"/>
    <cellStyle name="Note 2 3 2 4 2 3 2" xfId="3996"/>
    <cellStyle name="Note 2 3 2 4 2 4" xfId="3997"/>
    <cellStyle name="Note 2 3 2 4 3" xfId="3998"/>
    <cellStyle name="Note 2 3 2 4 3 2" xfId="3999"/>
    <cellStyle name="Note 2 3 2 4 3 2 2" xfId="4000"/>
    <cellStyle name="Note 2 3 2 4 3 3" xfId="4001"/>
    <cellStyle name="Note 2 3 2 4 3 4" xfId="4002"/>
    <cellStyle name="Note 2 3 2 4 4" xfId="4003"/>
    <cellStyle name="Note 2 3 2 4 4 2" xfId="4004"/>
    <cellStyle name="Note 2 3 2 4 4 2 2" xfId="4005"/>
    <cellStyle name="Note 2 3 2 4 4 3" xfId="4006"/>
    <cellStyle name="Note 2 3 2 4 5" xfId="4007"/>
    <cellStyle name="Note 2 3 2 4 5 2" xfId="4008"/>
    <cellStyle name="Note 2 3 2 4 6" xfId="4009"/>
    <cellStyle name="Note 2 3 2 5" xfId="4010"/>
    <cellStyle name="Note 2 3 2 5 2" xfId="4011"/>
    <cellStyle name="Note 2 3 3" xfId="4012"/>
    <cellStyle name="Note 2 3 3 2" xfId="4013"/>
    <cellStyle name="Note 2 3 3 2 2" xfId="4014"/>
    <cellStyle name="Note 2 3 3 2 2 2" xfId="4015"/>
    <cellStyle name="Note 2 3 3 2 2 2 2" xfId="4016"/>
    <cellStyle name="Note 2 3 3 2 2 3" xfId="4017"/>
    <cellStyle name="Note 2 3 3 2 3" xfId="4018"/>
    <cellStyle name="Note 2 3 3 2 3 2" xfId="4019"/>
    <cellStyle name="Note 2 3 3 2 4" xfId="4020"/>
    <cellStyle name="Note 2 3 3 3" xfId="4021"/>
    <cellStyle name="Note 2 3 3 3 2" xfId="4022"/>
    <cellStyle name="Note 2 3 3 3 2 2" xfId="4023"/>
    <cellStyle name="Note 2 3 3 3 3" xfId="4024"/>
    <cellStyle name="Note 2 3 3 3 4" xfId="4025"/>
    <cellStyle name="Note 2 3 3 4" xfId="4026"/>
    <cellStyle name="Note 2 3 3 4 2" xfId="4027"/>
    <cellStyle name="Note 2 3 3 4 2 2" xfId="4028"/>
    <cellStyle name="Note 2 3 3 4 3" xfId="4029"/>
    <cellStyle name="Note 2 3 3 5" xfId="4030"/>
    <cellStyle name="Note 2 3 4" xfId="4031"/>
    <cellStyle name="Note 2 3 4 2" xfId="4032"/>
    <cellStyle name="Note 2 3 4 2 2" xfId="4033"/>
    <cellStyle name="Note 2 3 4 2 2 2" xfId="4034"/>
    <cellStyle name="Note 2 3 4 2 2 2 2" xfId="4035"/>
    <cellStyle name="Note 2 3 4 2 2 3" xfId="4036"/>
    <cellStyle name="Note 2 3 4 2 3" xfId="4037"/>
    <cellStyle name="Note 2 3 4 2 3 2" xfId="4038"/>
    <cellStyle name="Note 2 3 4 2 4" xfId="4039"/>
    <cellStyle name="Note 2 3 4 3" xfId="4040"/>
    <cellStyle name="Note 2 3 4 3 2" xfId="4041"/>
    <cellStyle name="Note 2 3 4 3 2 2" xfId="4042"/>
    <cellStyle name="Note 2 3 4 3 3" xfId="4043"/>
    <cellStyle name="Note 2 3 4 3 4" xfId="4044"/>
    <cellStyle name="Note 2 3 4 4" xfId="4045"/>
    <cellStyle name="Note 2 3 4 4 2" xfId="4046"/>
    <cellStyle name="Note 2 3 4 4 2 2" xfId="4047"/>
    <cellStyle name="Note 2 3 4 4 3" xfId="4048"/>
    <cellStyle name="Note 2 3 4 5" xfId="4049"/>
    <cellStyle name="Note 2 3 4 5 2" xfId="4050"/>
    <cellStyle name="Note 2 3 4 6" xfId="4051"/>
    <cellStyle name="Note 2 3 5" xfId="4052"/>
    <cellStyle name="Note 2 3 5 2" xfId="4053"/>
    <cellStyle name="Note 2 3 5 2 2" xfId="4054"/>
    <cellStyle name="Note 2 3 5 2 2 2" xfId="4055"/>
    <cellStyle name="Note 2 3 5 2 2 2 2" xfId="4056"/>
    <cellStyle name="Note 2 3 5 2 2 3" xfId="4057"/>
    <cellStyle name="Note 2 3 5 2 3" xfId="4058"/>
    <cellStyle name="Note 2 3 5 2 3 2" xfId="4059"/>
    <cellStyle name="Note 2 3 5 2 4" xfId="4060"/>
    <cellStyle name="Note 2 3 5 3" xfId="4061"/>
    <cellStyle name="Note 2 3 5 3 2" xfId="4062"/>
    <cellStyle name="Note 2 3 5 3 2 2" xfId="4063"/>
    <cellStyle name="Note 2 3 5 3 3" xfId="4064"/>
    <cellStyle name="Note 2 3 5 3 4" xfId="4065"/>
    <cellStyle name="Note 2 3 5 4" xfId="4066"/>
    <cellStyle name="Note 2 3 5 4 2" xfId="4067"/>
    <cellStyle name="Note 2 3 5 4 2 2" xfId="4068"/>
    <cellStyle name="Note 2 3 5 4 3" xfId="4069"/>
    <cellStyle name="Note 2 3 5 5" xfId="4070"/>
    <cellStyle name="Note 2 3 5 5 2" xfId="4071"/>
    <cellStyle name="Note 2 3 5 6" xfId="4072"/>
    <cellStyle name="Note 2 4" xfId="4073"/>
    <cellStyle name="Note 2 4 2" xfId="4074"/>
    <cellStyle name="Note 2 4 2 2" xfId="4075"/>
    <cellStyle name="Note 2 4 2 2 2" xfId="4076"/>
    <cellStyle name="Note 2 4 2 2 2 2" xfId="4077"/>
    <cellStyle name="Note 2 4 2 2 2 2 2" xfId="4078"/>
    <cellStyle name="Note 2 4 2 2 2 3" xfId="4079"/>
    <cellStyle name="Note 2 4 2 2 3" xfId="4080"/>
    <cellStyle name="Note 2 4 2 2 3 2" xfId="4081"/>
    <cellStyle name="Note 2 4 2 2 4" xfId="4082"/>
    <cellStyle name="Note 2 4 2 3" xfId="4083"/>
    <cellStyle name="Note 2 4 2 3 2" xfId="4084"/>
    <cellStyle name="Note 2 4 2 3 2 2" xfId="4085"/>
    <cellStyle name="Note 2 4 2 3 3" xfId="4086"/>
    <cellStyle name="Note 2 4 2 3 4" xfId="4087"/>
    <cellStyle name="Note 2 4 2 4" xfId="4088"/>
    <cellStyle name="Note 2 4 2 4 2" xfId="4089"/>
    <cellStyle name="Note 2 4 2 4 2 2" xfId="4090"/>
    <cellStyle name="Note 2 4 2 4 3" xfId="4091"/>
    <cellStyle name="Note 2 4 2 5" xfId="4092"/>
    <cellStyle name="Note 2 4 3" xfId="4093"/>
    <cellStyle name="Note 2 4 3 2" xfId="4094"/>
    <cellStyle name="Note 2 4 3 2 2" xfId="4095"/>
    <cellStyle name="Note 2 4 3 2 2 2" xfId="4096"/>
    <cellStyle name="Note 2 4 3 2 2 2 2" xfId="4097"/>
    <cellStyle name="Note 2 4 3 2 2 3" xfId="4098"/>
    <cellStyle name="Note 2 4 3 2 3" xfId="4099"/>
    <cellStyle name="Note 2 4 3 2 3 2" xfId="4100"/>
    <cellStyle name="Note 2 4 3 2 4" xfId="4101"/>
    <cellStyle name="Note 2 4 3 3" xfId="4102"/>
    <cellStyle name="Note 2 4 3 3 2" xfId="4103"/>
    <cellStyle name="Note 2 4 3 3 2 2" xfId="4104"/>
    <cellStyle name="Note 2 4 3 3 3" xfId="4105"/>
    <cellStyle name="Note 2 4 3 3 4" xfId="4106"/>
    <cellStyle name="Note 2 4 3 4" xfId="4107"/>
    <cellStyle name="Note 2 4 3 4 2" xfId="4108"/>
    <cellStyle name="Note 2 4 3 4 2 2" xfId="4109"/>
    <cellStyle name="Note 2 4 3 4 3" xfId="4110"/>
    <cellStyle name="Note 2 4 3 5" xfId="4111"/>
    <cellStyle name="Note 2 4 3 5 2" xfId="4112"/>
    <cellStyle name="Note 2 4 3 6" xfId="4113"/>
    <cellStyle name="Note 2 4 4" xfId="4114"/>
    <cellStyle name="Note 2 4 4 2" xfId="4115"/>
    <cellStyle name="Note 2 4 4 2 2" xfId="4116"/>
    <cellStyle name="Note 2 4 4 2 2 2" xfId="4117"/>
    <cellStyle name="Note 2 4 4 2 2 2 2" xfId="4118"/>
    <cellStyle name="Note 2 4 4 2 2 3" xfId="4119"/>
    <cellStyle name="Note 2 4 4 2 3" xfId="4120"/>
    <cellStyle name="Note 2 4 4 2 3 2" xfId="4121"/>
    <cellStyle name="Note 2 4 4 2 4" xfId="4122"/>
    <cellStyle name="Note 2 4 4 3" xfId="4123"/>
    <cellStyle name="Note 2 4 4 3 2" xfId="4124"/>
    <cellStyle name="Note 2 4 4 3 2 2" xfId="4125"/>
    <cellStyle name="Note 2 4 4 3 3" xfId="4126"/>
    <cellStyle name="Note 2 4 4 3 4" xfId="4127"/>
    <cellStyle name="Note 2 4 4 4" xfId="4128"/>
    <cellStyle name="Note 2 4 4 4 2" xfId="4129"/>
    <cellStyle name="Note 2 4 4 4 2 2" xfId="4130"/>
    <cellStyle name="Note 2 4 4 4 3" xfId="4131"/>
    <cellStyle name="Note 2 4 4 5" xfId="4132"/>
    <cellStyle name="Note 2 4 4 5 2" xfId="4133"/>
    <cellStyle name="Note 2 4 4 6" xfId="4134"/>
    <cellStyle name="Note 2 4 5" xfId="4135"/>
    <cellStyle name="Note 2 4 5 2" xfId="4136"/>
    <cellStyle name="Note 2 5" xfId="4137"/>
    <cellStyle name="Note 2 5 2" xfId="4138"/>
    <cellStyle name="Note 2 5 2 2" xfId="4139"/>
    <cellStyle name="Note 2 5 2 2 2" xfId="4140"/>
    <cellStyle name="Note 2 5 2 2 2 2" xfId="4141"/>
    <cellStyle name="Note 2 5 2 2 2 2 2" xfId="4142"/>
    <cellStyle name="Note 2 5 2 2 2 3" xfId="4143"/>
    <cellStyle name="Note 2 5 2 2 3" xfId="4144"/>
    <cellStyle name="Note 2 5 2 2 3 2" xfId="4145"/>
    <cellStyle name="Note 2 5 2 2 4" xfId="4146"/>
    <cellStyle name="Note 2 5 2 3" xfId="4147"/>
    <cellStyle name="Note 2 5 2 3 2" xfId="4148"/>
    <cellStyle name="Note 2 5 2 3 2 2" xfId="4149"/>
    <cellStyle name="Note 2 5 2 3 3" xfId="4150"/>
    <cellStyle name="Note 2 5 2 3 4" xfId="4151"/>
    <cellStyle name="Note 2 5 2 4" xfId="4152"/>
    <cellStyle name="Note 2 5 2 4 2" xfId="4153"/>
    <cellStyle name="Note 2 5 2 4 2 2" xfId="4154"/>
    <cellStyle name="Note 2 5 2 4 3" xfId="4155"/>
    <cellStyle name="Note 2 5 2 5" xfId="4156"/>
    <cellStyle name="Note 2 5 2 5 2" xfId="4157"/>
    <cellStyle name="Note 2 5 2 6" xfId="4158"/>
    <cellStyle name="Note 2 5 3" xfId="4159"/>
    <cellStyle name="Note 2 5 3 2" xfId="4160"/>
    <cellStyle name="Note 2 5 3 2 2" xfId="4161"/>
    <cellStyle name="Note 2 5 3 2 2 2" xfId="4162"/>
    <cellStyle name="Note 2 5 3 2 2 2 2" xfId="4163"/>
    <cellStyle name="Note 2 5 3 2 2 3" xfId="4164"/>
    <cellStyle name="Note 2 5 3 2 3" xfId="4165"/>
    <cellStyle name="Note 2 5 3 2 3 2" xfId="4166"/>
    <cellStyle name="Note 2 5 3 2 4" xfId="4167"/>
    <cellStyle name="Note 2 5 3 3" xfId="4168"/>
    <cellStyle name="Note 2 5 3 3 2" xfId="4169"/>
    <cellStyle name="Note 2 5 3 3 2 2" xfId="4170"/>
    <cellStyle name="Note 2 5 3 3 3" xfId="4171"/>
    <cellStyle name="Note 2 5 3 3 4" xfId="4172"/>
    <cellStyle name="Note 2 5 3 4" xfId="4173"/>
    <cellStyle name="Note 2 5 3 4 2" xfId="4174"/>
    <cellStyle name="Note 2 5 3 4 2 2" xfId="4175"/>
    <cellStyle name="Note 2 5 3 4 3" xfId="4176"/>
    <cellStyle name="Note 2 5 3 5" xfId="4177"/>
    <cellStyle name="Note 2 5 3 5 2" xfId="4178"/>
    <cellStyle name="Note 2 5 3 6" xfId="4179"/>
    <cellStyle name="Note 2 5 4" xfId="4180"/>
    <cellStyle name="Note 2 5 4 2" xfId="4181"/>
    <cellStyle name="Note 2 5 4 2 2" xfId="4182"/>
    <cellStyle name="Note 2 5 4 2 2 2" xfId="4183"/>
    <cellStyle name="Note 2 5 4 2 3" xfId="4184"/>
    <cellStyle name="Note 2 5 4 3" xfId="4185"/>
    <cellStyle name="Note 2 5 4 3 2" xfId="4186"/>
    <cellStyle name="Note 2 5 4 4" xfId="4187"/>
    <cellStyle name="Note 2 5 5" xfId="4188"/>
    <cellStyle name="Note 2 5 5 2" xfId="4189"/>
    <cellStyle name="Note 2 5 5 2 2" xfId="4190"/>
    <cellStyle name="Note 2 5 5 3" xfId="4191"/>
    <cellStyle name="Note 2 5 5 4" xfId="4192"/>
    <cellStyle name="Note 2 5 6" xfId="4193"/>
    <cellStyle name="Note 2 5 6 2" xfId="4194"/>
    <cellStyle name="Note 2 5 6 2 2" xfId="4195"/>
    <cellStyle name="Note 2 5 6 3" xfId="4196"/>
    <cellStyle name="Note 2 5 7" xfId="4197"/>
    <cellStyle name="Note 2 6" xfId="4198"/>
    <cellStyle name="Note 2 6 2" xfId="4199"/>
    <cellStyle name="Note 2 6 2 2" xfId="4200"/>
    <cellStyle name="Note 2 6 2 2 2" xfId="4201"/>
    <cellStyle name="Note 2 6 2 2 2 2" xfId="4202"/>
    <cellStyle name="Note 2 6 2 2 3" xfId="4203"/>
    <cellStyle name="Note 2 6 2 3" xfId="4204"/>
    <cellStyle name="Note 2 6 2 3 2" xfId="4205"/>
    <cellStyle name="Note 2 6 2 4" xfId="4206"/>
    <cellStyle name="Note 2 6 3" xfId="4207"/>
    <cellStyle name="Note 2 6 3 2" xfId="4208"/>
    <cellStyle name="Note 2 6 3 2 2" xfId="4209"/>
    <cellStyle name="Note 2 6 3 3" xfId="4210"/>
    <cellStyle name="Note 2 6 3 4" xfId="4211"/>
    <cellStyle name="Note 2 6 4" xfId="4212"/>
    <cellStyle name="Note 2 6 4 2" xfId="4213"/>
    <cellStyle name="Note 2 6 4 2 2" xfId="4214"/>
    <cellStyle name="Note 2 6 4 3" xfId="4215"/>
    <cellStyle name="Note 2 6 5" xfId="4216"/>
    <cellStyle name="Note 3" xfId="4217"/>
    <cellStyle name="Note 3 2" xfId="4218"/>
    <cellStyle name="Note 3 2 2" xfId="4219"/>
    <cellStyle name="Note 3 2 2 2" xfId="4220"/>
    <cellStyle name="Note 3 2 2 2 2" xfId="4221"/>
    <cellStyle name="Note 3 2 2 2 2 2" xfId="4222"/>
    <cellStyle name="Note 3 2 2 2 2 2 2" xfId="4223"/>
    <cellStyle name="Note 3 2 2 2 2 3" xfId="4224"/>
    <cellStyle name="Note 3 2 2 2 3" xfId="4225"/>
    <cellStyle name="Note 3 2 2 2 3 2" xfId="4226"/>
    <cellStyle name="Note 3 2 2 2 4" xfId="4227"/>
    <cellStyle name="Note 3 2 2 3" xfId="4228"/>
    <cellStyle name="Note 3 2 2 3 2" xfId="4229"/>
    <cellStyle name="Note 3 2 2 3 2 2" xfId="4230"/>
    <cellStyle name="Note 3 2 2 3 3" xfId="4231"/>
    <cellStyle name="Note 3 2 2 3 4" xfId="4232"/>
    <cellStyle name="Note 3 2 2 4" xfId="4233"/>
    <cellStyle name="Note 3 2 2 4 2" xfId="4234"/>
    <cellStyle name="Note 3 2 2 4 2 2" xfId="4235"/>
    <cellStyle name="Note 3 2 2 4 3" xfId="4236"/>
    <cellStyle name="Note 3 2 2 5" xfId="4237"/>
    <cellStyle name="Note 3 2 3" xfId="4238"/>
    <cellStyle name="Note 3 2 3 2" xfId="4239"/>
    <cellStyle name="Note 3 2 3 2 2" xfId="4240"/>
    <cellStyle name="Note 3 2 3 2 2 2" xfId="4241"/>
    <cellStyle name="Note 3 2 3 2 2 2 2" xfId="4242"/>
    <cellStyle name="Note 3 2 3 2 2 3" xfId="4243"/>
    <cellStyle name="Note 3 2 3 2 3" xfId="4244"/>
    <cellStyle name="Note 3 2 3 2 3 2" xfId="4245"/>
    <cellStyle name="Note 3 2 3 2 4" xfId="4246"/>
    <cellStyle name="Note 3 2 3 3" xfId="4247"/>
    <cellStyle name="Note 3 2 3 3 2" xfId="4248"/>
    <cellStyle name="Note 3 2 3 3 2 2" xfId="4249"/>
    <cellStyle name="Note 3 2 3 3 3" xfId="4250"/>
    <cellStyle name="Note 3 2 3 3 4" xfId="4251"/>
    <cellStyle name="Note 3 2 3 4" xfId="4252"/>
    <cellStyle name="Note 3 2 3 4 2" xfId="4253"/>
    <cellStyle name="Note 3 2 3 4 2 2" xfId="4254"/>
    <cellStyle name="Note 3 2 3 4 3" xfId="4255"/>
    <cellStyle name="Note 3 2 3 5" xfId="4256"/>
    <cellStyle name="Note 3 2 3 5 2" xfId="4257"/>
    <cellStyle name="Note 3 2 3 6" xfId="4258"/>
    <cellStyle name="Note 3 2 4" xfId="4259"/>
    <cellStyle name="Note 3 2 4 2" xfId="4260"/>
    <cellStyle name="Note 3 2 4 2 2" xfId="4261"/>
    <cellStyle name="Note 3 2 4 2 2 2" xfId="4262"/>
    <cellStyle name="Note 3 2 4 2 2 2 2" xfId="4263"/>
    <cellStyle name="Note 3 2 4 2 2 3" xfId="4264"/>
    <cellStyle name="Note 3 2 4 2 3" xfId="4265"/>
    <cellStyle name="Note 3 2 4 2 3 2" xfId="4266"/>
    <cellStyle name="Note 3 2 4 2 4" xfId="4267"/>
    <cellStyle name="Note 3 2 4 3" xfId="4268"/>
    <cellStyle name="Note 3 2 4 3 2" xfId="4269"/>
    <cellStyle name="Note 3 2 4 3 2 2" xfId="4270"/>
    <cellStyle name="Note 3 2 4 3 3" xfId="4271"/>
    <cellStyle name="Note 3 2 4 3 4" xfId="4272"/>
    <cellStyle name="Note 3 2 4 4" xfId="4273"/>
    <cellStyle name="Note 3 2 4 4 2" xfId="4274"/>
    <cellStyle name="Note 3 2 4 4 2 2" xfId="4275"/>
    <cellStyle name="Note 3 2 4 4 3" xfId="4276"/>
    <cellStyle name="Note 3 2 4 5" xfId="4277"/>
    <cellStyle name="Note 3 2 4 5 2" xfId="4278"/>
    <cellStyle name="Note 3 2 4 6" xfId="4279"/>
    <cellStyle name="Note 3 2 5" xfId="4280"/>
    <cellStyle name="Note 3 2 5 2" xfId="4281"/>
    <cellStyle name="Note 3 3" xfId="4282"/>
    <cellStyle name="Note 3 3 2" xfId="4283"/>
    <cellStyle name="Note 3 3 2 2" xfId="4284"/>
    <cellStyle name="Note 3 3 2 2 2" xfId="4285"/>
    <cellStyle name="Note 3 3 2 2 2 2" xfId="4286"/>
    <cellStyle name="Note 3 3 2 2 2 2 2" xfId="4287"/>
    <cellStyle name="Note 3 3 2 2 2 3" xfId="4288"/>
    <cellStyle name="Note 3 3 2 2 3" xfId="4289"/>
    <cellStyle name="Note 3 3 2 2 3 2" xfId="4290"/>
    <cellStyle name="Note 3 3 2 2 4" xfId="4291"/>
    <cellStyle name="Note 3 3 2 3" xfId="4292"/>
    <cellStyle name="Note 3 3 2 3 2" xfId="4293"/>
    <cellStyle name="Note 3 3 2 3 2 2" xfId="4294"/>
    <cellStyle name="Note 3 3 2 3 3" xfId="4295"/>
    <cellStyle name="Note 3 3 2 3 4" xfId="4296"/>
    <cellStyle name="Note 3 3 2 4" xfId="4297"/>
    <cellStyle name="Note 3 3 2 4 2" xfId="4298"/>
    <cellStyle name="Note 3 3 2 4 2 2" xfId="4299"/>
    <cellStyle name="Note 3 3 2 4 3" xfId="4300"/>
    <cellStyle name="Note 3 3 2 5" xfId="4301"/>
    <cellStyle name="Note 3 3 2 5 2" xfId="4302"/>
    <cellStyle name="Note 3 3 2 6" xfId="4303"/>
    <cellStyle name="Note 3 3 3" xfId="4304"/>
    <cellStyle name="Note 3 3 3 2" xfId="4305"/>
    <cellStyle name="Note 3 3 3 2 2" xfId="4306"/>
    <cellStyle name="Note 3 3 3 2 2 2" xfId="4307"/>
    <cellStyle name="Note 3 3 3 2 2 2 2" xfId="4308"/>
    <cellStyle name="Note 3 3 3 2 2 3" xfId="4309"/>
    <cellStyle name="Note 3 3 3 2 3" xfId="4310"/>
    <cellStyle name="Note 3 3 3 2 3 2" xfId="4311"/>
    <cellStyle name="Note 3 3 3 2 4" xfId="4312"/>
    <cellStyle name="Note 3 3 3 3" xfId="4313"/>
    <cellStyle name="Note 3 3 3 3 2" xfId="4314"/>
    <cellStyle name="Note 3 3 3 3 2 2" xfId="4315"/>
    <cellStyle name="Note 3 3 3 3 3" xfId="4316"/>
    <cellStyle name="Note 3 3 3 3 4" xfId="4317"/>
    <cellStyle name="Note 3 3 3 4" xfId="4318"/>
    <cellStyle name="Note 3 3 3 4 2" xfId="4319"/>
    <cellStyle name="Note 3 3 3 4 2 2" xfId="4320"/>
    <cellStyle name="Note 3 3 3 4 3" xfId="4321"/>
    <cellStyle name="Note 3 3 3 5" xfId="4322"/>
    <cellStyle name="Note 3 3 3 5 2" xfId="4323"/>
    <cellStyle name="Note 3 3 3 6" xfId="4324"/>
    <cellStyle name="Note 3 3 4" xfId="4325"/>
    <cellStyle name="Note 3 3 4 2" xfId="4326"/>
    <cellStyle name="Note 3 3 4 2 2" xfId="4327"/>
    <cellStyle name="Note 3 3 4 2 2 2" xfId="4328"/>
    <cellStyle name="Note 3 3 4 2 3" xfId="4329"/>
    <cellStyle name="Note 3 3 4 3" xfId="4330"/>
    <cellStyle name="Note 3 3 4 3 2" xfId="4331"/>
    <cellStyle name="Note 3 3 4 4" xfId="4332"/>
    <cellStyle name="Note 3 3 5" xfId="4333"/>
    <cellStyle name="Note 3 3 5 2" xfId="4334"/>
    <cellStyle name="Note 3 3 5 2 2" xfId="4335"/>
    <cellStyle name="Note 3 3 5 3" xfId="4336"/>
    <cellStyle name="Note 3 3 5 4" xfId="4337"/>
    <cellStyle name="Note 3 3 6" xfId="4338"/>
    <cellStyle name="Note 3 3 6 2" xfId="4339"/>
    <cellStyle name="Note 3 3 6 2 2" xfId="4340"/>
    <cellStyle name="Note 3 3 6 3" xfId="4341"/>
    <cellStyle name="Note 3 3 7" xfId="4342"/>
    <cellStyle name="Note 3 4" xfId="4343"/>
    <cellStyle name="Note 3 4 2" xfId="4344"/>
    <cellStyle name="Note 3 4 2 2" xfId="4345"/>
    <cellStyle name="Note 3 4 2 2 2" xfId="4346"/>
    <cellStyle name="Note 3 4 2 2 2 2" xfId="4347"/>
    <cellStyle name="Note 3 4 2 2 3" xfId="4348"/>
    <cellStyle name="Note 3 4 2 3" xfId="4349"/>
    <cellStyle name="Note 3 4 2 3 2" xfId="4350"/>
    <cellStyle name="Note 3 4 2 4" xfId="4351"/>
    <cellStyle name="Note 3 4 3" xfId="4352"/>
    <cellStyle name="Note 3 4 3 2" xfId="4353"/>
    <cellStyle name="Note 3 4 3 2 2" xfId="4354"/>
    <cellStyle name="Note 3 4 3 3" xfId="4355"/>
    <cellStyle name="Note 3 4 3 4" xfId="4356"/>
    <cellStyle name="Note 3 4 4" xfId="4357"/>
    <cellStyle name="Note 3 4 4 2" xfId="4358"/>
    <cellStyle name="Note 3 4 4 2 2" xfId="4359"/>
    <cellStyle name="Note 3 4 4 3" xfId="4360"/>
    <cellStyle name="Note 3 4 5" xfId="4361"/>
    <cellStyle name="Note 4" xfId="4362"/>
    <cellStyle name="Note 4 2" xfId="4363"/>
    <cellStyle name="Note 4 2 2" xfId="4364"/>
    <cellStyle name="Note 4 2 2 2" xfId="4365"/>
    <cellStyle name="Note 4 2 2 2 2" xfId="4366"/>
    <cellStyle name="Note 4 2 2 2 2 2" xfId="4367"/>
    <cellStyle name="Note 4 2 2 2 2 2 2" xfId="4368"/>
    <cellStyle name="Note 4 2 2 2 2 3" xfId="4369"/>
    <cellStyle name="Note 4 2 2 2 3" xfId="4370"/>
    <cellStyle name="Note 4 2 2 2 3 2" xfId="4371"/>
    <cellStyle name="Note 4 2 2 2 4" xfId="4372"/>
    <cellStyle name="Note 4 2 2 3" xfId="4373"/>
    <cellStyle name="Note 4 2 2 3 2" xfId="4374"/>
    <cellStyle name="Note 4 2 2 3 2 2" xfId="4375"/>
    <cellStyle name="Note 4 2 2 3 3" xfId="4376"/>
    <cellStyle name="Note 4 2 2 3 4" xfId="4377"/>
    <cellStyle name="Note 4 2 2 4" xfId="4378"/>
    <cellStyle name="Note 4 2 2 4 2" xfId="4379"/>
    <cellStyle name="Note 4 2 2 4 2 2" xfId="4380"/>
    <cellStyle name="Note 4 2 2 4 3" xfId="4381"/>
    <cellStyle name="Note 4 2 2 5" xfId="4382"/>
    <cellStyle name="Note 4 2 3" xfId="4383"/>
    <cellStyle name="Note 4 2 3 2" xfId="4384"/>
    <cellStyle name="Note 4 2 3 2 2" xfId="4385"/>
    <cellStyle name="Note 4 2 3 2 2 2" xfId="4386"/>
    <cellStyle name="Note 4 2 3 2 2 2 2" xfId="4387"/>
    <cellStyle name="Note 4 2 3 2 2 3" xfId="4388"/>
    <cellStyle name="Note 4 2 3 2 3" xfId="4389"/>
    <cellStyle name="Note 4 2 3 2 3 2" xfId="4390"/>
    <cellStyle name="Note 4 2 3 2 4" xfId="4391"/>
    <cellStyle name="Note 4 2 3 3" xfId="4392"/>
    <cellStyle name="Note 4 2 3 3 2" xfId="4393"/>
    <cellStyle name="Note 4 2 3 3 2 2" xfId="4394"/>
    <cellStyle name="Note 4 2 3 3 3" xfId="4395"/>
    <cellStyle name="Note 4 2 3 3 4" xfId="4396"/>
    <cellStyle name="Note 4 2 3 4" xfId="4397"/>
    <cellStyle name="Note 4 2 3 4 2" xfId="4398"/>
    <cellStyle name="Note 4 2 3 4 2 2" xfId="4399"/>
    <cellStyle name="Note 4 2 3 4 3" xfId="4400"/>
    <cellStyle name="Note 4 2 3 5" xfId="4401"/>
    <cellStyle name="Note 4 2 3 5 2" xfId="4402"/>
    <cellStyle name="Note 4 2 3 6" xfId="4403"/>
    <cellStyle name="Note 4 2 4" xfId="4404"/>
    <cellStyle name="Note 4 2 4 2" xfId="4405"/>
    <cellStyle name="Note 4 2 4 2 2" xfId="4406"/>
    <cellStyle name="Note 4 2 4 2 2 2" xfId="4407"/>
    <cellStyle name="Note 4 2 4 2 2 2 2" xfId="4408"/>
    <cellStyle name="Note 4 2 4 2 2 3" xfId="4409"/>
    <cellStyle name="Note 4 2 4 2 3" xfId="4410"/>
    <cellStyle name="Note 4 2 4 2 3 2" xfId="4411"/>
    <cellStyle name="Note 4 2 4 2 4" xfId="4412"/>
    <cellStyle name="Note 4 2 4 3" xfId="4413"/>
    <cellStyle name="Note 4 2 4 3 2" xfId="4414"/>
    <cellStyle name="Note 4 2 4 3 2 2" xfId="4415"/>
    <cellStyle name="Note 4 2 4 3 3" xfId="4416"/>
    <cellStyle name="Note 4 2 4 3 4" xfId="4417"/>
    <cellStyle name="Note 4 2 4 4" xfId="4418"/>
    <cellStyle name="Note 4 2 4 4 2" xfId="4419"/>
    <cellStyle name="Note 4 2 4 4 2 2" xfId="4420"/>
    <cellStyle name="Note 4 2 4 4 3" xfId="4421"/>
    <cellStyle name="Note 4 2 4 5" xfId="4422"/>
    <cellStyle name="Note 4 2 4 5 2" xfId="4423"/>
    <cellStyle name="Note 4 2 4 6" xfId="4424"/>
    <cellStyle name="Note 4 2 5" xfId="4425"/>
    <cellStyle name="Note 4 2 5 2" xfId="4426"/>
    <cellStyle name="Note 4 3" xfId="4427"/>
    <cellStyle name="Note 4 3 2" xfId="4428"/>
    <cellStyle name="Note 4 3 2 2" xfId="4429"/>
    <cellStyle name="Note 4 3 2 2 2" xfId="4430"/>
    <cellStyle name="Note 4 3 2 2 2 2" xfId="4431"/>
    <cellStyle name="Note 4 3 2 2 2 2 2" xfId="4432"/>
    <cellStyle name="Note 4 3 2 2 2 3" xfId="4433"/>
    <cellStyle name="Note 4 3 2 2 3" xfId="4434"/>
    <cellStyle name="Note 4 3 2 2 3 2" xfId="4435"/>
    <cellStyle name="Note 4 3 2 2 4" xfId="4436"/>
    <cellStyle name="Note 4 3 2 3" xfId="4437"/>
    <cellStyle name="Note 4 3 2 3 2" xfId="4438"/>
    <cellStyle name="Note 4 3 2 3 2 2" xfId="4439"/>
    <cellStyle name="Note 4 3 2 3 3" xfId="4440"/>
    <cellStyle name="Note 4 3 2 3 4" xfId="4441"/>
    <cellStyle name="Note 4 3 2 4" xfId="4442"/>
    <cellStyle name="Note 4 3 2 4 2" xfId="4443"/>
    <cellStyle name="Note 4 3 2 4 2 2" xfId="4444"/>
    <cellStyle name="Note 4 3 2 4 3" xfId="4445"/>
    <cellStyle name="Note 4 3 2 5" xfId="4446"/>
    <cellStyle name="Note 4 3 2 5 2" xfId="4447"/>
    <cellStyle name="Note 4 3 2 6" xfId="4448"/>
    <cellStyle name="Note 4 3 3" xfId="4449"/>
    <cellStyle name="Note 4 3 3 2" xfId="4450"/>
    <cellStyle name="Note 4 3 3 2 2" xfId="4451"/>
    <cellStyle name="Note 4 3 3 2 2 2" xfId="4452"/>
    <cellStyle name="Note 4 3 3 2 2 2 2" xfId="4453"/>
    <cellStyle name="Note 4 3 3 2 2 3" xfId="4454"/>
    <cellStyle name="Note 4 3 3 2 3" xfId="4455"/>
    <cellStyle name="Note 4 3 3 2 3 2" xfId="4456"/>
    <cellStyle name="Note 4 3 3 2 4" xfId="4457"/>
    <cellStyle name="Note 4 3 3 3" xfId="4458"/>
    <cellStyle name="Note 4 3 3 3 2" xfId="4459"/>
    <cellStyle name="Note 4 3 3 3 2 2" xfId="4460"/>
    <cellStyle name="Note 4 3 3 3 3" xfId="4461"/>
    <cellStyle name="Note 4 3 3 3 4" xfId="4462"/>
    <cellStyle name="Note 4 3 3 4" xfId="4463"/>
    <cellStyle name="Note 4 3 3 4 2" xfId="4464"/>
    <cellStyle name="Note 4 3 3 4 2 2" xfId="4465"/>
    <cellStyle name="Note 4 3 3 4 3" xfId="4466"/>
    <cellStyle name="Note 4 3 3 5" xfId="4467"/>
    <cellStyle name="Note 4 3 3 5 2" xfId="4468"/>
    <cellStyle name="Note 4 3 3 6" xfId="4469"/>
    <cellStyle name="Note 4 3 4" xfId="4470"/>
    <cellStyle name="Note 4 3 4 2" xfId="4471"/>
    <cellStyle name="Note 4 3 4 2 2" xfId="4472"/>
    <cellStyle name="Note 4 3 4 2 2 2" xfId="4473"/>
    <cellStyle name="Note 4 3 4 2 3" xfId="4474"/>
    <cellStyle name="Note 4 3 4 3" xfId="4475"/>
    <cellStyle name="Note 4 3 4 3 2" xfId="4476"/>
    <cellStyle name="Note 4 3 4 4" xfId="4477"/>
    <cellStyle name="Note 4 3 5" xfId="4478"/>
    <cellStyle name="Note 4 3 5 2" xfId="4479"/>
    <cellStyle name="Note 4 3 5 2 2" xfId="4480"/>
    <cellStyle name="Note 4 3 5 3" xfId="4481"/>
    <cellStyle name="Note 4 3 5 4" xfId="4482"/>
    <cellStyle name="Note 4 3 6" xfId="4483"/>
    <cellStyle name="Note 4 3 6 2" xfId="4484"/>
    <cellStyle name="Note 4 3 6 2 2" xfId="4485"/>
    <cellStyle name="Note 4 3 6 3" xfId="4486"/>
    <cellStyle name="Note 4 3 7" xfId="4487"/>
    <cellStyle name="Note 4 4" xfId="4488"/>
    <cellStyle name="Note 4 4 2" xfId="4489"/>
    <cellStyle name="Note 4 4 2 2" xfId="4490"/>
    <cellStyle name="Note 4 4 2 2 2" xfId="4491"/>
    <cellStyle name="Note 4 4 2 2 2 2" xfId="4492"/>
    <cellStyle name="Note 4 4 2 2 3" xfId="4493"/>
    <cellStyle name="Note 4 4 2 3" xfId="4494"/>
    <cellStyle name="Note 4 4 2 3 2" xfId="4495"/>
    <cellStyle name="Note 4 4 2 4" xfId="4496"/>
    <cellStyle name="Note 4 4 3" xfId="4497"/>
    <cellStyle name="Note 4 4 3 2" xfId="4498"/>
    <cellStyle name="Note 4 4 3 2 2" xfId="4499"/>
    <cellStyle name="Note 4 4 3 3" xfId="4500"/>
    <cellStyle name="Note 4 4 3 4" xfId="4501"/>
    <cellStyle name="Note 4 4 4" xfId="4502"/>
    <cellStyle name="Note 4 4 4 2" xfId="4503"/>
    <cellStyle name="Note 4 4 4 2 2" xfId="4504"/>
    <cellStyle name="Note 4 4 4 3" xfId="4505"/>
    <cellStyle name="Note 4 4 5" xfId="4506"/>
    <cellStyle name="Note 5" xfId="4507"/>
    <cellStyle name="Note 5 2" xfId="4508"/>
    <cellStyle name="Note 5 2 2" xfId="4509"/>
    <cellStyle name="Note 5 2 2 2" xfId="4510"/>
    <cellStyle name="Note 5 2 2 2 2" xfId="4511"/>
    <cellStyle name="Note 5 2 2 2 2 2" xfId="4512"/>
    <cellStyle name="Note 5 2 2 2 3" xfId="4513"/>
    <cellStyle name="Note 5 2 2 3" xfId="4514"/>
    <cellStyle name="Note 5 2 2 3 2" xfId="4515"/>
    <cellStyle name="Note 5 2 2 4" xfId="4516"/>
    <cellStyle name="Note 5 2 3" xfId="4517"/>
    <cellStyle name="Note 5 2 3 2" xfId="4518"/>
    <cellStyle name="Note 5 2 3 2 2" xfId="4519"/>
    <cellStyle name="Note 5 2 3 3" xfId="4520"/>
    <cellStyle name="Note 5 2 3 4" xfId="4521"/>
    <cellStyle name="Note 5 2 4" xfId="4522"/>
    <cellStyle name="Note 5 2 4 2" xfId="4523"/>
    <cellStyle name="Note 5 2 4 2 2" xfId="4524"/>
    <cellStyle name="Note 5 2 4 3" xfId="4525"/>
    <cellStyle name="Note 5 2 5" xfId="4526"/>
    <cellStyle name="Note 5 3" xfId="4527"/>
    <cellStyle name="Note 5 3 2" xfId="4528"/>
    <cellStyle name="Note 5 3 2 2" xfId="4529"/>
    <cellStyle name="Note 5 3 2 2 2" xfId="4530"/>
    <cellStyle name="Note 5 3 2 2 2 2" xfId="4531"/>
    <cellStyle name="Note 5 3 2 2 3" xfId="4532"/>
    <cellStyle name="Note 5 3 2 3" xfId="4533"/>
    <cellStyle name="Note 5 3 2 3 2" xfId="4534"/>
    <cellStyle name="Note 5 3 2 4" xfId="4535"/>
    <cellStyle name="Note 5 3 3" xfId="4536"/>
    <cellStyle name="Note 5 3 3 2" xfId="4537"/>
    <cellStyle name="Note 5 3 3 2 2" xfId="4538"/>
    <cellStyle name="Note 5 3 3 3" xfId="4539"/>
    <cellStyle name="Note 5 3 3 4" xfId="4540"/>
    <cellStyle name="Note 5 3 4" xfId="4541"/>
    <cellStyle name="Note 5 3 4 2" xfId="4542"/>
    <cellStyle name="Note 5 3 4 2 2" xfId="4543"/>
    <cellStyle name="Note 5 3 4 3" xfId="4544"/>
    <cellStyle name="Note 5 3 5" xfId="4545"/>
    <cellStyle name="Note 5 3 5 2" xfId="4546"/>
    <cellStyle name="Note 5 3 6" xfId="4547"/>
    <cellStyle name="Note 5 4" xfId="4548"/>
    <cellStyle name="Note 5 4 2" xfId="4549"/>
    <cellStyle name="Note 5 4 2 2" xfId="4550"/>
    <cellStyle name="Note 5 4 2 2 2" xfId="4551"/>
    <cellStyle name="Note 5 4 2 2 2 2" xfId="4552"/>
    <cellStyle name="Note 5 4 2 2 3" xfId="4553"/>
    <cellStyle name="Note 5 4 2 3" xfId="4554"/>
    <cellStyle name="Note 5 4 2 3 2" xfId="4555"/>
    <cellStyle name="Note 5 4 2 4" xfId="4556"/>
    <cellStyle name="Note 5 4 3" xfId="4557"/>
    <cellStyle name="Note 5 4 3 2" xfId="4558"/>
    <cellStyle name="Note 5 4 3 2 2" xfId="4559"/>
    <cellStyle name="Note 5 4 3 3" xfId="4560"/>
    <cellStyle name="Note 5 4 3 4" xfId="4561"/>
    <cellStyle name="Note 5 4 4" xfId="4562"/>
    <cellStyle name="Note 5 4 4 2" xfId="4563"/>
    <cellStyle name="Note 5 4 4 2 2" xfId="4564"/>
    <cellStyle name="Note 5 4 4 3" xfId="4565"/>
    <cellStyle name="Note 5 4 5" xfId="4566"/>
    <cellStyle name="Note 5 4 5 2" xfId="4567"/>
    <cellStyle name="Note 5 4 6" xfId="4568"/>
    <cellStyle name="Note 5 5" xfId="4569"/>
    <cellStyle name="Note 5 5 2" xfId="4570"/>
    <cellStyle name="Note 6" xfId="4571"/>
    <cellStyle name="Note 6 2" xfId="4572"/>
    <cellStyle name="Note 6 2 2" xfId="4573"/>
    <cellStyle name="Note 6 2 2 2" xfId="4574"/>
    <cellStyle name="Note 6 2 2 2 2" xfId="4575"/>
    <cellStyle name="Note 6 2 2 2 2 2" xfId="4576"/>
    <cellStyle name="Note 6 2 2 2 3" xfId="4577"/>
    <cellStyle name="Note 6 2 2 3" xfId="4578"/>
    <cellStyle name="Note 6 2 2 3 2" xfId="4579"/>
    <cellStyle name="Note 6 2 2 4" xfId="4580"/>
    <cellStyle name="Note 6 2 3" xfId="4581"/>
    <cellStyle name="Note 6 2 3 2" xfId="4582"/>
    <cellStyle name="Note 6 2 3 2 2" xfId="4583"/>
    <cellStyle name="Note 6 2 3 3" xfId="4584"/>
    <cellStyle name="Note 6 2 3 4" xfId="4585"/>
    <cellStyle name="Note 6 2 4" xfId="4586"/>
    <cellStyle name="Note 6 2 4 2" xfId="4587"/>
    <cellStyle name="Note 6 2 4 2 2" xfId="4588"/>
    <cellStyle name="Note 6 2 4 3" xfId="4589"/>
    <cellStyle name="Note 6 2 5" xfId="4590"/>
    <cellStyle name="Note 6 2 5 2" xfId="4591"/>
    <cellStyle name="Note 6 2 6" xfId="4592"/>
    <cellStyle name="Note 6 3" xfId="4593"/>
    <cellStyle name="Note 6 3 2" xfId="4594"/>
    <cellStyle name="Note 6 3 2 2" xfId="4595"/>
    <cellStyle name="Note 6 3 2 2 2" xfId="4596"/>
    <cellStyle name="Note 6 3 2 2 2 2" xfId="4597"/>
    <cellStyle name="Note 6 3 2 2 3" xfId="4598"/>
    <cellStyle name="Note 6 3 2 3" xfId="4599"/>
    <cellStyle name="Note 6 3 2 3 2" xfId="4600"/>
    <cellStyle name="Note 6 3 2 4" xfId="4601"/>
    <cellStyle name="Note 6 3 3" xfId="4602"/>
    <cellStyle name="Note 6 3 3 2" xfId="4603"/>
    <cellStyle name="Note 6 3 3 2 2" xfId="4604"/>
    <cellStyle name="Note 6 3 3 3" xfId="4605"/>
    <cellStyle name="Note 6 3 3 4" xfId="4606"/>
    <cellStyle name="Note 6 3 4" xfId="4607"/>
    <cellStyle name="Note 6 3 4 2" xfId="4608"/>
    <cellStyle name="Note 6 3 4 2 2" xfId="4609"/>
    <cellStyle name="Note 6 3 4 3" xfId="4610"/>
    <cellStyle name="Note 6 3 5" xfId="4611"/>
    <cellStyle name="Note 6 3 5 2" xfId="4612"/>
    <cellStyle name="Note 6 3 6" xfId="4613"/>
    <cellStyle name="Note 6 4" xfId="4614"/>
    <cellStyle name="Note 6 4 2" xfId="4615"/>
    <cellStyle name="Note 6 4 2 2" xfId="4616"/>
    <cellStyle name="Note 6 4 2 2 2" xfId="4617"/>
    <cellStyle name="Note 6 4 2 3" xfId="4618"/>
    <cellStyle name="Note 6 4 3" xfId="4619"/>
    <cellStyle name="Note 6 4 3 2" xfId="4620"/>
    <cellStyle name="Note 6 4 4" xfId="4621"/>
    <cellStyle name="Note 6 5" xfId="4622"/>
    <cellStyle name="Note 6 5 2" xfId="4623"/>
    <cellStyle name="Note 6 5 2 2" xfId="4624"/>
    <cellStyle name="Note 6 5 3" xfId="4625"/>
    <cellStyle name="Note 6 5 4" xfId="4626"/>
    <cellStyle name="Note 6 6" xfId="4627"/>
    <cellStyle name="Note 6 6 2" xfId="4628"/>
    <cellStyle name="Note 6 6 2 2" xfId="4629"/>
    <cellStyle name="Note 6 6 3" xfId="4630"/>
    <cellStyle name="Note 6 7" xfId="4631"/>
    <cellStyle name="Notes" xfId="4632"/>
    <cellStyle name="Output 2" xfId="4633"/>
    <cellStyle name="Output 2 2" xfId="4634"/>
    <cellStyle name="Output 2 2 2" xfId="4635"/>
    <cellStyle name="Output 2 2 2 2" xfId="4636"/>
    <cellStyle name="Output 2 2 2 2 2" xfId="4637"/>
    <cellStyle name="Output 2 2 2 2 2 2" xfId="4638"/>
    <cellStyle name="Output 2 2 2 2 2 2 2" xfId="4639"/>
    <cellStyle name="Output 2 2 2 2 2 2 2 2" xfId="4640"/>
    <cellStyle name="Output 2 2 2 2 2 2 2 2 2" xfId="4641"/>
    <cellStyle name="Output 2 2 2 2 2 2 2 3" xfId="4642"/>
    <cellStyle name="Output 2 2 2 2 2 2 3" xfId="4643"/>
    <cellStyle name="Output 2 2 2 2 2 2 3 2" xfId="4644"/>
    <cellStyle name="Output 2 2 2 2 2 2 4" xfId="4645"/>
    <cellStyle name="Output 2 2 2 2 2 3" xfId="4646"/>
    <cellStyle name="Output 2 2 2 2 2 3 2" xfId="4647"/>
    <cellStyle name="Output 2 2 2 2 2 3 2 2" xfId="4648"/>
    <cellStyle name="Output 2 2 2 2 2 3 3" xfId="4649"/>
    <cellStyle name="Output 2 2 2 2 2 3 4" xfId="4650"/>
    <cellStyle name="Output 2 2 2 2 2 4" xfId="4651"/>
    <cellStyle name="Output 2 2 2 2 2 4 2" xfId="4652"/>
    <cellStyle name="Output 2 2 2 2 2 4 2 2" xfId="4653"/>
    <cellStyle name="Output 2 2 2 2 2 4 3" xfId="4654"/>
    <cellStyle name="Output 2 2 2 2 2 5" xfId="4655"/>
    <cellStyle name="Output 2 2 2 2 2 5 2" xfId="4656"/>
    <cellStyle name="Output 2 2 2 2 2 6" xfId="4657"/>
    <cellStyle name="Output 2 2 2 2 3" xfId="4658"/>
    <cellStyle name="Output 2 2 2 2 3 2" xfId="4659"/>
    <cellStyle name="Output 2 2 2 2 3 2 2" xfId="4660"/>
    <cellStyle name="Output 2 2 2 2 3 2 2 2" xfId="4661"/>
    <cellStyle name="Output 2 2 2 2 3 2 2 2 2" xfId="4662"/>
    <cellStyle name="Output 2 2 2 2 3 2 2 3" xfId="4663"/>
    <cellStyle name="Output 2 2 2 2 3 2 3" xfId="4664"/>
    <cellStyle name="Output 2 2 2 2 3 2 3 2" xfId="4665"/>
    <cellStyle name="Output 2 2 2 2 3 2 4" xfId="4666"/>
    <cellStyle name="Output 2 2 2 2 3 3" xfId="4667"/>
    <cellStyle name="Output 2 2 2 2 3 3 2" xfId="4668"/>
    <cellStyle name="Output 2 2 2 2 3 3 2 2" xfId="4669"/>
    <cellStyle name="Output 2 2 2 2 3 3 3" xfId="4670"/>
    <cellStyle name="Output 2 2 2 2 3 3 4" xfId="4671"/>
    <cellStyle name="Output 2 2 2 2 3 4" xfId="4672"/>
    <cellStyle name="Output 2 2 2 2 3 4 2" xfId="4673"/>
    <cellStyle name="Output 2 2 2 2 3 4 2 2" xfId="4674"/>
    <cellStyle name="Output 2 2 2 2 3 4 3" xfId="4675"/>
    <cellStyle name="Output 2 2 2 2 3 5" xfId="4676"/>
    <cellStyle name="Output 2 2 2 2 3 5 2" xfId="4677"/>
    <cellStyle name="Output 2 2 2 2 3 6" xfId="4678"/>
    <cellStyle name="Output 2 2 2 2 4" xfId="4679"/>
    <cellStyle name="Output 2 2 2 2 4 2" xfId="4680"/>
    <cellStyle name="Output 2 2 2 3" xfId="4681"/>
    <cellStyle name="Output 2 2 2 3 2" xfId="4682"/>
    <cellStyle name="Output 2 2 2 3 2 2" xfId="4683"/>
    <cellStyle name="Output 2 2 2 3 2 2 2" xfId="4684"/>
    <cellStyle name="Output 2 2 2 3 2 2 2 2" xfId="4685"/>
    <cellStyle name="Output 2 2 2 3 2 2 3" xfId="4686"/>
    <cellStyle name="Output 2 2 2 3 2 3" xfId="4687"/>
    <cellStyle name="Output 2 2 2 3 2 3 2" xfId="4688"/>
    <cellStyle name="Output 2 2 2 3 2 4" xfId="4689"/>
    <cellStyle name="Output 2 2 2 3 3" xfId="4690"/>
    <cellStyle name="Output 2 2 2 3 3 2" xfId="4691"/>
    <cellStyle name="Output 2 2 2 3 3 2 2" xfId="4692"/>
    <cellStyle name="Output 2 2 2 3 3 3" xfId="4693"/>
    <cellStyle name="Output 2 2 2 3 3 4" xfId="4694"/>
    <cellStyle name="Output 2 2 2 3 4" xfId="4695"/>
    <cellStyle name="Output 2 2 2 3 4 2" xfId="4696"/>
    <cellStyle name="Output 2 2 2 3 4 2 2" xfId="4697"/>
    <cellStyle name="Output 2 2 2 3 4 3" xfId="4698"/>
    <cellStyle name="Output 2 2 2 3 5" xfId="4699"/>
    <cellStyle name="Output 2 2 2 3 5 2" xfId="4700"/>
    <cellStyle name="Output 2 2 2 3 6" xfId="4701"/>
    <cellStyle name="Output 2 2 2 4" xfId="4702"/>
    <cellStyle name="Output 2 2 2 4 2" xfId="4703"/>
    <cellStyle name="Output 2 2 2 4 2 2" xfId="4704"/>
    <cellStyle name="Output 2 2 2 4 2 2 2" xfId="4705"/>
    <cellStyle name="Output 2 2 2 4 2 2 2 2" xfId="4706"/>
    <cellStyle name="Output 2 2 2 4 2 2 3" xfId="4707"/>
    <cellStyle name="Output 2 2 2 4 2 3" xfId="4708"/>
    <cellStyle name="Output 2 2 2 4 2 3 2" xfId="4709"/>
    <cellStyle name="Output 2 2 2 4 2 4" xfId="4710"/>
    <cellStyle name="Output 2 2 2 4 3" xfId="4711"/>
    <cellStyle name="Output 2 2 2 4 3 2" xfId="4712"/>
    <cellStyle name="Output 2 2 2 4 3 2 2" xfId="4713"/>
    <cellStyle name="Output 2 2 2 4 3 3" xfId="4714"/>
    <cellStyle name="Output 2 2 2 4 3 4" xfId="4715"/>
    <cellStyle name="Output 2 2 2 4 4" xfId="4716"/>
    <cellStyle name="Output 2 2 2 4 4 2" xfId="4717"/>
    <cellStyle name="Output 2 2 2 4 4 2 2" xfId="4718"/>
    <cellStyle name="Output 2 2 2 4 4 3" xfId="4719"/>
    <cellStyle name="Output 2 2 2 4 5" xfId="4720"/>
    <cellStyle name="Output 2 2 2 4 5 2" xfId="4721"/>
    <cellStyle name="Output 2 2 2 4 6" xfId="4722"/>
    <cellStyle name="Output 2 2 2 5" xfId="4723"/>
    <cellStyle name="Output 2 2 2 5 2" xfId="4724"/>
    <cellStyle name="Output 2 2 3" xfId="4725"/>
    <cellStyle name="Output 2 2 3 2" xfId="4726"/>
    <cellStyle name="Output 2 2 3 2 2" xfId="4727"/>
    <cellStyle name="Output 2 2 3 2 2 2" xfId="4728"/>
    <cellStyle name="Output 2 2 3 2 2 2 2" xfId="4729"/>
    <cellStyle name="Output 2 2 3 2 2 2 2 2" xfId="4730"/>
    <cellStyle name="Output 2 2 3 2 2 2 3" xfId="4731"/>
    <cellStyle name="Output 2 2 3 2 2 3" xfId="4732"/>
    <cellStyle name="Output 2 2 3 2 2 3 2" xfId="4733"/>
    <cellStyle name="Output 2 2 3 2 2 4" xfId="4734"/>
    <cellStyle name="Output 2 2 3 2 3" xfId="4735"/>
    <cellStyle name="Output 2 2 3 2 3 2" xfId="4736"/>
    <cellStyle name="Output 2 2 3 2 3 2 2" xfId="4737"/>
    <cellStyle name="Output 2 2 3 2 3 3" xfId="4738"/>
    <cellStyle name="Output 2 2 3 2 3 4" xfId="4739"/>
    <cellStyle name="Output 2 2 3 2 4" xfId="4740"/>
    <cellStyle name="Output 2 2 3 2 4 2" xfId="4741"/>
    <cellStyle name="Output 2 2 3 2 4 2 2" xfId="4742"/>
    <cellStyle name="Output 2 2 3 2 4 3" xfId="4743"/>
    <cellStyle name="Output 2 2 3 2 5" xfId="4744"/>
    <cellStyle name="Output 2 2 3 2 5 2" xfId="4745"/>
    <cellStyle name="Output 2 2 3 2 6" xfId="4746"/>
    <cellStyle name="Output 2 2 3 3" xfId="4747"/>
    <cellStyle name="Output 2 2 3 3 2" xfId="4748"/>
    <cellStyle name="Output 2 2 3 3 2 2" xfId="4749"/>
    <cellStyle name="Output 2 2 3 3 2 2 2" xfId="4750"/>
    <cellStyle name="Output 2 2 3 3 2 2 2 2" xfId="4751"/>
    <cellStyle name="Output 2 2 3 3 2 2 3" xfId="4752"/>
    <cellStyle name="Output 2 2 3 3 2 3" xfId="4753"/>
    <cellStyle name="Output 2 2 3 3 2 3 2" xfId="4754"/>
    <cellStyle name="Output 2 2 3 3 2 4" xfId="4755"/>
    <cellStyle name="Output 2 2 3 3 3" xfId="4756"/>
    <cellStyle name="Output 2 2 3 3 3 2" xfId="4757"/>
    <cellStyle name="Output 2 2 3 3 3 2 2" xfId="4758"/>
    <cellStyle name="Output 2 2 3 3 3 3" xfId="4759"/>
    <cellStyle name="Output 2 2 3 3 3 4" xfId="4760"/>
    <cellStyle name="Output 2 2 3 3 4" xfId="4761"/>
    <cellStyle name="Output 2 2 3 3 4 2" xfId="4762"/>
    <cellStyle name="Output 2 2 3 3 4 2 2" xfId="4763"/>
    <cellStyle name="Output 2 2 3 3 4 3" xfId="4764"/>
    <cellStyle name="Output 2 2 3 3 5" xfId="4765"/>
    <cellStyle name="Output 2 2 3 3 5 2" xfId="4766"/>
    <cellStyle name="Output 2 2 3 3 6" xfId="4767"/>
    <cellStyle name="Output 2 2 3 4" xfId="4768"/>
    <cellStyle name="Output 2 2 3 4 2" xfId="4769"/>
    <cellStyle name="Output 2 2 4" xfId="4770"/>
    <cellStyle name="Output 2 2 4 2" xfId="4771"/>
    <cellStyle name="Output 2 2 4 2 2" xfId="4772"/>
    <cellStyle name="Output 2 2 4 2 2 2" xfId="4773"/>
    <cellStyle name="Output 2 2 4 2 2 2 2" xfId="4774"/>
    <cellStyle name="Output 2 2 4 2 2 2 2 2" xfId="4775"/>
    <cellStyle name="Output 2 2 4 2 2 2 3" xfId="4776"/>
    <cellStyle name="Output 2 2 4 2 2 3" xfId="4777"/>
    <cellStyle name="Output 2 2 4 2 2 3 2" xfId="4778"/>
    <cellStyle name="Output 2 2 4 2 2 4" xfId="4779"/>
    <cellStyle name="Output 2 2 4 2 3" xfId="4780"/>
    <cellStyle name="Output 2 2 4 2 3 2" xfId="4781"/>
    <cellStyle name="Output 2 2 4 2 3 2 2" xfId="4782"/>
    <cellStyle name="Output 2 2 4 2 3 3" xfId="4783"/>
    <cellStyle name="Output 2 2 4 2 3 4" xfId="4784"/>
    <cellStyle name="Output 2 2 4 2 4" xfId="4785"/>
    <cellStyle name="Output 2 2 4 2 4 2" xfId="4786"/>
    <cellStyle name="Output 2 2 4 2 4 2 2" xfId="4787"/>
    <cellStyle name="Output 2 2 4 2 4 3" xfId="4788"/>
    <cellStyle name="Output 2 2 4 2 5" xfId="4789"/>
    <cellStyle name="Output 2 2 4 2 5 2" xfId="4790"/>
    <cellStyle name="Output 2 2 4 2 6" xfId="4791"/>
    <cellStyle name="Output 2 2 4 3" xfId="4792"/>
    <cellStyle name="Output 2 2 4 3 2" xfId="4793"/>
    <cellStyle name="Output 2 2 4 3 2 2" xfId="4794"/>
    <cellStyle name="Output 2 2 4 3 3" xfId="4795"/>
    <cellStyle name="Output 2 2 4 4" xfId="4796"/>
    <cellStyle name="Output 2 2 4 4 2" xfId="4797"/>
    <cellStyle name="Output 2 2 4 4 2 2" xfId="4798"/>
    <cellStyle name="Output 2 2 4 4 2 2 2" xfId="4799"/>
    <cellStyle name="Output 2 2 4 4 2 2 2 2" xfId="4800"/>
    <cellStyle name="Output 2 2 4 4 2 2 3" xfId="4801"/>
    <cellStyle name="Output 2 2 4 4 2 3" xfId="4802"/>
    <cellStyle name="Output 2 2 4 4 2 3 2" xfId="4803"/>
    <cellStyle name="Output 2 2 4 4 2 4" xfId="4804"/>
    <cellStyle name="Output 2 2 4 4 3" xfId="4805"/>
    <cellStyle name="Output 2 2 4 4 3 2" xfId="4806"/>
    <cellStyle name="Output 2 2 4 4 3 2 2" xfId="4807"/>
    <cellStyle name="Output 2 2 4 4 3 3" xfId="4808"/>
    <cellStyle name="Output 2 2 4 4 3 4" xfId="4809"/>
    <cellStyle name="Output 2 2 4 4 4" xfId="4810"/>
    <cellStyle name="Output 2 2 4 4 4 2" xfId="4811"/>
    <cellStyle name="Output 2 2 4 4 4 2 2" xfId="4812"/>
    <cellStyle name="Output 2 2 4 4 4 3" xfId="4813"/>
    <cellStyle name="Output 2 2 4 4 5" xfId="4814"/>
    <cellStyle name="Output 2 2 4 4 5 2" xfId="4815"/>
    <cellStyle name="Output 2 2 4 4 6" xfId="4816"/>
    <cellStyle name="Output 2 2 4 5" xfId="4817"/>
    <cellStyle name="Output 2 2 4 5 2" xfId="4818"/>
    <cellStyle name="Output 2 2 4 5 2 2" xfId="4819"/>
    <cellStyle name="Output 2 2 4 5 2 2 2" xfId="4820"/>
    <cellStyle name="Output 2 2 4 5 2 3" xfId="4821"/>
    <cellStyle name="Output 2 2 4 5 3" xfId="4822"/>
    <cellStyle name="Output 2 2 4 5 3 2" xfId="4823"/>
    <cellStyle name="Output 2 2 4 5 4" xfId="4824"/>
    <cellStyle name="Output 2 2 4 6" xfId="4825"/>
    <cellStyle name="Output 2 2 4 6 2" xfId="4826"/>
    <cellStyle name="Output 2 2 4 6 2 2" xfId="4827"/>
    <cellStyle name="Output 2 2 4 6 3" xfId="4828"/>
    <cellStyle name="Output 2 2 4 6 4" xfId="4829"/>
    <cellStyle name="Output 2 2 4 7" xfId="4830"/>
    <cellStyle name="Output 2 2 4 7 2" xfId="4831"/>
    <cellStyle name="Output 2 2 4 7 2 2" xfId="4832"/>
    <cellStyle name="Output 2 2 4 7 3" xfId="4833"/>
    <cellStyle name="Output 2 2 4 8" xfId="4834"/>
    <cellStyle name="Output 2 2 4 8 2" xfId="4835"/>
    <cellStyle name="Output 2 2 4 9" xfId="4836"/>
    <cellStyle name="Output 2 2 5" xfId="4837"/>
    <cellStyle name="Output 2 2 5 2" xfId="4838"/>
    <cellStyle name="Output 2 2 5 2 2" xfId="4839"/>
    <cellStyle name="Output 2 2 5 2 2 2" xfId="4840"/>
    <cellStyle name="Output 2 2 5 2 2 2 2" xfId="4841"/>
    <cellStyle name="Output 2 2 5 2 2 3" xfId="4842"/>
    <cellStyle name="Output 2 2 5 2 3" xfId="4843"/>
    <cellStyle name="Output 2 2 5 2 3 2" xfId="4844"/>
    <cellStyle name="Output 2 2 5 2 4" xfId="4845"/>
    <cellStyle name="Output 2 2 5 3" xfId="4846"/>
    <cellStyle name="Output 2 2 5 3 2" xfId="4847"/>
    <cellStyle name="Output 2 2 5 3 2 2" xfId="4848"/>
    <cellStyle name="Output 2 2 5 3 3" xfId="4849"/>
    <cellStyle name="Output 2 2 5 3 4" xfId="4850"/>
    <cellStyle name="Output 2 2 5 4" xfId="4851"/>
    <cellStyle name="Output 2 2 5 4 2" xfId="4852"/>
    <cellStyle name="Output 2 2 5 4 2 2" xfId="4853"/>
    <cellStyle name="Output 2 2 5 4 3" xfId="4854"/>
    <cellStyle name="Output 2 2 5 5" xfId="4855"/>
    <cellStyle name="Output 2 2 5 5 2" xfId="4856"/>
    <cellStyle name="Output 2 2 5 6" xfId="4857"/>
    <cellStyle name="Output 2 3" xfId="4858"/>
    <cellStyle name="Output 2 3 2" xfId="4859"/>
    <cellStyle name="Output 2 3 2 2" xfId="4860"/>
    <cellStyle name="Output 2 3 2 2 2" xfId="4861"/>
    <cellStyle name="Output 2 3 2 2 2 2" xfId="4862"/>
    <cellStyle name="Output 2 3 2 2 2 2 2" xfId="4863"/>
    <cellStyle name="Output 2 3 2 2 2 2 2 2" xfId="4864"/>
    <cellStyle name="Output 2 3 2 2 2 2 3" xfId="4865"/>
    <cellStyle name="Output 2 3 2 2 2 3" xfId="4866"/>
    <cellStyle name="Output 2 3 2 2 2 3 2" xfId="4867"/>
    <cellStyle name="Output 2 3 2 2 2 4" xfId="4868"/>
    <cellStyle name="Output 2 3 2 2 3" xfId="4869"/>
    <cellStyle name="Output 2 3 2 2 3 2" xfId="4870"/>
    <cellStyle name="Output 2 3 2 2 3 2 2" xfId="4871"/>
    <cellStyle name="Output 2 3 2 2 3 3" xfId="4872"/>
    <cellStyle name="Output 2 3 2 2 3 4" xfId="4873"/>
    <cellStyle name="Output 2 3 2 2 4" xfId="4874"/>
    <cellStyle name="Output 2 3 2 2 4 2" xfId="4875"/>
    <cellStyle name="Output 2 3 2 2 4 2 2" xfId="4876"/>
    <cellStyle name="Output 2 3 2 2 4 3" xfId="4877"/>
    <cellStyle name="Output 2 3 2 2 5" xfId="4878"/>
    <cellStyle name="Output 2 3 2 2 5 2" xfId="4879"/>
    <cellStyle name="Output 2 3 2 2 6" xfId="4880"/>
    <cellStyle name="Output 2 3 2 3" xfId="4881"/>
    <cellStyle name="Output 2 3 2 3 2" xfId="4882"/>
    <cellStyle name="Output 2 3 2 3 2 2" xfId="4883"/>
    <cellStyle name="Output 2 3 2 3 2 2 2" xfId="4884"/>
    <cellStyle name="Output 2 3 2 3 2 2 2 2" xfId="4885"/>
    <cellStyle name="Output 2 3 2 3 2 2 3" xfId="4886"/>
    <cellStyle name="Output 2 3 2 3 2 3" xfId="4887"/>
    <cellStyle name="Output 2 3 2 3 2 3 2" xfId="4888"/>
    <cellStyle name="Output 2 3 2 3 2 4" xfId="4889"/>
    <cellStyle name="Output 2 3 2 3 3" xfId="4890"/>
    <cellStyle name="Output 2 3 2 3 3 2" xfId="4891"/>
    <cellStyle name="Output 2 3 2 3 3 2 2" xfId="4892"/>
    <cellStyle name="Output 2 3 2 3 3 3" xfId="4893"/>
    <cellStyle name="Output 2 3 2 3 3 4" xfId="4894"/>
    <cellStyle name="Output 2 3 2 3 4" xfId="4895"/>
    <cellStyle name="Output 2 3 2 3 4 2" xfId="4896"/>
    <cellStyle name="Output 2 3 2 3 4 2 2" xfId="4897"/>
    <cellStyle name="Output 2 3 2 3 4 3" xfId="4898"/>
    <cellStyle name="Output 2 3 2 3 5" xfId="4899"/>
    <cellStyle name="Output 2 3 2 3 5 2" xfId="4900"/>
    <cellStyle name="Output 2 3 2 3 6" xfId="4901"/>
    <cellStyle name="Output 2 3 2 4" xfId="4902"/>
    <cellStyle name="Output 2 3 2 4 2" xfId="4903"/>
    <cellStyle name="Output 2 3 3" xfId="4904"/>
    <cellStyle name="Output 2 3 3 2" xfId="4905"/>
    <cellStyle name="Output 2 3 3 2 2" xfId="4906"/>
    <cellStyle name="Output 2 3 3 2 2 2" xfId="4907"/>
    <cellStyle name="Output 2 3 3 2 2 2 2" xfId="4908"/>
    <cellStyle name="Output 2 3 3 2 2 3" xfId="4909"/>
    <cellStyle name="Output 2 3 3 2 3" xfId="4910"/>
    <cellStyle name="Output 2 3 3 2 3 2" xfId="4911"/>
    <cellStyle name="Output 2 3 3 2 4" xfId="4912"/>
    <cellStyle name="Output 2 3 3 3" xfId="4913"/>
    <cellStyle name="Output 2 3 3 3 2" xfId="4914"/>
    <cellStyle name="Output 2 3 3 3 2 2" xfId="4915"/>
    <cellStyle name="Output 2 3 3 3 3" xfId="4916"/>
    <cellStyle name="Output 2 3 3 3 4" xfId="4917"/>
    <cellStyle name="Output 2 3 3 4" xfId="4918"/>
    <cellStyle name="Output 2 3 3 4 2" xfId="4919"/>
    <cellStyle name="Output 2 3 3 4 2 2" xfId="4920"/>
    <cellStyle name="Output 2 3 3 4 3" xfId="4921"/>
    <cellStyle name="Output 2 3 3 5" xfId="4922"/>
    <cellStyle name="Output 2 3 3 5 2" xfId="4923"/>
    <cellStyle name="Output 2 3 3 6" xfId="4924"/>
    <cellStyle name="Output 2 3 4" xfId="4925"/>
    <cellStyle name="Output 2 3 4 2" xfId="4926"/>
    <cellStyle name="Output 2 3 4 2 2" xfId="4927"/>
    <cellStyle name="Output 2 3 4 2 2 2" xfId="4928"/>
    <cellStyle name="Output 2 3 4 2 2 2 2" xfId="4929"/>
    <cellStyle name="Output 2 3 4 2 2 3" xfId="4930"/>
    <cellStyle name="Output 2 3 4 2 3" xfId="4931"/>
    <cellStyle name="Output 2 3 4 2 3 2" xfId="4932"/>
    <cellStyle name="Output 2 3 4 2 4" xfId="4933"/>
    <cellStyle name="Output 2 3 4 3" xfId="4934"/>
    <cellStyle name="Output 2 3 4 3 2" xfId="4935"/>
    <cellStyle name="Output 2 3 4 3 2 2" xfId="4936"/>
    <cellStyle name="Output 2 3 4 3 3" xfId="4937"/>
    <cellStyle name="Output 2 3 4 3 4" xfId="4938"/>
    <cellStyle name="Output 2 3 4 4" xfId="4939"/>
    <cellStyle name="Output 2 3 4 4 2" xfId="4940"/>
    <cellStyle name="Output 2 3 4 4 2 2" xfId="4941"/>
    <cellStyle name="Output 2 3 4 4 3" xfId="4942"/>
    <cellStyle name="Output 2 3 4 5" xfId="4943"/>
    <cellStyle name="Output 2 3 4 5 2" xfId="4944"/>
    <cellStyle name="Output 2 3 4 6" xfId="4945"/>
    <cellStyle name="Output 2 3 5" xfId="4946"/>
    <cellStyle name="Output 2 3 5 2" xfId="4947"/>
    <cellStyle name="Output 2 4" xfId="4948"/>
    <cellStyle name="Output 2 4 2" xfId="4949"/>
    <cellStyle name="Output 2 4 2 2" xfId="4950"/>
    <cellStyle name="Output 2 4 2 2 2" xfId="4951"/>
    <cellStyle name="Output 2 4 2 2 2 2" xfId="4952"/>
    <cellStyle name="Output 2 4 2 2 2 2 2" xfId="4953"/>
    <cellStyle name="Output 2 4 2 2 2 3" xfId="4954"/>
    <cellStyle name="Output 2 4 2 2 3" xfId="4955"/>
    <cellStyle name="Output 2 4 2 2 3 2" xfId="4956"/>
    <cellStyle name="Output 2 4 2 2 4" xfId="4957"/>
    <cellStyle name="Output 2 4 2 3" xfId="4958"/>
    <cellStyle name="Output 2 4 2 3 2" xfId="4959"/>
    <cellStyle name="Output 2 4 2 3 2 2" xfId="4960"/>
    <cellStyle name="Output 2 4 2 3 3" xfId="4961"/>
    <cellStyle name="Output 2 4 2 3 4" xfId="4962"/>
    <cellStyle name="Output 2 4 2 4" xfId="4963"/>
    <cellStyle name="Output 2 4 2 4 2" xfId="4964"/>
    <cellStyle name="Output 2 4 2 4 2 2" xfId="4965"/>
    <cellStyle name="Output 2 4 2 4 3" xfId="4966"/>
    <cellStyle name="Output 2 4 2 5" xfId="4967"/>
    <cellStyle name="Output 2 4 2 5 2" xfId="4968"/>
    <cellStyle name="Output 2 4 2 6" xfId="4969"/>
    <cellStyle name="Output 2 4 3" xfId="4970"/>
    <cellStyle name="Output 2 4 3 2" xfId="4971"/>
    <cellStyle name="Output 2 4 3 2 2" xfId="4972"/>
    <cellStyle name="Output 2 4 3 2 2 2" xfId="4973"/>
    <cellStyle name="Output 2 4 3 2 2 2 2" xfId="4974"/>
    <cellStyle name="Output 2 4 3 2 2 3" xfId="4975"/>
    <cellStyle name="Output 2 4 3 2 3" xfId="4976"/>
    <cellStyle name="Output 2 4 3 2 3 2" xfId="4977"/>
    <cellStyle name="Output 2 4 3 2 4" xfId="4978"/>
    <cellStyle name="Output 2 4 3 3" xfId="4979"/>
    <cellStyle name="Output 2 4 3 3 2" xfId="4980"/>
    <cellStyle name="Output 2 4 3 3 2 2" xfId="4981"/>
    <cellStyle name="Output 2 4 3 3 3" xfId="4982"/>
    <cellStyle name="Output 2 4 3 3 4" xfId="4983"/>
    <cellStyle name="Output 2 4 3 4" xfId="4984"/>
    <cellStyle name="Output 2 4 3 4 2" xfId="4985"/>
    <cellStyle name="Output 2 4 3 4 2 2" xfId="4986"/>
    <cellStyle name="Output 2 4 3 4 3" xfId="4987"/>
    <cellStyle name="Output 2 4 3 5" xfId="4988"/>
    <cellStyle name="Output 2 4 3 5 2" xfId="4989"/>
    <cellStyle name="Output 2 4 3 6" xfId="4990"/>
    <cellStyle name="Output 2 4 4" xfId="4991"/>
    <cellStyle name="Output 2 4 4 2" xfId="4992"/>
    <cellStyle name="Output 2 5" xfId="4993"/>
    <cellStyle name="Output 2 5 2" xfId="4994"/>
    <cellStyle name="Output 2 5 2 2" xfId="4995"/>
    <cellStyle name="Output 2 5 2 2 2" xfId="4996"/>
    <cellStyle name="Output 2 5 2 2 2 2" xfId="4997"/>
    <cellStyle name="Output 2 5 2 2 2 2 2" xfId="4998"/>
    <cellStyle name="Output 2 5 2 2 2 3" xfId="4999"/>
    <cellStyle name="Output 2 5 2 2 3" xfId="5000"/>
    <cellStyle name="Output 2 5 2 2 3 2" xfId="5001"/>
    <cellStyle name="Output 2 5 2 2 4" xfId="5002"/>
    <cellStyle name="Output 2 5 2 3" xfId="5003"/>
    <cellStyle name="Output 2 5 2 3 2" xfId="5004"/>
    <cellStyle name="Output 2 5 2 3 2 2" xfId="5005"/>
    <cellStyle name="Output 2 5 2 3 3" xfId="5006"/>
    <cellStyle name="Output 2 5 2 3 4" xfId="5007"/>
    <cellStyle name="Output 2 5 2 4" xfId="5008"/>
    <cellStyle name="Output 2 5 2 4 2" xfId="5009"/>
    <cellStyle name="Output 2 5 2 4 2 2" xfId="5010"/>
    <cellStyle name="Output 2 5 2 4 3" xfId="5011"/>
    <cellStyle name="Output 2 5 2 5" xfId="5012"/>
    <cellStyle name="Output 2 5 2 5 2" xfId="5013"/>
    <cellStyle name="Output 2 5 2 6" xfId="5014"/>
    <cellStyle name="Output 2 5 3" xfId="5015"/>
    <cellStyle name="Output 2 5 3 2" xfId="5016"/>
    <cellStyle name="Output 2 5 3 2 2" xfId="5017"/>
    <cellStyle name="Output 2 5 3 3" xfId="5018"/>
    <cellStyle name="Output 2 5 4" xfId="5019"/>
    <cellStyle name="Output 2 5 4 2" xfId="5020"/>
    <cellStyle name="Output 2 5 4 2 2" xfId="5021"/>
    <cellStyle name="Output 2 5 4 2 2 2" xfId="5022"/>
    <cellStyle name="Output 2 5 4 2 2 2 2" xfId="5023"/>
    <cellStyle name="Output 2 5 4 2 2 3" xfId="5024"/>
    <cellStyle name="Output 2 5 4 2 3" xfId="5025"/>
    <cellStyle name="Output 2 5 4 2 3 2" xfId="5026"/>
    <cellStyle name="Output 2 5 4 2 4" xfId="5027"/>
    <cellStyle name="Output 2 5 4 3" xfId="5028"/>
    <cellStyle name="Output 2 5 4 3 2" xfId="5029"/>
    <cellStyle name="Output 2 5 4 3 2 2" xfId="5030"/>
    <cellStyle name="Output 2 5 4 3 3" xfId="5031"/>
    <cellStyle name="Output 2 5 4 3 4" xfId="5032"/>
    <cellStyle name="Output 2 5 4 4" xfId="5033"/>
    <cellStyle name="Output 2 5 4 4 2" xfId="5034"/>
    <cellStyle name="Output 2 5 4 4 2 2" xfId="5035"/>
    <cellStyle name="Output 2 5 4 4 3" xfId="5036"/>
    <cellStyle name="Output 2 5 4 5" xfId="5037"/>
    <cellStyle name="Output 2 5 4 5 2" xfId="5038"/>
    <cellStyle name="Output 2 5 4 6" xfId="5039"/>
    <cellStyle name="Output 2 5 5" xfId="5040"/>
    <cellStyle name="Output 2 5 5 2" xfId="5041"/>
    <cellStyle name="Output 2 5 5 2 2" xfId="5042"/>
    <cellStyle name="Output 2 5 5 2 2 2" xfId="5043"/>
    <cellStyle name="Output 2 5 5 2 3" xfId="5044"/>
    <cellStyle name="Output 2 5 5 3" xfId="5045"/>
    <cellStyle name="Output 2 5 5 3 2" xfId="5046"/>
    <cellStyle name="Output 2 5 5 4" xfId="5047"/>
    <cellStyle name="Output 2 5 6" xfId="5048"/>
    <cellStyle name="Output 2 5 6 2" xfId="5049"/>
    <cellStyle name="Output 2 5 6 2 2" xfId="5050"/>
    <cellStyle name="Output 2 5 6 3" xfId="5051"/>
    <cellStyle name="Output 2 5 6 4" xfId="5052"/>
    <cellStyle name="Output 2 5 7" xfId="5053"/>
    <cellStyle name="Output 2 5 7 2" xfId="5054"/>
    <cellStyle name="Output 2 5 7 2 2" xfId="5055"/>
    <cellStyle name="Output 2 5 7 3" xfId="5056"/>
    <cellStyle name="Output 2 5 8" xfId="5057"/>
    <cellStyle name="Output 2 5 8 2" xfId="5058"/>
    <cellStyle name="Output 2 5 9" xfId="5059"/>
    <cellStyle name="Output 2 6" xfId="5060"/>
    <cellStyle name="Output 2 6 2" xfId="5061"/>
    <cellStyle name="Output 2 6 2 2" xfId="5062"/>
    <cellStyle name="Output 2 6 2 2 2" xfId="5063"/>
    <cellStyle name="Output 2 6 2 2 2 2" xfId="5064"/>
    <cellStyle name="Output 2 6 2 2 3" xfId="5065"/>
    <cellStyle name="Output 2 6 2 3" xfId="5066"/>
    <cellStyle name="Output 2 6 2 3 2" xfId="5067"/>
    <cellStyle name="Output 2 6 2 4" xfId="5068"/>
    <cellStyle name="Output 2 6 3" xfId="5069"/>
    <cellStyle name="Output 2 6 3 2" xfId="5070"/>
    <cellStyle name="Output 2 6 3 2 2" xfId="5071"/>
    <cellStyle name="Output 2 6 3 3" xfId="5072"/>
    <cellStyle name="Output 2 6 3 4" xfId="5073"/>
    <cellStyle name="Output 2 6 4" xfId="5074"/>
    <cellStyle name="Output 2 6 4 2" xfId="5075"/>
    <cellStyle name="Output 2 6 4 2 2" xfId="5076"/>
    <cellStyle name="Output 2 6 4 3" xfId="5077"/>
    <cellStyle name="Output 2 6 5" xfId="5078"/>
    <cellStyle name="Output 2 6 5 2" xfId="5079"/>
    <cellStyle name="Output 2 6 6" xfId="5080"/>
    <cellStyle name="Output 3" xfId="5081"/>
    <cellStyle name="Output 3 2" xfId="5082"/>
    <cellStyle name="Output 3 2 2" xfId="5083"/>
    <cellStyle name="Output 3 2 2 2" xfId="5084"/>
    <cellStyle name="Output 3 2 2 2 2" xfId="5085"/>
    <cellStyle name="Output 3 2 2 2 2 2" xfId="5086"/>
    <cellStyle name="Output 3 2 2 2 2 2 2" xfId="5087"/>
    <cellStyle name="Output 3 2 2 2 2 2 2 2" xfId="5088"/>
    <cellStyle name="Output 3 2 2 2 2 2 3" xfId="5089"/>
    <cellStyle name="Output 3 2 2 2 2 3" xfId="5090"/>
    <cellStyle name="Output 3 2 2 2 2 3 2" xfId="5091"/>
    <cellStyle name="Output 3 2 2 2 2 4" xfId="5092"/>
    <cellStyle name="Output 3 2 2 2 3" xfId="5093"/>
    <cellStyle name="Output 3 2 2 2 3 2" xfId="5094"/>
    <cellStyle name="Output 3 2 2 2 3 2 2" xfId="5095"/>
    <cellStyle name="Output 3 2 2 2 3 3" xfId="5096"/>
    <cellStyle name="Output 3 2 2 2 3 4" xfId="5097"/>
    <cellStyle name="Output 3 2 2 2 4" xfId="5098"/>
    <cellStyle name="Output 3 2 2 2 4 2" xfId="5099"/>
    <cellStyle name="Output 3 2 2 2 4 2 2" xfId="5100"/>
    <cellStyle name="Output 3 2 2 2 4 3" xfId="5101"/>
    <cellStyle name="Output 3 2 2 2 5" xfId="5102"/>
    <cellStyle name="Output 3 2 2 2 5 2" xfId="5103"/>
    <cellStyle name="Output 3 2 2 2 6" xfId="5104"/>
    <cellStyle name="Output 3 2 2 3" xfId="5105"/>
    <cellStyle name="Output 3 2 2 3 2" xfId="5106"/>
    <cellStyle name="Output 3 2 2 3 2 2" xfId="5107"/>
    <cellStyle name="Output 3 2 2 3 2 2 2" xfId="5108"/>
    <cellStyle name="Output 3 2 2 3 2 2 2 2" xfId="5109"/>
    <cellStyle name="Output 3 2 2 3 2 2 3" xfId="5110"/>
    <cellStyle name="Output 3 2 2 3 2 3" xfId="5111"/>
    <cellStyle name="Output 3 2 2 3 2 3 2" xfId="5112"/>
    <cellStyle name="Output 3 2 2 3 2 4" xfId="5113"/>
    <cellStyle name="Output 3 2 2 3 3" xfId="5114"/>
    <cellStyle name="Output 3 2 2 3 3 2" xfId="5115"/>
    <cellStyle name="Output 3 2 2 3 3 2 2" xfId="5116"/>
    <cellStyle name="Output 3 2 2 3 3 3" xfId="5117"/>
    <cellStyle name="Output 3 2 2 3 3 4" xfId="5118"/>
    <cellStyle name="Output 3 2 2 3 4" xfId="5119"/>
    <cellStyle name="Output 3 2 2 3 4 2" xfId="5120"/>
    <cellStyle name="Output 3 2 2 3 4 2 2" xfId="5121"/>
    <cellStyle name="Output 3 2 2 3 4 3" xfId="5122"/>
    <cellStyle name="Output 3 2 2 3 5" xfId="5123"/>
    <cellStyle name="Output 3 2 2 3 5 2" xfId="5124"/>
    <cellStyle name="Output 3 2 2 3 6" xfId="5125"/>
    <cellStyle name="Output 3 2 2 4" xfId="5126"/>
    <cellStyle name="Output 3 2 2 4 2" xfId="5127"/>
    <cellStyle name="Output 3 2 3" xfId="5128"/>
    <cellStyle name="Output 3 2 3 2" xfId="5129"/>
    <cellStyle name="Output 3 2 3 2 2" xfId="5130"/>
    <cellStyle name="Output 3 2 3 2 2 2" xfId="5131"/>
    <cellStyle name="Output 3 2 3 2 2 2 2" xfId="5132"/>
    <cellStyle name="Output 3 2 3 2 2 3" xfId="5133"/>
    <cellStyle name="Output 3 2 3 2 3" xfId="5134"/>
    <cellStyle name="Output 3 2 3 2 3 2" xfId="5135"/>
    <cellStyle name="Output 3 2 3 2 4" xfId="5136"/>
    <cellStyle name="Output 3 2 3 3" xfId="5137"/>
    <cellStyle name="Output 3 2 3 3 2" xfId="5138"/>
    <cellStyle name="Output 3 2 3 3 2 2" xfId="5139"/>
    <cellStyle name="Output 3 2 3 3 3" xfId="5140"/>
    <cellStyle name="Output 3 2 3 3 4" xfId="5141"/>
    <cellStyle name="Output 3 2 3 4" xfId="5142"/>
    <cellStyle name="Output 3 2 3 4 2" xfId="5143"/>
    <cellStyle name="Output 3 2 3 4 2 2" xfId="5144"/>
    <cellStyle name="Output 3 2 3 4 3" xfId="5145"/>
    <cellStyle name="Output 3 2 3 5" xfId="5146"/>
    <cellStyle name="Output 3 2 3 5 2" xfId="5147"/>
    <cellStyle name="Output 3 2 3 6" xfId="5148"/>
    <cellStyle name="Output 3 2 4" xfId="5149"/>
    <cellStyle name="Output 3 2 4 2" xfId="5150"/>
    <cellStyle name="Output 3 2 4 2 2" xfId="5151"/>
    <cellStyle name="Output 3 2 4 2 2 2" xfId="5152"/>
    <cellStyle name="Output 3 2 4 2 2 2 2" xfId="5153"/>
    <cellStyle name="Output 3 2 4 2 2 3" xfId="5154"/>
    <cellStyle name="Output 3 2 4 2 3" xfId="5155"/>
    <cellStyle name="Output 3 2 4 2 3 2" xfId="5156"/>
    <cellStyle name="Output 3 2 4 2 4" xfId="5157"/>
    <cellStyle name="Output 3 2 4 3" xfId="5158"/>
    <cellStyle name="Output 3 2 4 3 2" xfId="5159"/>
    <cellStyle name="Output 3 2 4 3 2 2" xfId="5160"/>
    <cellStyle name="Output 3 2 4 3 3" xfId="5161"/>
    <cellStyle name="Output 3 2 4 3 4" xfId="5162"/>
    <cellStyle name="Output 3 2 4 4" xfId="5163"/>
    <cellStyle name="Output 3 2 4 4 2" xfId="5164"/>
    <cellStyle name="Output 3 2 4 4 2 2" xfId="5165"/>
    <cellStyle name="Output 3 2 4 4 3" xfId="5166"/>
    <cellStyle name="Output 3 2 4 5" xfId="5167"/>
    <cellStyle name="Output 3 2 4 5 2" xfId="5168"/>
    <cellStyle name="Output 3 2 4 6" xfId="5169"/>
    <cellStyle name="Output 3 2 5" xfId="5170"/>
    <cellStyle name="Output 3 2 5 2" xfId="5171"/>
    <cellStyle name="Output 3 3" xfId="5172"/>
    <cellStyle name="Output 3 3 2" xfId="5173"/>
    <cellStyle name="Output 3 3 2 2" xfId="5174"/>
    <cellStyle name="Output 3 3 2 2 2" xfId="5175"/>
    <cellStyle name="Output 3 3 2 2 2 2" xfId="5176"/>
    <cellStyle name="Output 3 3 2 2 2 2 2" xfId="5177"/>
    <cellStyle name="Output 3 3 2 2 2 3" xfId="5178"/>
    <cellStyle name="Output 3 3 2 2 3" xfId="5179"/>
    <cellStyle name="Output 3 3 2 2 3 2" xfId="5180"/>
    <cellStyle name="Output 3 3 2 2 4" xfId="5181"/>
    <cellStyle name="Output 3 3 2 3" xfId="5182"/>
    <cellStyle name="Output 3 3 2 3 2" xfId="5183"/>
    <cellStyle name="Output 3 3 2 3 2 2" xfId="5184"/>
    <cellStyle name="Output 3 3 2 3 3" xfId="5185"/>
    <cellStyle name="Output 3 3 2 3 4" xfId="5186"/>
    <cellStyle name="Output 3 3 2 4" xfId="5187"/>
    <cellStyle name="Output 3 3 2 4 2" xfId="5188"/>
    <cellStyle name="Output 3 3 2 4 2 2" xfId="5189"/>
    <cellStyle name="Output 3 3 2 4 3" xfId="5190"/>
    <cellStyle name="Output 3 3 2 5" xfId="5191"/>
    <cellStyle name="Output 3 3 2 5 2" xfId="5192"/>
    <cellStyle name="Output 3 3 2 6" xfId="5193"/>
    <cellStyle name="Output 3 3 3" xfId="5194"/>
    <cellStyle name="Output 3 3 3 2" xfId="5195"/>
    <cellStyle name="Output 3 3 3 2 2" xfId="5196"/>
    <cellStyle name="Output 3 3 3 2 2 2" xfId="5197"/>
    <cellStyle name="Output 3 3 3 2 2 2 2" xfId="5198"/>
    <cellStyle name="Output 3 3 3 2 2 3" xfId="5199"/>
    <cellStyle name="Output 3 3 3 2 3" xfId="5200"/>
    <cellStyle name="Output 3 3 3 2 3 2" xfId="5201"/>
    <cellStyle name="Output 3 3 3 2 4" xfId="5202"/>
    <cellStyle name="Output 3 3 3 3" xfId="5203"/>
    <cellStyle name="Output 3 3 3 3 2" xfId="5204"/>
    <cellStyle name="Output 3 3 3 3 2 2" xfId="5205"/>
    <cellStyle name="Output 3 3 3 3 3" xfId="5206"/>
    <cellStyle name="Output 3 3 3 3 4" xfId="5207"/>
    <cellStyle name="Output 3 3 3 4" xfId="5208"/>
    <cellStyle name="Output 3 3 3 4 2" xfId="5209"/>
    <cellStyle name="Output 3 3 3 4 2 2" xfId="5210"/>
    <cellStyle name="Output 3 3 3 4 3" xfId="5211"/>
    <cellStyle name="Output 3 3 3 5" xfId="5212"/>
    <cellStyle name="Output 3 3 3 5 2" xfId="5213"/>
    <cellStyle name="Output 3 3 3 6" xfId="5214"/>
    <cellStyle name="Output 3 3 4" xfId="5215"/>
    <cellStyle name="Output 3 3 4 2" xfId="5216"/>
    <cellStyle name="Output 3 4" xfId="5217"/>
    <cellStyle name="Output 3 4 2" xfId="5218"/>
    <cellStyle name="Output 3 4 2 2" xfId="5219"/>
    <cellStyle name="Output 3 4 2 2 2" xfId="5220"/>
    <cellStyle name="Output 3 4 2 2 2 2" xfId="5221"/>
    <cellStyle name="Output 3 4 2 2 2 2 2" xfId="5222"/>
    <cellStyle name="Output 3 4 2 2 2 3" xfId="5223"/>
    <cellStyle name="Output 3 4 2 2 3" xfId="5224"/>
    <cellStyle name="Output 3 4 2 2 3 2" xfId="5225"/>
    <cellStyle name="Output 3 4 2 2 4" xfId="5226"/>
    <cellStyle name="Output 3 4 2 3" xfId="5227"/>
    <cellStyle name="Output 3 4 2 3 2" xfId="5228"/>
    <cellStyle name="Output 3 4 2 3 2 2" xfId="5229"/>
    <cellStyle name="Output 3 4 2 3 3" xfId="5230"/>
    <cellStyle name="Output 3 4 2 3 4" xfId="5231"/>
    <cellStyle name="Output 3 4 2 4" xfId="5232"/>
    <cellStyle name="Output 3 4 2 4 2" xfId="5233"/>
    <cellStyle name="Output 3 4 2 4 2 2" xfId="5234"/>
    <cellStyle name="Output 3 4 2 4 3" xfId="5235"/>
    <cellStyle name="Output 3 4 2 5" xfId="5236"/>
    <cellStyle name="Output 3 4 2 5 2" xfId="5237"/>
    <cellStyle name="Output 3 4 2 6" xfId="5238"/>
    <cellStyle name="Output 3 4 3" xfId="5239"/>
    <cellStyle name="Output 3 4 3 2" xfId="5240"/>
    <cellStyle name="Output 3 4 3 2 2" xfId="5241"/>
    <cellStyle name="Output 3 4 3 3" xfId="5242"/>
    <cellStyle name="Output 3 4 4" xfId="5243"/>
    <cellStyle name="Output 3 4 4 2" xfId="5244"/>
    <cellStyle name="Output 3 4 4 2 2" xfId="5245"/>
    <cellStyle name="Output 3 4 4 2 2 2" xfId="5246"/>
    <cellStyle name="Output 3 4 4 2 2 2 2" xfId="5247"/>
    <cellStyle name="Output 3 4 4 2 2 3" xfId="5248"/>
    <cellStyle name="Output 3 4 4 2 3" xfId="5249"/>
    <cellStyle name="Output 3 4 4 2 3 2" xfId="5250"/>
    <cellStyle name="Output 3 4 4 2 4" xfId="5251"/>
    <cellStyle name="Output 3 4 4 3" xfId="5252"/>
    <cellStyle name="Output 3 4 4 3 2" xfId="5253"/>
    <cellStyle name="Output 3 4 4 3 2 2" xfId="5254"/>
    <cellStyle name="Output 3 4 4 3 3" xfId="5255"/>
    <cellStyle name="Output 3 4 4 3 4" xfId="5256"/>
    <cellStyle name="Output 3 4 4 4" xfId="5257"/>
    <cellStyle name="Output 3 4 4 4 2" xfId="5258"/>
    <cellStyle name="Output 3 4 4 4 2 2" xfId="5259"/>
    <cellStyle name="Output 3 4 4 4 3" xfId="5260"/>
    <cellStyle name="Output 3 4 4 5" xfId="5261"/>
    <cellStyle name="Output 3 4 4 5 2" xfId="5262"/>
    <cellStyle name="Output 3 4 4 6" xfId="5263"/>
    <cellStyle name="Output 3 4 5" xfId="5264"/>
    <cellStyle name="Output 3 4 5 2" xfId="5265"/>
    <cellStyle name="Output 3 4 5 2 2" xfId="5266"/>
    <cellStyle name="Output 3 4 5 2 2 2" xfId="5267"/>
    <cellStyle name="Output 3 4 5 2 3" xfId="5268"/>
    <cellStyle name="Output 3 4 5 3" xfId="5269"/>
    <cellStyle name="Output 3 4 5 3 2" xfId="5270"/>
    <cellStyle name="Output 3 4 5 4" xfId="5271"/>
    <cellStyle name="Output 3 4 6" xfId="5272"/>
    <cellStyle name="Output 3 4 6 2" xfId="5273"/>
    <cellStyle name="Output 3 4 6 2 2" xfId="5274"/>
    <cellStyle name="Output 3 4 6 3" xfId="5275"/>
    <cellStyle name="Output 3 4 6 4" xfId="5276"/>
    <cellStyle name="Output 3 4 7" xfId="5277"/>
    <cellStyle name="Output 3 4 7 2" xfId="5278"/>
    <cellStyle name="Output 3 4 7 2 2" xfId="5279"/>
    <cellStyle name="Output 3 4 7 3" xfId="5280"/>
    <cellStyle name="Output 3 4 8" xfId="5281"/>
    <cellStyle name="Output 3 4 8 2" xfId="5282"/>
    <cellStyle name="Output 3 4 9" xfId="5283"/>
    <cellStyle name="Output 3 5" xfId="5284"/>
    <cellStyle name="Output 3 5 2" xfId="5285"/>
    <cellStyle name="Output 3 5 2 2" xfId="5286"/>
    <cellStyle name="Output 3 5 2 2 2" xfId="5287"/>
    <cellStyle name="Output 3 5 2 2 2 2" xfId="5288"/>
    <cellStyle name="Output 3 5 2 2 3" xfId="5289"/>
    <cellStyle name="Output 3 5 2 3" xfId="5290"/>
    <cellStyle name="Output 3 5 2 3 2" xfId="5291"/>
    <cellStyle name="Output 3 5 2 4" xfId="5292"/>
    <cellStyle name="Output 3 5 3" xfId="5293"/>
    <cellStyle name="Output 3 5 3 2" xfId="5294"/>
    <cellStyle name="Output 3 5 3 2 2" xfId="5295"/>
    <cellStyle name="Output 3 5 3 3" xfId="5296"/>
    <cellStyle name="Output 3 5 3 4" xfId="5297"/>
    <cellStyle name="Output 3 5 4" xfId="5298"/>
    <cellStyle name="Output 3 5 4 2" xfId="5299"/>
    <cellStyle name="Output 3 5 4 2 2" xfId="5300"/>
    <cellStyle name="Output 3 5 4 3" xfId="5301"/>
    <cellStyle name="Output 3 5 5" xfId="5302"/>
    <cellStyle name="Output 3 5 5 2" xfId="5303"/>
    <cellStyle name="Output 3 5 6" xfId="5304"/>
    <cellStyle name="Output 4" xfId="5305"/>
    <cellStyle name="Output 4 2" xfId="5306"/>
    <cellStyle name="Output 4 2 2" xfId="5307"/>
    <cellStyle name="Output 4 2 2 2" xfId="5308"/>
    <cellStyle name="Output 4 2 2 2 2" xfId="5309"/>
    <cellStyle name="Output 4 2 2 2 2 2" xfId="5310"/>
    <cellStyle name="Output 4 2 2 2 2 2 2" xfId="5311"/>
    <cellStyle name="Output 4 2 2 2 2 3" xfId="5312"/>
    <cellStyle name="Output 4 2 2 2 3" xfId="5313"/>
    <cellStyle name="Output 4 2 2 2 3 2" xfId="5314"/>
    <cellStyle name="Output 4 2 2 2 4" xfId="5315"/>
    <cellStyle name="Output 4 2 2 3" xfId="5316"/>
    <cellStyle name="Output 4 2 2 3 2" xfId="5317"/>
    <cellStyle name="Output 4 2 2 3 2 2" xfId="5318"/>
    <cellStyle name="Output 4 2 2 3 3" xfId="5319"/>
    <cellStyle name="Output 4 2 2 3 4" xfId="5320"/>
    <cellStyle name="Output 4 2 2 4" xfId="5321"/>
    <cellStyle name="Output 4 2 2 4 2" xfId="5322"/>
    <cellStyle name="Output 4 2 2 4 2 2" xfId="5323"/>
    <cellStyle name="Output 4 2 2 4 3" xfId="5324"/>
    <cellStyle name="Output 4 2 2 5" xfId="5325"/>
    <cellStyle name="Output 4 2 2 5 2" xfId="5326"/>
    <cellStyle name="Output 4 2 2 6" xfId="5327"/>
    <cellStyle name="Output 4 2 3" xfId="5328"/>
    <cellStyle name="Output 4 2 3 2" xfId="5329"/>
    <cellStyle name="Output 4 2 3 2 2" xfId="5330"/>
    <cellStyle name="Output 4 2 3 2 2 2" xfId="5331"/>
    <cellStyle name="Output 4 2 3 2 2 2 2" xfId="5332"/>
    <cellStyle name="Output 4 2 3 2 2 3" xfId="5333"/>
    <cellStyle name="Output 4 2 3 2 3" xfId="5334"/>
    <cellStyle name="Output 4 2 3 2 3 2" xfId="5335"/>
    <cellStyle name="Output 4 2 3 2 4" xfId="5336"/>
    <cellStyle name="Output 4 2 3 3" xfId="5337"/>
    <cellStyle name="Output 4 2 3 3 2" xfId="5338"/>
    <cellStyle name="Output 4 2 3 3 2 2" xfId="5339"/>
    <cellStyle name="Output 4 2 3 3 3" xfId="5340"/>
    <cellStyle name="Output 4 2 3 3 4" xfId="5341"/>
    <cellStyle name="Output 4 2 3 4" xfId="5342"/>
    <cellStyle name="Output 4 2 3 4 2" xfId="5343"/>
    <cellStyle name="Output 4 2 3 4 2 2" xfId="5344"/>
    <cellStyle name="Output 4 2 3 4 3" xfId="5345"/>
    <cellStyle name="Output 4 2 3 5" xfId="5346"/>
    <cellStyle name="Output 4 2 3 5 2" xfId="5347"/>
    <cellStyle name="Output 4 2 3 6" xfId="5348"/>
    <cellStyle name="Output 4 2 4" xfId="5349"/>
    <cellStyle name="Output 4 2 4 2" xfId="5350"/>
    <cellStyle name="Output 4 3" xfId="5351"/>
    <cellStyle name="Output 4 3 2" xfId="5352"/>
    <cellStyle name="Output 4 3 2 2" xfId="5353"/>
    <cellStyle name="Output 4 3 2 2 2" xfId="5354"/>
    <cellStyle name="Output 4 3 2 2 2 2" xfId="5355"/>
    <cellStyle name="Output 4 3 2 2 2 2 2" xfId="5356"/>
    <cellStyle name="Output 4 3 2 2 2 3" xfId="5357"/>
    <cellStyle name="Output 4 3 2 2 3" xfId="5358"/>
    <cellStyle name="Output 4 3 2 2 3 2" xfId="5359"/>
    <cellStyle name="Output 4 3 2 2 4" xfId="5360"/>
    <cellStyle name="Output 4 3 2 3" xfId="5361"/>
    <cellStyle name="Output 4 3 2 3 2" xfId="5362"/>
    <cellStyle name="Output 4 3 2 3 2 2" xfId="5363"/>
    <cellStyle name="Output 4 3 2 3 3" xfId="5364"/>
    <cellStyle name="Output 4 3 2 3 4" xfId="5365"/>
    <cellStyle name="Output 4 3 2 4" xfId="5366"/>
    <cellStyle name="Output 4 3 2 4 2" xfId="5367"/>
    <cellStyle name="Output 4 3 2 4 2 2" xfId="5368"/>
    <cellStyle name="Output 4 3 2 4 3" xfId="5369"/>
    <cellStyle name="Output 4 3 2 5" xfId="5370"/>
    <cellStyle name="Output 4 3 2 5 2" xfId="5371"/>
    <cellStyle name="Output 4 3 2 6" xfId="5372"/>
    <cellStyle name="Output 4 3 3" xfId="5373"/>
    <cellStyle name="Output 4 3 3 2" xfId="5374"/>
    <cellStyle name="Output 4 3 3 2 2" xfId="5375"/>
    <cellStyle name="Output 4 3 3 3" xfId="5376"/>
    <cellStyle name="Output 4 3 4" xfId="5377"/>
    <cellStyle name="Output 4 3 4 2" xfId="5378"/>
    <cellStyle name="Output 4 3 4 2 2" xfId="5379"/>
    <cellStyle name="Output 4 3 4 2 2 2" xfId="5380"/>
    <cellStyle name="Output 4 3 4 2 2 2 2" xfId="5381"/>
    <cellStyle name="Output 4 3 4 2 2 3" xfId="5382"/>
    <cellStyle name="Output 4 3 4 2 3" xfId="5383"/>
    <cellStyle name="Output 4 3 4 2 3 2" xfId="5384"/>
    <cellStyle name="Output 4 3 4 2 4" xfId="5385"/>
    <cellStyle name="Output 4 3 4 3" xfId="5386"/>
    <cellStyle name="Output 4 3 4 3 2" xfId="5387"/>
    <cellStyle name="Output 4 3 4 3 2 2" xfId="5388"/>
    <cellStyle name="Output 4 3 4 3 3" xfId="5389"/>
    <cellStyle name="Output 4 3 4 3 4" xfId="5390"/>
    <cellStyle name="Output 4 3 4 4" xfId="5391"/>
    <cellStyle name="Output 4 3 4 4 2" xfId="5392"/>
    <cellStyle name="Output 4 3 4 4 2 2" xfId="5393"/>
    <cellStyle name="Output 4 3 4 4 3" xfId="5394"/>
    <cellStyle name="Output 4 3 4 5" xfId="5395"/>
    <cellStyle name="Output 4 3 4 5 2" xfId="5396"/>
    <cellStyle name="Output 4 3 4 6" xfId="5397"/>
    <cellStyle name="Output 4 3 5" xfId="5398"/>
    <cellStyle name="Output 4 3 5 2" xfId="5399"/>
    <cellStyle name="Output 4 3 5 2 2" xfId="5400"/>
    <cellStyle name="Output 4 3 5 2 2 2" xfId="5401"/>
    <cellStyle name="Output 4 3 5 2 3" xfId="5402"/>
    <cellStyle name="Output 4 3 5 3" xfId="5403"/>
    <cellStyle name="Output 4 3 5 3 2" xfId="5404"/>
    <cellStyle name="Output 4 3 5 4" xfId="5405"/>
    <cellStyle name="Output 4 3 6" xfId="5406"/>
    <cellStyle name="Output 4 3 6 2" xfId="5407"/>
    <cellStyle name="Output 4 3 6 2 2" xfId="5408"/>
    <cellStyle name="Output 4 3 6 3" xfId="5409"/>
    <cellStyle name="Output 4 3 6 4" xfId="5410"/>
    <cellStyle name="Output 4 3 7" xfId="5411"/>
    <cellStyle name="Output 4 3 7 2" xfId="5412"/>
    <cellStyle name="Output 4 3 7 2 2" xfId="5413"/>
    <cellStyle name="Output 4 3 7 3" xfId="5414"/>
    <cellStyle name="Output 4 3 8" xfId="5415"/>
    <cellStyle name="Output 4 3 8 2" xfId="5416"/>
    <cellStyle name="Output 4 3 9" xfId="5417"/>
    <cellStyle name="Output 4 4" xfId="5418"/>
    <cellStyle name="Output 4 4 2" xfId="5419"/>
    <cellStyle name="Output 4 4 2 2" xfId="5420"/>
    <cellStyle name="Output 4 4 2 2 2" xfId="5421"/>
    <cellStyle name="Output 4 4 2 2 2 2" xfId="5422"/>
    <cellStyle name="Output 4 4 2 2 3" xfId="5423"/>
    <cellStyle name="Output 4 4 2 3" xfId="5424"/>
    <cellStyle name="Output 4 4 2 3 2" xfId="5425"/>
    <cellStyle name="Output 4 4 2 4" xfId="5426"/>
    <cellStyle name="Output 4 4 3" xfId="5427"/>
    <cellStyle name="Output 4 4 3 2" xfId="5428"/>
    <cellStyle name="Output 4 4 3 2 2" xfId="5429"/>
    <cellStyle name="Output 4 4 3 3" xfId="5430"/>
    <cellStyle name="Output 4 4 3 4" xfId="5431"/>
    <cellStyle name="Output 4 4 4" xfId="5432"/>
    <cellStyle name="Output 4 4 4 2" xfId="5433"/>
    <cellStyle name="Output 4 4 4 2 2" xfId="5434"/>
    <cellStyle name="Output 4 4 4 3" xfId="5435"/>
    <cellStyle name="Output 4 4 5" xfId="5436"/>
    <cellStyle name="Output 4 4 5 2" xfId="5437"/>
    <cellStyle name="Output 4 4 6" xfId="5438"/>
    <cellStyle name="Output 5" xfId="5439"/>
    <cellStyle name="Output 5 2" xfId="5440"/>
    <cellStyle name="Output 5 2 2" xfId="5441"/>
    <cellStyle name="Output 5 2 2 2" xfId="5442"/>
    <cellStyle name="Output 5 2 2 2 2" xfId="5443"/>
    <cellStyle name="Output 5 2 2 2 2 2" xfId="5444"/>
    <cellStyle name="Output 5 2 2 2 2 2 2" xfId="5445"/>
    <cellStyle name="Output 5 2 2 2 2 3" xfId="5446"/>
    <cellStyle name="Output 5 2 2 2 3" xfId="5447"/>
    <cellStyle name="Output 5 2 2 2 3 2" xfId="5448"/>
    <cellStyle name="Output 5 2 2 2 4" xfId="5449"/>
    <cellStyle name="Output 5 2 2 3" xfId="5450"/>
    <cellStyle name="Output 5 2 2 3 2" xfId="5451"/>
    <cellStyle name="Output 5 2 2 3 2 2" xfId="5452"/>
    <cellStyle name="Output 5 2 2 3 3" xfId="5453"/>
    <cellStyle name="Output 5 2 2 3 4" xfId="5454"/>
    <cellStyle name="Output 5 2 2 4" xfId="5455"/>
    <cellStyle name="Output 5 2 2 4 2" xfId="5456"/>
    <cellStyle name="Output 5 2 2 4 2 2" xfId="5457"/>
    <cellStyle name="Output 5 2 2 4 3" xfId="5458"/>
    <cellStyle name="Output 5 2 2 5" xfId="5459"/>
    <cellStyle name="Output 5 2 2 5 2" xfId="5460"/>
    <cellStyle name="Output 5 2 2 6" xfId="5461"/>
    <cellStyle name="Output 5 2 3" xfId="5462"/>
    <cellStyle name="Output 5 2 3 2" xfId="5463"/>
    <cellStyle name="Output 5 2 3 2 2" xfId="5464"/>
    <cellStyle name="Output 5 2 3 2 2 2" xfId="5465"/>
    <cellStyle name="Output 5 2 3 2 2 2 2" xfId="5466"/>
    <cellStyle name="Output 5 2 3 2 2 3" xfId="5467"/>
    <cellStyle name="Output 5 2 3 2 3" xfId="5468"/>
    <cellStyle name="Output 5 2 3 2 3 2" xfId="5469"/>
    <cellStyle name="Output 5 2 3 2 4" xfId="5470"/>
    <cellStyle name="Output 5 2 3 3" xfId="5471"/>
    <cellStyle name="Output 5 2 3 3 2" xfId="5472"/>
    <cellStyle name="Output 5 2 3 3 2 2" xfId="5473"/>
    <cellStyle name="Output 5 2 3 3 3" xfId="5474"/>
    <cellStyle name="Output 5 2 3 3 4" xfId="5475"/>
    <cellStyle name="Output 5 2 3 4" xfId="5476"/>
    <cellStyle name="Output 5 2 3 4 2" xfId="5477"/>
    <cellStyle name="Output 5 2 3 4 2 2" xfId="5478"/>
    <cellStyle name="Output 5 2 3 4 3" xfId="5479"/>
    <cellStyle name="Output 5 2 3 5" xfId="5480"/>
    <cellStyle name="Output 5 2 3 5 2" xfId="5481"/>
    <cellStyle name="Output 5 2 3 6" xfId="5482"/>
    <cellStyle name="Output 5 2 4" xfId="5483"/>
    <cellStyle name="Output 5 2 4 2" xfId="5484"/>
    <cellStyle name="Output 5 3" xfId="5485"/>
    <cellStyle name="Output 5 3 2" xfId="5486"/>
    <cellStyle name="Output 5 3 2 2" xfId="5487"/>
    <cellStyle name="Output 5 3 2 2 2" xfId="5488"/>
    <cellStyle name="Output 5 3 2 2 2 2" xfId="5489"/>
    <cellStyle name="Output 5 3 2 2 2 2 2" xfId="5490"/>
    <cellStyle name="Output 5 3 2 2 2 3" xfId="5491"/>
    <cellStyle name="Output 5 3 2 2 3" xfId="5492"/>
    <cellStyle name="Output 5 3 2 2 3 2" xfId="5493"/>
    <cellStyle name="Output 5 3 2 2 4" xfId="5494"/>
    <cellStyle name="Output 5 3 2 3" xfId="5495"/>
    <cellStyle name="Output 5 3 2 3 2" xfId="5496"/>
    <cellStyle name="Output 5 3 2 3 2 2" xfId="5497"/>
    <cellStyle name="Output 5 3 2 3 3" xfId="5498"/>
    <cellStyle name="Output 5 3 2 3 4" xfId="5499"/>
    <cellStyle name="Output 5 3 2 4" xfId="5500"/>
    <cellStyle name="Output 5 3 2 4 2" xfId="5501"/>
    <cellStyle name="Output 5 3 2 4 2 2" xfId="5502"/>
    <cellStyle name="Output 5 3 2 4 3" xfId="5503"/>
    <cellStyle name="Output 5 3 2 5" xfId="5504"/>
    <cellStyle name="Output 5 3 2 5 2" xfId="5505"/>
    <cellStyle name="Output 5 3 2 6" xfId="5506"/>
    <cellStyle name="Output 5 3 3" xfId="5507"/>
    <cellStyle name="Output 5 3 3 2" xfId="5508"/>
    <cellStyle name="Output 5 3 3 2 2" xfId="5509"/>
    <cellStyle name="Output 5 3 3 3" xfId="5510"/>
    <cellStyle name="Output 5 3 4" xfId="5511"/>
    <cellStyle name="Output 5 3 4 2" xfId="5512"/>
    <cellStyle name="Output 5 3 4 2 2" xfId="5513"/>
    <cellStyle name="Output 5 3 4 2 2 2" xfId="5514"/>
    <cellStyle name="Output 5 3 4 2 2 2 2" xfId="5515"/>
    <cellStyle name="Output 5 3 4 2 2 3" xfId="5516"/>
    <cellStyle name="Output 5 3 4 2 3" xfId="5517"/>
    <cellStyle name="Output 5 3 4 2 3 2" xfId="5518"/>
    <cellStyle name="Output 5 3 4 2 4" xfId="5519"/>
    <cellStyle name="Output 5 3 4 3" xfId="5520"/>
    <cellStyle name="Output 5 3 4 3 2" xfId="5521"/>
    <cellStyle name="Output 5 3 4 3 2 2" xfId="5522"/>
    <cellStyle name="Output 5 3 4 3 3" xfId="5523"/>
    <cellStyle name="Output 5 3 4 3 4" xfId="5524"/>
    <cellStyle name="Output 5 3 4 4" xfId="5525"/>
    <cellStyle name="Output 5 3 4 4 2" xfId="5526"/>
    <cellStyle name="Output 5 3 4 4 2 2" xfId="5527"/>
    <cellStyle name="Output 5 3 4 4 3" xfId="5528"/>
    <cellStyle name="Output 5 3 4 5" xfId="5529"/>
    <cellStyle name="Output 5 3 4 5 2" xfId="5530"/>
    <cellStyle name="Output 5 3 4 6" xfId="5531"/>
    <cellStyle name="Output 5 3 5" xfId="5532"/>
    <cellStyle name="Output 5 3 5 2" xfId="5533"/>
    <cellStyle name="Output 5 3 5 2 2" xfId="5534"/>
    <cellStyle name="Output 5 3 5 2 2 2" xfId="5535"/>
    <cellStyle name="Output 5 3 5 2 3" xfId="5536"/>
    <cellStyle name="Output 5 3 5 3" xfId="5537"/>
    <cellStyle name="Output 5 3 5 3 2" xfId="5538"/>
    <cellStyle name="Output 5 3 5 4" xfId="5539"/>
    <cellStyle name="Output 5 3 6" xfId="5540"/>
    <cellStyle name="Output 5 3 6 2" xfId="5541"/>
    <cellStyle name="Output 5 3 6 2 2" xfId="5542"/>
    <cellStyle name="Output 5 3 6 3" xfId="5543"/>
    <cellStyle name="Output 5 3 6 4" xfId="5544"/>
    <cellStyle name="Output 5 3 7" xfId="5545"/>
    <cellStyle name="Output 5 3 7 2" xfId="5546"/>
    <cellStyle name="Output 5 3 7 2 2" xfId="5547"/>
    <cellStyle name="Output 5 3 7 3" xfId="5548"/>
    <cellStyle name="Output 5 3 8" xfId="5549"/>
    <cellStyle name="Output 5 3 8 2" xfId="5550"/>
    <cellStyle name="Output 5 3 9" xfId="5551"/>
    <cellStyle name="Output 5 4" xfId="5552"/>
    <cellStyle name="Output 5 4 2" xfId="5553"/>
    <cellStyle name="Output 5 4 2 2" xfId="5554"/>
    <cellStyle name="Output 5 4 2 2 2" xfId="5555"/>
    <cellStyle name="Output 5 4 2 2 2 2" xfId="5556"/>
    <cellStyle name="Output 5 4 2 2 3" xfId="5557"/>
    <cellStyle name="Output 5 4 2 3" xfId="5558"/>
    <cellStyle name="Output 5 4 2 3 2" xfId="5559"/>
    <cellStyle name="Output 5 4 2 4" xfId="5560"/>
    <cellStyle name="Output 5 4 3" xfId="5561"/>
    <cellStyle name="Output 5 4 3 2" xfId="5562"/>
    <cellStyle name="Output 5 4 3 2 2" xfId="5563"/>
    <cellStyle name="Output 5 4 3 3" xfId="5564"/>
    <cellStyle name="Output 5 4 3 4" xfId="5565"/>
    <cellStyle name="Output 5 4 4" xfId="5566"/>
    <cellStyle name="Output 5 4 4 2" xfId="5567"/>
    <cellStyle name="Output 5 4 4 2 2" xfId="5568"/>
    <cellStyle name="Output 5 4 4 3" xfId="5569"/>
    <cellStyle name="Output 5 4 5" xfId="5570"/>
    <cellStyle name="Output 5 4 5 2" xfId="5571"/>
    <cellStyle name="Output 5 4 6" xfId="5572"/>
    <cellStyle name="Output 5 5" xfId="5573"/>
    <cellStyle name="Output 5 5 2" xfId="5574"/>
    <cellStyle name="Output 6" xfId="5575"/>
    <cellStyle name="Output 6 2" xfId="5576"/>
    <cellStyle name="Output 6 2 2" xfId="5577"/>
    <cellStyle name="Output 6 2 2 2" xfId="5578"/>
    <cellStyle name="Output 6 2 2 2 2" xfId="5579"/>
    <cellStyle name="Output 6 2 2 2 2 2" xfId="5580"/>
    <cellStyle name="Output 6 2 2 2 2 2 2" xfId="5581"/>
    <cellStyle name="Output 6 2 2 2 2 3" xfId="5582"/>
    <cellStyle name="Output 6 2 2 2 3" xfId="5583"/>
    <cellStyle name="Output 6 2 2 2 3 2" xfId="5584"/>
    <cellStyle name="Output 6 2 2 2 4" xfId="5585"/>
    <cellStyle name="Output 6 2 2 3" xfId="5586"/>
    <cellStyle name="Output 6 2 2 3 2" xfId="5587"/>
    <cellStyle name="Output 6 2 2 3 2 2" xfId="5588"/>
    <cellStyle name="Output 6 2 2 3 3" xfId="5589"/>
    <cellStyle name="Output 6 2 2 3 4" xfId="5590"/>
    <cellStyle name="Output 6 2 2 4" xfId="5591"/>
    <cellStyle name="Output 6 2 2 4 2" xfId="5592"/>
    <cellStyle name="Output 6 2 2 4 2 2" xfId="5593"/>
    <cellStyle name="Output 6 2 2 4 3" xfId="5594"/>
    <cellStyle name="Output 6 2 2 5" xfId="5595"/>
    <cellStyle name="Output 6 2 2 5 2" xfId="5596"/>
    <cellStyle name="Output 6 2 2 6" xfId="5597"/>
    <cellStyle name="Output 6 2 3" xfId="5598"/>
    <cellStyle name="Output 6 2 3 2" xfId="5599"/>
    <cellStyle name="Output 6 2 3 2 2" xfId="5600"/>
    <cellStyle name="Output 6 2 3 3" xfId="5601"/>
    <cellStyle name="Output 6 2 4" xfId="5602"/>
    <cellStyle name="Output 6 2 4 2" xfId="5603"/>
    <cellStyle name="Output 6 2 4 2 2" xfId="5604"/>
    <cellStyle name="Output 6 2 4 2 2 2" xfId="5605"/>
    <cellStyle name="Output 6 2 4 2 2 2 2" xfId="5606"/>
    <cellStyle name="Output 6 2 4 2 2 3" xfId="5607"/>
    <cellStyle name="Output 6 2 4 2 3" xfId="5608"/>
    <cellStyle name="Output 6 2 4 2 3 2" xfId="5609"/>
    <cellStyle name="Output 6 2 4 2 4" xfId="5610"/>
    <cellStyle name="Output 6 2 4 3" xfId="5611"/>
    <cellStyle name="Output 6 2 4 3 2" xfId="5612"/>
    <cellStyle name="Output 6 2 4 3 2 2" xfId="5613"/>
    <cellStyle name="Output 6 2 4 3 3" xfId="5614"/>
    <cellStyle name="Output 6 2 4 3 4" xfId="5615"/>
    <cellStyle name="Output 6 2 4 4" xfId="5616"/>
    <cellStyle name="Output 6 2 4 4 2" xfId="5617"/>
    <cellStyle name="Output 6 2 4 4 2 2" xfId="5618"/>
    <cellStyle name="Output 6 2 4 4 3" xfId="5619"/>
    <cellStyle name="Output 6 2 4 5" xfId="5620"/>
    <cellStyle name="Output 6 2 4 5 2" xfId="5621"/>
    <cellStyle name="Output 6 2 4 6" xfId="5622"/>
    <cellStyle name="Output 6 2 5" xfId="5623"/>
    <cellStyle name="Output 6 2 5 2" xfId="5624"/>
    <cellStyle name="Output 6 2 5 2 2" xfId="5625"/>
    <cellStyle name="Output 6 2 5 2 2 2" xfId="5626"/>
    <cellStyle name="Output 6 2 5 2 3" xfId="5627"/>
    <cellStyle name="Output 6 2 5 3" xfId="5628"/>
    <cellStyle name="Output 6 2 5 3 2" xfId="5629"/>
    <cellStyle name="Output 6 2 5 4" xfId="5630"/>
    <cellStyle name="Output 6 2 6" xfId="5631"/>
    <cellStyle name="Output 6 2 6 2" xfId="5632"/>
    <cellStyle name="Output 6 2 6 2 2" xfId="5633"/>
    <cellStyle name="Output 6 2 6 3" xfId="5634"/>
    <cellStyle name="Output 6 2 6 4" xfId="5635"/>
    <cellStyle name="Output 6 2 7" xfId="5636"/>
    <cellStyle name="Output 6 2 7 2" xfId="5637"/>
    <cellStyle name="Output 6 2 7 2 2" xfId="5638"/>
    <cellStyle name="Output 6 2 7 3" xfId="5639"/>
    <cellStyle name="Output 6 2 8" xfId="5640"/>
    <cellStyle name="Output 6 2 8 2" xfId="5641"/>
    <cellStyle name="Output 6 2 9" xfId="5642"/>
    <cellStyle name="Output 6 3" xfId="5643"/>
    <cellStyle name="Output 6 3 2" xfId="5644"/>
    <cellStyle name="Output 6 3 2 2" xfId="5645"/>
    <cellStyle name="Output 6 3 2 2 2" xfId="5646"/>
    <cellStyle name="Output 6 3 2 2 2 2" xfId="5647"/>
    <cellStyle name="Output 6 3 2 2 3" xfId="5648"/>
    <cellStyle name="Output 6 3 2 3" xfId="5649"/>
    <cellStyle name="Output 6 3 2 3 2" xfId="5650"/>
    <cellStyle name="Output 6 3 2 4" xfId="5651"/>
    <cellStyle name="Output 6 3 3" xfId="5652"/>
    <cellStyle name="Output 6 3 3 2" xfId="5653"/>
    <cellStyle name="Output 6 3 3 2 2" xfId="5654"/>
    <cellStyle name="Output 6 3 3 3" xfId="5655"/>
    <cellStyle name="Output 6 3 3 4" xfId="5656"/>
    <cellStyle name="Output 6 3 4" xfId="5657"/>
    <cellStyle name="Output 6 3 4 2" xfId="5658"/>
    <cellStyle name="Output 6 3 4 2 2" xfId="5659"/>
    <cellStyle name="Output 6 3 4 3" xfId="5660"/>
    <cellStyle name="Output 6 3 5" xfId="5661"/>
    <cellStyle name="Output 6 3 5 2" xfId="5662"/>
    <cellStyle name="Output 6 3 6" xfId="5663"/>
    <cellStyle name="Output 6 4" xfId="5664"/>
    <cellStyle name="Output 6 4 2" xfId="5665"/>
    <cellStyle name="Output 7" xfId="5666"/>
    <cellStyle name="Output 7 2" xfId="5667"/>
    <cellStyle name="Output 7 2 2" xfId="5668"/>
    <cellStyle name="Output 7 2 2 2" xfId="5669"/>
    <cellStyle name="Output 7 2 2 2 2" xfId="5670"/>
    <cellStyle name="Output 7 2 2 2 2 2" xfId="5671"/>
    <cellStyle name="Output 7 2 2 2 3" xfId="5672"/>
    <cellStyle name="Output 7 2 2 3" xfId="5673"/>
    <cellStyle name="Output 7 2 2 3 2" xfId="5674"/>
    <cellStyle name="Output 7 2 2 4" xfId="5675"/>
    <cellStyle name="Output 7 2 3" xfId="5676"/>
    <cellStyle name="Output 7 2 3 2" xfId="5677"/>
    <cellStyle name="Output 7 2 3 2 2" xfId="5678"/>
    <cellStyle name="Output 7 2 3 3" xfId="5679"/>
    <cellStyle name="Output 7 2 3 4" xfId="5680"/>
    <cellStyle name="Output 7 2 4" xfId="5681"/>
    <cellStyle name="Output 7 2 4 2" xfId="5682"/>
    <cellStyle name="Output 7 2 4 2 2" xfId="5683"/>
    <cellStyle name="Output 7 2 4 3" xfId="5684"/>
    <cellStyle name="Output 7 2 5" xfId="5685"/>
    <cellStyle name="Output 7 2 5 2" xfId="5686"/>
    <cellStyle name="Output 7 2 6" xfId="5687"/>
    <cellStyle name="Output 7 3" xfId="5688"/>
    <cellStyle name="Output 7 3 2" xfId="5689"/>
    <cellStyle name="Output 7 3 2 2" xfId="5690"/>
    <cellStyle name="Output 7 3 3" xfId="5691"/>
    <cellStyle name="Output 7 4" xfId="5692"/>
    <cellStyle name="Output 7 4 2" xfId="5693"/>
    <cellStyle name="Output 7 4 2 2" xfId="5694"/>
    <cellStyle name="Output 7 4 2 2 2" xfId="5695"/>
    <cellStyle name="Output 7 4 2 2 2 2" xfId="5696"/>
    <cellStyle name="Output 7 4 2 2 3" xfId="5697"/>
    <cellStyle name="Output 7 4 2 3" xfId="5698"/>
    <cellStyle name="Output 7 4 2 3 2" xfId="5699"/>
    <cellStyle name="Output 7 4 2 4" xfId="5700"/>
    <cellStyle name="Output 7 4 3" xfId="5701"/>
    <cellStyle name="Output 7 4 3 2" xfId="5702"/>
    <cellStyle name="Output 7 4 3 2 2" xfId="5703"/>
    <cellStyle name="Output 7 4 3 3" xfId="5704"/>
    <cellStyle name="Output 7 4 3 4" xfId="5705"/>
    <cellStyle name="Output 7 4 4" xfId="5706"/>
    <cellStyle name="Output 7 4 4 2" xfId="5707"/>
    <cellStyle name="Output 7 4 4 2 2" xfId="5708"/>
    <cellStyle name="Output 7 4 4 3" xfId="5709"/>
    <cellStyle name="Output 7 4 5" xfId="5710"/>
    <cellStyle name="Output 7 4 5 2" xfId="5711"/>
    <cellStyle name="Output 7 4 6" xfId="5712"/>
    <cellStyle name="Output 7 5" xfId="5713"/>
    <cellStyle name="Output 7 5 2" xfId="5714"/>
    <cellStyle name="Output 7 5 2 2" xfId="5715"/>
    <cellStyle name="Output 7 5 2 2 2" xfId="5716"/>
    <cellStyle name="Output 7 5 2 3" xfId="5717"/>
    <cellStyle name="Output 7 5 3" xfId="5718"/>
    <cellStyle name="Output 7 5 3 2" xfId="5719"/>
    <cellStyle name="Output 7 5 4" xfId="5720"/>
    <cellStyle name="Output 7 6" xfId="5721"/>
    <cellStyle name="Output 7 6 2" xfId="5722"/>
    <cellStyle name="Output 7 6 2 2" xfId="5723"/>
    <cellStyle name="Output 7 6 3" xfId="5724"/>
    <cellStyle name="Output 7 6 4" xfId="5725"/>
    <cellStyle name="Output 7 7" xfId="5726"/>
    <cellStyle name="Output 7 7 2" xfId="5727"/>
    <cellStyle name="Output 7 7 2 2" xfId="5728"/>
    <cellStyle name="Output 7 7 3" xfId="5729"/>
    <cellStyle name="Output 7 8" xfId="5730"/>
    <cellStyle name="Output 7 8 2" xfId="5731"/>
    <cellStyle name="Output 7 9" xfId="5732"/>
    <cellStyle name="Page 1" xfId="5733"/>
    <cellStyle name="Page 2" xfId="5734"/>
    <cellStyle name="Page 3" xfId="5735"/>
    <cellStyle name="Page 4" xfId="5736"/>
    <cellStyle name="Page 5" xfId="5737"/>
    <cellStyle name="Page 6" xfId="5738"/>
    <cellStyle name="Page 7" xfId="5739"/>
    <cellStyle name="Page1" xfId="5740"/>
    <cellStyle name="Page2" xfId="5741"/>
    <cellStyle name="Page3" xfId="5742"/>
    <cellStyle name="Page4" xfId="5743"/>
    <cellStyle name="Page5" xfId="5744"/>
    <cellStyle name="Page6" xfId="5745"/>
    <cellStyle name="Percent 2" xfId="5746"/>
    <cellStyle name="Percent 3" xfId="5747"/>
    <cellStyle name="Percent 3 2" xfId="5748"/>
    <cellStyle name="Percent 4" xfId="5749"/>
    <cellStyle name="Percent 4 2" xfId="5750"/>
    <cellStyle name="Percent 5" xfId="5751"/>
    <cellStyle name="Percent 6" xfId="5752"/>
    <cellStyle name="Percentage" xfId="5753"/>
    <cellStyle name="RangeName" xfId="5754"/>
    <cellStyle name="RateConven" xfId="5755"/>
    <cellStyle name="red" xfId="5756"/>
    <cellStyle name="ResultDateCenter" xfId="5757"/>
    <cellStyle name="Style 1" xfId="5758"/>
    <cellStyle name="Style 1 2" xfId="5759"/>
    <cellStyle name="Style 1 3" xfId="5760"/>
    <cellStyle name="Style 1 3 2" xfId="5761"/>
    <cellStyle name="Style 1 3 2 2" xfId="5762"/>
    <cellStyle name="Style 1 3 2 2 2" xfId="5763"/>
    <cellStyle name="Style 1 3 2 2 2 2" xfId="5764"/>
    <cellStyle name="Style 1 3 2 2 2 2 2" xfId="5765"/>
    <cellStyle name="Style 1 3 2 2 2 2 2 2" xfId="5766"/>
    <cellStyle name="Style 1 3 2 2 2 2 2 2 2" xfId="5767"/>
    <cellStyle name="Style 1 3 2 2 2 2 2 3" xfId="5768"/>
    <cellStyle name="Style 1 3 2 2 2 2 3" xfId="5769"/>
    <cellStyle name="Style 1 3 2 2 2 2 3 2" xfId="5770"/>
    <cellStyle name="Style 1 3 2 2 2 2 4" xfId="5771"/>
    <cellStyle name="Style 1 3 2 2 2 3" xfId="5772"/>
    <cellStyle name="Style 1 3 2 2 2 3 2" xfId="5773"/>
    <cellStyle name="Style 1 3 2 2 2 3 2 2" xfId="5774"/>
    <cellStyle name="Style 1 3 2 2 2 3 3" xfId="5775"/>
    <cellStyle name="Style 1 3 2 2 2 3 4" xfId="5776"/>
    <cellStyle name="Style 1 3 2 2 2 4" xfId="5777"/>
    <cellStyle name="Style 1 3 2 2 2 4 2" xfId="5778"/>
    <cellStyle name="Style 1 3 2 2 2 4 2 2" xfId="5779"/>
    <cellStyle name="Style 1 3 2 2 2 4 3" xfId="5780"/>
    <cellStyle name="Style 1 3 2 2 2 5" xfId="5781"/>
    <cellStyle name="Style 1 3 2 2 3" xfId="5782"/>
    <cellStyle name="Style 1 3 2 2 3 2" xfId="5783"/>
    <cellStyle name="Style 1 3 2 2 3 2 2" xfId="5784"/>
    <cellStyle name="Style 1 3 2 2 3 2 2 2" xfId="5785"/>
    <cellStyle name="Style 1 3 2 2 3 2 2 2 2" xfId="5786"/>
    <cellStyle name="Style 1 3 2 2 3 2 2 3" xfId="5787"/>
    <cellStyle name="Style 1 3 2 2 3 2 3" xfId="5788"/>
    <cellStyle name="Style 1 3 2 2 3 2 3 2" xfId="5789"/>
    <cellStyle name="Style 1 3 2 2 3 2 4" xfId="5790"/>
    <cellStyle name="Style 1 3 2 2 3 3" xfId="5791"/>
    <cellStyle name="Style 1 3 2 2 3 3 2" xfId="5792"/>
    <cellStyle name="Style 1 3 2 2 3 3 2 2" xfId="5793"/>
    <cellStyle name="Style 1 3 2 2 3 3 3" xfId="5794"/>
    <cellStyle name="Style 1 3 2 2 3 3 4" xfId="5795"/>
    <cellStyle name="Style 1 3 2 2 3 4" xfId="5796"/>
    <cellStyle name="Style 1 3 2 2 3 4 2" xfId="5797"/>
    <cellStyle name="Style 1 3 2 2 3 4 2 2" xfId="5798"/>
    <cellStyle name="Style 1 3 2 2 3 4 3" xfId="5799"/>
    <cellStyle name="Style 1 3 2 2 3 5" xfId="5800"/>
    <cellStyle name="Style 1 3 2 2 3 5 2" xfId="5801"/>
    <cellStyle name="Style 1 3 2 2 3 6" xfId="5802"/>
    <cellStyle name="Style 1 3 2 2 4" xfId="5803"/>
    <cellStyle name="Style 1 3 2 2 4 2" xfId="5804"/>
    <cellStyle name="Style 1 3 2 2 4 2 2" xfId="5805"/>
    <cellStyle name="Style 1 3 2 2 4 2 2 2" xfId="5806"/>
    <cellStyle name="Style 1 3 2 2 4 2 2 2 2" xfId="5807"/>
    <cellStyle name="Style 1 3 2 2 4 2 2 3" xfId="5808"/>
    <cellStyle name="Style 1 3 2 2 4 2 3" xfId="5809"/>
    <cellStyle name="Style 1 3 2 2 4 2 3 2" xfId="5810"/>
    <cellStyle name="Style 1 3 2 2 4 2 4" xfId="5811"/>
    <cellStyle name="Style 1 3 2 2 4 3" xfId="5812"/>
    <cellStyle name="Style 1 3 2 2 4 3 2" xfId="5813"/>
    <cellStyle name="Style 1 3 2 2 4 3 2 2" xfId="5814"/>
    <cellStyle name="Style 1 3 2 2 4 3 3" xfId="5815"/>
    <cellStyle name="Style 1 3 2 2 4 3 4" xfId="5816"/>
    <cellStyle name="Style 1 3 2 2 4 4" xfId="5817"/>
    <cellStyle name="Style 1 3 2 2 4 4 2" xfId="5818"/>
    <cellStyle name="Style 1 3 2 2 4 4 2 2" xfId="5819"/>
    <cellStyle name="Style 1 3 2 2 4 4 3" xfId="5820"/>
    <cellStyle name="Style 1 3 2 2 4 5" xfId="5821"/>
    <cellStyle name="Style 1 3 2 2 4 5 2" xfId="5822"/>
    <cellStyle name="Style 1 3 2 2 4 6" xfId="5823"/>
    <cellStyle name="Style 1 3 2 2 5" xfId="5824"/>
    <cellStyle name="Style 1 3 2 2 5 2" xfId="5825"/>
    <cellStyle name="Style 1 3 2 3" xfId="5826"/>
    <cellStyle name="Style 1 3 2 3 2" xfId="5827"/>
    <cellStyle name="Style 1 3 2 3 2 2" xfId="5828"/>
    <cellStyle name="Style 1 3 2 3 2 2 2" xfId="5829"/>
    <cellStyle name="Style 1 3 2 3 2 2 2 2" xfId="5830"/>
    <cellStyle name="Style 1 3 2 3 2 2 3" xfId="5831"/>
    <cellStyle name="Style 1 3 2 3 2 3" xfId="5832"/>
    <cellStyle name="Style 1 3 2 3 2 3 2" xfId="5833"/>
    <cellStyle name="Style 1 3 2 3 2 4" xfId="5834"/>
    <cellStyle name="Style 1 3 2 3 3" xfId="5835"/>
    <cellStyle name="Style 1 3 2 3 3 2" xfId="5836"/>
    <cellStyle name="Style 1 3 2 3 3 2 2" xfId="5837"/>
    <cellStyle name="Style 1 3 2 3 3 3" xfId="5838"/>
    <cellStyle name="Style 1 3 2 3 3 4" xfId="5839"/>
    <cellStyle name="Style 1 3 2 3 4" xfId="5840"/>
    <cellStyle name="Style 1 3 2 3 4 2" xfId="5841"/>
    <cellStyle name="Style 1 3 2 3 4 2 2" xfId="5842"/>
    <cellStyle name="Style 1 3 2 3 4 3" xfId="5843"/>
    <cellStyle name="Style 1 3 2 3 5" xfId="5844"/>
    <cellStyle name="Style 1 3 2 4" xfId="5845"/>
    <cellStyle name="Style 1 3 2 4 2" xfId="5846"/>
    <cellStyle name="Style 1 3 2 4 2 2" xfId="5847"/>
    <cellStyle name="Style 1 3 2 4 2 2 2" xfId="5848"/>
    <cellStyle name="Style 1 3 2 4 2 2 2 2" xfId="5849"/>
    <cellStyle name="Style 1 3 2 4 2 2 3" xfId="5850"/>
    <cellStyle name="Style 1 3 2 4 2 3" xfId="5851"/>
    <cellStyle name="Style 1 3 2 4 2 3 2" xfId="5852"/>
    <cellStyle name="Style 1 3 2 4 2 4" xfId="5853"/>
    <cellStyle name="Style 1 3 2 4 3" xfId="5854"/>
    <cellStyle name="Style 1 3 2 4 3 2" xfId="5855"/>
    <cellStyle name="Style 1 3 2 4 3 2 2" xfId="5856"/>
    <cellStyle name="Style 1 3 2 4 3 3" xfId="5857"/>
    <cellStyle name="Style 1 3 2 4 3 4" xfId="5858"/>
    <cellStyle name="Style 1 3 2 4 4" xfId="5859"/>
    <cellStyle name="Style 1 3 2 4 4 2" xfId="5860"/>
    <cellStyle name="Style 1 3 2 4 4 2 2" xfId="5861"/>
    <cellStyle name="Style 1 3 2 4 4 3" xfId="5862"/>
    <cellStyle name="Style 1 3 2 4 5" xfId="5863"/>
    <cellStyle name="Style 1 3 2 4 5 2" xfId="5864"/>
    <cellStyle name="Style 1 3 2 4 6" xfId="5865"/>
    <cellStyle name="Style 1 3 2 5" xfId="5866"/>
    <cellStyle name="Style 1 3 2 5 2" xfId="5867"/>
    <cellStyle name="Style 1 3 2 5 2 2" xfId="5868"/>
    <cellStyle name="Style 1 3 2 5 2 2 2" xfId="5869"/>
    <cellStyle name="Style 1 3 2 5 2 2 2 2" xfId="5870"/>
    <cellStyle name="Style 1 3 2 5 2 2 3" xfId="5871"/>
    <cellStyle name="Style 1 3 2 5 2 3" xfId="5872"/>
    <cellStyle name="Style 1 3 2 5 2 3 2" xfId="5873"/>
    <cellStyle name="Style 1 3 2 5 2 4" xfId="5874"/>
    <cellStyle name="Style 1 3 2 5 3" xfId="5875"/>
    <cellStyle name="Style 1 3 2 5 3 2" xfId="5876"/>
    <cellStyle name="Style 1 3 2 5 3 2 2" xfId="5877"/>
    <cellStyle name="Style 1 3 2 5 3 3" xfId="5878"/>
    <cellStyle name="Style 1 3 2 5 3 4" xfId="5879"/>
    <cellStyle name="Style 1 3 2 5 4" xfId="5880"/>
    <cellStyle name="Style 1 3 2 5 4 2" xfId="5881"/>
    <cellStyle name="Style 1 3 2 5 4 2 2" xfId="5882"/>
    <cellStyle name="Style 1 3 2 5 4 3" xfId="5883"/>
    <cellStyle name="Style 1 3 2 5 5" xfId="5884"/>
    <cellStyle name="Style 1 3 2 5 5 2" xfId="5885"/>
    <cellStyle name="Style 1 3 2 5 6" xfId="5886"/>
    <cellStyle name="Style 1 3 3" xfId="5887"/>
    <cellStyle name="Style 1 3 3 2" xfId="5888"/>
    <cellStyle name="Style 1 3 3 2 2" xfId="5889"/>
    <cellStyle name="Style 1 3 3 2 2 2" xfId="5890"/>
    <cellStyle name="Style 1 3 3 2 2 2 2" xfId="5891"/>
    <cellStyle name="Style 1 3 3 2 2 2 2 2" xfId="5892"/>
    <cellStyle name="Style 1 3 3 2 2 2 3" xfId="5893"/>
    <cellStyle name="Style 1 3 3 2 2 3" xfId="5894"/>
    <cellStyle name="Style 1 3 3 2 2 3 2" xfId="5895"/>
    <cellStyle name="Style 1 3 3 2 2 4" xfId="5896"/>
    <cellStyle name="Style 1 3 3 2 3" xfId="5897"/>
    <cellStyle name="Style 1 3 3 2 3 2" xfId="5898"/>
    <cellStyle name="Style 1 3 3 2 3 2 2" xfId="5899"/>
    <cellStyle name="Style 1 3 3 2 3 3" xfId="5900"/>
    <cellStyle name="Style 1 3 3 2 3 4" xfId="5901"/>
    <cellStyle name="Style 1 3 3 2 4" xfId="5902"/>
    <cellStyle name="Style 1 3 3 2 4 2" xfId="5903"/>
    <cellStyle name="Style 1 3 3 2 4 2 2" xfId="5904"/>
    <cellStyle name="Style 1 3 3 2 4 3" xfId="5905"/>
    <cellStyle name="Style 1 3 3 2 5" xfId="5906"/>
    <cellStyle name="Style 1 3 3 3" xfId="5907"/>
    <cellStyle name="Style 1 3 3 3 2" xfId="5908"/>
    <cellStyle name="Style 1 3 3 3 2 2" xfId="5909"/>
    <cellStyle name="Style 1 3 3 3 2 2 2" xfId="5910"/>
    <cellStyle name="Style 1 3 3 3 2 2 2 2" xfId="5911"/>
    <cellStyle name="Style 1 3 3 3 2 2 3" xfId="5912"/>
    <cellStyle name="Style 1 3 3 3 2 3" xfId="5913"/>
    <cellStyle name="Style 1 3 3 3 2 3 2" xfId="5914"/>
    <cellStyle name="Style 1 3 3 3 2 4" xfId="5915"/>
    <cellStyle name="Style 1 3 3 3 3" xfId="5916"/>
    <cellStyle name="Style 1 3 3 3 3 2" xfId="5917"/>
    <cellStyle name="Style 1 3 3 3 3 2 2" xfId="5918"/>
    <cellStyle name="Style 1 3 3 3 3 3" xfId="5919"/>
    <cellStyle name="Style 1 3 3 3 3 4" xfId="5920"/>
    <cellStyle name="Style 1 3 3 3 4" xfId="5921"/>
    <cellStyle name="Style 1 3 3 3 4 2" xfId="5922"/>
    <cellStyle name="Style 1 3 3 3 4 2 2" xfId="5923"/>
    <cellStyle name="Style 1 3 3 3 4 3" xfId="5924"/>
    <cellStyle name="Style 1 3 3 3 5" xfId="5925"/>
    <cellStyle name="Style 1 3 3 3 5 2" xfId="5926"/>
    <cellStyle name="Style 1 3 3 3 6" xfId="5927"/>
    <cellStyle name="Style 1 3 3 4" xfId="5928"/>
    <cellStyle name="Style 1 3 3 4 2" xfId="5929"/>
    <cellStyle name="Style 1 3 3 4 2 2" xfId="5930"/>
    <cellStyle name="Style 1 3 3 4 2 2 2" xfId="5931"/>
    <cellStyle name="Style 1 3 3 4 2 2 2 2" xfId="5932"/>
    <cellStyle name="Style 1 3 3 4 2 2 3" xfId="5933"/>
    <cellStyle name="Style 1 3 3 4 2 3" xfId="5934"/>
    <cellStyle name="Style 1 3 3 4 2 3 2" xfId="5935"/>
    <cellStyle name="Style 1 3 3 4 2 4" xfId="5936"/>
    <cellStyle name="Style 1 3 3 4 3" xfId="5937"/>
    <cellStyle name="Style 1 3 3 4 3 2" xfId="5938"/>
    <cellStyle name="Style 1 3 3 4 3 2 2" xfId="5939"/>
    <cellStyle name="Style 1 3 3 4 3 3" xfId="5940"/>
    <cellStyle name="Style 1 3 3 4 3 4" xfId="5941"/>
    <cellStyle name="Style 1 3 3 4 4" xfId="5942"/>
    <cellStyle name="Style 1 3 3 4 4 2" xfId="5943"/>
    <cellStyle name="Style 1 3 3 4 4 2 2" xfId="5944"/>
    <cellStyle name="Style 1 3 3 4 4 3" xfId="5945"/>
    <cellStyle name="Style 1 3 3 4 5" xfId="5946"/>
    <cellStyle name="Style 1 3 3 4 5 2" xfId="5947"/>
    <cellStyle name="Style 1 3 3 4 6" xfId="5948"/>
    <cellStyle name="Style 1 3 3 5" xfId="5949"/>
    <cellStyle name="Style 1 3 3 5 2" xfId="5950"/>
    <cellStyle name="Style 1 3 4" xfId="5951"/>
    <cellStyle name="Style 1 3 4 2" xfId="5952"/>
    <cellStyle name="Style 1 3 4 2 2" xfId="5953"/>
    <cellStyle name="Style 1 3 4 2 2 2" xfId="5954"/>
    <cellStyle name="Style 1 3 4 2 2 2 2" xfId="5955"/>
    <cellStyle name="Style 1 3 4 2 2 2 2 2" xfId="5956"/>
    <cellStyle name="Style 1 3 4 2 2 2 3" xfId="5957"/>
    <cellStyle name="Style 1 3 4 2 2 3" xfId="5958"/>
    <cellStyle name="Style 1 3 4 2 2 3 2" xfId="5959"/>
    <cellStyle name="Style 1 3 4 2 2 4" xfId="5960"/>
    <cellStyle name="Style 1 3 4 2 3" xfId="5961"/>
    <cellStyle name="Style 1 3 4 2 3 2" xfId="5962"/>
    <cellStyle name="Style 1 3 4 2 3 2 2" xfId="5963"/>
    <cellStyle name="Style 1 3 4 2 3 3" xfId="5964"/>
    <cellStyle name="Style 1 3 4 2 3 4" xfId="5965"/>
    <cellStyle name="Style 1 3 4 2 4" xfId="5966"/>
    <cellStyle name="Style 1 3 4 2 4 2" xfId="5967"/>
    <cellStyle name="Style 1 3 4 2 4 2 2" xfId="5968"/>
    <cellStyle name="Style 1 3 4 2 4 3" xfId="5969"/>
    <cellStyle name="Style 1 3 4 2 5" xfId="5970"/>
    <cellStyle name="Style 1 3 4 2 5 2" xfId="5971"/>
    <cellStyle name="Style 1 3 4 2 6" xfId="5972"/>
    <cellStyle name="Style 1 3 4 3" xfId="5973"/>
    <cellStyle name="Style 1 3 4 3 2" xfId="5974"/>
    <cellStyle name="Style 1 3 4 3 2 2" xfId="5975"/>
    <cellStyle name="Style 1 3 4 3 2 2 2" xfId="5976"/>
    <cellStyle name="Style 1 3 4 3 2 2 2 2" xfId="5977"/>
    <cellStyle name="Style 1 3 4 3 2 2 3" xfId="5978"/>
    <cellStyle name="Style 1 3 4 3 2 3" xfId="5979"/>
    <cellStyle name="Style 1 3 4 3 2 3 2" xfId="5980"/>
    <cellStyle name="Style 1 3 4 3 2 4" xfId="5981"/>
    <cellStyle name="Style 1 3 4 3 3" xfId="5982"/>
    <cellStyle name="Style 1 3 4 3 3 2" xfId="5983"/>
    <cellStyle name="Style 1 3 4 3 3 2 2" xfId="5984"/>
    <cellStyle name="Style 1 3 4 3 3 3" xfId="5985"/>
    <cellStyle name="Style 1 3 4 3 3 4" xfId="5986"/>
    <cellStyle name="Style 1 3 4 3 4" xfId="5987"/>
    <cellStyle name="Style 1 3 4 3 4 2" xfId="5988"/>
    <cellStyle name="Style 1 3 4 3 4 2 2" xfId="5989"/>
    <cellStyle name="Style 1 3 4 3 4 3" xfId="5990"/>
    <cellStyle name="Style 1 3 4 3 5" xfId="5991"/>
    <cellStyle name="Style 1 3 4 3 5 2" xfId="5992"/>
    <cellStyle name="Style 1 3 4 3 6" xfId="5993"/>
    <cellStyle name="Style 1 3 4 4" xfId="5994"/>
    <cellStyle name="Style 1 3 4 4 2" xfId="5995"/>
    <cellStyle name="Style 1 3 4 4 2 2" xfId="5996"/>
    <cellStyle name="Style 1 3 4 4 2 2 2" xfId="5997"/>
    <cellStyle name="Style 1 3 4 4 2 3" xfId="5998"/>
    <cellStyle name="Style 1 3 4 4 3" xfId="5999"/>
    <cellStyle name="Style 1 3 4 4 3 2" xfId="6000"/>
    <cellStyle name="Style 1 3 4 4 4" xfId="6001"/>
    <cellStyle name="Style 1 3 4 5" xfId="6002"/>
    <cellStyle name="Style 1 3 4 5 2" xfId="6003"/>
    <cellStyle name="Style 1 3 4 5 2 2" xfId="6004"/>
    <cellStyle name="Style 1 3 4 5 3" xfId="6005"/>
    <cellStyle name="Style 1 3 4 5 4" xfId="6006"/>
    <cellStyle name="Style 1 3 4 6" xfId="6007"/>
    <cellStyle name="Style 1 3 4 6 2" xfId="6008"/>
    <cellStyle name="Style 1 3 4 6 2 2" xfId="6009"/>
    <cellStyle name="Style 1 3 4 6 3" xfId="6010"/>
    <cellStyle name="Style 1 3 4 7" xfId="6011"/>
    <cellStyle name="Style 1 3 5" xfId="6012"/>
    <cellStyle name="Style 1 3 5 2" xfId="6013"/>
    <cellStyle name="Style 1 3 5 2 2" xfId="6014"/>
    <cellStyle name="Style 1 3 5 2 2 2" xfId="6015"/>
    <cellStyle name="Style 1 3 5 2 2 2 2" xfId="6016"/>
    <cellStyle name="Style 1 3 5 2 2 3" xfId="6017"/>
    <cellStyle name="Style 1 3 5 2 3" xfId="6018"/>
    <cellStyle name="Style 1 3 5 2 3 2" xfId="6019"/>
    <cellStyle name="Style 1 3 5 2 4" xfId="6020"/>
    <cellStyle name="Style 1 3 5 3" xfId="6021"/>
    <cellStyle name="Style 1 3 5 3 2" xfId="6022"/>
    <cellStyle name="Style 1 3 5 3 2 2" xfId="6023"/>
    <cellStyle name="Style 1 3 5 3 3" xfId="6024"/>
    <cellStyle name="Style 1 3 5 3 4" xfId="6025"/>
    <cellStyle name="Style 1 3 5 4" xfId="6026"/>
    <cellStyle name="Style 1 3 5 4 2" xfId="6027"/>
    <cellStyle name="Style 1 3 5 4 2 2" xfId="6028"/>
    <cellStyle name="Style 1 3 5 4 3" xfId="6029"/>
    <cellStyle name="Style 1 3 5 5" xfId="6030"/>
    <cellStyle name="Style 1 4" xfId="6031"/>
    <cellStyle name="Style 1 5" xfId="6032"/>
    <cellStyle name="Style 1 6" xfId="6033"/>
    <cellStyle name="Style 1_apollo_curves" xfId="6034"/>
    <cellStyle name="Style 2" xfId="6035"/>
    <cellStyle name="TableF" xfId="6036"/>
    <cellStyle name="TableF 2" xfId="6037"/>
    <cellStyle name="text" xfId="6038"/>
    <cellStyle name="text2" xfId="6039"/>
    <cellStyle name="Title 2" xfId="6040"/>
    <cellStyle name="Title 2 2" xfId="6041"/>
    <cellStyle name="Title 3" xfId="6042"/>
    <cellStyle name="Title 4" xfId="6043"/>
    <cellStyle name="Title 5" xfId="6044"/>
    <cellStyle name="Title 6" xfId="6045"/>
    <cellStyle name="title2" xfId="6046"/>
    <cellStyle name="TopGrey" xfId="6047"/>
    <cellStyle name="Total 2" xfId="6048"/>
    <cellStyle name="Total 2 2" xfId="6049"/>
    <cellStyle name="Total 2 2 2" xfId="6050"/>
    <cellStyle name="Total 2 2 2 2" xfId="6051"/>
    <cellStyle name="Total 2 2 2 2 2" xfId="6052"/>
    <cellStyle name="Total 2 2 2 2 2 2" xfId="6053"/>
    <cellStyle name="Total 2 2 2 2 2 2 2" xfId="6054"/>
    <cellStyle name="Total 2 2 2 2 2 2 2 2" xfId="6055"/>
    <cellStyle name="Total 2 2 2 2 2 2 2 2 2" xfId="6056"/>
    <cellStyle name="Total 2 2 2 2 2 2 2 3" xfId="6057"/>
    <cellStyle name="Total 2 2 2 2 2 2 3" xfId="6058"/>
    <cellStyle name="Total 2 2 2 2 2 2 3 2" xfId="6059"/>
    <cellStyle name="Total 2 2 2 2 2 2 4" xfId="6060"/>
    <cellStyle name="Total 2 2 2 2 2 3" xfId="6061"/>
    <cellStyle name="Total 2 2 2 2 2 3 2" xfId="6062"/>
    <cellStyle name="Total 2 2 2 2 2 3 2 2" xfId="6063"/>
    <cellStyle name="Total 2 2 2 2 2 3 3" xfId="6064"/>
    <cellStyle name="Total 2 2 2 2 2 3 4" xfId="6065"/>
    <cellStyle name="Total 2 2 2 2 2 4" xfId="6066"/>
    <cellStyle name="Total 2 2 2 2 2 4 2" xfId="6067"/>
    <cellStyle name="Total 2 2 2 2 2 4 2 2" xfId="6068"/>
    <cellStyle name="Total 2 2 2 2 2 4 3" xfId="6069"/>
    <cellStyle name="Total 2 2 2 2 2 5" xfId="6070"/>
    <cellStyle name="Total 2 2 2 2 2 5 2" xfId="6071"/>
    <cellStyle name="Total 2 2 2 2 2 6" xfId="6072"/>
    <cellStyle name="Total 2 2 2 2 3" xfId="6073"/>
    <cellStyle name="Total 2 2 2 2 3 2" xfId="6074"/>
    <cellStyle name="Total 2 2 2 2 3 2 2" xfId="6075"/>
    <cellStyle name="Total 2 2 2 2 3 2 2 2" xfId="6076"/>
    <cellStyle name="Total 2 2 2 2 3 2 2 2 2" xfId="6077"/>
    <cellStyle name="Total 2 2 2 2 3 2 2 3" xfId="6078"/>
    <cellStyle name="Total 2 2 2 2 3 2 3" xfId="6079"/>
    <cellStyle name="Total 2 2 2 2 3 2 3 2" xfId="6080"/>
    <cellStyle name="Total 2 2 2 2 3 2 4" xfId="6081"/>
    <cellStyle name="Total 2 2 2 2 3 3" xfId="6082"/>
    <cellStyle name="Total 2 2 2 2 3 3 2" xfId="6083"/>
    <cellStyle name="Total 2 2 2 2 3 3 2 2" xfId="6084"/>
    <cellStyle name="Total 2 2 2 2 3 3 3" xfId="6085"/>
    <cellStyle name="Total 2 2 2 2 3 3 4" xfId="6086"/>
    <cellStyle name="Total 2 2 2 2 3 4" xfId="6087"/>
    <cellStyle name="Total 2 2 2 2 3 4 2" xfId="6088"/>
    <cellStyle name="Total 2 2 2 2 3 4 2 2" xfId="6089"/>
    <cellStyle name="Total 2 2 2 2 3 4 3" xfId="6090"/>
    <cellStyle name="Total 2 2 2 2 3 5" xfId="6091"/>
    <cellStyle name="Total 2 2 2 2 3 5 2" xfId="6092"/>
    <cellStyle name="Total 2 2 2 2 3 6" xfId="6093"/>
    <cellStyle name="Total 2 2 2 2 4" xfId="6094"/>
    <cellStyle name="Total 2 2 2 2 4 2" xfId="6095"/>
    <cellStyle name="Total 2 2 2 2 4 2 2" xfId="6096"/>
    <cellStyle name="Total 2 2 2 2 4 2 2 2" xfId="6097"/>
    <cellStyle name="Total 2 2 2 2 4 2 2 2 2" xfId="6098"/>
    <cellStyle name="Total 2 2 2 2 4 2 2 3" xfId="6099"/>
    <cellStyle name="Total 2 2 2 2 4 2 3" xfId="6100"/>
    <cellStyle name="Total 2 2 2 2 4 2 3 2" xfId="6101"/>
    <cellStyle name="Total 2 2 2 2 4 2 4" xfId="6102"/>
    <cellStyle name="Total 2 2 2 2 4 3" xfId="6103"/>
    <cellStyle name="Total 2 2 2 2 4 3 2" xfId="6104"/>
    <cellStyle name="Total 2 2 2 2 4 3 2 2" xfId="6105"/>
    <cellStyle name="Total 2 2 2 2 4 3 3" xfId="6106"/>
    <cellStyle name="Total 2 2 2 2 4 3 4" xfId="6107"/>
    <cellStyle name="Total 2 2 2 2 4 4" xfId="6108"/>
    <cellStyle name="Total 2 2 2 2 4 4 2" xfId="6109"/>
    <cellStyle name="Total 2 2 2 2 4 4 2 2" xfId="6110"/>
    <cellStyle name="Total 2 2 2 2 4 4 3" xfId="6111"/>
    <cellStyle name="Total 2 2 2 2 4 5" xfId="6112"/>
    <cellStyle name="Total 2 2 2 2 4 5 2" xfId="6113"/>
    <cellStyle name="Total 2 2 2 2 4 6" xfId="6114"/>
    <cellStyle name="Total 2 2 2 2 5" xfId="6115"/>
    <cellStyle name="Total 2 2 2 2 5 2" xfId="6116"/>
    <cellStyle name="Total 2 2 2 3" xfId="6117"/>
    <cellStyle name="Total 2 2 2 3 2" xfId="6118"/>
    <cellStyle name="Total 2 2 2 3 2 2" xfId="6119"/>
    <cellStyle name="Total 2 2 2 3 2 2 2" xfId="6120"/>
    <cellStyle name="Total 2 2 2 3 2 2 2 2" xfId="6121"/>
    <cellStyle name="Total 2 2 2 3 2 2 3" xfId="6122"/>
    <cellStyle name="Total 2 2 2 3 2 3" xfId="6123"/>
    <cellStyle name="Total 2 2 2 3 2 3 2" xfId="6124"/>
    <cellStyle name="Total 2 2 2 3 2 4" xfId="6125"/>
    <cellStyle name="Total 2 2 2 3 3" xfId="6126"/>
    <cellStyle name="Total 2 2 2 3 3 2" xfId="6127"/>
    <cellStyle name="Total 2 2 2 3 3 2 2" xfId="6128"/>
    <cellStyle name="Total 2 2 2 3 3 3" xfId="6129"/>
    <cellStyle name="Total 2 2 2 3 3 4" xfId="6130"/>
    <cellStyle name="Total 2 2 2 3 4" xfId="6131"/>
    <cellStyle name="Total 2 2 2 3 4 2" xfId="6132"/>
    <cellStyle name="Total 2 2 2 3 4 2 2" xfId="6133"/>
    <cellStyle name="Total 2 2 2 3 4 3" xfId="6134"/>
    <cellStyle name="Total 2 2 2 3 5" xfId="6135"/>
    <cellStyle name="Total 2 2 2 3 5 2" xfId="6136"/>
    <cellStyle name="Total 2 2 2 3 6" xfId="6137"/>
    <cellStyle name="Total 2 2 2 4" xfId="6138"/>
    <cellStyle name="Total 2 2 2 4 2" xfId="6139"/>
    <cellStyle name="Total 2 2 2 4 2 2" xfId="6140"/>
    <cellStyle name="Total 2 2 2 4 2 2 2" xfId="6141"/>
    <cellStyle name="Total 2 2 2 4 2 2 2 2" xfId="6142"/>
    <cellStyle name="Total 2 2 2 4 2 2 3" xfId="6143"/>
    <cellStyle name="Total 2 2 2 4 2 3" xfId="6144"/>
    <cellStyle name="Total 2 2 2 4 2 3 2" xfId="6145"/>
    <cellStyle name="Total 2 2 2 4 2 4" xfId="6146"/>
    <cellStyle name="Total 2 2 2 4 3" xfId="6147"/>
    <cellStyle name="Total 2 2 2 4 3 2" xfId="6148"/>
    <cellStyle name="Total 2 2 2 4 3 2 2" xfId="6149"/>
    <cellStyle name="Total 2 2 2 4 3 3" xfId="6150"/>
    <cellStyle name="Total 2 2 2 4 3 4" xfId="6151"/>
    <cellStyle name="Total 2 2 2 4 4" xfId="6152"/>
    <cellStyle name="Total 2 2 2 4 4 2" xfId="6153"/>
    <cellStyle name="Total 2 2 2 4 4 2 2" xfId="6154"/>
    <cellStyle name="Total 2 2 2 4 4 3" xfId="6155"/>
    <cellStyle name="Total 2 2 2 4 5" xfId="6156"/>
    <cellStyle name="Total 2 2 2 4 5 2" xfId="6157"/>
    <cellStyle name="Total 2 2 2 4 6" xfId="6158"/>
    <cellStyle name="Total 2 2 2 5" xfId="6159"/>
    <cellStyle name="Total 2 2 2 5 2" xfId="6160"/>
    <cellStyle name="Total 2 2 2 5 2 2" xfId="6161"/>
    <cellStyle name="Total 2 2 2 5 2 2 2" xfId="6162"/>
    <cellStyle name="Total 2 2 2 5 2 2 2 2" xfId="6163"/>
    <cellStyle name="Total 2 2 2 5 2 2 3" xfId="6164"/>
    <cellStyle name="Total 2 2 2 5 2 3" xfId="6165"/>
    <cellStyle name="Total 2 2 2 5 2 3 2" xfId="6166"/>
    <cellStyle name="Total 2 2 2 5 2 4" xfId="6167"/>
    <cellStyle name="Total 2 2 2 5 3" xfId="6168"/>
    <cellStyle name="Total 2 2 2 5 3 2" xfId="6169"/>
    <cellStyle name="Total 2 2 2 5 3 2 2" xfId="6170"/>
    <cellStyle name="Total 2 2 2 5 3 3" xfId="6171"/>
    <cellStyle name="Total 2 2 2 5 3 4" xfId="6172"/>
    <cellStyle name="Total 2 2 2 5 4" xfId="6173"/>
    <cellStyle name="Total 2 2 2 5 4 2" xfId="6174"/>
    <cellStyle name="Total 2 2 2 5 4 2 2" xfId="6175"/>
    <cellStyle name="Total 2 2 2 5 4 3" xfId="6176"/>
    <cellStyle name="Total 2 2 2 5 5" xfId="6177"/>
    <cellStyle name="Total 2 2 2 5 5 2" xfId="6178"/>
    <cellStyle name="Total 2 2 2 5 6" xfId="6179"/>
    <cellStyle name="Total 2 2 2 6" xfId="6180"/>
    <cellStyle name="Total 2 2 2 6 2" xfId="6181"/>
    <cellStyle name="Total 2 2 3" xfId="6182"/>
    <cellStyle name="Total 2 2 3 2" xfId="6183"/>
    <cellStyle name="Total 2 2 3 2 2" xfId="6184"/>
    <cellStyle name="Total 2 2 3 2 2 2" xfId="6185"/>
    <cellStyle name="Total 2 2 3 2 2 2 2" xfId="6186"/>
    <cellStyle name="Total 2 2 3 2 2 2 2 2" xfId="6187"/>
    <cellStyle name="Total 2 2 3 2 2 2 3" xfId="6188"/>
    <cellStyle name="Total 2 2 3 2 2 3" xfId="6189"/>
    <cellStyle name="Total 2 2 3 2 2 3 2" xfId="6190"/>
    <cellStyle name="Total 2 2 3 2 2 4" xfId="6191"/>
    <cellStyle name="Total 2 2 3 2 3" xfId="6192"/>
    <cellStyle name="Total 2 2 3 2 3 2" xfId="6193"/>
    <cellStyle name="Total 2 2 3 2 3 2 2" xfId="6194"/>
    <cellStyle name="Total 2 2 3 2 3 3" xfId="6195"/>
    <cellStyle name="Total 2 2 3 2 3 4" xfId="6196"/>
    <cellStyle name="Total 2 2 3 2 4" xfId="6197"/>
    <cellStyle name="Total 2 2 3 2 4 2" xfId="6198"/>
    <cellStyle name="Total 2 2 3 2 4 2 2" xfId="6199"/>
    <cellStyle name="Total 2 2 3 2 4 3" xfId="6200"/>
    <cellStyle name="Total 2 2 3 2 5" xfId="6201"/>
    <cellStyle name="Total 2 2 3 2 5 2" xfId="6202"/>
    <cellStyle name="Total 2 2 3 2 6" xfId="6203"/>
    <cellStyle name="Total 2 2 3 3" xfId="6204"/>
    <cellStyle name="Total 2 2 3 3 2" xfId="6205"/>
    <cellStyle name="Total 2 2 3 3 2 2" xfId="6206"/>
    <cellStyle name="Total 2 2 3 3 2 2 2" xfId="6207"/>
    <cellStyle name="Total 2 2 3 3 2 2 2 2" xfId="6208"/>
    <cellStyle name="Total 2 2 3 3 2 2 3" xfId="6209"/>
    <cellStyle name="Total 2 2 3 3 2 3" xfId="6210"/>
    <cellStyle name="Total 2 2 3 3 2 3 2" xfId="6211"/>
    <cellStyle name="Total 2 2 3 3 2 4" xfId="6212"/>
    <cellStyle name="Total 2 2 3 3 3" xfId="6213"/>
    <cellStyle name="Total 2 2 3 3 3 2" xfId="6214"/>
    <cellStyle name="Total 2 2 3 3 3 2 2" xfId="6215"/>
    <cellStyle name="Total 2 2 3 3 3 3" xfId="6216"/>
    <cellStyle name="Total 2 2 3 3 3 4" xfId="6217"/>
    <cellStyle name="Total 2 2 3 3 4" xfId="6218"/>
    <cellStyle name="Total 2 2 3 3 4 2" xfId="6219"/>
    <cellStyle name="Total 2 2 3 3 4 2 2" xfId="6220"/>
    <cellStyle name="Total 2 2 3 3 4 3" xfId="6221"/>
    <cellStyle name="Total 2 2 3 3 5" xfId="6222"/>
    <cellStyle name="Total 2 2 3 3 5 2" xfId="6223"/>
    <cellStyle name="Total 2 2 3 3 6" xfId="6224"/>
    <cellStyle name="Total 2 2 3 4" xfId="6225"/>
    <cellStyle name="Total 2 2 3 4 2" xfId="6226"/>
    <cellStyle name="Total 2 2 3 4 2 2" xfId="6227"/>
    <cellStyle name="Total 2 2 3 4 2 2 2" xfId="6228"/>
    <cellStyle name="Total 2 2 3 4 2 2 2 2" xfId="6229"/>
    <cellStyle name="Total 2 2 3 4 2 2 3" xfId="6230"/>
    <cellStyle name="Total 2 2 3 4 2 3" xfId="6231"/>
    <cellStyle name="Total 2 2 3 4 2 3 2" xfId="6232"/>
    <cellStyle name="Total 2 2 3 4 2 4" xfId="6233"/>
    <cellStyle name="Total 2 2 3 4 3" xfId="6234"/>
    <cellStyle name="Total 2 2 3 4 3 2" xfId="6235"/>
    <cellStyle name="Total 2 2 3 4 3 2 2" xfId="6236"/>
    <cellStyle name="Total 2 2 3 4 3 3" xfId="6237"/>
    <cellStyle name="Total 2 2 3 4 3 4" xfId="6238"/>
    <cellStyle name="Total 2 2 3 4 4" xfId="6239"/>
    <cellStyle name="Total 2 2 3 4 4 2" xfId="6240"/>
    <cellStyle name="Total 2 2 3 4 4 2 2" xfId="6241"/>
    <cellStyle name="Total 2 2 3 4 4 3" xfId="6242"/>
    <cellStyle name="Total 2 2 3 4 5" xfId="6243"/>
    <cellStyle name="Total 2 2 3 4 5 2" xfId="6244"/>
    <cellStyle name="Total 2 2 3 4 6" xfId="6245"/>
    <cellStyle name="Total 2 2 3 5" xfId="6246"/>
    <cellStyle name="Total 2 2 3 5 2" xfId="6247"/>
    <cellStyle name="Total 2 2 4" xfId="6248"/>
    <cellStyle name="Total 2 2 4 2" xfId="6249"/>
    <cellStyle name="Total 2 2 4 2 2" xfId="6250"/>
    <cellStyle name="Total 2 2 4 2 2 2" xfId="6251"/>
    <cellStyle name="Total 2 2 4 2 2 2 2" xfId="6252"/>
    <cellStyle name="Total 2 2 4 2 2 2 2 2" xfId="6253"/>
    <cellStyle name="Total 2 2 4 2 2 2 3" xfId="6254"/>
    <cellStyle name="Total 2 2 4 2 2 3" xfId="6255"/>
    <cellStyle name="Total 2 2 4 2 2 3 2" xfId="6256"/>
    <cellStyle name="Total 2 2 4 2 2 4" xfId="6257"/>
    <cellStyle name="Total 2 2 4 2 3" xfId="6258"/>
    <cellStyle name="Total 2 2 4 2 3 2" xfId="6259"/>
    <cellStyle name="Total 2 2 4 2 3 2 2" xfId="6260"/>
    <cellStyle name="Total 2 2 4 2 3 3" xfId="6261"/>
    <cellStyle name="Total 2 2 4 2 3 4" xfId="6262"/>
    <cellStyle name="Total 2 2 4 2 4" xfId="6263"/>
    <cellStyle name="Total 2 2 4 2 4 2" xfId="6264"/>
    <cellStyle name="Total 2 2 4 2 4 2 2" xfId="6265"/>
    <cellStyle name="Total 2 2 4 2 4 3" xfId="6266"/>
    <cellStyle name="Total 2 2 4 2 5" xfId="6267"/>
    <cellStyle name="Total 2 2 4 2 5 2" xfId="6268"/>
    <cellStyle name="Total 2 2 4 2 6" xfId="6269"/>
    <cellStyle name="Total 2 2 4 3" xfId="6270"/>
    <cellStyle name="Total 2 2 4 3 2" xfId="6271"/>
    <cellStyle name="Total 2 2 4 3 2 2" xfId="6272"/>
    <cellStyle name="Total 2 2 4 3 2 2 2" xfId="6273"/>
    <cellStyle name="Total 2 2 4 3 2 2 2 2" xfId="6274"/>
    <cellStyle name="Total 2 2 4 3 2 2 3" xfId="6275"/>
    <cellStyle name="Total 2 2 4 3 2 3" xfId="6276"/>
    <cellStyle name="Total 2 2 4 3 2 3 2" xfId="6277"/>
    <cellStyle name="Total 2 2 4 3 2 4" xfId="6278"/>
    <cellStyle name="Total 2 2 4 3 3" xfId="6279"/>
    <cellStyle name="Total 2 2 4 3 3 2" xfId="6280"/>
    <cellStyle name="Total 2 2 4 3 3 2 2" xfId="6281"/>
    <cellStyle name="Total 2 2 4 3 3 3" xfId="6282"/>
    <cellStyle name="Total 2 2 4 3 3 4" xfId="6283"/>
    <cellStyle name="Total 2 2 4 3 4" xfId="6284"/>
    <cellStyle name="Total 2 2 4 3 4 2" xfId="6285"/>
    <cellStyle name="Total 2 2 4 3 4 2 2" xfId="6286"/>
    <cellStyle name="Total 2 2 4 3 4 3" xfId="6287"/>
    <cellStyle name="Total 2 2 4 3 5" xfId="6288"/>
    <cellStyle name="Total 2 2 4 3 5 2" xfId="6289"/>
    <cellStyle name="Total 2 2 4 3 6" xfId="6290"/>
    <cellStyle name="Total 2 2 4 4" xfId="6291"/>
    <cellStyle name="Total 2 2 4 4 2" xfId="6292"/>
    <cellStyle name="Total 2 2 4 4 2 2" xfId="6293"/>
    <cellStyle name="Total 2 2 4 4 2 2 2" xfId="6294"/>
    <cellStyle name="Total 2 2 4 4 2 3" xfId="6295"/>
    <cellStyle name="Total 2 2 4 4 3" xfId="6296"/>
    <cellStyle name="Total 2 2 4 4 3 2" xfId="6297"/>
    <cellStyle name="Total 2 2 4 4 4" xfId="6298"/>
    <cellStyle name="Total 2 2 4 5" xfId="6299"/>
    <cellStyle name="Total 2 2 4 5 2" xfId="6300"/>
    <cellStyle name="Total 2 2 4 5 2 2" xfId="6301"/>
    <cellStyle name="Total 2 2 4 5 3" xfId="6302"/>
    <cellStyle name="Total 2 2 4 5 4" xfId="6303"/>
    <cellStyle name="Total 2 2 4 6" xfId="6304"/>
    <cellStyle name="Total 2 2 4 6 2" xfId="6305"/>
    <cellStyle name="Total 2 2 4 6 2 2" xfId="6306"/>
    <cellStyle name="Total 2 2 4 6 3" xfId="6307"/>
    <cellStyle name="Total 2 2 4 7" xfId="6308"/>
    <cellStyle name="Total 2 2 4 7 2" xfId="6309"/>
    <cellStyle name="Total 2 2 4 8" xfId="6310"/>
    <cellStyle name="Total 2 2 5" xfId="6311"/>
    <cellStyle name="Total 2 2 5 2" xfId="6312"/>
    <cellStyle name="Total 2 2 5 2 2" xfId="6313"/>
    <cellStyle name="Total 2 2 5 2 2 2" xfId="6314"/>
    <cellStyle name="Total 2 2 5 2 2 2 2" xfId="6315"/>
    <cellStyle name="Total 2 2 5 2 2 3" xfId="6316"/>
    <cellStyle name="Total 2 2 5 2 3" xfId="6317"/>
    <cellStyle name="Total 2 2 5 2 3 2" xfId="6318"/>
    <cellStyle name="Total 2 2 5 2 4" xfId="6319"/>
    <cellStyle name="Total 2 2 5 3" xfId="6320"/>
    <cellStyle name="Total 2 2 5 3 2" xfId="6321"/>
    <cellStyle name="Total 2 2 5 3 2 2" xfId="6322"/>
    <cellStyle name="Total 2 2 5 3 3" xfId="6323"/>
    <cellStyle name="Total 2 2 5 3 4" xfId="6324"/>
    <cellStyle name="Total 2 2 5 4" xfId="6325"/>
    <cellStyle name="Total 2 2 5 4 2" xfId="6326"/>
    <cellStyle name="Total 2 2 5 4 2 2" xfId="6327"/>
    <cellStyle name="Total 2 2 5 4 3" xfId="6328"/>
    <cellStyle name="Total 2 2 5 5" xfId="6329"/>
    <cellStyle name="Total 2 2 5 5 2" xfId="6330"/>
    <cellStyle name="Total 2 2 5 6" xfId="6331"/>
    <cellStyle name="Total 2 3" xfId="6332"/>
    <cellStyle name="Total 2 3 2" xfId="6333"/>
    <cellStyle name="Total 2 3 2 2" xfId="6334"/>
    <cellStyle name="Total 2 3 2 2 2" xfId="6335"/>
    <cellStyle name="Total 2 3 2 2 2 2" xfId="6336"/>
    <cellStyle name="Total 2 3 2 2 2 2 2" xfId="6337"/>
    <cellStyle name="Total 2 3 2 2 2 2 2 2" xfId="6338"/>
    <cellStyle name="Total 2 3 2 2 2 2 3" xfId="6339"/>
    <cellStyle name="Total 2 3 2 2 2 3" xfId="6340"/>
    <cellStyle name="Total 2 3 2 2 2 3 2" xfId="6341"/>
    <cellStyle name="Total 2 3 2 2 2 4" xfId="6342"/>
    <cellStyle name="Total 2 3 2 2 3" xfId="6343"/>
    <cellStyle name="Total 2 3 2 2 3 2" xfId="6344"/>
    <cellStyle name="Total 2 3 2 2 3 2 2" xfId="6345"/>
    <cellStyle name="Total 2 3 2 2 3 3" xfId="6346"/>
    <cellStyle name="Total 2 3 2 2 3 4" xfId="6347"/>
    <cellStyle name="Total 2 3 2 2 4" xfId="6348"/>
    <cellStyle name="Total 2 3 2 2 4 2" xfId="6349"/>
    <cellStyle name="Total 2 3 2 2 4 2 2" xfId="6350"/>
    <cellStyle name="Total 2 3 2 2 4 3" xfId="6351"/>
    <cellStyle name="Total 2 3 2 2 5" xfId="6352"/>
    <cellStyle name="Total 2 3 2 2 5 2" xfId="6353"/>
    <cellStyle name="Total 2 3 2 2 6" xfId="6354"/>
    <cellStyle name="Total 2 3 2 3" xfId="6355"/>
    <cellStyle name="Total 2 3 2 3 2" xfId="6356"/>
    <cellStyle name="Total 2 3 2 3 2 2" xfId="6357"/>
    <cellStyle name="Total 2 3 2 3 2 2 2" xfId="6358"/>
    <cellStyle name="Total 2 3 2 3 2 2 2 2" xfId="6359"/>
    <cellStyle name="Total 2 3 2 3 2 2 3" xfId="6360"/>
    <cellStyle name="Total 2 3 2 3 2 3" xfId="6361"/>
    <cellStyle name="Total 2 3 2 3 2 3 2" xfId="6362"/>
    <cellStyle name="Total 2 3 2 3 2 4" xfId="6363"/>
    <cellStyle name="Total 2 3 2 3 3" xfId="6364"/>
    <cellStyle name="Total 2 3 2 3 3 2" xfId="6365"/>
    <cellStyle name="Total 2 3 2 3 3 2 2" xfId="6366"/>
    <cellStyle name="Total 2 3 2 3 3 3" xfId="6367"/>
    <cellStyle name="Total 2 3 2 3 3 4" xfId="6368"/>
    <cellStyle name="Total 2 3 2 3 4" xfId="6369"/>
    <cellStyle name="Total 2 3 2 3 4 2" xfId="6370"/>
    <cellStyle name="Total 2 3 2 3 4 2 2" xfId="6371"/>
    <cellStyle name="Total 2 3 2 3 4 3" xfId="6372"/>
    <cellStyle name="Total 2 3 2 3 5" xfId="6373"/>
    <cellStyle name="Total 2 3 2 3 5 2" xfId="6374"/>
    <cellStyle name="Total 2 3 2 3 6" xfId="6375"/>
    <cellStyle name="Total 2 3 2 4" xfId="6376"/>
    <cellStyle name="Total 2 3 2 4 2" xfId="6377"/>
    <cellStyle name="Total 2 3 2 4 2 2" xfId="6378"/>
    <cellStyle name="Total 2 3 2 4 2 2 2" xfId="6379"/>
    <cellStyle name="Total 2 3 2 4 2 2 2 2" xfId="6380"/>
    <cellStyle name="Total 2 3 2 4 2 2 3" xfId="6381"/>
    <cellStyle name="Total 2 3 2 4 2 3" xfId="6382"/>
    <cellStyle name="Total 2 3 2 4 2 3 2" xfId="6383"/>
    <cellStyle name="Total 2 3 2 4 2 4" xfId="6384"/>
    <cellStyle name="Total 2 3 2 4 3" xfId="6385"/>
    <cellStyle name="Total 2 3 2 4 3 2" xfId="6386"/>
    <cellStyle name="Total 2 3 2 4 3 2 2" xfId="6387"/>
    <cellStyle name="Total 2 3 2 4 3 3" xfId="6388"/>
    <cellStyle name="Total 2 3 2 4 3 4" xfId="6389"/>
    <cellStyle name="Total 2 3 2 4 4" xfId="6390"/>
    <cellStyle name="Total 2 3 2 4 4 2" xfId="6391"/>
    <cellStyle name="Total 2 3 2 4 4 2 2" xfId="6392"/>
    <cellStyle name="Total 2 3 2 4 4 3" xfId="6393"/>
    <cellStyle name="Total 2 3 2 4 5" xfId="6394"/>
    <cellStyle name="Total 2 3 2 4 5 2" xfId="6395"/>
    <cellStyle name="Total 2 3 2 4 6" xfId="6396"/>
    <cellStyle name="Total 2 3 2 5" xfId="6397"/>
    <cellStyle name="Total 2 3 2 5 2" xfId="6398"/>
    <cellStyle name="Total 2 3 3" xfId="6399"/>
    <cellStyle name="Total 2 3 3 2" xfId="6400"/>
    <cellStyle name="Total 2 3 3 2 2" xfId="6401"/>
    <cellStyle name="Total 2 3 3 2 2 2" xfId="6402"/>
    <cellStyle name="Total 2 3 3 2 2 2 2" xfId="6403"/>
    <cellStyle name="Total 2 3 3 2 2 3" xfId="6404"/>
    <cellStyle name="Total 2 3 3 2 3" xfId="6405"/>
    <cellStyle name="Total 2 3 3 2 3 2" xfId="6406"/>
    <cellStyle name="Total 2 3 3 2 4" xfId="6407"/>
    <cellStyle name="Total 2 3 3 3" xfId="6408"/>
    <cellStyle name="Total 2 3 3 3 2" xfId="6409"/>
    <cellStyle name="Total 2 3 3 3 2 2" xfId="6410"/>
    <cellStyle name="Total 2 3 3 3 3" xfId="6411"/>
    <cellStyle name="Total 2 3 3 3 4" xfId="6412"/>
    <cellStyle name="Total 2 3 3 4" xfId="6413"/>
    <cellStyle name="Total 2 3 3 4 2" xfId="6414"/>
    <cellStyle name="Total 2 3 3 4 2 2" xfId="6415"/>
    <cellStyle name="Total 2 3 3 4 3" xfId="6416"/>
    <cellStyle name="Total 2 3 3 5" xfId="6417"/>
    <cellStyle name="Total 2 3 3 5 2" xfId="6418"/>
    <cellStyle name="Total 2 3 3 6" xfId="6419"/>
    <cellStyle name="Total 2 3 4" xfId="6420"/>
    <cellStyle name="Total 2 3 4 2" xfId="6421"/>
    <cellStyle name="Total 2 3 4 2 2" xfId="6422"/>
    <cellStyle name="Total 2 3 4 2 2 2" xfId="6423"/>
    <cellStyle name="Total 2 3 4 2 2 2 2" xfId="6424"/>
    <cellStyle name="Total 2 3 4 2 2 3" xfId="6425"/>
    <cellStyle name="Total 2 3 4 2 3" xfId="6426"/>
    <cellStyle name="Total 2 3 4 2 3 2" xfId="6427"/>
    <cellStyle name="Total 2 3 4 2 4" xfId="6428"/>
    <cellStyle name="Total 2 3 4 3" xfId="6429"/>
    <cellStyle name="Total 2 3 4 3 2" xfId="6430"/>
    <cellStyle name="Total 2 3 4 3 2 2" xfId="6431"/>
    <cellStyle name="Total 2 3 4 3 3" xfId="6432"/>
    <cellStyle name="Total 2 3 4 3 4" xfId="6433"/>
    <cellStyle name="Total 2 3 4 4" xfId="6434"/>
    <cellStyle name="Total 2 3 4 4 2" xfId="6435"/>
    <cellStyle name="Total 2 3 4 4 2 2" xfId="6436"/>
    <cellStyle name="Total 2 3 4 4 3" xfId="6437"/>
    <cellStyle name="Total 2 3 4 5" xfId="6438"/>
    <cellStyle name="Total 2 3 4 5 2" xfId="6439"/>
    <cellStyle name="Total 2 3 4 6" xfId="6440"/>
    <cellStyle name="Total 2 3 5" xfId="6441"/>
    <cellStyle name="Total 2 3 5 2" xfId="6442"/>
    <cellStyle name="Total 2 3 5 2 2" xfId="6443"/>
    <cellStyle name="Total 2 3 5 2 2 2" xfId="6444"/>
    <cellStyle name="Total 2 3 5 2 2 2 2" xfId="6445"/>
    <cellStyle name="Total 2 3 5 2 2 3" xfId="6446"/>
    <cellStyle name="Total 2 3 5 2 3" xfId="6447"/>
    <cellStyle name="Total 2 3 5 2 3 2" xfId="6448"/>
    <cellStyle name="Total 2 3 5 2 4" xfId="6449"/>
    <cellStyle name="Total 2 3 5 3" xfId="6450"/>
    <cellStyle name="Total 2 3 5 3 2" xfId="6451"/>
    <cellStyle name="Total 2 3 5 3 2 2" xfId="6452"/>
    <cellStyle name="Total 2 3 5 3 3" xfId="6453"/>
    <cellStyle name="Total 2 3 5 3 4" xfId="6454"/>
    <cellStyle name="Total 2 3 5 4" xfId="6455"/>
    <cellStyle name="Total 2 3 5 4 2" xfId="6456"/>
    <cellStyle name="Total 2 3 5 4 2 2" xfId="6457"/>
    <cellStyle name="Total 2 3 5 4 3" xfId="6458"/>
    <cellStyle name="Total 2 3 5 5" xfId="6459"/>
    <cellStyle name="Total 2 3 5 5 2" xfId="6460"/>
    <cellStyle name="Total 2 3 5 6" xfId="6461"/>
    <cellStyle name="Total 2 3 6" xfId="6462"/>
    <cellStyle name="Total 2 3 6 2" xfId="6463"/>
    <cellStyle name="Total 2 4" xfId="6464"/>
    <cellStyle name="Total 2 4 2" xfId="6465"/>
    <cellStyle name="Total 2 4 2 2" xfId="6466"/>
    <cellStyle name="Total 2 4 2 2 2" xfId="6467"/>
    <cellStyle name="Total 2 4 2 2 2 2" xfId="6468"/>
    <cellStyle name="Total 2 4 2 2 2 2 2" xfId="6469"/>
    <cellStyle name="Total 2 4 2 2 2 3" xfId="6470"/>
    <cellStyle name="Total 2 4 2 2 3" xfId="6471"/>
    <cellStyle name="Total 2 4 2 2 3 2" xfId="6472"/>
    <cellStyle name="Total 2 4 2 2 4" xfId="6473"/>
    <cellStyle name="Total 2 4 2 3" xfId="6474"/>
    <cellStyle name="Total 2 4 2 3 2" xfId="6475"/>
    <cellStyle name="Total 2 4 2 3 2 2" xfId="6476"/>
    <cellStyle name="Total 2 4 2 3 3" xfId="6477"/>
    <cellStyle name="Total 2 4 2 3 4" xfId="6478"/>
    <cellStyle name="Total 2 4 2 4" xfId="6479"/>
    <cellStyle name="Total 2 4 2 4 2" xfId="6480"/>
    <cellStyle name="Total 2 4 2 4 2 2" xfId="6481"/>
    <cellStyle name="Total 2 4 2 4 3" xfId="6482"/>
    <cellStyle name="Total 2 4 2 5" xfId="6483"/>
    <cellStyle name="Total 2 4 2 5 2" xfId="6484"/>
    <cellStyle name="Total 2 4 2 6" xfId="6485"/>
    <cellStyle name="Total 2 4 3" xfId="6486"/>
    <cellStyle name="Total 2 4 3 2" xfId="6487"/>
    <cellStyle name="Total 2 4 3 2 2" xfId="6488"/>
    <cellStyle name="Total 2 4 3 2 2 2" xfId="6489"/>
    <cellStyle name="Total 2 4 3 2 2 2 2" xfId="6490"/>
    <cellStyle name="Total 2 4 3 2 2 3" xfId="6491"/>
    <cellStyle name="Total 2 4 3 2 3" xfId="6492"/>
    <cellStyle name="Total 2 4 3 2 3 2" xfId="6493"/>
    <cellStyle name="Total 2 4 3 2 4" xfId="6494"/>
    <cellStyle name="Total 2 4 3 3" xfId="6495"/>
    <cellStyle name="Total 2 4 3 3 2" xfId="6496"/>
    <cellStyle name="Total 2 4 3 3 2 2" xfId="6497"/>
    <cellStyle name="Total 2 4 3 3 3" xfId="6498"/>
    <cellStyle name="Total 2 4 3 3 4" xfId="6499"/>
    <cellStyle name="Total 2 4 3 4" xfId="6500"/>
    <cellStyle name="Total 2 4 3 4 2" xfId="6501"/>
    <cellStyle name="Total 2 4 3 4 2 2" xfId="6502"/>
    <cellStyle name="Total 2 4 3 4 3" xfId="6503"/>
    <cellStyle name="Total 2 4 3 5" xfId="6504"/>
    <cellStyle name="Total 2 4 3 5 2" xfId="6505"/>
    <cellStyle name="Total 2 4 3 6" xfId="6506"/>
    <cellStyle name="Total 2 4 4" xfId="6507"/>
    <cellStyle name="Total 2 4 4 2" xfId="6508"/>
    <cellStyle name="Total 2 4 4 2 2" xfId="6509"/>
    <cellStyle name="Total 2 4 4 2 2 2" xfId="6510"/>
    <cellStyle name="Total 2 4 4 2 2 2 2" xfId="6511"/>
    <cellStyle name="Total 2 4 4 2 2 3" xfId="6512"/>
    <cellStyle name="Total 2 4 4 2 3" xfId="6513"/>
    <cellStyle name="Total 2 4 4 2 3 2" xfId="6514"/>
    <cellStyle name="Total 2 4 4 2 4" xfId="6515"/>
    <cellStyle name="Total 2 4 4 3" xfId="6516"/>
    <cellStyle name="Total 2 4 4 3 2" xfId="6517"/>
    <cellStyle name="Total 2 4 4 3 2 2" xfId="6518"/>
    <cellStyle name="Total 2 4 4 3 3" xfId="6519"/>
    <cellStyle name="Total 2 4 4 3 4" xfId="6520"/>
    <cellStyle name="Total 2 4 4 4" xfId="6521"/>
    <cellStyle name="Total 2 4 4 4 2" xfId="6522"/>
    <cellStyle name="Total 2 4 4 4 2 2" xfId="6523"/>
    <cellStyle name="Total 2 4 4 4 3" xfId="6524"/>
    <cellStyle name="Total 2 4 4 5" xfId="6525"/>
    <cellStyle name="Total 2 4 4 5 2" xfId="6526"/>
    <cellStyle name="Total 2 4 4 6" xfId="6527"/>
    <cellStyle name="Total 2 4 5" xfId="6528"/>
    <cellStyle name="Total 2 4 5 2" xfId="6529"/>
    <cellStyle name="Total 2 5" xfId="6530"/>
    <cellStyle name="Total 2 5 2" xfId="6531"/>
    <cellStyle name="Total 2 5 2 2" xfId="6532"/>
    <cellStyle name="Total 2 5 2 2 2" xfId="6533"/>
    <cellStyle name="Total 2 5 2 2 2 2" xfId="6534"/>
    <cellStyle name="Total 2 5 2 2 2 2 2" xfId="6535"/>
    <cellStyle name="Total 2 5 2 2 2 3" xfId="6536"/>
    <cellStyle name="Total 2 5 2 2 3" xfId="6537"/>
    <cellStyle name="Total 2 5 2 2 3 2" xfId="6538"/>
    <cellStyle name="Total 2 5 2 2 4" xfId="6539"/>
    <cellStyle name="Total 2 5 2 3" xfId="6540"/>
    <cellStyle name="Total 2 5 2 3 2" xfId="6541"/>
    <cellStyle name="Total 2 5 2 3 2 2" xfId="6542"/>
    <cellStyle name="Total 2 5 2 3 3" xfId="6543"/>
    <cellStyle name="Total 2 5 2 3 4" xfId="6544"/>
    <cellStyle name="Total 2 5 2 4" xfId="6545"/>
    <cellStyle name="Total 2 5 2 4 2" xfId="6546"/>
    <cellStyle name="Total 2 5 2 4 2 2" xfId="6547"/>
    <cellStyle name="Total 2 5 2 4 3" xfId="6548"/>
    <cellStyle name="Total 2 5 2 5" xfId="6549"/>
    <cellStyle name="Total 2 5 2 5 2" xfId="6550"/>
    <cellStyle name="Total 2 5 2 6" xfId="6551"/>
    <cellStyle name="Total 2 5 3" xfId="6552"/>
    <cellStyle name="Total 2 5 3 2" xfId="6553"/>
    <cellStyle name="Total 2 5 3 2 2" xfId="6554"/>
    <cellStyle name="Total 2 5 3 2 2 2" xfId="6555"/>
    <cellStyle name="Total 2 5 3 2 2 2 2" xfId="6556"/>
    <cellStyle name="Total 2 5 3 2 2 3" xfId="6557"/>
    <cellStyle name="Total 2 5 3 2 3" xfId="6558"/>
    <cellStyle name="Total 2 5 3 2 3 2" xfId="6559"/>
    <cellStyle name="Total 2 5 3 2 4" xfId="6560"/>
    <cellStyle name="Total 2 5 3 3" xfId="6561"/>
    <cellStyle name="Total 2 5 3 3 2" xfId="6562"/>
    <cellStyle name="Total 2 5 3 3 2 2" xfId="6563"/>
    <cellStyle name="Total 2 5 3 3 3" xfId="6564"/>
    <cellStyle name="Total 2 5 3 3 4" xfId="6565"/>
    <cellStyle name="Total 2 5 3 4" xfId="6566"/>
    <cellStyle name="Total 2 5 3 4 2" xfId="6567"/>
    <cellStyle name="Total 2 5 3 4 2 2" xfId="6568"/>
    <cellStyle name="Total 2 5 3 4 3" xfId="6569"/>
    <cellStyle name="Total 2 5 3 5" xfId="6570"/>
    <cellStyle name="Total 2 5 3 5 2" xfId="6571"/>
    <cellStyle name="Total 2 5 3 6" xfId="6572"/>
    <cellStyle name="Total 2 5 4" xfId="6573"/>
    <cellStyle name="Total 2 5 4 2" xfId="6574"/>
    <cellStyle name="Total 2 5 4 2 2" xfId="6575"/>
    <cellStyle name="Total 2 5 4 2 2 2" xfId="6576"/>
    <cellStyle name="Total 2 5 4 2 3" xfId="6577"/>
    <cellStyle name="Total 2 5 4 3" xfId="6578"/>
    <cellStyle name="Total 2 5 4 3 2" xfId="6579"/>
    <cellStyle name="Total 2 5 4 4" xfId="6580"/>
    <cellStyle name="Total 2 5 5" xfId="6581"/>
    <cellStyle name="Total 2 5 5 2" xfId="6582"/>
    <cellStyle name="Total 2 5 5 2 2" xfId="6583"/>
    <cellStyle name="Total 2 5 5 3" xfId="6584"/>
    <cellStyle name="Total 2 5 5 4" xfId="6585"/>
    <cellStyle name="Total 2 5 6" xfId="6586"/>
    <cellStyle name="Total 2 5 6 2" xfId="6587"/>
    <cellStyle name="Total 2 5 6 2 2" xfId="6588"/>
    <cellStyle name="Total 2 5 6 3" xfId="6589"/>
    <cellStyle name="Total 2 5 7" xfId="6590"/>
    <cellStyle name="Total 2 5 7 2" xfId="6591"/>
    <cellStyle name="Total 2 5 8" xfId="6592"/>
    <cellStyle name="Total 2 6" xfId="6593"/>
    <cellStyle name="Total 2 6 2" xfId="6594"/>
    <cellStyle name="Total 2 6 2 2" xfId="6595"/>
    <cellStyle name="Total 2 6 2 2 2" xfId="6596"/>
    <cellStyle name="Total 2 6 2 2 2 2" xfId="6597"/>
    <cellStyle name="Total 2 6 2 2 3" xfId="6598"/>
    <cellStyle name="Total 2 6 2 3" xfId="6599"/>
    <cellStyle name="Total 2 6 2 3 2" xfId="6600"/>
    <cellStyle name="Total 2 6 2 4" xfId="6601"/>
    <cellStyle name="Total 2 6 3" xfId="6602"/>
    <cellStyle name="Total 2 6 3 2" xfId="6603"/>
    <cellStyle name="Total 2 6 3 2 2" xfId="6604"/>
    <cellStyle name="Total 2 6 3 3" xfId="6605"/>
    <cellStyle name="Total 2 6 3 4" xfId="6606"/>
    <cellStyle name="Total 2 6 4" xfId="6607"/>
    <cellStyle name="Total 2 6 4 2" xfId="6608"/>
    <cellStyle name="Total 2 6 4 2 2" xfId="6609"/>
    <cellStyle name="Total 2 6 4 3" xfId="6610"/>
    <cellStyle name="Total 2 6 5" xfId="6611"/>
    <cellStyle name="Total 2 6 5 2" xfId="6612"/>
    <cellStyle name="Total 2 6 6" xfId="6613"/>
    <cellStyle name="Total 3" xfId="6614"/>
    <cellStyle name="Total 3 2" xfId="6615"/>
    <cellStyle name="Total 3 2 2" xfId="6616"/>
    <cellStyle name="Total 3 2 2 2" xfId="6617"/>
    <cellStyle name="Total 3 2 2 2 2" xfId="6618"/>
    <cellStyle name="Total 3 2 2 2 2 2" xfId="6619"/>
    <cellStyle name="Total 3 2 2 2 2 2 2" xfId="6620"/>
    <cellStyle name="Total 3 2 2 2 2 2 2 2" xfId="6621"/>
    <cellStyle name="Total 3 2 2 2 2 2 3" xfId="6622"/>
    <cellStyle name="Total 3 2 2 2 2 3" xfId="6623"/>
    <cellStyle name="Total 3 2 2 2 2 3 2" xfId="6624"/>
    <cellStyle name="Total 3 2 2 2 2 4" xfId="6625"/>
    <cellStyle name="Total 3 2 2 2 3" xfId="6626"/>
    <cellStyle name="Total 3 2 2 2 3 2" xfId="6627"/>
    <cellStyle name="Total 3 2 2 2 3 2 2" xfId="6628"/>
    <cellStyle name="Total 3 2 2 2 3 3" xfId="6629"/>
    <cellStyle name="Total 3 2 2 2 3 4" xfId="6630"/>
    <cellStyle name="Total 3 2 2 2 4" xfId="6631"/>
    <cellStyle name="Total 3 2 2 2 4 2" xfId="6632"/>
    <cellStyle name="Total 3 2 2 2 4 2 2" xfId="6633"/>
    <cellStyle name="Total 3 2 2 2 4 3" xfId="6634"/>
    <cellStyle name="Total 3 2 2 2 5" xfId="6635"/>
    <cellStyle name="Total 3 2 2 2 5 2" xfId="6636"/>
    <cellStyle name="Total 3 2 2 2 6" xfId="6637"/>
    <cellStyle name="Total 3 2 2 3" xfId="6638"/>
    <cellStyle name="Total 3 2 2 3 2" xfId="6639"/>
    <cellStyle name="Total 3 2 2 3 2 2" xfId="6640"/>
    <cellStyle name="Total 3 2 2 3 2 2 2" xfId="6641"/>
    <cellStyle name="Total 3 2 2 3 2 2 2 2" xfId="6642"/>
    <cellStyle name="Total 3 2 2 3 2 2 3" xfId="6643"/>
    <cellStyle name="Total 3 2 2 3 2 3" xfId="6644"/>
    <cellStyle name="Total 3 2 2 3 2 3 2" xfId="6645"/>
    <cellStyle name="Total 3 2 2 3 2 4" xfId="6646"/>
    <cellStyle name="Total 3 2 2 3 3" xfId="6647"/>
    <cellStyle name="Total 3 2 2 3 3 2" xfId="6648"/>
    <cellStyle name="Total 3 2 2 3 3 2 2" xfId="6649"/>
    <cellStyle name="Total 3 2 2 3 3 3" xfId="6650"/>
    <cellStyle name="Total 3 2 2 3 3 4" xfId="6651"/>
    <cellStyle name="Total 3 2 2 3 4" xfId="6652"/>
    <cellStyle name="Total 3 2 2 3 4 2" xfId="6653"/>
    <cellStyle name="Total 3 2 2 3 4 2 2" xfId="6654"/>
    <cellStyle name="Total 3 2 2 3 4 3" xfId="6655"/>
    <cellStyle name="Total 3 2 2 3 5" xfId="6656"/>
    <cellStyle name="Total 3 2 2 3 5 2" xfId="6657"/>
    <cellStyle name="Total 3 2 2 3 6" xfId="6658"/>
    <cellStyle name="Total 3 2 2 4" xfId="6659"/>
    <cellStyle name="Total 3 2 2 4 2" xfId="6660"/>
    <cellStyle name="Total 3 2 2 4 2 2" xfId="6661"/>
    <cellStyle name="Total 3 2 2 4 2 2 2" xfId="6662"/>
    <cellStyle name="Total 3 2 2 4 2 2 2 2" xfId="6663"/>
    <cellStyle name="Total 3 2 2 4 2 2 3" xfId="6664"/>
    <cellStyle name="Total 3 2 2 4 2 3" xfId="6665"/>
    <cellStyle name="Total 3 2 2 4 2 3 2" xfId="6666"/>
    <cellStyle name="Total 3 2 2 4 2 4" xfId="6667"/>
    <cellStyle name="Total 3 2 2 4 3" xfId="6668"/>
    <cellStyle name="Total 3 2 2 4 3 2" xfId="6669"/>
    <cellStyle name="Total 3 2 2 4 3 2 2" xfId="6670"/>
    <cellStyle name="Total 3 2 2 4 3 3" xfId="6671"/>
    <cellStyle name="Total 3 2 2 4 3 4" xfId="6672"/>
    <cellStyle name="Total 3 2 2 4 4" xfId="6673"/>
    <cellStyle name="Total 3 2 2 4 4 2" xfId="6674"/>
    <cellStyle name="Total 3 2 2 4 4 2 2" xfId="6675"/>
    <cellStyle name="Total 3 2 2 4 4 3" xfId="6676"/>
    <cellStyle name="Total 3 2 2 4 5" xfId="6677"/>
    <cellStyle name="Total 3 2 2 4 5 2" xfId="6678"/>
    <cellStyle name="Total 3 2 2 4 6" xfId="6679"/>
    <cellStyle name="Total 3 2 2 5" xfId="6680"/>
    <cellStyle name="Total 3 2 2 5 2" xfId="6681"/>
    <cellStyle name="Total 3 2 3" xfId="6682"/>
    <cellStyle name="Total 3 2 3 2" xfId="6683"/>
    <cellStyle name="Total 3 2 3 2 2" xfId="6684"/>
    <cellStyle name="Total 3 2 3 2 2 2" xfId="6685"/>
    <cellStyle name="Total 3 2 3 2 2 2 2" xfId="6686"/>
    <cellStyle name="Total 3 2 3 2 2 3" xfId="6687"/>
    <cellStyle name="Total 3 2 3 2 3" xfId="6688"/>
    <cellStyle name="Total 3 2 3 2 3 2" xfId="6689"/>
    <cellStyle name="Total 3 2 3 2 4" xfId="6690"/>
    <cellStyle name="Total 3 2 3 3" xfId="6691"/>
    <cellStyle name="Total 3 2 3 3 2" xfId="6692"/>
    <cellStyle name="Total 3 2 3 3 2 2" xfId="6693"/>
    <cellStyle name="Total 3 2 3 3 3" xfId="6694"/>
    <cellStyle name="Total 3 2 3 3 4" xfId="6695"/>
    <cellStyle name="Total 3 2 3 4" xfId="6696"/>
    <cellStyle name="Total 3 2 3 4 2" xfId="6697"/>
    <cellStyle name="Total 3 2 3 4 2 2" xfId="6698"/>
    <cellStyle name="Total 3 2 3 4 3" xfId="6699"/>
    <cellStyle name="Total 3 2 3 5" xfId="6700"/>
    <cellStyle name="Total 3 2 3 5 2" xfId="6701"/>
    <cellStyle name="Total 3 2 3 6" xfId="6702"/>
    <cellStyle name="Total 3 2 4" xfId="6703"/>
    <cellStyle name="Total 3 2 4 2" xfId="6704"/>
    <cellStyle name="Total 3 2 4 2 2" xfId="6705"/>
    <cellStyle name="Total 3 2 4 2 2 2" xfId="6706"/>
    <cellStyle name="Total 3 2 4 2 2 2 2" xfId="6707"/>
    <cellStyle name="Total 3 2 4 2 2 3" xfId="6708"/>
    <cellStyle name="Total 3 2 4 2 3" xfId="6709"/>
    <cellStyle name="Total 3 2 4 2 3 2" xfId="6710"/>
    <cellStyle name="Total 3 2 4 2 4" xfId="6711"/>
    <cellStyle name="Total 3 2 4 3" xfId="6712"/>
    <cellStyle name="Total 3 2 4 3 2" xfId="6713"/>
    <cellStyle name="Total 3 2 4 3 2 2" xfId="6714"/>
    <cellStyle name="Total 3 2 4 3 3" xfId="6715"/>
    <cellStyle name="Total 3 2 4 3 4" xfId="6716"/>
    <cellStyle name="Total 3 2 4 4" xfId="6717"/>
    <cellStyle name="Total 3 2 4 4 2" xfId="6718"/>
    <cellStyle name="Total 3 2 4 4 2 2" xfId="6719"/>
    <cellStyle name="Total 3 2 4 4 3" xfId="6720"/>
    <cellStyle name="Total 3 2 4 5" xfId="6721"/>
    <cellStyle name="Total 3 2 4 5 2" xfId="6722"/>
    <cellStyle name="Total 3 2 4 6" xfId="6723"/>
    <cellStyle name="Total 3 2 5" xfId="6724"/>
    <cellStyle name="Total 3 2 5 2" xfId="6725"/>
    <cellStyle name="Total 3 2 5 2 2" xfId="6726"/>
    <cellStyle name="Total 3 2 5 2 2 2" xfId="6727"/>
    <cellStyle name="Total 3 2 5 2 2 2 2" xfId="6728"/>
    <cellStyle name="Total 3 2 5 2 2 3" xfId="6729"/>
    <cellStyle name="Total 3 2 5 2 3" xfId="6730"/>
    <cellStyle name="Total 3 2 5 2 3 2" xfId="6731"/>
    <cellStyle name="Total 3 2 5 2 4" xfId="6732"/>
    <cellStyle name="Total 3 2 5 3" xfId="6733"/>
    <cellStyle name="Total 3 2 5 3 2" xfId="6734"/>
    <cellStyle name="Total 3 2 5 3 2 2" xfId="6735"/>
    <cellStyle name="Total 3 2 5 3 3" xfId="6736"/>
    <cellStyle name="Total 3 2 5 3 4" xfId="6737"/>
    <cellStyle name="Total 3 2 5 4" xfId="6738"/>
    <cellStyle name="Total 3 2 5 4 2" xfId="6739"/>
    <cellStyle name="Total 3 2 5 4 2 2" xfId="6740"/>
    <cellStyle name="Total 3 2 5 4 3" xfId="6741"/>
    <cellStyle name="Total 3 2 5 5" xfId="6742"/>
    <cellStyle name="Total 3 2 5 5 2" xfId="6743"/>
    <cellStyle name="Total 3 2 5 6" xfId="6744"/>
    <cellStyle name="Total 3 2 6" xfId="6745"/>
    <cellStyle name="Total 3 2 6 2" xfId="6746"/>
    <cellStyle name="Total 3 3" xfId="6747"/>
    <cellStyle name="Total 3 3 2" xfId="6748"/>
    <cellStyle name="Total 3 3 2 2" xfId="6749"/>
    <cellStyle name="Total 3 3 2 2 2" xfId="6750"/>
    <cellStyle name="Total 3 3 2 2 2 2" xfId="6751"/>
    <cellStyle name="Total 3 3 2 2 2 2 2" xfId="6752"/>
    <cellStyle name="Total 3 3 2 2 2 3" xfId="6753"/>
    <cellStyle name="Total 3 3 2 2 3" xfId="6754"/>
    <cellStyle name="Total 3 3 2 2 3 2" xfId="6755"/>
    <cellStyle name="Total 3 3 2 2 4" xfId="6756"/>
    <cellStyle name="Total 3 3 2 3" xfId="6757"/>
    <cellStyle name="Total 3 3 2 3 2" xfId="6758"/>
    <cellStyle name="Total 3 3 2 3 2 2" xfId="6759"/>
    <cellStyle name="Total 3 3 2 3 3" xfId="6760"/>
    <cellStyle name="Total 3 3 2 3 4" xfId="6761"/>
    <cellStyle name="Total 3 3 2 4" xfId="6762"/>
    <cellStyle name="Total 3 3 2 4 2" xfId="6763"/>
    <cellStyle name="Total 3 3 2 4 2 2" xfId="6764"/>
    <cellStyle name="Total 3 3 2 4 3" xfId="6765"/>
    <cellStyle name="Total 3 3 2 5" xfId="6766"/>
    <cellStyle name="Total 3 3 2 5 2" xfId="6767"/>
    <cellStyle name="Total 3 3 2 6" xfId="6768"/>
    <cellStyle name="Total 3 3 3" xfId="6769"/>
    <cellStyle name="Total 3 3 3 2" xfId="6770"/>
    <cellStyle name="Total 3 3 3 2 2" xfId="6771"/>
    <cellStyle name="Total 3 3 3 2 2 2" xfId="6772"/>
    <cellStyle name="Total 3 3 3 2 2 2 2" xfId="6773"/>
    <cellStyle name="Total 3 3 3 2 2 3" xfId="6774"/>
    <cellStyle name="Total 3 3 3 2 3" xfId="6775"/>
    <cellStyle name="Total 3 3 3 2 3 2" xfId="6776"/>
    <cellStyle name="Total 3 3 3 2 4" xfId="6777"/>
    <cellStyle name="Total 3 3 3 3" xfId="6778"/>
    <cellStyle name="Total 3 3 3 3 2" xfId="6779"/>
    <cellStyle name="Total 3 3 3 3 2 2" xfId="6780"/>
    <cellStyle name="Total 3 3 3 3 3" xfId="6781"/>
    <cellStyle name="Total 3 3 3 3 4" xfId="6782"/>
    <cellStyle name="Total 3 3 3 4" xfId="6783"/>
    <cellStyle name="Total 3 3 3 4 2" xfId="6784"/>
    <cellStyle name="Total 3 3 3 4 2 2" xfId="6785"/>
    <cellStyle name="Total 3 3 3 4 3" xfId="6786"/>
    <cellStyle name="Total 3 3 3 5" xfId="6787"/>
    <cellStyle name="Total 3 3 3 5 2" xfId="6788"/>
    <cellStyle name="Total 3 3 3 6" xfId="6789"/>
    <cellStyle name="Total 3 3 4" xfId="6790"/>
    <cellStyle name="Total 3 3 4 2" xfId="6791"/>
    <cellStyle name="Total 3 3 4 2 2" xfId="6792"/>
    <cellStyle name="Total 3 3 4 2 2 2" xfId="6793"/>
    <cellStyle name="Total 3 3 4 2 2 2 2" xfId="6794"/>
    <cellStyle name="Total 3 3 4 2 2 3" xfId="6795"/>
    <cellStyle name="Total 3 3 4 2 3" xfId="6796"/>
    <cellStyle name="Total 3 3 4 2 3 2" xfId="6797"/>
    <cellStyle name="Total 3 3 4 2 4" xfId="6798"/>
    <cellStyle name="Total 3 3 4 3" xfId="6799"/>
    <cellStyle name="Total 3 3 4 3 2" xfId="6800"/>
    <cellStyle name="Total 3 3 4 3 2 2" xfId="6801"/>
    <cellStyle name="Total 3 3 4 3 3" xfId="6802"/>
    <cellStyle name="Total 3 3 4 3 4" xfId="6803"/>
    <cellStyle name="Total 3 3 4 4" xfId="6804"/>
    <cellStyle name="Total 3 3 4 4 2" xfId="6805"/>
    <cellStyle name="Total 3 3 4 4 2 2" xfId="6806"/>
    <cellStyle name="Total 3 3 4 4 3" xfId="6807"/>
    <cellStyle name="Total 3 3 4 5" xfId="6808"/>
    <cellStyle name="Total 3 3 4 5 2" xfId="6809"/>
    <cellStyle name="Total 3 3 4 6" xfId="6810"/>
    <cellStyle name="Total 3 3 5" xfId="6811"/>
    <cellStyle name="Total 3 3 5 2" xfId="6812"/>
    <cellStyle name="Total 3 4" xfId="6813"/>
    <cellStyle name="Total 3 4 2" xfId="6814"/>
    <cellStyle name="Total 3 4 2 2" xfId="6815"/>
    <cellStyle name="Total 3 4 2 2 2" xfId="6816"/>
    <cellStyle name="Total 3 4 2 2 2 2" xfId="6817"/>
    <cellStyle name="Total 3 4 2 2 2 2 2" xfId="6818"/>
    <cellStyle name="Total 3 4 2 2 2 3" xfId="6819"/>
    <cellStyle name="Total 3 4 2 2 3" xfId="6820"/>
    <cellStyle name="Total 3 4 2 2 3 2" xfId="6821"/>
    <cellStyle name="Total 3 4 2 2 4" xfId="6822"/>
    <cellStyle name="Total 3 4 2 3" xfId="6823"/>
    <cellStyle name="Total 3 4 2 3 2" xfId="6824"/>
    <cellStyle name="Total 3 4 2 3 2 2" xfId="6825"/>
    <cellStyle name="Total 3 4 2 3 3" xfId="6826"/>
    <cellStyle name="Total 3 4 2 3 4" xfId="6827"/>
    <cellStyle name="Total 3 4 2 4" xfId="6828"/>
    <cellStyle name="Total 3 4 2 4 2" xfId="6829"/>
    <cellStyle name="Total 3 4 2 4 2 2" xfId="6830"/>
    <cellStyle name="Total 3 4 2 4 3" xfId="6831"/>
    <cellStyle name="Total 3 4 2 5" xfId="6832"/>
    <cellStyle name="Total 3 4 2 5 2" xfId="6833"/>
    <cellStyle name="Total 3 4 2 6" xfId="6834"/>
    <cellStyle name="Total 3 4 3" xfId="6835"/>
    <cellStyle name="Total 3 4 3 2" xfId="6836"/>
    <cellStyle name="Total 3 4 3 2 2" xfId="6837"/>
    <cellStyle name="Total 3 4 3 2 2 2" xfId="6838"/>
    <cellStyle name="Total 3 4 3 2 2 2 2" xfId="6839"/>
    <cellStyle name="Total 3 4 3 2 2 3" xfId="6840"/>
    <cellStyle name="Total 3 4 3 2 3" xfId="6841"/>
    <cellStyle name="Total 3 4 3 2 3 2" xfId="6842"/>
    <cellStyle name="Total 3 4 3 2 4" xfId="6843"/>
    <cellStyle name="Total 3 4 3 3" xfId="6844"/>
    <cellStyle name="Total 3 4 3 3 2" xfId="6845"/>
    <cellStyle name="Total 3 4 3 3 2 2" xfId="6846"/>
    <cellStyle name="Total 3 4 3 3 3" xfId="6847"/>
    <cellStyle name="Total 3 4 3 3 4" xfId="6848"/>
    <cellStyle name="Total 3 4 3 4" xfId="6849"/>
    <cellStyle name="Total 3 4 3 4 2" xfId="6850"/>
    <cellStyle name="Total 3 4 3 4 2 2" xfId="6851"/>
    <cellStyle name="Total 3 4 3 4 3" xfId="6852"/>
    <cellStyle name="Total 3 4 3 5" xfId="6853"/>
    <cellStyle name="Total 3 4 3 5 2" xfId="6854"/>
    <cellStyle name="Total 3 4 3 6" xfId="6855"/>
    <cellStyle name="Total 3 4 4" xfId="6856"/>
    <cellStyle name="Total 3 4 4 2" xfId="6857"/>
    <cellStyle name="Total 3 4 4 2 2" xfId="6858"/>
    <cellStyle name="Total 3 4 4 2 2 2" xfId="6859"/>
    <cellStyle name="Total 3 4 4 2 3" xfId="6860"/>
    <cellStyle name="Total 3 4 4 3" xfId="6861"/>
    <cellStyle name="Total 3 4 4 3 2" xfId="6862"/>
    <cellStyle name="Total 3 4 4 4" xfId="6863"/>
    <cellStyle name="Total 3 4 5" xfId="6864"/>
    <cellStyle name="Total 3 4 5 2" xfId="6865"/>
    <cellStyle name="Total 3 4 5 2 2" xfId="6866"/>
    <cellStyle name="Total 3 4 5 3" xfId="6867"/>
    <cellStyle name="Total 3 4 5 4" xfId="6868"/>
    <cellStyle name="Total 3 4 6" xfId="6869"/>
    <cellStyle name="Total 3 4 6 2" xfId="6870"/>
    <cellStyle name="Total 3 4 6 2 2" xfId="6871"/>
    <cellStyle name="Total 3 4 6 3" xfId="6872"/>
    <cellStyle name="Total 3 4 7" xfId="6873"/>
    <cellStyle name="Total 3 4 7 2" xfId="6874"/>
    <cellStyle name="Total 3 4 8" xfId="6875"/>
    <cellStyle name="Total 3 5" xfId="6876"/>
    <cellStyle name="Total 3 5 2" xfId="6877"/>
    <cellStyle name="Total 3 5 2 2" xfId="6878"/>
    <cellStyle name="Total 3 5 2 2 2" xfId="6879"/>
    <cellStyle name="Total 3 5 2 2 2 2" xfId="6880"/>
    <cellStyle name="Total 3 5 2 2 3" xfId="6881"/>
    <cellStyle name="Total 3 5 2 3" xfId="6882"/>
    <cellStyle name="Total 3 5 2 3 2" xfId="6883"/>
    <cellStyle name="Total 3 5 2 4" xfId="6884"/>
    <cellStyle name="Total 3 5 3" xfId="6885"/>
    <cellStyle name="Total 3 5 3 2" xfId="6886"/>
    <cellStyle name="Total 3 5 3 2 2" xfId="6887"/>
    <cellStyle name="Total 3 5 3 3" xfId="6888"/>
    <cellStyle name="Total 3 5 3 4" xfId="6889"/>
    <cellStyle name="Total 3 5 4" xfId="6890"/>
    <cellStyle name="Total 3 5 4 2" xfId="6891"/>
    <cellStyle name="Total 3 5 4 2 2" xfId="6892"/>
    <cellStyle name="Total 3 5 4 3" xfId="6893"/>
    <cellStyle name="Total 3 5 5" xfId="6894"/>
    <cellStyle name="Total 3 5 5 2" xfId="6895"/>
    <cellStyle name="Total 3 5 6" xfId="6896"/>
    <cellStyle name="Total 4" xfId="6897"/>
    <cellStyle name="Total 4 2" xfId="6898"/>
    <cellStyle name="Total 4 2 2" xfId="6899"/>
    <cellStyle name="Total 4 2 2 2" xfId="6900"/>
    <cellStyle name="Total 4 2 2 2 2" xfId="6901"/>
    <cellStyle name="Total 4 2 2 2 2 2" xfId="6902"/>
    <cellStyle name="Total 4 2 2 2 2 2 2" xfId="6903"/>
    <cellStyle name="Total 4 2 2 2 2 3" xfId="6904"/>
    <cellStyle name="Total 4 2 2 2 3" xfId="6905"/>
    <cellStyle name="Total 4 2 2 2 3 2" xfId="6906"/>
    <cellStyle name="Total 4 2 2 2 4" xfId="6907"/>
    <cellStyle name="Total 4 2 2 3" xfId="6908"/>
    <cellStyle name="Total 4 2 2 3 2" xfId="6909"/>
    <cellStyle name="Total 4 2 2 3 2 2" xfId="6910"/>
    <cellStyle name="Total 4 2 2 3 3" xfId="6911"/>
    <cellStyle name="Total 4 2 2 3 4" xfId="6912"/>
    <cellStyle name="Total 4 2 2 4" xfId="6913"/>
    <cellStyle name="Total 4 2 2 4 2" xfId="6914"/>
    <cellStyle name="Total 4 2 2 4 2 2" xfId="6915"/>
    <cellStyle name="Total 4 2 2 4 3" xfId="6916"/>
    <cellStyle name="Total 4 2 2 5" xfId="6917"/>
    <cellStyle name="Total 4 2 2 5 2" xfId="6918"/>
    <cellStyle name="Total 4 2 2 6" xfId="6919"/>
    <cellStyle name="Total 4 2 3" xfId="6920"/>
    <cellStyle name="Total 4 2 3 2" xfId="6921"/>
    <cellStyle name="Total 4 2 3 2 2" xfId="6922"/>
    <cellStyle name="Total 4 2 3 2 2 2" xfId="6923"/>
    <cellStyle name="Total 4 2 3 2 2 2 2" xfId="6924"/>
    <cellStyle name="Total 4 2 3 2 2 3" xfId="6925"/>
    <cellStyle name="Total 4 2 3 2 3" xfId="6926"/>
    <cellStyle name="Total 4 2 3 2 3 2" xfId="6927"/>
    <cellStyle name="Total 4 2 3 2 4" xfId="6928"/>
    <cellStyle name="Total 4 2 3 3" xfId="6929"/>
    <cellStyle name="Total 4 2 3 3 2" xfId="6930"/>
    <cellStyle name="Total 4 2 3 3 2 2" xfId="6931"/>
    <cellStyle name="Total 4 2 3 3 3" xfId="6932"/>
    <cellStyle name="Total 4 2 3 3 4" xfId="6933"/>
    <cellStyle name="Total 4 2 3 4" xfId="6934"/>
    <cellStyle name="Total 4 2 3 4 2" xfId="6935"/>
    <cellStyle name="Total 4 2 3 4 2 2" xfId="6936"/>
    <cellStyle name="Total 4 2 3 4 3" xfId="6937"/>
    <cellStyle name="Total 4 2 3 5" xfId="6938"/>
    <cellStyle name="Total 4 2 3 5 2" xfId="6939"/>
    <cellStyle name="Total 4 2 3 6" xfId="6940"/>
    <cellStyle name="Total 4 2 4" xfId="6941"/>
    <cellStyle name="Total 4 2 4 2" xfId="6942"/>
    <cellStyle name="Total 4 2 4 2 2" xfId="6943"/>
    <cellStyle name="Total 4 2 4 2 2 2" xfId="6944"/>
    <cellStyle name="Total 4 2 4 2 2 2 2" xfId="6945"/>
    <cellStyle name="Total 4 2 4 2 2 3" xfId="6946"/>
    <cellStyle name="Total 4 2 4 2 3" xfId="6947"/>
    <cellStyle name="Total 4 2 4 2 3 2" xfId="6948"/>
    <cellStyle name="Total 4 2 4 2 4" xfId="6949"/>
    <cellStyle name="Total 4 2 4 3" xfId="6950"/>
    <cellStyle name="Total 4 2 4 3 2" xfId="6951"/>
    <cellStyle name="Total 4 2 4 3 2 2" xfId="6952"/>
    <cellStyle name="Total 4 2 4 3 3" xfId="6953"/>
    <cellStyle name="Total 4 2 4 3 4" xfId="6954"/>
    <cellStyle name="Total 4 2 4 4" xfId="6955"/>
    <cellStyle name="Total 4 2 4 4 2" xfId="6956"/>
    <cellStyle name="Total 4 2 4 4 2 2" xfId="6957"/>
    <cellStyle name="Total 4 2 4 4 3" xfId="6958"/>
    <cellStyle name="Total 4 2 4 5" xfId="6959"/>
    <cellStyle name="Total 4 2 4 5 2" xfId="6960"/>
    <cellStyle name="Total 4 2 4 6" xfId="6961"/>
    <cellStyle name="Total 4 2 5" xfId="6962"/>
    <cellStyle name="Total 4 2 5 2" xfId="6963"/>
    <cellStyle name="Total 4 3" xfId="6964"/>
    <cellStyle name="Total 4 3 2" xfId="6965"/>
    <cellStyle name="Total 4 3 2 2" xfId="6966"/>
    <cellStyle name="Total 4 3 2 2 2" xfId="6967"/>
    <cellStyle name="Total 4 3 2 2 2 2" xfId="6968"/>
    <cellStyle name="Total 4 3 2 2 2 2 2" xfId="6969"/>
    <cellStyle name="Total 4 3 2 2 2 3" xfId="6970"/>
    <cellStyle name="Total 4 3 2 2 3" xfId="6971"/>
    <cellStyle name="Total 4 3 2 2 3 2" xfId="6972"/>
    <cellStyle name="Total 4 3 2 2 4" xfId="6973"/>
    <cellStyle name="Total 4 3 2 3" xfId="6974"/>
    <cellStyle name="Total 4 3 2 3 2" xfId="6975"/>
    <cellStyle name="Total 4 3 2 3 2 2" xfId="6976"/>
    <cellStyle name="Total 4 3 2 3 3" xfId="6977"/>
    <cellStyle name="Total 4 3 2 3 4" xfId="6978"/>
    <cellStyle name="Total 4 3 2 4" xfId="6979"/>
    <cellStyle name="Total 4 3 2 4 2" xfId="6980"/>
    <cellStyle name="Total 4 3 2 4 2 2" xfId="6981"/>
    <cellStyle name="Total 4 3 2 4 3" xfId="6982"/>
    <cellStyle name="Total 4 3 2 5" xfId="6983"/>
    <cellStyle name="Total 4 3 2 5 2" xfId="6984"/>
    <cellStyle name="Total 4 3 2 6" xfId="6985"/>
    <cellStyle name="Total 4 3 3" xfId="6986"/>
    <cellStyle name="Total 4 3 3 2" xfId="6987"/>
    <cellStyle name="Total 4 3 3 2 2" xfId="6988"/>
    <cellStyle name="Total 4 3 3 2 2 2" xfId="6989"/>
    <cellStyle name="Total 4 3 3 2 2 2 2" xfId="6990"/>
    <cellStyle name="Total 4 3 3 2 2 3" xfId="6991"/>
    <cellStyle name="Total 4 3 3 2 3" xfId="6992"/>
    <cellStyle name="Total 4 3 3 2 3 2" xfId="6993"/>
    <cellStyle name="Total 4 3 3 2 4" xfId="6994"/>
    <cellStyle name="Total 4 3 3 3" xfId="6995"/>
    <cellStyle name="Total 4 3 3 3 2" xfId="6996"/>
    <cellStyle name="Total 4 3 3 3 2 2" xfId="6997"/>
    <cellStyle name="Total 4 3 3 3 3" xfId="6998"/>
    <cellStyle name="Total 4 3 3 3 4" xfId="6999"/>
    <cellStyle name="Total 4 3 3 4" xfId="7000"/>
    <cellStyle name="Total 4 3 3 4 2" xfId="7001"/>
    <cellStyle name="Total 4 3 3 4 2 2" xfId="7002"/>
    <cellStyle name="Total 4 3 3 4 3" xfId="7003"/>
    <cellStyle name="Total 4 3 3 5" xfId="7004"/>
    <cellStyle name="Total 4 3 3 5 2" xfId="7005"/>
    <cellStyle name="Total 4 3 3 6" xfId="7006"/>
    <cellStyle name="Total 4 3 4" xfId="7007"/>
    <cellStyle name="Total 4 3 4 2" xfId="7008"/>
    <cellStyle name="Total 4 3 4 2 2" xfId="7009"/>
    <cellStyle name="Total 4 3 4 2 2 2" xfId="7010"/>
    <cellStyle name="Total 4 3 4 2 3" xfId="7011"/>
    <cellStyle name="Total 4 3 4 3" xfId="7012"/>
    <cellStyle name="Total 4 3 4 3 2" xfId="7013"/>
    <cellStyle name="Total 4 3 4 4" xfId="7014"/>
    <cellStyle name="Total 4 3 5" xfId="7015"/>
    <cellStyle name="Total 4 3 5 2" xfId="7016"/>
    <cellStyle name="Total 4 3 5 2 2" xfId="7017"/>
    <cellStyle name="Total 4 3 5 3" xfId="7018"/>
    <cellStyle name="Total 4 3 5 4" xfId="7019"/>
    <cellStyle name="Total 4 3 6" xfId="7020"/>
    <cellStyle name="Total 4 3 6 2" xfId="7021"/>
    <cellStyle name="Total 4 3 6 2 2" xfId="7022"/>
    <cellStyle name="Total 4 3 6 3" xfId="7023"/>
    <cellStyle name="Total 4 3 7" xfId="7024"/>
    <cellStyle name="Total 4 3 7 2" xfId="7025"/>
    <cellStyle name="Total 4 3 8" xfId="7026"/>
    <cellStyle name="Total 4 4" xfId="7027"/>
    <cellStyle name="Total 4 4 2" xfId="7028"/>
    <cellStyle name="Total 4 4 2 2" xfId="7029"/>
    <cellStyle name="Total 4 4 2 2 2" xfId="7030"/>
    <cellStyle name="Total 4 4 2 2 2 2" xfId="7031"/>
    <cellStyle name="Total 4 4 2 2 3" xfId="7032"/>
    <cellStyle name="Total 4 4 2 3" xfId="7033"/>
    <cellStyle name="Total 4 4 2 3 2" xfId="7034"/>
    <cellStyle name="Total 4 4 2 4" xfId="7035"/>
    <cellStyle name="Total 4 4 3" xfId="7036"/>
    <cellStyle name="Total 4 4 3 2" xfId="7037"/>
    <cellStyle name="Total 4 4 3 2 2" xfId="7038"/>
    <cellStyle name="Total 4 4 3 3" xfId="7039"/>
    <cellStyle name="Total 4 4 3 4" xfId="7040"/>
    <cellStyle name="Total 4 4 4" xfId="7041"/>
    <cellStyle name="Total 4 4 4 2" xfId="7042"/>
    <cellStyle name="Total 4 4 4 2 2" xfId="7043"/>
    <cellStyle name="Total 4 4 4 3" xfId="7044"/>
    <cellStyle name="Total 4 4 5" xfId="7045"/>
    <cellStyle name="Total 4 4 5 2" xfId="7046"/>
    <cellStyle name="Total 4 4 6" xfId="7047"/>
    <cellStyle name="Total 5" xfId="7048"/>
    <cellStyle name="Total 5 2" xfId="7049"/>
    <cellStyle name="Total 5 2 2" xfId="7050"/>
    <cellStyle name="Total 5 2 2 2" xfId="7051"/>
    <cellStyle name="Total 5 2 2 2 2" xfId="7052"/>
    <cellStyle name="Total 5 2 2 2 2 2" xfId="7053"/>
    <cellStyle name="Total 5 2 2 2 2 2 2" xfId="7054"/>
    <cellStyle name="Total 5 2 2 2 2 3" xfId="7055"/>
    <cellStyle name="Total 5 2 2 2 3" xfId="7056"/>
    <cellStyle name="Total 5 2 2 2 3 2" xfId="7057"/>
    <cellStyle name="Total 5 2 2 2 4" xfId="7058"/>
    <cellStyle name="Total 5 2 2 3" xfId="7059"/>
    <cellStyle name="Total 5 2 2 3 2" xfId="7060"/>
    <cellStyle name="Total 5 2 2 3 2 2" xfId="7061"/>
    <cellStyle name="Total 5 2 2 3 3" xfId="7062"/>
    <cellStyle name="Total 5 2 2 3 4" xfId="7063"/>
    <cellStyle name="Total 5 2 2 4" xfId="7064"/>
    <cellStyle name="Total 5 2 2 4 2" xfId="7065"/>
    <cellStyle name="Total 5 2 2 4 2 2" xfId="7066"/>
    <cellStyle name="Total 5 2 2 4 3" xfId="7067"/>
    <cellStyle name="Total 5 2 2 5" xfId="7068"/>
    <cellStyle name="Total 5 2 2 5 2" xfId="7069"/>
    <cellStyle name="Total 5 2 2 6" xfId="7070"/>
    <cellStyle name="Total 5 2 3" xfId="7071"/>
    <cellStyle name="Total 5 2 3 2" xfId="7072"/>
    <cellStyle name="Total 5 2 3 2 2" xfId="7073"/>
    <cellStyle name="Total 5 2 3 2 2 2" xfId="7074"/>
    <cellStyle name="Total 5 2 3 2 2 2 2" xfId="7075"/>
    <cellStyle name="Total 5 2 3 2 2 3" xfId="7076"/>
    <cellStyle name="Total 5 2 3 2 3" xfId="7077"/>
    <cellStyle name="Total 5 2 3 2 3 2" xfId="7078"/>
    <cellStyle name="Total 5 2 3 2 4" xfId="7079"/>
    <cellStyle name="Total 5 2 3 3" xfId="7080"/>
    <cellStyle name="Total 5 2 3 3 2" xfId="7081"/>
    <cellStyle name="Total 5 2 3 3 2 2" xfId="7082"/>
    <cellStyle name="Total 5 2 3 3 3" xfId="7083"/>
    <cellStyle name="Total 5 2 3 3 4" xfId="7084"/>
    <cellStyle name="Total 5 2 3 4" xfId="7085"/>
    <cellStyle name="Total 5 2 3 4 2" xfId="7086"/>
    <cellStyle name="Total 5 2 3 4 2 2" xfId="7087"/>
    <cellStyle name="Total 5 2 3 4 3" xfId="7088"/>
    <cellStyle name="Total 5 2 3 5" xfId="7089"/>
    <cellStyle name="Total 5 2 3 5 2" xfId="7090"/>
    <cellStyle name="Total 5 2 3 6" xfId="7091"/>
    <cellStyle name="Total 5 2 4" xfId="7092"/>
    <cellStyle name="Total 5 2 4 2" xfId="7093"/>
    <cellStyle name="Total 5 2 4 2 2" xfId="7094"/>
    <cellStyle name="Total 5 2 4 2 2 2" xfId="7095"/>
    <cellStyle name="Total 5 2 4 2 2 2 2" xfId="7096"/>
    <cellStyle name="Total 5 2 4 2 2 3" xfId="7097"/>
    <cellStyle name="Total 5 2 4 2 3" xfId="7098"/>
    <cellStyle name="Total 5 2 4 2 3 2" xfId="7099"/>
    <cellStyle name="Total 5 2 4 2 4" xfId="7100"/>
    <cellStyle name="Total 5 2 4 3" xfId="7101"/>
    <cellStyle name="Total 5 2 4 3 2" xfId="7102"/>
    <cellStyle name="Total 5 2 4 3 2 2" xfId="7103"/>
    <cellStyle name="Total 5 2 4 3 3" xfId="7104"/>
    <cellStyle name="Total 5 2 4 3 4" xfId="7105"/>
    <cellStyle name="Total 5 2 4 4" xfId="7106"/>
    <cellStyle name="Total 5 2 4 4 2" xfId="7107"/>
    <cellStyle name="Total 5 2 4 4 2 2" xfId="7108"/>
    <cellStyle name="Total 5 2 4 4 3" xfId="7109"/>
    <cellStyle name="Total 5 2 4 5" xfId="7110"/>
    <cellStyle name="Total 5 2 4 5 2" xfId="7111"/>
    <cellStyle name="Total 5 2 4 6" xfId="7112"/>
    <cellStyle name="Total 5 2 5" xfId="7113"/>
    <cellStyle name="Total 5 2 5 2" xfId="7114"/>
    <cellStyle name="Total 5 3" xfId="7115"/>
    <cellStyle name="Total 5 3 2" xfId="7116"/>
    <cellStyle name="Total 5 3 2 2" xfId="7117"/>
    <cellStyle name="Total 5 3 2 2 2" xfId="7118"/>
    <cellStyle name="Total 5 3 2 2 2 2" xfId="7119"/>
    <cellStyle name="Total 5 3 2 2 2 2 2" xfId="7120"/>
    <cellStyle name="Total 5 3 2 2 2 3" xfId="7121"/>
    <cellStyle name="Total 5 3 2 2 3" xfId="7122"/>
    <cellStyle name="Total 5 3 2 2 3 2" xfId="7123"/>
    <cellStyle name="Total 5 3 2 2 4" xfId="7124"/>
    <cellStyle name="Total 5 3 2 3" xfId="7125"/>
    <cellStyle name="Total 5 3 2 3 2" xfId="7126"/>
    <cellStyle name="Total 5 3 2 3 2 2" xfId="7127"/>
    <cellStyle name="Total 5 3 2 3 3" xfId="7128"/>
    <cellStyle name="Total 5 3 2 3 4" xfId="7129"/>
    <cellStyle name="Total 5 3 2 4" xfId="7130"/>
    <cellStyle name="Total 5 3 2 4 2" xfId="7131"/>
    <cellStyle name="Total 5 3 2 4 2 2" xfId="7132"/>
    <cellStyle name="Total 5 3 2 4 3" xfId="7133"/>
    <cellStyle name="Total 5 3 2 5" xfId="7134"/>
    <cellStyle name="Total 5 3 2 5 2" xfId="7135"/>
    <cellStyle name="Total 5 3 2 6" xfId="7136"/>
    <cellStyle name="Total 5 3 3" xfId="7137"/>
    <cellStyle name="Total 5 3 3 2" xfId="7138"/>
    <cellStyle name="Total 5 3 3 2 2" xfId="7139"/>
    <cellStyle name="Total 5 3 3 2 2 2" xfId="7140"/>
    <cellStyle name="Total 5 3 3 2 2 2 2" xfId="7141"/>
    <cellStyle name="Total 5 3 3 2 2 3" xfId="7142"/>
    <cellStyle name="Total 5 3 3 2 3" xfId="7143"/>
    <cellStyle name="Total 5 3 3 2 3 2" xfId="7144"/>
    <cellStyle name="Total 5 3 3 2 4" xfId="7145"/>
    <cellStyle name="Total 5 3 3 3" xfId="7146"/>
    <cellStyle name="Total 5 3 3 3 2" xfId="7147"/>
    <cellStyle name="Total 5 3 3 3 2 2" xfId="7148"/>
    <cellStyle name="Total 5 3 3 3 3" xfId="7149"/>
    <cellStyle name="Total 5 3 3 3 4" xfId="7150"/>
    <cellStyle name="Total 5 3 3 4" xfId="7151"/>
    <cellStyle name="Total 5 3 3 4 2" xfId="7152"/>
    <cellStyle name="Total 5 3 3 4 2 2" xfId="7153"/>
    <cellStyle name="Total 5 3 3 4 3" xfId="7154"/>
    <cellStyle name="Total 5 3 3 5" xfId="7155"/>
    <cellStyle name="Total 5 3 3 5 2" xfId="7156"/>
    <cellStyle name="Total 5 3 3 6" xfId="7157"/>
    <cellStyle name="Total 5 3 4" xfId="7158"/>
    <cellStyle name="Total 5 3 4 2" xfId="7159"/>
    <cellStyle name="Total 5 3 4 2 2" xfId="7160"/>
    <cellStyle name="Total 5 3 4 2 2 2" xfId="7161"/>
    <cellStyle name="Total 5 3 4 2 3" xfId="7162"/>
    <cellStyle name="Total 5 3 4 3" xfId="7163"/>
    <cellStyle name="Total 5 3 4 3 2" xfId="7164"/>
    <cellStyle name="Total 5 3 4 4" xfId="7165"/>
    <cellStyle name="Total 5 3 5" xfId="7166"/>
    <cellStyle name="Total 5 3 5 2" xfId="7167"/>
    <cellStyle name="Total 5 3 5 2 2" xfId="7168"/>
    <cellStyle name="Total 5 3 5 3" xfId="7169"/>
    <cellStyle name="Total 5 3 5 4" xfId="7170"/>
    <cellStyle name="Total 5 3 6" xfId="7171"/>
    <cellStyle name="Total 5 3 6 2" xfId="7172"/>
    <cellStyle name="Total 5 3 6 2 2" xfId="7173"/>
    <cellStyle name="Total 5 3 6 3" xfId="7174"/>
    <cellStyle name="Total 5 3 7" xfId="7175"/>
    <cellStyle name="Total 5 3 7 2" xfId="7176"/>
    <cellStyle name="Total 5 3 8" xfId="7177"/>
    <cellStyle name="Total 5 4" xfId="7178"/>
    <cellStyle name="Total 5 4 2" xfId="7179"/>
    <cellStyle name="Total 5 4 2 2" xfId="7180"/>
    <cellStyle name="Total 5 4 2 2 2" xfId="7181"/>
    <cellStyle name="Total 5 4 2 2 2 2" xfId="7182"/>
    <cellStyle name="Total 5 4 2 2 3" xfId="7183"/>
    <cellStyle name="Total 5 4 2 3" xfId="7184"/>
    <cellStyle name="Total 5 4 2 3 2" xfId="7185"/>
    <cellStyle name="Total 5 4 2 4" xfId="7186"/>
    <cellStyle name="Total 5 4 3" xfId="7187"/>
    <cellStyle name="Total 5 4 3 2" xfId="7188"/>
    <cellStyle name="Total 5 4 3 2 2" xfId="7189"/>
    <cellStyle name="Total 5 4 3 3" xfId="7190"/>
    <cellStyle name="Total 5 4 3 4" xfId="7191"/>
    <cellStyle name="Total 5 4 4" xfId="7192"/>
    <cellStyle name="Total 5 4 4 2" xfId="7193"/>
    <cellStyle name="Total 5 4 4 2 2" xfId="7194"/>
    <cellStyle name="Total 5 4 4 3" xfId="7195"/>
    <cellStyle name="Total 5 4 5" xfId="7196"/>
    <cellStyle name="Total 5 4 5 2" xfId="7197"/>
    <cellStyle name="Total 5 4 6" xfId="7198"/>
    <cellStyle name="Total 5 5" xfId="7199"/>
    <cellStyle name="Total 5 5 2" xfId="7200"/>
    <cellStyle name="Total 6" xfId="7201"/>
    <cellStyle name="Total 6 2" xfId="7202"/>
    <cellStyle name="Total 6 2 2" xfId="7203"/>
    <cellStyle name="Total 6 2 2 2" xfId="7204"/>
    <cellStyle name="Total 6 2 2 2 2" xfId="7205"/>
    <cellStyle name="Total 6 2 2 2 2 2" xfId="7206"/>
    <cellStyle name="Total 6 2 2 2 2 2 2" xfId="7207"/>
    <cellStyle name="Total 6 2 2 2 2 3" xfId="7208"/>
    <cellStyle name="Total 6 2 2 2 3" xfId="7209"/>
    <cellStyle name="Total 6 2 2 2 3 2" xfId="7210"/>
    <cellStyle name="Total 6 2 2 2 4" xfId="7211"/>
    <cellStyle name="Total 6 2 2 3" xfId="7212"/>
    <cellStyle name="Total 6 2 2 3 2" xfId="7213"/>
    <cellStyle name="Total 6 2 2 3 2 2" xfId="7214"/>
    <cellStyle name="Total 6 2 2 3 3" xfId="7215"/>
    <cellStyle name="Total 6 2 2 3 4" xfId="7216"/>
    <cellStyle name="Total 6 2 2 4" xfId="7217"/>
    <cellStyle name="Total 6 2 2 4 2" xfId="7218"/>
    <cellStyle name="Total 6 2 2 4 2 2" xfId="7219"/>
    <cellStyle name="Total 6 2 2 4 3" xfId="7220"/>
    <cellStyle name="Total 6 2 2 5" xfId="7221"/>
    <cellStyle name="Total 6 2 2 5 2" xfId="7222"/>
    <cellStyle name="Total 6 2 2 6" xfId="7223"/>
    <cellStyle name="Total 6 2 3" xfId="7224"/>
    <cellStyle name="Total 6 2 3 2" xfId="7225"/>
    <cellStyle name="Total 6 2 3 2 2" xfId="7226"/>
    <cellStyle name="Total 6 2 3 2 2 2" xfId="7227"/>
    <cellStyle name="Total 6 2 3 2 2 2 2" xfId="7228"/>
    <cellStyle name="Total 6 2 3 2 2 3" xfId="7229"/>
    <cellStyle name="Total 6 2 3 2 3" xfId="7230"/>
    <cellStyle name="Total 6 2 3 2 3 2" xfId="7231"/>
    <cellStyle name="Total 6 2 3 2 4" xfId="7232"/>
    <cellStyle name="Total 6 2 3 3" xfId="7233"/>
    <cellStyle name="Total 6 2 3 3 2" xfId="7234"/>
    <cellStyle name="Total 6 2 3 3 2 2" xfId="7235"/>
    <cellStyle name="Total 6 2 3 3 3" xfId="7236"/>
    <cellStyle name="Total 6 2 3 3 4" xfId="7237"/>
    <cellStyle name="Total 6 2 3 4" xfId="7238"/>
    <cellStyle name="Total 6 2 3 4 2" xfId="7239"/>
    <cellStyle name="Total 6 2 3 4 2 2" xfId="7240"/>
    <cellStyle name="Total 6 2 3 4 3" xfId="7241"/>
    <cellStyle name="Total 6 2 3 5" xfId="7242"/>
    <cellStyle name="Total 6 2 3 5 2" xfId="7243"/>
    <cellStyle name="Total 6 2 3 6" xfId="7244"/>
    <cellStyle name="Total 6 2 4" xfId="7245"/>
    <cellStyle name="Total 6 2 4 2" xfId="7246"/>
    <cellStyle name="Total 6 2 4 2 2" xfId="7247"/>
    <cellStyle name="Total 6 2 4 2 2 2" xfId="7248"/>
    <cellStyle name="Total 6 2 4 2 3" xfId="7249"/>
    <cellStyle name="Total 6 2 4 3" xfId="7250"/>
    <cellStyle name="Total 6 2 4 3 2" xfId="7251"/>
    <cellStyle name="Total 6 2 4 4" xfId="7252"/>
    <cellStyle name="Total 6 2 5" xfId="7253"/>
    <cellStyle name="Total 6 2 5 2" xfId="7254"/>
    <cellStyle name="Total 6 2 5 2 2" xfId="7255"/>
    <cellStyle name="Total 6 2 5 3" xfId="7256"/>
    <cellStyle name="Total 6 2 5 4" xfId="7257"/>
    <cellStyle name="Total 6 2 6" xfId="7258"/>
    <cellStyle name="Total 6 2 6 2" xfId="7259"/>
    <cellStyle name="Total 6 2 6 2 2" xfId="7260"/>
    <cellStyle name="Total 6 2 6 3" xfId="7261"/>
    <cellStyle name="Total 6 2 7" xfId="7262"/>
    <cellStyle name="Total 6 2 7 2" xfId="7263"/>
    <cellStyle name="Total 6 2 8" xfId="7264"/>
    <cellStyle name="Total 6 3" xfId="7265"/>
    <cellStyle name="Total 6 3 2" xfId="7266"/>
    <cellStyle name="Total 6 3 2 2" xfId="7267"/>
    <cellStyle name="Total 6 3 2 2 2" xfId="7268"/>
    <cellStyle name="Total 6 3 2 2 2 2" xfId="7269"/>
    <cellStyle name="Total 6 3 2 2 3" xfId="7270"/>
    <cellStyle name="Total 6 3 2 3" xfId="7271"/>
    <cellStyle name="Total 6 3 2 3 2" xfId="7272"/>
    <cellStyle name="Total 6 3 2 4" xfId="7273"/>
    <cellStyle name="Total 6 3 3" xfId="7274"/>
    <cellStyle name="Total 6 3 3 2" xfId="7275"/>
    <cellStyle name="Total 6 3 3 2 2" xfId="7276"/>
    <cellStyle name="Total 6 3 3 3" xfId="7277"/>
    <cellStyle name="Total 6 3 3 4" xfId="7278"/>
    <cellStyle name="Total 6 3 4" xfId="7279"/>
    <cellStyle name="Total 6 3 4 2" xfId="7280"/>
    <cellStyle name="Total 6 3 4 2 2" xfId="7281"/>
    <cellStyle name="Total 6 3 4 3" xfId="7282"/>
    <cellStyle name="Total 6 3 5" xfId="7283"/>
    <cellStyle name="Total 6 3 5 2" xfId="7284"/>
    <cellStyle name="Total 6 3 6" xfId="7285"/>
    <cellStyle name="Total 6 4" xfId="7286"/>
    <cellStyle name="Total 6 4 2" xfId="7287"/>
    <cellStyle name="Total 7" xfId="7288"/>
    <cellStyle name="Total 7 2" xfId="7289"/>
    <cellStyle name="Total 7 2 2" xfId="7290"/>
    <cellStyle name="Total 7 2 2 2" xfId="7291"/>
    <cellStyle name="Total 7 2 2 2 2" xfId="7292"/>
    <cellStyle name="Total 7 2 2 2 2 2" xfId="7293"/>
    <cellStyle name="Total 7 2 2 2 3" xfId="7294"/>
    <cellStyle name="Total 7 2 2 3" xfId="7295"/>
    <cellStyle name="Total 7 2 2 3 2" xfId="7296"/>
    <cellStyle name="Total 7 2 2 4" xfId="7297"/>
    <cellStyle name="Total 7 2 3" xfId="7298"/>
    <cellStyle name="Total 7 2 3 2" xfId="7299"/>
    <cellStyle name="Total 7 2 3 2 2" xfId="7300"/>
    <cellStyle name="Total 7 2 3 3" xfId="7301"/>
    <cellStyle name="Total 7 2 3 4" xfId="7302"/>
    <cellStyle name="Total 7 2 4" xfId="7303"/>
    <cellStyle name="Total 7 2 4 2" xfId="7304"/>
    <cellStyle name="Total 7 2 4 2 2" xfId="7305"/>
    <cellStyle name="Total 7 2 4 3" xfId="7306"/>
    <cellStyle name="Total 7 2 5" xfId="7307"/>
    <cellStyle name="Total 7 2 5 2" xfId="7308"/>
    <cellStyle name="Total 7 2 6" xfId="7309"/>
    <cellStyle name="Total 7 3" xfId="7310"/>
    <cellStyle name="Total 7 3 2" xfId="7311"/>
    <cellStyle name="Total 7 3 2 2" xfId="7312"/>
    <cellStyle name="Total 7 3 2 2 2" xfId="7313"/>
    <cellStyle name="Total 7 3 2 2 2 2" xfId="7314"/>
    <cellStyle name="Total 7 3 2 2 3" xfId="7315"/>
    <cellStyle name="Total 7 3 2 3" xfId="7316"/>
    <cellStyle name="Total 7 3 2 3 2" xfId="7317"/>
    <cellStyle name="Total 7 3 2 4" xfId="7318"/>
    <cellStyle name="Total 7 3 3" xfId="7319"/>
    <cellStyle name="Total 7 3 3 2" xfId="7320"/>
    <cellStyle name="Total 7 3 3 2 2" xfId="7321"/>
    <cellStyle name="Total 7 3 3 3" xfId="7322"/>
    <cellStyle name="Total 7 3 3 4" xfId="7323"/>
    <cellStyle name="Total 7 3 4" xfId="7324"/>
    <cellStyle name="Total 7 3 4 2" xfId="7325"/>
    <cellStyle name="Total 7 3 4 2 2" xfId="7326"/>
    <cellStyle name="Total 7 3 4 3" xfId="7327"/>
    <cellStyle name="Total 7 3 5" xfId="7328"/>
    <cellStyle name="Total 7 3 5 2" xfId="7329"/>
    <cellStyle name="Total 7 3 6" xfId="7330"/>
    <cellStyle name="Total 7 4" xfId="7331"/>
    <cellStyle name="Total 7 4 2" xfId="7332"/>
    <cellStyle name="Total 7 4 2 2" xfId="7333"/>
    <cellStyle name="Total 7 4 2 2 2" xfId="7334"/>
    <cellStyle name="Total 7 4 2 3" xfId="7335"/>
    <cellStyle name="Total 7 4 3" xfId="7336"/>
    <cellStyle name="Total 7 4 3 2" xfId="7337"/>
    <cellStyle name="Total 7 4 4" xfId="7338"/>
    <cellStyle name="Total 7 5" xfId="7339"/>
    <cellStyle name="Total 7 5 2" xfId="7340"/>
    <cellStyle name="Total 7 5 2 2" xfId="7341"/>
    <cellStyle name="Total 7 5 3" xfId="7342"/>
    <cellStyle name="Total 7 5 4" xfId="7343"/>
    <cellStyle name="Total 7 6" xfId="7344"/>
    <cellStyle name="Total 7 6 2" xfId="7345"/>
    <cellStyle name="Total 7 6 2 2" xfId="7346"/>
    <cellStyle name="Total 7 6 3" xfId="7347"/>
    <cellStyle name="Total 7 7" xfId="7348"/>
    <cellStyle name="Total 7 7 2" xfId="7349"/>
    <cellStyle name="Total 7 8" xfId="7350"/>
    <cellStyle name="toto" xfId="7351"/>
    <cellStyle name="Warning Text 2" xfId="7352"/>
    <cellStyle name="Warning Text 3" xfId="7353"/>
    <cellStyle name="パーセント 2" xfId="7354"/>
    <cellStyle name="桁区切り 2" xfId="7355"/>
    <cellStyle name="桁区切り_DegitalOption_test" xfId="7356"/>
    <cellStyle name="標準 2" xfId="7357"/>
    <cellStyle name="標準 3" xfId="7358"/>
    <cellStyle name="標準 4" xfId="7359"/>
    <cellStyle name="標準_examplePortfolio" xfId="7360"/>
    <cellStyle name="標準_Input_OutPut20060417" xfId="1"/>
  </cellStyles>
  <dxfs count="0"/>
  <tableStyles count="0" defaultTableStyle="TableStyleMedium2" defaultPivotStyle="PivotStyleLight16"/>
  <colors>
    <mruColors>
      <color rgb="FFFF0066"/>
      <color rgb="FF006600"/>
      <color rgb="FF00FF00"/>
      <color rgb="FFFF00FF"/>
      <color rgb="FF0000FF"/>
      <color rgb="FFFFFFCC"/>
      <color rgb="FFFFFF66"/>
      <color rgb="FFFFFF99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0"/>
            </a:pPr>
            <a:r>
              <a:rPr lang="en-GB" sz="2400" b="0"/>
              <a:t>USD Yield</a:t>
            </a:r>
            <a:r>
              <a:rPr lang="en-GB" sz="2400" b="0" baseline="0"/>
              <a:t> Curve</a:t>
            </a:r>
            <a:endParaRPr lang="en-GB" sz="2400" b="0"/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8.7332342542762453E-2"/>
          <c:y val="2.2429332697049234E-2"/>
          <c:w val="0.87920625982713474"/>
          <c:h val="0.87093215620774678"/>
        </c:manualLayout>
      </c:layout>
      <c:lineChart>
        <c:grouping val="standard"/>
        <c:varyColors val="0"/>
        <c:ser>
          <c:idx val="0"/>
          <c:order val="0"/>
          <c:tx>
            <c:strRef>
              <c:f>DISPLAY_USD_CURVE!$C$9</c:f>
              <c:strCache>
                <c:ptCount val="1"/>
                <c:pt idx="0">
                  <c:v>USDOIS</c:v>
                </c:pt>
              </c:strCache>
            </c:strRef>
          </c:tx>
          <c:marker>
            <c:symbol val="none"/>
          </c:marker>
          <c:cat>
            <c:numRef>
              <c:f>DISPLAY_USD_CURVE!$B$10:$B$501</c:f>
              <c:numCache>
                <c:formatCode>d\-mmm\-yy</c:formatCode>
                <c:ptCount val="492"/>
                <c:pt idx="0">
                  <c:v>43579</c:v>
                </c:pt>
                <c:pt idx="1">
                  <c:v>43609</c:v>
                </c:pt>
                <c:pt idx="2">
                  <c:v>43640</c:v>
                </c:pt>
                <c:pt idx="3">
                  <c:v>43670</c:v>
                </c:pt>
                <c:pt idx="4">
                  <c:v>43703</c:v>
                </c:pt>
                <c:pt idx="5">
                  <c:v>43732</c:v>
                </c:pt>
                <c:pt idx="6">
                  <c:v>43762</c:v>
                </c:pt>
                <c:pt idx="7">
                  <c:v>43794</c:v>
                </c:pt>
                <c:pt idx="8">
                  <c:v>43823</c:v>
                </c:pt>
                <c:pt idx="9">
                  <c:v>43854</c:v>
                </c:pt>
                <c:pt idx="10">
                  <c:v>43885</c:v>
                </c:pt>
                <c:pt idx="11">
                  <c:v>43914</c:v>
                </c:pt>
                <c:pt idx="12">
                  <c:v>43945</c:v>
                </c:pt>
                <c:pt idx="13">
                  <c:v>43976</c:v>
                </c:pt>
                <c:pt idx="14">
                  <c:v>44006</c:v>
                </c:pt>
                <c:pt idx="15">
                  <c:v>44036</c:v>
                </c:pt>
                <c:pt idx="16">
                  <c:v>44067</c:v>
                </c:pt>
                <c:pt idx="17">
                  <c:v>44098</c:v>
                </c:pt>
                <c:pt idx="18">
                  <c:v>44130</c:v>
                </c:pt>
                <c:pt idx="19">
                  <c:v>44159</c:v>
                </c:pt>
                <c:pt idx="20">
                  <c:v>44189</c:v>
                </c:pt>
                <c:pt idx="21">
                  <c:v>44221</c:v>
                </c:pt>
                <c:pt idx="22">
                  <c:v>44251</c:v>
                </c:pt>
                <c:pt idx="23">
                  <c:v>44279</c:v>
                </c:pt>
                <c:pt idx="24">
                  <c:v>44312</c:v>
                </c:pt>
                <c:pt idx="25">
                  <c:v>44340</c:v>
                </c:pt>
                <c:pt idx="26">
                  <c:v>44371</c:v>
                </c:pt>
                <c:pt idx="27">
                  <c:v>44403</c:v>
                </c:pt>
                <c:pt idx="28">
                  <c:v>44432</c:v>
                </c:pt>
                <c:pt idx="29">
                  <c:v>44463</c:v>
                </c:pt>
                <c:pt idx="30">
                  <c:v>44494</c:v>
                </c:pt>
                <c:pt idx="31">
                  <c:v>44524</c:v>
                </c:pt>
                <c:pt idx="32">
                  <c:v>44554</c:v>
                </c:pt>
                <c:pt idx="33">
                  <c:v>44585</c:v>
                </c:pt>
                <c:pt idx="34">
                  <c:v>44616</c:v>
                </c:pt>
                <c:pt idx="35">
                  <c:v>44644</c:v>
                </c:pt>
                <c:pt idx="36">
                  <c:v>44676</c:v>
                </c:pt>
                <c:pt idx="37">
                  <c:v>44705</c:v>
                </c:pt>
                <c:pt idx="38">
                  <c:v>44736</c:v>
                </c:pt>
                <c:pt idx="39">
                  <c:v>44767</c:v>
                </c:pt>
                <c:pt idx="40">
                  <c:v>44797</c:v>
                </c:pt>
                <c:pt idx="41">
                  <c:v>44830</c:v>
                </c:pt>
                <c:pt idx="42">
                  <c:v>44858</c:v>
                </c:pt>
                <c:pt idx="43">
                  <c:v>44889</c:v>
                </c:pt>
                <c:pt idx="44">
                  <c:v>44921</c:v>
                </c:pt>
                <c:pt idx="45">
                  <c:v>44950</c:v>
                </c:pt>
                <c:pt idx="46">
                  <c:v>44981</c:v>
                </c:pt>
                <c:pt idx="47">
                  <c:v>45009</c:v>
                </c:pt>
                <c:pt idx="48">
                  <c:v>45040</c:v>
                </c:pt>
                <c:pt idx="49">
                  <c:v>45070</c:v>
                </c:pt>
                <c:pt idx="50">
                  <c:v>45103</c:v>
                </c:pt>
                <c:pt idx="51">
                  <c:v>45131</c:v>
                </c:pt>
                <c:pt idx="52">
                  <c:v>45162</c:v>
                </c:pt>
                <c:pt idx="53">
                  <c:v>45194</c:v>
                </c:pt>
                <c:pt idx="54">
                  <c:v>45223</c:v>
                </c:pt>
                <c:pt idx="55">
                  <c:v>45254</c:v>
                </c:pt>
                <c:pt idx="56">
                  <c:v>45285</c:v>
                </c:pt>
                <c:pt idx="57">
                  <c:v>45315</c:v>
                </c:pt>
                <c:pt idx="58">
                  <c:v>45348</c:v>
                </c:pt>
                <c:pt idx="59">
                  <c:v>45376</c:v>
                </c:pt>
                <c:pt idx="60">
                  <c:v>45406</c:v>
                </c:pt>
                <c:pt idx="61">
                  <c:v>45436</c:v>
                </c:pt>
                <c:pt idx="62">
                  <c:v>45467</c:v>
                </c:pt>
                <c:pt idx="63">
                  <c:v>45497</c:v>
                </c:pt>
                <c:pt idx="64">
                  <c:v>45530</c:v>
                </c:pt>
                <c:pt idx="65">
                  <c:v>45559</c:v>
                </c:pt>
                <c:pt idx="66">
                  <c:v>45589</c:v>
                </c:pt>
                <c:pt idx="67">
                  <c:v>45621</c:v>
                </c:pt>
                <c:pt idx="68">
                  <c:v>45650</c:v>
                </c:pt>
                <c:pt idx="69">
                  <c:v>45681</c:v>
                </c:pt>
                <c:pt idx="70">
                  <c:v>45712</c:v>
                </c:pt>
                <c:pt idx="71">
                  <c:v>45740</c:v>
                </c:pt>
                <c:pt idx="72">
                  <c:v>45771</c:v>
                </c:pt>
                <c:pt idx="73">
                  <c:v>45803</c:v>
                </c:pt>
                <c:pt idx="74">
                  <c:v>45832</c:v>
                </c:pt>
                <c:pt idx="75">
                  <c:v>45862</c:v>
                </c:pt>
                <c:pt idx="76">
                  <c:v>45894</c:v>
                </c:pt>
                <c:pt idx="77">
                  <c:v>45924</c:v>
                </c:pt>
                <c:pt idx="78">
                  <c:v>45954</c:v>
                </c:pt>
                <c:pt idx="79">
                  <c:v>45985</c:v>
                </c:pt>
                <c:pt idx="80">
                  <c:v>46015</c:v>
                </c:pt>
                <c:pt idx="81">
                  <c:v>46048</c:v>
                </c:pt>
                <c:pt idx="82">
                  <c:v>46077</c:v>
                </c:pt>
                <c:pt idx="83">
                  <c:v>46105</c:v>
                </c:pt>
                <c:pt idx="84">
                  <c:v>46136</c:v>
                </c:pt>
                <c:pt idx="85">
                  <c:v>46167</c:v>
                </c:pt>
                <c:pt idx="86">
                  <c:v>46197</c:v>
                </c:pt>
                <c:pt idx="87">
                  <c:v>46227</c:v>
                </c:pt>
                <c:pt idx="88">
                  <c:v>46258</c:v>
                </c:pt>
                <c:pt idx="89">
                  <c:v>46289</c:v>
                </c:pt>
                <c:pt idx="90">
                  <c:v>46321</c:v>
                </c:pt>
                <c:pt idx="91">
                  <c:v>46350</c:v>
                </c:pt>
                <c:pt idx="92">
                  <c:v>46380</c:v>
                </c:pt>
                <c:pt idx="93">
                  <c:v>46412</c:v>
                </c:pt>
                <c:pt idx="94">
                  <c:v>46442</c:v>
                </c:pt>
                <c:pt idx="95">
                  <c:v>46470</c:v>
                </c:pt>
                <c:pt idx="96">
                  <c:v>46503</c:v>
                </c:pt>
                <c:pt idx="97">
                  <c:v>46531</c:v>
                </c:pt>
                <c:pt idx="98">
                  <c:v>46562</c:v>
                </c:pt>
                <c:pt idx="99">
                  <c:v>46594</c:v>
                </c:pt>
                <c:pt idx="100">
                  <c:v>46623</c:v>
                </c:pt>
                <c:pt idx="101">
                  <c:v>46654</c:v>
                </c:pt>
                <c:pt idx="102">
                  <c:v>46685</c:v>
                </c:pt>
                <c:pt idx="103">
                  <c:v>46715</c:v>
                </c:pt>
                <c:pt idx="104">
                  <c:v>46745</c:v>
                </c:pt>
                <c:pt idx="105">
                  <c:v>46776</c:v>
                </c:pt>
                <c:pt idx="106">
                  <c:v>46807</c:v>
                </c:pt>
                <c:pt idx="107">
                  <c:v>46836</c:v>
                </c:pt>
                <c:pt idx="108">
                  <c:v>46867</c:v>
                </c:pt>
                <c:pt idx="109">
                  <c:v>46897</c:v>
                </c:pt>
                <c:pt idx="110">
                  <c:v>46930</c:v>
                </c:pt>
                <c:pt idx="111">
                  <c:v>46958</c:v>
                </c:pt>
                <c:pt idx="112">
                  <c:v>46989</c:v>
                </c:pt>
                <c:pt idx="113">
                  <c:v>47021</c:v>
                </c:pt>
                <c:pt idx="114">
                  <c:v>47050</c:v>
                </c:pt>
                <c:pt idx="115">
                  <c:v>47081</c:v>
                </c:pt>
                <c:pt idx="116">
                  <c:v>47112</c:v>
                </c:pt>
                <c:pt idx="117">
                  <c:v>47142</c:v>
                </c:pt>
                <c:pt idx="118">
                  <c:v>47175</c:v>
                </c:pt>
                <c:pt idx="119">
                  <c:v>47203</c:v>
                </c:pt>
                <c:pt idx="120">
                  <c:v>47232</c:v>
                </c:pt>
                <c:pt idx="121">
                  <c:v>47262</c:v>
                </c:pt>
                <c:pt idx="122">
                  <c:v>47294</c:v>
                </c:pt>
                <c:pt idx="123">
                  <c:v>47323</c:v>
                </c:pt>
                <c:pt idx="124">
                  <c:v>47354</c:v>
                </c:pt>
                <c:pt idx="125">
                  <c:v>47385</c:v>
                </c:pt>
                <c:pt idx="126">
                  <c:v>47415</c:v>
                </c:pt>
                <c:pt idx="127">
                  <c:v>47448</c:v>
                </c:pt>
                <c:pt idx="128">
                  <c:v>47476</c:v>
                </c:pt>
                <c:pt idx="129">
                  <c:v>47507</c:v>
                </c:pt>
                <c:pt idx="130">
                  <c:v>47539</c:v>
                </c:pt>
                <c:pt idx="131">
                  <c:v>47567</c:v>
                </c:pt>
                <c:pt idx="132">
                  <c:v>47597</c:v>
                </c:pt>
                <c:pt idx="133">
                  <c:v>47627</c:v>
                </c:pt>
                <c:pt idx="134">
                  <c:v>47658</c:v>
                </c:pt>
                <c:pt idx="135">
                  <c:v>47688</c:v>
                </c:pt>
                <c:pt idx="136">
                  <c:v>47721</c:v>
                </c:pt>
                <c:pt idx="137">
                  <c:v>47750</c:v>
                </c:pt>
                <c:pt idx="138">
                  <c:v>47780</c:v>
                </c:pt>
                <c:pt idx="139">
                  <c:v>47812</c:v>
                </c:pt>
                <c:pt idx="140">
                  <c:v>47841</c:v>
                </c:pt>
                <c:pt idx="141">
                  <c:v>47872</c:v>
                </c:pt>
                <c:pt idx="142">
                  <c:v>47903</c:v>
                </c:pt>
                <c:pt idx="143">
                  <c:v>47931</c:v>
                </c:pt>
                <c:pt idx="144">
                  <c:v>47962</c:v>
                </c:pt>
                <c:pt idx="145">
                  <c:v>47994</c:v>
                </c:pt>
                <c:pt idx="146">
                  <c:v>48023</c:v>
                </c:pt>
                <c:pt idx="147">
                  <c:v>48053</c:v>
                </c:pt>
                <c:pt idx="148">
                  <c:v>48085</c:v>
                </c:pt>
                <c:pt idx="149">
                  <c:v>48115</c:v>
                </c:pt>
                <c:pt idx="150">
                  <c:v>48145</c:v>
                </c:pt>
                <c:pt idx="151">
                  <c:v>48176</c:v>
                </c:pt>
                <c:pt idx="152">
                  <c:v>48206</c:v>
                </c:pt>
                <c:pt idx="153">
                  <c:v>48239</c:v>
                </c:pt>
                <c:pt idx="154">
                  <c:v>48268</c:v>
                </c:pt>
                <c:pt idx="155">
                  <c:v>48297</c:v>
                </c:pt>
                <c:pt idx="156">
                  <c:v>48330</c:v>
                </c:pt>
                <c:pt idx="157">
                  <c:v>48358</c:v>
                </c:pt>
                <c:pt idx="158">
                  <c:v>48389</c:v>
                </c:pt>
                <c:pt idx="159">
                  <c:v>48421</c:v>
                </c:pt>
                <c:pt idx="160">
                  <c:v>48450</c:v>
                </c:pt>
                <c:pt idx="161">
                  <c:v>48481</c:v>
                </c:pt>
                <c:pt idx="162">
                  <c:v>48512</c:v>
                </c:pt>
                <c:pt idx="163">
                  <c:v>48542</c:v>
                </c:pt>
                <c:pt idx="164">
                  <c:v>48572</c:v>
                </c:pt>
                <c:pt idx="165">
                  <c:v>48603</c:v>
                </c:pt>
                <c:pt idx="166">
                  <c:v>48634</c:v>
                </c:pt>
                <c:pt idx="167">
                  <c:v>48662</c:v>
                </c:pt>
                <c:pt idx="168">
                  <c:v>48694</c:v>
                </c:pt>
                <c:pt idx="169">
                  <c:v>48723</c:v>
                </c:pt>
                <c:pt idx="170">
                  <c:v>48754</c:v>
                </c:pt>
                <c:pt idx="171">
                  <c:v>48785</c:v>
                </c:pt>
                <c:pt idx="172">
                  <c:v>48815</c:v>
                </c:pt>
                <c:pt idx="173">
                  <c:v>48848</c:v>
                </c:pt>
                <c:pt idx="174">
                  <c:v>48876</c:v>
                </c:pt>
                <c:pt idx="175">
                  <c:v>48907</c:v>
                </c:pt>
                <c:pt idx="176">
                  <c:v>48939</c:v>
                </c:pt>
                <c:pt idx="177">
                  <c:v>48968</c:v>
                </c:pt>
                <c:pt idx="178">
                  <c:v>48999</c:v>
                </c:pt>
                <c:pt idx="179">
                  <c:v>49027</c:v>
                </c:pt>
                <c:pt idx="180">
                  <c:v>49058</c:v>
                </c:pt>
                <c:pt idx="181">
                  <c:v>49088</c:v>
                </c:pt>
                <c:pt idx="182">
                  <c:v>49121</c:v>
                </c:pt>
                <c:pt idx="183">
                  <c:v>49149</c:v>
                </c:pt>
                <c:pt idx="184">
                  <c:v>49180</c:v>
                </c:pt>
                <c:pt idx="185">
                  <c:v>49212</c:v>
                </c:pt>
                <c:pt idx="186">
                  <c:v>49241</c:v>
                </c:pt>
                <c:pt idx="187">
                  <c:v>49272</c:v>
                </c:pt>
                <c:pt idx="188">
                  <c:v>49303</c:v>
                </c:pt>
                <c:pt idx="189">
                  <c:v>49333</c:v>
                </c:pt>
                <c:pt idx="190">
                  <c:v>49366</c:v>
                </c:pt>
                <c:pt idx="191">
                  <c:v>49394</c:v>
                </c:pt>
                <c:pt idx="192">
                  <c:v>49423</c:v>
                </c:pt>
                <c:pt idx="193">
                  <c:v>49453</c:v>
                </c:pt>
                <c:pt idx="194">
                  <c:v>49485</c:v>
                </c:pt>
                <c:pt idx="195">
                  <c:v>49514</c:v>
                </c:pt>
                <c:pt idx="196">
                  <c:v>49545</c:v>
                </c:pt>
                <c:pt idx="197">
                  <c:v>49576</c:v>
                </c:pt>
                <c:pt idx="198">
                  <c:v>49606</c:v>
                </c:pt>
                <c:pt idx="199">
                  <c:v>49639</c:v>
                </c:pt>
                <c:pt idx="200">
                  <c:v>49667</c:v>
                </c:pt>
                <c:pt idx="201">
                  <c:v>49698</c:v>
                </c:pt>
                <c:pt idx="202">
                  <c:v>49730</c:v>
                </c:pt>
                <c:pt idx="203">
                  <c:v>49758</c:v>
                </c:pt>
                <c:pt idx="204">
                  <c:v>49789</c:v>
                </c:pt>
                <c:pt idx="205">
                  <c:v>49821</c:v>
                </c:pt>
                <c:pt idx="206">
                  <c:v>49850</c:v>
                </c:pt>
                <c:pt idx="207">
                  <c:v>49880</c:v>
                </c:pt>
                <c:pt idx="208">
                  <c:v>49912</c:v>
                </c:pt>
                <c:pt idx="209">
                  <c:v>49942</c:v>
                </c:pt>
                <c:pt idx="210">
                  <c:v>49972</c:v>
                </c:pt>
                <c:pt idx="211">
                  <c:v>50003</c:v>
                </c:pt>
                <c:pt idx="212">
                  <c:v>50033</c:v>
                </c:pt>
                <c:pt idx="213">
                  <c:v>50066</c:v>
                </c:pt>
                <c:pt idx="214">
                  <c:v>50095</c:v>
                </c:pt>
                <c:pt idx="215">
                  <c:v>50123</c:v>
                </c:pt>
                <c:pt idx="216">
                  <c:v>50154</c:v>
                </c:pt>
                <c:pt idx="217">
                  <c:v>50185</c:v>
                </c:pt>
                <c:pt idx="218">
                  <c:v>50215</c:v>
                </c:pt>
                <c:pt idx="219">
                  <c:v>50245</c:v>
                </c:pt>
                <c:pt idx="220">
                  <c:v>50276</c:v>
                </c:pt>
                <c:pt idx="221">
                  <c:v>50307</c:v>
                </c:pt>
                <c:pt idx="222">
                  <c:v>50339</c:v>
                </c:pt>
                <c:pt idx="223">
                  <c:v>50368</c:v>
                </c:pt>
                <c:pt idx="224">
                  <c:v>50398</c:v>
                </c:pt>
                <c:pt idx="225">
                  <c:v>50430</c:v>
                </c:pt>
                <c:pt idx="226">
                  <c:v>50460</c:v>
                </c:pt>
                <c:pt idx="227">
                  <c:v>50488</c:v>
                </c:pt>
                <c:pt idx="228">
                  <c:v>50521</c:v>
                </c:pt>
                <c:pt idx="229">
                  <c:v>50549</c:v>
                </c:pt>
                <c:pt idx="230">
                  <c:v>50580</c:v>
                </c:pt>
                <c:pt idx="231">
                  <c:v>50612</c:v>
                </c:pt>
                <c:pt idx="232">
                  <c:v>50641</c:v>
                </c:pt>
                <c:pt idx="233">
                  <c:v>50672</c:v>
                </c:pt>
                <c:pt idx="234">
                  <c:v>50703</c:v>
                </c:pt>
                <c:pt idx="235">
                  <c:v>50733</c:v>
                </c:pt>
                <c:pt idx="236">
                  <c:v>50763</c:v>
                </c:pt>
                <c:pt idx="237">
                  <c:v>50794</c:v>
                </c:pt>
                <c:pt idx="238">
                  <c:v>50825</c:v>
                </c:pt>
                <c:pt idx="239">
                  <c:v>50853</c:v>
                </c:pt>
                <c:pt idx="240">
                  <c:v>50885</c:v>
                </c:pt>
                <c:pt idx="241">
                  <c:v>50914</c:v>
                </c:pt>
                <c:pt idx="242">
                  <c:v>50945</c:v>
                </c:pt>
                <c:pt idx="243">
                  <c:v>50976</c:v>
                </c:pt>
                <c:pt idx="244">
                  <c:v>51006</c:v>
                </c:pt>
                <c:pt idx="245">
                  <c:v>51039</c:v>
                </c:pt>
                <c:pt idx="246">
                  <c:v>51067</c:v>
                </c:pt>
                <c:pt idx="247">
                  <c:v>51098</c:v>
                </c:pt>
                <c:pt idx="248">
                  <c:v>51130</c:v>
                </c:pt>
                <c:pt idx="249">
                  <c:v>51159</c:v>
                </c:pt>
                <c:pt idx="250">
                  <c:v>51190</c:v>
                </c:pt>
                <c:pt idx="251">
                  <c:v>51221</c:v>
                </c:pt>
                <c:pt idx="252">
                  <c:v>51250</c:v>
                </c:pt>
                <c:pt idx="253">
                  <c:v>51280</c:v>
                </c:pt>
                <c:pt idx="254">
                  <c:v>51312</c:v>
                </c:pt>
                <c:pt idx="255">
                  <c:v>51341</c:v>
                </c:pt>
                <c:pt idx="256">
                  <c:v>51372</c:v>
                </c:pt>
                <c:pt idx="257">
                  <c:v>51403</c:v>
                </c:pt>
                <c:pt idx="258">
                  <c:v>51433</c:v>
                </c:pt>
                <c:pt idx="259">
                  <c:v>51466</c:v>
                </c:pt>
                <c:pt idx="260">
                  <c:v>51494</c:v>
                </c:pt>
                <c:pt idx="261">
                  <c:v>51525</c:v>
                </c:pt>
                <c:pt idx="262">
                  <c:v>51557</c:v>
                </c:pt>
                <c:pt idx="263">
                  <c:v>51585</c:v>
                </c:pt>
                <c:pt idx="264">
                  <c:v>51615</c:v>
                </c:pt>
                <c:pt idx="265">
                  <c:v>51645</c:v>
                </c:pt>
                <c:pt idx="266">
                  <c:v>51676</c:v>
                </c:pt>
                <c:pt idx="267">
                  <c:v>51706</c:v>
                </c:pt>
                <c:pt idx="268">
                  <c:v>51739</c:v>
                </c:pt>
                <c:pt idx="269">
                  <c:v>51768</c:v>
                </c:pt>
                <c:pt idx="270">
                  <c:v>51798</c:v>
                </c:pt>
                <c:pt idx="271">
                  <c:v>51830</c:v>
                </c:pt>
                <c:pt idx="272">
                  <c:v>51859</c:v>
                </c:pt>
                <c:pt idx="273">
                  <c:v>51890</c:v>
                </c:pt>
                <c:pt idx="274">
                  <c:v>51921</c:v>
                </c:pt>
                <c:pt idx="275">
                  <c:v>51949</c:v>
                </c:pt>
                <c:pt idx="276">
                  <c:v>51980</c:v>
                </c:pt>
                <c:pt idx="277">
                  <c:v>52012</c:v>
                </c:pt>
                <c:pt idx="278">
                  <c:v>52041</c:v>
                </c:pt>
                <c:pt idx="279">
                  <c:v>52071</c:v>
                </c:pt>
                <c:pt idx="280">
                  <c:v>52103</c:v>
                </c:pt>
                <c:pt idx="281">
                  <c:v>52133</c:v>
                </c:pt>
                <c:pt idx="282">
                  <c:v>52163</c:v>
                </c:pt>
                <c:pt idx="283">
                  <c:v>52194</c:v>
                </c:pt>
                <c:pt idx="284">
                  <c:v>52224</c:v>
                </c:pt>
                <c:pt idx="285">
                  <c:v>52257</c:v>
                </c:pt>
                <c:pt idx="286">
                  <c:v>52286</c:v>
                </c:pt>
                <c:pt idx="287">
                  <c:v>52314</c:v>
                </c:pt>
                <c:pt idx="288">
                  <c:v>52345</c:v>
                </c:pt>
                <c:pt idx="289">
                  <c:v>52376</c:v>
                </c:pt>
                <c:pt idx="290">
                  <c:v>52406</c:v>
                </c:pt>
                <c:pt idx="291">
                  <c:v>52436</c:v>
                </c:pt>
                <c:pt idx="292">
                  <c:v>52467</c:v>
                </c:pt>
                <c:pt idx="293">
                  <c:v>52498</c:v>
                </c:pt>
                <c:pt idx="294">
                  <c:v>52530</c:v>
                </c:pt>
                <c:pt idx="295">
                  <c:v>52559</c:v>
                </c:pt>
                <c:pt idx="296">
                  <c:v>52589</c:v>
                </c:pt>
                <c:pt idx="297">
                  <c:v>52621</c:v>
                </c:pt>
                <c:pt idx="298">
                  <c:v>52651</c:v>
                </c:pt>
                <c:pt idx="299">
                  <c:v>52680</c:v>
                </c:pt>
                <c:pt idx="300">
                  <c:v>52712</c:v>
                </c:pt>
                <c:pt idx="301">
                  <c:v>52741</c:v>
                </c:pt>
                <c:pt idx="302">
                  <c:v>52772</c:v>
                </c:pt>
                <c:pt idx="303">
                  <c:v>52803</c:v>
                </c:pt>
                <c:pt idx="304">
                  <c:v>52833</c:v>
                </c:pt>
                <c:pt idx="305">
                  <c:v>52866</c:v>
                </c:pt>
                <c:pt idx="306">
                  <c:v>52894</c:v>
                </c:pt>
                <c:pt idx="307">
                  <c:v>52925</c:v>
                </c:pt>
                <c:pt idx="308">
                  <c:v>52957</c:v>
                </c:pt>
                <c:pt idx="309">
                  <c:v>52986</c:v>
                </c:pt>
                <c:pt idx="310">
                  <c:v>53017</c:v>
                </c:pt>
                <c:pt idx="311">
                  <c:v>53045</c:v>
                </c:pt>
                <c:pt idx="312">
                  <c:v>53076</c:v>
                </c:pt>
                <c:pt idx="313">
                  <c:v>53106</c:v>
                </c:pt>
                <c:pt idx="314">
                  <c:v>53139</c:v>
                </c:pt>
                <c:pt idx="315">
                  <c:v>53167</c:v>
                </c:pt>
                <c:pt idx="316">
                  <c:v>53198</c:v>
                </c:pt>
                <c:pt idx="317">
                  <c:v>53230</c:v>
                </c:pt>
                <c:pt idx="318">
                  <c:v>53259</c:v>
                </c:pt>
                <c:pt idx="319">
                  <c:v>53290</c:v>
                </c:pt>
                <c:pt idx="320">
                  <c:v>53321</c:v>
                </c:pt>
                <c:pt idx="321">
                  <c:v>53351</c:v>
                </c:pt>
                <c:pt idx="322">
                  <c:v>53384</c:v>
                </c:pt>
                <c:pt idx="323">
                  <c:v>53412</c:v>
                </c:pt>
                <c:pt idx="324">
                  <c:v>53441</c:v>
                </c:pt>
                <c:pt idx="325">
                  <c:v>53471</c:v>
                </c:pt>
                <c:pt idx="326">
                  <c:v>53503</c:v>
                </c:pt>
                <c:pt idx="327">
                  <c:v>53532</c:v>
                </c:pt>
                <c:pt idx="328">
                  <c:v>53563</c:v>
                </c:pt>
                <c:pt idx="329">
                  <c:v>53594</c:v>
                </c:pt>
                <c:pt idx="330">
                  <c:v>53624</c:v>
                </c:pt>
                <c:pt idx="331">
                  <c:v>53657</c:v>
                </c:pt>
                <c:pt idx="332">
                  <c:v>53685</c:v>
                </c:pt>
                <c:pt idx="333">
                  <c:v>53716</c:v>
                </c:pt>
                <c:pt idx="334">
                  <c:v>53748</c:v>
                </c:pt>
                <c:pt idx="335">
                  <c:v>53776</c:v>
                </c:pt>
                <c:pt idx="336">
                  <c:v>53806</c:v>
                </c:pt>
                <c:pt idx="337">
                  <c:v>53836</c:v>
                </c:pt>
                <c:pt idx="338">
                  <c:v>53867</c:v>
                </c:pt>
                <c:pt idx="339">
                  <c:v>53897</c:v>
                </c:pt>
                <c:pt idx="340">
                  <c:v>53930</c:v>
                </c:pt>
                <c:pt idx="341">
                  <c:v>53959</c:v>
                </c:pt>
                <c:pt idx="342">
                  <c:v>53989</c:v>
                </c:pt>
                <c:pt idx="343">
                  <c:v>54021</c:v>
                </c:pt>
                <c:pt idx="344">
                  <c:v>54050</c:v>
                </c:pt>
                <c:pt idx="345">
                  <c:v>54081</c:v>
                </c:pt>
                <c:pt idx="346">
                  <c:v>54112</c:v>
                </c:pt>
                <c:pt idx="347">
                  <c:v>54141</c:v>
                </c:pt>
                <c:pt idx="348">
                  <c:v>54172</c:v>
                </c:pt>
                <c:pt idx="349">
                  <c:v>54203</c:v>
                </c:pt>
                <c:pt idx="350">
                  <c:v>54233</c:v>
                </c:pt>
                <c:pt idx="351">
                  <c:v>54263</c:v>
                </c:pt>
                <c:pt idx="352">
                  <c:v>54294</c:v>
                </c:pt>
                <c:pt idx="353">
                  <c:v>54325</c:v>
                </c:pt>
                <c:pt idx="354">
                  <c:v>54357</c:v>
                </c:pt>
                <c:pt idx="355">
                  <c:v>54386</c:v>
                </c:pt>
                <c:pt idx="356">
                  <c:v>54416</c:v>
                </c:pt>
                <c:pt idx="357">
                  <c:v>54448</c:v>
                </c:pt>
                <c:pt idx="358">
                  <c:v>54478</c:v>
                </c:pt>
                <c:pt idx="359">
                  <c:v>54506</c:v>
                </c:pt>
                <c:pt idx="360">
                  <c:v>54539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cat>
          <c:val>
            <c:numRef>
              <c:f>DISPLAY_USD_CURVE!$C$10:$C$501</c:f>
              <c:numCache>
                <c:formatCode>0.00000%</c:formatCode>
                <c:ptCount val="492"/>
                <c:pt idx="0">
                  <c:v>1.9100000000005224E-2</c:v>
                </c:pt>
                <c:pt idx="1">
                  <c:v>1.9177507205272452E-2</c:v>
                </c:pt>
                <c:pt idx="2">
                  <c:v>2.1587437051380297E-2</c:v>
                </c:pt>
                <c:pt idx="3">
                  <c:v>2.1382355587009703E-2</c:v>
                </c:pt>
                <c:pt idx="4">
                  <c:v>2.2304149423231303E-2</c:v>
                </c:pt>
                <c:pt idx="5">
                  <c:v>2.3560618475393452E-2</c:v>
                </c:pt>
                <c:pt idx="6">
                  <c:v>2.3635994258048937E-2</c:v>
                </c:pt>
                <c:pt idx="7">
                  <c:v>2.4496784420717874E-2</c:v>
                </c:pt>
                <c:pt idx="8">
                  <c:v>2.464651732135623E-2</c:v>
                </c:pt>
                <c:pt idx="9">
                  <c:v>2.4095640526588843E-2</c:v>
                </c:pt>
                <c:pt idx="10">
                  <c:v>2.3423641438560322E-2</c:v>
                </c:pt>
                <c:pt idx="11">
                  <c:v>2.3270017690997319E-2</c:v>
                </c:pt>
                <c:pt idx="12">
                  <c:v>2.3672778890402396E-2</c:v>
                </c:pt>
                <c:pt idx="13">
                  <c:v>2.4322057010337603E-2</c:v>
                </c:pt>
                <c:pt idx="14">
                  <c:v>2.4900809360701801E-2</c:v>
                </c:pt>
                <c:pt idx="15">
                  <c:v>2.542330137851332E-2</c:v>
                </c:pt>
                <c:pt idx="16">
                  <c:v>2.5851515563584206E-2</c:v>
                </c:pt>
                <c:pt idx="17">
                  <c:v>2.6220686638893747E-2</c:v>
                </c:pt>
                <c:pt idx="18">
                  <c:v>2.6520964434639999E-2</c:v>
                </c:pt>
                <c:pt idx="19">
                  <c:v>2.6722279660811404E-2</c:v>
                </c:pt>
                <c:pt idx="20">
                  <c:v>2.6859797527585369E-2</c:v>
                </c:pt>
                <c:pt idx="21">
                  <c:v>2.6926473229105338E-2</c:v>
                </c:pt>
                <c:pt idx="22">
                  <c:v>2.6914364807479982E-2</c:v>
                </c:pt>
                <c:pt idx="23">
                  <c:v>2.6838406102474104E-2</c:v>
                </c:pt>
                <c:pt idx="24">
                  <c:v>2.6668031872789748E-2</c:v>
                </c:pt>
                <c:pt idx="25">
                  <c:v>2.6495138168156723E-2</c:v>
                </c:pt>
                <c:pt idx="26">
                  <c:v>2.6321599921983557E-2</c:v>
                </c:pt>
                <c:pt idx="27">
                  <c:v>2.616236136508308E-2</c:v>
                </c:pt>
                <c:pt idx="28">
                  <c:v>2.6035363410290651E-2</c:v>
                </c:pt>
                <c:pt idx="29">
                  <c:v>2.5916023885441768E-2</c:v>
                </c:pt>
                <c:pt idx="30">
                  <c:v>2.5818713959990892E-2</c:v>
                </c:pt>
                <c:pt idx="31">
                  <c:v>2.574084102596972E-2</c:v>
                </c:pt>
                <c:pt idx="32">
                  <c:v>2.5680595894179793E-2</c:v>
                </c:pt>
                <c:pt idx="33">
                  <c:v>2.5636626871703518E-2</c:v>
                </c:pt>
                <c:pt idx="34">
                  <c:v>2.5611554381699354E-2</c:v>
                </c:pt>
                <c:pt idx="35">
                  <c:v>2.5604918549495627E-2</c:v>
                </c:pt>
                <c:pt idx="36">
                  <c:v>2.5616103434993411E-2</c:v>
                </c:pt>
                <c:pt idx="37">
                  <c:v>2.5631362634897049E-2</c:v>
                </c:pt>
                <c:pt idx="38">
                  <c:v>2.5639677283946317E-2</c:v>
                </c:pt>
                <c:pt idx="39">
                  <c:v>2.5633992959175435E-2</c:v>
                </c:pt>
                <c:pt idx="40">
                  <c:v>2.5620562256225644E-2</c:v>
                </c:pt>
                <c:pt idx="41">
                  <c:v>2.5594816471521488E-2</c:v>
                </c:pt>
                <c:pt idx="42">
                  <c:v>2.5563880429553355E-2</c:v>
                </c:pt>
                <c:pt idx="43">
                  <c:v>2.5519919306971152E-2</c:v>
                </c:pt>
                <c:pt idx="44">
                  <c:v>2.5463878067242353E-2</c:v>
                </c:pt>
                <c:pt idx="45">
                  <c:v>2.5403656015417032E-2</c:v>
                </c:pt>
                <c:pt idx="46">
                  <c:v>2.5328627105398828E-2</c:v>
                </c:pt>
                <c:pt idx="47">
                  <c:v>2.5252561926789686E-2</c:v>
                </c:pt>
                <c:pt idx="48">
                  <c:v>2.5160069947864575E-2</c:v>
                </c:pt>
                <c:pt idx="49">
                  <c:v>2.5070111540493288E-2</c:v>
                </c:pt>
                <c:pt idx="50">
                  <c:v>2.4986666121766452E-2</c:v>
                </c:pt>
                <c:pt idx="51">
                  <c:v>2.4928743805934784E-2</c:v>
                </c:pt>
                <c:pt idx="52">
                  <c:v>2.487833960336305E-2</c:v>
                </c:pt>
                <c:pt idx="53">
                  <c:v>2.4841336987032062E-2</c:v>
                </c:pt>
                <c:pt idx="54">
                  <c:v>2.4821102874086905E-2</c:v>
                </c:pt>
                <c:pt idx="55">
                  <c:v>2.4815123565228178E-2</c:v>
                </c:pt>
                <c:pt idx="56">
                  <c:v>2.4820077487599127E-2</c:v>
                </c:pt>
                <c:pt idx="57">
                  <c:v>2.484029558950385E-2</c:v>
                </c:pt>
                <c:pt idx="58">
                  <c:v>2.4878113819011834E-2</c:v>
                </c:pt>
                <c:pt idx="59">
                  <c:v>2.4922923357011951E-2</c:v>
                </c:pt>
                <c:pt idx="60">
                  <c:v>2.4984001628020811E-2</c:v>
                </c:pt>
                <c:pt idx="61">
                  <c:v>2.5054966211558314E-2</c:v>
                </c:pt>
                <c:pt idx="62">
                  <c:v>2.5116850589612324E-2</c:v>
                </c:pt>
                <c:pt idx="63">
                  <c:v>2.5177120233519874E-2</c:v>
                </c:pt>
                <c:pt idx="64">
                  <c:v>2.5239569131332792E-2</c:v>
                </c:pt>
                <c:pt idx="65">
                  <c:v>2.5291152239917333E-2</c:v>
                </c:pt>
                <c:pt idx="66">
                  <c:v>2.5341240785308673E-2</c:v>
                </c:pt>
                <c:pt idx="67">
                  <c:v>2.5391004199586106E-2</c:v>
                </c:pt>
                <c:pt idx="68">
                  <c:v>2.5432853261641845E-2</c:v>
                </c:pt>
                <c:pt idx="69">
                  <c:v>2.5477216493284671E-2</c:v>
                </c:pt>
                <c:pt idx="70">
                  <c:v>2.5511880204543324E-2</c:v>
                </c:pt>
                <c:pt idx="71">
                  <c:v>2.5542933278743529E-2</c:v>
                </c:pt>
                <c:pt idx="72">
                  <c:v>2.5573927331020041E-2</c:v>
                </c:pt>
                <c:pt idx="73">
                  <c:v>2.5602195212583743E-2</c:v>
                </c:pt>
                <c:pt idx="74">
                  <c:v>2.5624564945769559E-2</c:v>
                </c:pt>
                <c:pt idx="75">
                  <c:v>2.564442829505495E-2</c:v>
                </c:pt>
                <c:pt idx="76">
                  <c:v>2.5661949223994437E-2</c:v>
                </c:pt>
                <c:pt idx="77">
                  <c:v>2.567496030269709E-2</c:v>
                </c:pt>
                <c:pt idx="78">
                  <c:v>2.5686734392930472E-2</c:v>
                </c:pt>
                <c:pt idx="79">
                  <c:v>2.5691144533932266E-2</c:v>
                </c:pt>
                <c:pt idx="80">
                  <c:v>2.5694078879730388E-2</c:v>
                </c:pt>
                <c:pt idx="81">
                  <c:v>2.5693453322772376E-2</c:v>
                </c:pt>
                <c:pt idx="82">
                  <c:v>2.5689587307584395E-2</c:v>
                </c:pt>
                <c:pt idx="83">
                  <c:v>2.5682928914059638E-2</c:v>
                </c:pt>
                <c:pt idx="84">
                  <c:v>2.5673599725763236E-2</c:v>
                </c:pt>
                <c:pt idx="85">
                  <c:v>2.5659985972521258E-2</c:v>
                </c:pt>
                <c:pt idx="86">
                  <c:v>2.5649588163259449E-2</c:v>
                </c:pt>
                <c:pt idx="87">
                  <c:v>2.5642146840344326E-2</c:v>
                </c:pt>
                <c:pt idx="88">
                  <c:v>2.5632771893203E-2</c:v>
                </c:pt>
                <c:pt idx="89">
                  <c:v>2.5626426902510147E-2</c:v>
                </c:pt>
                <c:pt idx="90">
                  <c:v>2.5621442388348729E-2</c:v>
                </c:pt>
                <c:pt idx="91">
                  <c:v>2.5618293904155369E-2</c:v>
                </c:pt>
                <c:pt idx="92">
                  <c:v>2.5616400836700772E-2</c:v>
                </c:pt>
                <c:pt idx="93">
                  <c:v>2.561592405616572E-2</c:v>
                </c:pt>
                <c:pt idx="94">
                  <c:v>2.5616917962554712E-2</c:v>
                </c:pt>
                <c:pt idx="95">
                  <c:v>2.561909660046479E-2</c:v>
                </c:pt>
                <c:pt idx="96">
                  <c:v>2.5623228568992122E-2</c:v>
                </c:pt>
                <c:pt idx="97">
                  <c:v>2.5628056903844055E-2</c:v>
                </c:pt>
                <c:pt idx="98">
                  <c:v>2.563481192702487E-2</c:v>
                </c:pt>
                <c:pt idx="99">
                  <c:v>2.5643351880968879E-2</c:v>
                </c:pt>
                <c:pt idx="100">
                  <c:v>2.5652460664935969E-2</c:v>
                </c:pt>
                <c:pt idx="101">
                  <c:v>2.5665846142435708E-2</c:v>
                </c:pt>
                <c:pt idx="102">
                  <c:v>2.5676294981856067E-2</c:v>
                </c:pt>
                <c:pt idx="103">
                  <c:v>2.5689967697136034E-2</c:v>
                </c:pt>
                <c:pt idx="104">
                  <c:v>2.5707389206629867E-2</c:v>
                </c:pt>
                <c:pt idx="105">
                  <c:v>2.5722057997729302E-2</c:v>
                </c:pt>
                <c:pt idx="106">
                  <c:v>2.5740577859916652E-2</c:v>
                </c:pt>
                <c:pt idx="107">
                  <c:v>2.5761754078833875E-2</c:v>
                </c:pt>
                <c:pt idx="108">
                  <c:v>2.5780641348763088E-2</c:v>
                </c:pt>
                <c:pt idx="109">
                  <c:v>2.5802766961545005E-2</c:v>
                </c:pt>
                <c:pt idx="110">
                  <c:v>2.5828707378719298E-2</c:v>
                </c:pt>
                <c:pt idx="111">
                  <c:v>2.5852044962025155E-2</c:v>
                </c:pt>
                <c:pt idx="112">
                  <c:v>2.5879299300251409E-2</c:v>
                </c:pt>
                <c:pt idx="113">
                  <c:v>2.590898590823984E-2</c:v>
                </c:pt>
                <c:pt idx="114">
                  <c:v>2.5937263916255046E-2</c:v>
                </c:pt>
                <c:pt idx="115">
                  <c:v>2.5971853458061446E-2</c:v>
                </c:pt>
                <c:pt idx="116">
                  <c:v>2.6002084954775226E-2</c:v>
                </c:pt>
                <c:pt idx="117">
                  <c:v>2.60355907730551E-2</c:v>
                </c:pt>
                <c:pt idx="118">
                  <c:v>2.6074055107572578E-2</c:v>
                </c:pt>
                <c:pt idx="119">
                  <c:v>2.6108002592955343E-2</c:v>
                </c:pt>
                <c:pt idx="120">
                  <c:v>2.6144441987656995E-2</c:v>
                </c:pt>
                <c:pt idx="121">
                  <c:v>2.6181701593314559E-2</c:v>
                </c:pt>
                <c:pt idx="122">
                  <c:v>2.6218547614731757E-2</c:v>
                </c:pt>
                <c:pt idx="123">
                  <c:v>2.6249327438301665E-2</c:v>
                </c:pt>
                <c:pt idx="124">
                  <c:v>2.6282340861342565E-2</c:v>
                </c:pt>
                <c:pt idx="125">
                  <c:v>2.630686054635617E-2</c:v>
                </c:pt>
                <c:pt idx="126">
                  <c:v>2.6330646422647923E-2</c:v>
                </c:pt>
                <c:pt idx="127">
                  <c:v>2.6353759856454818E-2</c:v>
                </c:pt>
                <c:pt idx="128">
                  <c:v>2.6370877701436299E-2</c:v>
                </c:pt>
                <c:pt idx="129">
                  <c:v>2.638713521469192E-2</c:v>
                </c:pt>
                <c:pt idx="130">
                  <c:v>2.6400952912557819E-2</c:v>
                </c:pt>
                <c:pt idx="131">
                  <c:v>2.6410590588015516E-2</c:v>
                </c:pt>
                <c:pt idx="132">
                  <c:v>2.6418354254605127E-2</c:v>
                </c:pt>
                <c:pt idx="133">
                  <c:v>2.6425539017469777E-2</c:v>
                </c:pt>
                <c:pt idx="134">
                  <c:v>2.6426004204238882E-2</c:v>
                </c:pt>
                <c:pt idx="135">
                  <c:v>2.6425755260989781E-2</c:v>
                </c:pt>
                <c:pt idx="136">
                  <c:v>2.6422429679499593E-2</c:v>
                </c:pt>
                <c:pt idx="137">
                  <c:v>2.6416882116753505E-2</c:v>
                </c:pt>
                <c:pt idx="138">
                  <c:v>2.6408536231810366E-2</c:v>
                </c:pt>
                <c:pt idx="139">
                  <c:v>2.6396717281511922E-2</c:v>
                </c:pt>
                <c:pt idx="140">
                  <c:v>2.6383422792961891E-2</c:v>
                </c:pt>
                <c:pt idx="141">
                  <c:v>2.6367807500122076E-2</c:v>
                </c:pt>
                <c:pt idx="142">
                  <c:v>2.6346697892161475E-2</c:v>
                </c:pt>
                <c:pt idx="143">
                  <c:v>2.6326429474097572E-2</c:v>
                </c:pt>
                <c:pt idx="144">
                  <c:v>2.630130097171551E-2</c:v>
                </c:pt>
                <c:pt idx="145">
                  <c:v>2.6273728306107968E-2</c:v>
                </c:pt>
                <c:pt idx="146">
                  <c:v>2.6249043357719409E-2</c:v>
                </c:pt>
                <c:pt idx="147">
                  <c:v>2.6223832778478402E-2</c:v>
                </c:pt>
                <c:pt idx="148">
                  <c:v>2.6197303058074661E-2</c:v>
                </c:pt>
                <c:pt idx="149">
                  <c:v>2.6172764049153047E-2</c:v>
                </c:pt>
                <c:pt idx="150">
                  <c:v>2.6149648742343309E-2</c:v>
                </c:pt>
                <c:pt idx="151">
                  <c:v>2.6123872276282791E-2</c:v>
                </c:pt>
                <c:pt idx="152">
                  <c:v>2.6100318489601732E-2</c:v>
                </c:pt>
                <c:pt idx="153">
                  <c:v>2.6074787418504473E-2</c:v>
                </c:pt>
                <c:pt idx="154">
                  <c:v>2.6052676128905196E-2</c:v>
                </c:pt>
                <c:pt idx="155">
                  <c:v>2.6030866745262813E-2</c:v>
                </c:pt>
                <c:pt idx="156">
                  <c:v>2.6006420836765319E-2</c:v>
                </c:pt>
                <c:pt idx="157">
                  <c:v>2.5985987597248284E-2</c:v>
                </c:pt>
                <c:pt idx="158">
                  <c:v>2.5963693522182245E-2</c:v>
                </c:pt>
                <c:pt idx="159">
                  <c:v>2.5941046606079817E-2</c:v>
                </c:pt>
                <c:pt idx="160">
                  <c:v>2.5920842526790222E-2</c:v>
                </c:pt>
                <c:pt idx="161">
                  <c:v>2.5900762342826816E-2</c:v>
                </c:pt>
                <c:pt idx="162">
                  <c:v>2.5878664891805632E-2</c:v>
                </c:pt>
                <c:pt idx="163">
                  <c:v>2.5858756193355825E-2</c:v>
                </c:pt>
                <c:pt idx="164">
                  <c:v>2.5840378107849074E-2</c:v>
                </c:pt>
                <c:pt idx="165">
                  <c:v>2.5819275702878969E-2</c:v>
                </c:pt>
                <c:pt idx="166">
                  <c:v>2.5799728459854752E-2</c:v>
                </c:pt>
                <c:pt idx="167">
                  <c:v>2.578236952476539E-2</c:v>
                </c:pt>
                <c:pt idx="168">
                  <c:v>2.5762879427805543E-2</c:v>
                </c:pt>
                <c:pt idx="169">
                  <c:v>2.574553642509159E-2</c:v>
                </c:pt>
                <c:pt idx="170">
                  <c:v>2.57285886460338E-2</c:v>
                </c:pt>
                <c:pt idx="171">
                  <c:v>2.5709475545832451E-2</c:v>
                </c:pt>
                <c:pt idx="172">
                  <c:v>2.5692526493590752E-2</c:v>
                </c:pt>
                <c:pt idx="173">
                  <c:v>2.5674256039401194E-2</c:v>
                </c:pt>
                <c:pt idx="174">
                  <c:v>2.5659064101533499E-2</c:v>
                </c:pt>
                <c:pt idx="175">
                  <c:v>2.5642575188754745E-2</c:v>
                </c:pt>
                <c:pt idx="176">
                  <c:v>2.5625916589678156E-2</c:v>
                </c:pt>
                <c:pt idx="177">
                  <c:v>2.5611141090470409E-2</c:v>
                </c:pt>
                <c:pt idx="178">
                  <c:v>2.5597009860673158E-2</c:v>
                </c:pt>
                <c:pt idx="179">
                  <c:v>2.5583352173712989E-2</c:v>
                </c:pt>
                <c:pt idx="180">
                  <c:v>2.5567218655741106E-2</c:v>
                </c:pt>
                <c:pt idx="181">
                  <c:v>2.5553116143127056E-2</c:v>
                </c:pt>
                <c:pt idx="182">
                  <c:v>2.5537688117150296E-2</c:v>
                </c:pt>
                <c:pt idx="183">
                  <c:v>2.552466823629685E-2</c:v>
                </c:pt>
                <c:pt idx="184">
                  <c:v>2.551032857164116E-2</c:v>
                </c:pt>
                <c:pt idx="185">
                  <c:v>2.5495608613109077E-2</c:v>
                </c:pt>
                <c:pt idx="186">
                  <c:v>2.5482342144545381E-2</c:v>
                </c:pt>
                <c:pt idx="187">
                  <c:v>2.5469585481805904E-2</c:v>
                </c:pt>
                <c:pt idx="188">
                  <c:v>2.5454210988660648E-2</c:v>
                </c:pt>
                <c:pt idx="189">
                  <c:v>2.5440712902571792E-2</c:v>
                </c:pt>
                <c:pt idx="190">
                  <c:v>2.5425950642740974E-2</c:v>
                </c:pt>
                <c:pt idx="191">
                  <c:v>2.5413494761407151E-2</c:v>
                </c:pt>
                <c:pt idx="192">
                  <c:v>2.5400662620297446E-2</c:v>
                </c:pt>
                <c:pt idx="193">
                  <c:v>2.5387460928557648E-2</c:v>
                </c:pt>
                <c:pt idx="194">
                  <c:v>2.5373460012098961E-2</c:v>
                </c:pt>
                <c:pt idx="195">
                  <c:v>2.5360845053054068E-2</c:v>
                </c:pt>
                <c:pt idx="196">
                  <c:v>2.5348790210052759E-2</c:v>
                </c:pt>
                <c:pt idx="197">
                  <c:v>2.5334106774422854E-2</c:v>
                </c:pt>
                <c:pt idx="198">
                  <c:v>2.532128273067593E-2</c:v>
                </c:pt>
                <c:pt idx="199">
                  <c:v>2.5307261896070198E-2</c:v>
                </c:pt>
                <c:pt idx="200">
                  <c:v>2.5295435033813051E-2</c:v>
                </c:pt>
                <c:pt idx="201">
                  <c:v>2.5282416824822244E-2</c:v>
                </c:pt>
                <c:pt idx="202">
                  <c:v>2.5269061926275201E-2</c:v>
                </c:pt>
                <c:pt idx="203">
                  <c:v>2.5257444822723737E-2</c:v>
                </c:pt>
                <c:pt idx="204">
                  <c:v>2.5244658767901149E-2</c:v>
                </c:pt>
                <c:pt idx="205">
                  <c:v>2.5231543470093355E-2</c:v>
                </c:pt>
                <c:pt idx="206">
                  <c:v>2.5219729827469201E-2</c:v>
                </c:pt>
                <c:pt idx="207">
                  <c:v>2.5207582142019382E-2</c:v>
                </c:pt>
                <c:pt idx="208">
                  <c:v>2.5194706497708653E-2</c:v>
                </c:pt>
                <c:pt idx="209">
                  <c:v>2.5182711400105705E-2</c:v>
                </c:pt>
                <c:pt idx="210">
                  <c:v>2.5172154761811436E-2</c:v>
                </c:pt>
                <c:pt idx="211">
                  <c:v>2.5158551017611053E-2</c:v>
                </c:pt>
                <c:pt idx="212">
                  <c:v>2.5146780589106993E-2</c:v>
                </c:pt>
                <c:pt idx="213">
                  <c:v>2.5133919304781635E-2</c:v>
                </c:pt>
                <c:pt idx="214">
                  <c:v>2.5122690979232292E-2</c:v>
                </c:pt>
                <c:pt idx="215">
                  <c:v>2.5111914933384494E-2</c:v>
                </c:pt>
                <c:pt idx="216">
                  <c:v>2.5101429066617702E-2</c:v>
                </c:pt>
                <c:pt idx="217">
                  <c:v>2.5088284527704417E-2</c:v>
                </c:pt>
                <c:pt idx="218">
                  <c:v>2.5076963439637404E-2</c:v>
                </c:pt>
                <c:pt idx="219">
                  <c:v>2.5067088603637804E-2</c:v>
                </c:pt>
                <c:pt idx="220">
                  <c:v>2.505417351297157E-2</c:v>
                </c:pt>
                <c:pt idx="221">
                  <c:v>2.504270849739465E-2</c:v>
                </c:pt>
                <c:pt idx="222">
                  <c:v>2.5030957221122578E-2</c:v>
                </c:pt>
                <c:pt idx="223">
                  <c:v>2.5020380427121944E-2</c:v>
                </c:pt>
                <c:pt idx="224">
                  <c:v>2.5009511133256983E-2</c:v>
                </c:pt>
                <c:pt idx="225">
                  <c:v>2.4997999457532318E-2</c:v>
                </c:pt>
                <c:pt idx="226">
                  <c:v>2.4987283876789602E-2</c:v>
                </c:pt>
                <c:pt idx="227">
                  <c:v>2.4977348902218553E-2</c:v>
                </c:pt>
                <c:pt idx="228">
                  <c:v>2.4965723220041609E-2</c:v>
                </c:pt>
                <c:pt idx="229">
                  <c:v>2.4955929406921106E-2</c:v>
                </c:pt>
                <c:pt idx="230">
                  <c:v>2.4945160893160408E-2</c:v>
                </c:pt>
                <c:pt idx="231">
                  <c:v>2.4934128561791946E-2</c:v>
                </c:pt>
                <c:pt idx="232">
                  <c:v>2.4924203292945143E-2</c:v>
                </c:pt>
                <c:pt idx="233">
                  <c:v>2.4915055089273247E-2</c:v>
                </c:pt>
                <c:pt idx="234">
                  <c:v>2.4903215163438908E-2</c:v>
                </c:pt>
                <c:pt idx="235">
                  <c:v>2.4893173557923681E-2</c:v>
                </c:pt>
                <c:pt idx="236">
                  <c:v>2.4884594493787299E-2</c:v>
                </c:pt>
                <c:pt idx="237">
                  <c:v>2.4872983725877457E-2</c:v>
                </c:pt>
                <c:pt idx="238">
                  <c:v>2.4862840953143926E-2</c:v>
                </c:pt>
                <c:pt idx="239">
                  <c:v>2.4853746648506387E-2</c:v>
                </c:pt>
                <c:pt idx="240">
                  <c:v>2.4843432106805632E-2</c:v>
                </c:pt>
                <c:pt idx="241">
                  <c:v>2.4833972158381019E-2</c:v>
                </c:pt>
                <c:pt idx="242">
                  <c:v>2.4824878000037378E-2</c:v>
                </c:pt>
                <c:pt idx="243">
                  <c:v>2.4812683766020322E-2</c:v>
                </c:pt>
                <c:pt idx="244">
                  <c:v>2.4801861463637824E-2</c:v>
                </c:pt>
                <c:pt idx="245">
                  <c:v>2.4789566527416963E-2</c:v>
                </c:pt>
                <c:pt idx="246">
                  <c:v>2.4778811550859352E-2</c:v>
                </c:pt>
                <c:pt idx="247">
                  <c:v>2.4766559375105388E-2</c:v>
                </c:pt>
                <c:pt idx="248">
                  <c:v>2.475353324173343E-2</c:v>
                </c:pt>
                <c:pt idx="249">
                  <c:v>2.4741393747843309E-2</c:v>
                </c:pt>
                <c:pt idx="250">
                  <c:v>2.4729328692131586E-2</c:v>
                </c:pt>
                <c:pt idx="251">
                  <c:v>2.4714377620268242E-2</c:v>
                </c:pt>
                <c:pt idx="252">
                  <c:v>2.470124316362593E-2</c:v>
                </c:pt>
                <c:pt idx="253">
                  <c:v>2.468732193470469E-2</c:v>
                </c:pt>
                <c:pt idx="254">
                  <c:v>2.4672099906666651E-2</c:v>
                </c:pt>
                <c:pt idx="255">
                  <c:v>2.4657970475761376E-2</c:v>
                </c:pt>
                <c:pt idx="256">
                  <c:v>2.4643697916887655E-2</c:v>
                </c:pt>
                <c:pt idx="257">
                  <c:v>2.4626700006938583E-2</c:v>
                </c:pt>
                <c:pt idx="258">
                  <c:v>2.4611048380623567E-2</c:v>
                </c:pt>
                <c:pt idx="259">
                  <c:v>2.4593439561260925E-2</c:v>
                </c:pt>
                <c:pt idx="260">
                  <c:v>2.4578177930501762E-2</c:v>
                </c:pt>
                <c:pt idx="261">
                  <c:v>2.4560935420761751E-2</c:v>
                </c:pt>
                <c:pt idx="262">
                  <c:v>2.4542756125252786E-2</c:v>
                </c:pt>
                <c:pt idx="263">
                  <c:v>2.4526533618843181E-2</c:v>
                </c:pt>
                <c:pt idx="264">
                  <c:v>2.4508823521885621E-2</c:v>
                </c:pt>
                <c:pt idx="265">
                  <c:v>2.4491832405094952E-2</c:v>
                </c:pt>
                <c:pt idx="266">
                  <c:v>2.4471767335126515E-2</c:v>
                </c:pt>
                <c:pt idx="267">
                  <c:v>2.4453027883904434E-2</c:v>
                </c:pt>
                <c:pt idx="268">
                  <c:v>2.443202245334079E-2</c:v>
                </c:pt>
                <c:pt idx="269">
                  <c:v>2.4413225308699965E-2</c:v>
                </c:pt>
                <c:pt idx="270">
                  <c:v>2.4393445439837142E-2</c:v>
                </c:pt>
                <c:pt idx="271">
                  <c:v>2.4371972450210729E-2</c:v>
                </c:pt>
                <c:pt idx="272">
                  <c:v>2.4352180213321303E-2</c:v>
                </c:pt>
                <c:pt idx="273">
                  <c:v>2.4331615861462871E-2</c:v>
                </c:pt>
                <c:pt idx="274">
                  <c:v>2.4308800252067025E-2</c:v>
                </c:pt>
                <c:pt idx="275">
                  <c:v>2.4288735138847186E-2</c:v>
                </c:pt>
                <c:pt idx="276">
                  <c:v>2.4266174632504089E-2</c:v>
                </c:pt>
                <c:pt idx="277">
                  <c:v>2.4242505908563305E-2</c:v>
                </c:pt>
                <c:pt idx="278">
                  <c:v>2.4220723721629134E-2</c:v>
                </c:pt>
                <c:pt idx="279">
                  <c:v>2.4197856015580367E-2</c:v>
                </c:pt>
                <c:pt idx="280">
                  <c:v>2.4173089406146122E-2</c:v>
                </c:pt>
                <c:pt idx="281">
                  <c:v>2.4149521159302922E-2</c:v>
                </c:pt>
                <c:pt idx="282">
                  <c:v>2.4126426580110254E-2</c:v>
                </c:pt>
                <c:pt idx="283">
                  <c:v>2.4100550753972091E-2</c:v>
                </c:pt>
                <c:pt idx="284">
                  <c:v>2.4075953209890508E-2</c:v>
                </c:pt>
                <c:pt idx="285">
                  <c:v>2.4048503042200811E-2</c:v>
                </c:pt>
                <c:pt idx="286">
                  <c:v>2.4024041172790753E-2</c:v>
                </c:pt>
                <c:pt idx="287">
                  <c:v>2.400012280777291E-2</c:v>
                </c:pt>
                <c:pt idx="288">
                  <c:v>2.3974021016927281E-2</c:v>
                </c:pt>
                <c:pt idx="289">
                  <c:v>2.394610701422421E-2</c:v>
                </c:pt>
                <c:pt idx="290">
                  <c:v>2.391945085889181E-2</c:v>
                </c:pt>
                <c:pt idx="291">
                  <c:v>2.3893134350389224E-2</c:v>
                </c:pt>
                <c:pt idx="292">
                  <c:v>2.3864201801562662E-2</c:v>
                </c:pt>
                <c:pt idx="293">
                  <c:v>2.3835587787893648E-2</c:v>
                </c:pt>
                <c:pt idx="294">
                  <c:v>2.380566995951898E-2</c:v>
                </c:pt>
                <c:pt idx="295">
                  <c:v>2.377822326819929E-2</c:v>
                </c:pt>
                <c:pt idx="296">
                  <c:v>2.3749496875605052E-2</c:v>
                </c:pt>
                <c:pt idx="297">
                  <c:v>2.3718480023558277E-2</c:v>
                </c:pt>
                <c:pt idx="298">
                  <c:v>2.3689051572491925E-2</c:v>
                </c:pt>
                <c:pt idx="299">
                  <c:v>2.3660284069951843E-2</c:v>
                </c:pt>
                <c:pt idx="300">
                  <c:v>2.362817383156364E-2</c:v>
                </c:pt>
                <c:pt idx="301">
                  <c:v>2.3599388473626397E-2</c:v>
                </c:pt>
                <c:pt idx="302">
                  <c:v>2.3570364711319687E-2</c:v>
                </c:pt>
                <c:pt idx="303">
                  <c:v>2.3541314485957802E-2</c:v>
                </c:pt>
                <c:pt idx="304">
                  <c:v>2.3514915258034102E-2</c:v>
                </c:pt>
                <c:pt idx="305">
                  <c:v>2.348714780510704E-2</c:v>
                </c:pt>
                <c:pt idx="306">
                  <c:v>2.3464641490005503E-2</c:v>
                </c:pt>
                <c:pt idx="307">
                  <c:v>2.3440848475566822E-2</c:v>
                </c:pt>
                <c:pt idx="308">
                  <c:v>2.3417521532709474E-2</c:v>
                </c:pt>
                <c:pt idx="309">
                  <c:v>2.3397473382529489E-2</c:v>
                </c:pt>
                <c:pt idx="310">
                  <c:v>2.3378070341762112E-2</c:v>
                </c:pt>
                <c:pt idx="311">
                  <c:v>2.3360789886198937E-2</c:v>
                </c:pt>
                <c:pt idx="312">
                  <c:v>2.3341835065296034E-2</c:v>
                </c:pt>
                <c:pt idx="313">
                  <c:v>2.3325503721418783E-2</c:v>
                </c:pt>
                <c:pt idx="314">
                  <c:v>2.3308811648574838E-2</c:v>
                </c:pt>
                <c:pt idx="315">
                  <c:v>2.3295702787108689E-2</c:v>
                </c:pt>
                <c:pt idx="316">
                  <c:v>2.3282314252697368E-2</c:v>
                </c:pt>
                <c:pt idx="317">
                  <c:v>2.3269727633350588E-2</c:v>
                </c:pt>
                <c:pt idx="318">
                  <c:v>2.325941271003509E-2</c:v>
                </c:pt>
                <c:pt idx="319">
                  <c:v>2.3250733091241472E-2</c:v>
                </c:pt>
                <c:pt idx="320">
                  <c:v>2.3240824290161988E-2</c:v>
                </c:pt>
                <c:pt idx="321">
                  <c:v>2.3233528066246692E-2</c:v>
                </c:pt>
                <c:pt idx="322">
                  <c:v>2.3226780871204011E-2</c:v>
                </c:pt>
                <c:pt idx="323">
                  <c:v>2.3222101606788066E-2</c:v>
                </c:pt>
                <c:pt idx="324">
                  <c:v>2.3218275283529825E-2</c:v>
                </c:pt>
                <c:pt idx="325">
                  <c:v>2.3215405741805587E-2</c:v>
                </c:pt>
                <c:pt idx="326">
                  <c:v>2.3213559255162001E-2</c:v>
                </c:pt>
                <c:pt idx="327">
                  <c:v>2.3212977316904419E-2</c:v>
                </c:pt>
                <c:pt idx="328">
                  <c:v>2.3215032940619093E-2</c:v>
                </c:pt>
                <c:pt idx="329">
                  <c:v>2.3215197712661961E-2</c:v>
                </c:pt>
                <c:pt idx="330">
                  <c:v>2.3217970542097736E-2</c:v>
                </c:pt>
                <c:pt idx="331">
                  <c:v>2.3222299033713149E-2</c:v>
                </c:pt>
                <c:pt idx="332">
                  <c:v>2.3227016797922172E-2</c:v>
                </c:pt>
                <c:pt idx="333">
                  <c:v>2.3233368103163912E-2</c:v>
                </c:pt>
                <c:pt idx="334">
                  <c:v>2.3241165702130435E-2</c:v>
                </c:pt>
                <c:pt idx="335">
                  <c:v>2.3249016805148386E-2</c:v>
                </c:pt>
                <c:pt idx="336">
                  <c:v>2.3258501744332218E-2</c:v>
                </c:pt>
                <c:pt idx="337">
                  <c:v>2.3270970321373142E-2</c:v>
                </c:pt>
                <c:pt idx="338">
                  <c:v>2.3281196635018965E-2</c:v>
                </c:pt>
                <c:pt idx="339">
                  <c:v>2.3294038138879244E-2</c:v>
                </c:pt>
                <c:pt idx="340">
                  <c:v>2.3309442200955311E-2</c:v>
                </c:pt>
                <c:pt idx="341">
                  <c:v>2.33240795511672E-2</c:v>
                </c:pt>
                <c:pt idx="342">
                  <c:v>2.3340313442867973E-2</c:v>
                </c:pt>
                <c:pt idx="343">
                  <c:v>2.3358851073978133E-2</c:v>
                </c:pt>
                <c:pt idx="344">
                  <c:v>2.3376733264186739E-2</c:v>
                </c:pt>
                <c:pt idx="345">
                  <c:v>2.3399190210043011E-2</c:v>
                </c:pt>
                <c:pt idx="346">
                  <c:v>2.3418440737711613E-2</c:v>
                </c:pt>
                <c:pt idx="347">
                  <c:v>2.3439567178658249E-2</c:v>
                </c:pt>
                <c:pt idx="348">
                  <c:v>2.3465612764709487E-2</c:v>
                </c:pt>
                <c:pt idx="349">
                  <c:v>2.3488210960460856E-2</c:v>
                </c:pt>
                <c:pt idx="350">
                  <c:v>2.3513440669023205E-2</c:v>
                </c:pt>
                <c:pt idx="351">
                  <c:v>2.354221748764785E-2</c:v>
                </c:pt>
                <c:pt idx="352">
                  <c:v>2.3568161936780303E-2</c:v>
                </c:pt>
                <c:pt idx="353">
                  <c:v>2.3597719735468946E-2</c:v>
                </c:pt>
                <c:pt idx="354">
                  <c:v>2.3629474635138741E-2</c:v>
                </c:pt>
                <c:pt idx="355">
                  <c:v>2.3659340121302882E-2</c:v>
                </c:pt>
                <c:pt idx="356">
                  <c:v>2.3691319453365344E-2</c:v>
                </c:pt>
                <c:pt idx="357">
                  <c:v>2.3726655191301044E-2</c:v>
                </c:pt>
                <c:pt idx="358">
                  <c:v>2.3760925771004714E-2</c:v>
                </c:pt>
                <c:pt idx="359">
                  <c:v>2.379390403699317E-2</c:v>
                </c:pt>
                <c:pt idx="360">
                  <c:v>2.3834010611983775E-2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DISPLAY_USD_CURVE!$D$9</c:f>
              <c:strCache>
                <c:ptCount val="1"/>
                <c:pt idx="0">
                  <c:v>USD3ML</c:v>
                </c:pt>
              </c:strCache>
            </c:strRef>
          </c:tx>
          <c:marker>
            <c:symbol val="none"/>
          </c:marker>
          <c:cat>
            <c:numRef>
              <c:f>DISPLAY_USD_CURVE!$B$10:$B$501</c:f>
              <c:numCache>
                <c:formatCode>d\-mmm\-yy</c:formatCode>
                <c:ptCount val="492"/>
                <c:pt idx="0">
                  <c:v>43579</c:v>
                </c:pt>
                <c:pt idx="1">
                  <c:v>43609</c:v>
                </c:pt>
                <c:pt idx="2">
                  <c:v>43640</c:v>
                </c:pt>
                <c:pt idx="3">
                  <c:v>43670</c:v>
                </c:pt>
                <c:pt idx="4">
                  <c:v>43703</c:v>
                </c:pt>
                <c:pt idx="5">
                  <c:v>43732</c:v>
                </c:pt>
                <c:pt idx="6">
                  <c:v>43762</c:v>
                </c:pt>
                <c:pt idx="7">
                  <c:v>43794</c:v>
                </c:pt>
                <c:pt idx="8">
                  <c:v>43823</c:v>
                </c:pt>
                <c:pt idx="9">
                  <c:v>43854</c:v>
                </c:pt>
                <c:pt idx="10">
                  <c:v>43885</c:v>
                </c:pt>
                <c:pt idx="11">
                  <c:v>43914</c:v>
                </c:pt>
                <c:pt idx="12">
                  <c:v>43945</c:v>
                </c:pt>
                <c:pt idx="13">
                  <c:v>43976</c:v>
                </c:pt>
                <c:pt idx="14">
                  <c:v>44006</c:v>
                </c:pt>
                <c:pt idx="15">
                  <c:v>44036</c:v>
                </c:pt>
                <c:pt idx="16">
                  <c:v>44067</c:v>
                </c:pt>
                <c:pt idx="17">
                  <c:v>44098</c:v>
                </c:pt>
                <c:pt idx="18">
                  <c:v>44130</c:v>
                </c:pt>
                <c:pt idx="19">
                  <c:v>44159</c:v>
                </c:pt>
                <c:pt idx="20">
                  <c:v>44189</c:v>
                </c:pt>
                <c:pt idx="21">
                  <c:v>44221</c:v>
                </c:pt>
                <c:pt idx="22">
                  <c:v>44251</c:v>
                </c:pt>
                <c:pt idx="23">
                  <c:v>44279</c:v>
                </c:pt>
                <c:pt idx="24">
                  <c:v>44312</c:v>
                </c:pt>
                <c:pt idx="25">
                  <c:v>44340</c:v>
                </c:pt>
                <c:pt idx="26">
                  <c:v>44371</c:v>
                </c:pt>
                <c:pt idx="27">
                  <c:v>44403</c:v>
                </c:pt>
                <c:pt idx="28">
                  <c:v>44432</c:v>
                </c:pt>
                <c:pt idx="29">
                  <c:v>44463</c:v>
                </c:pt>
                <c:pt idx="30">
                  <c:v>44494</c:v>
                </c:pt>
                <c:pt idx="31">
                  <c:v>44524</c:v>
                </c:pt>
                <c:pt idx="32">
                  <c:v>44554</c:v>
                </c:pt>
                <c:pt idx="33">
                  <c:v>44585</c:v>
                </c:pt>
                <c:pt idx="34">
                  <c:v>44616</c:v>
                </c:pt>
                <c:pt idx="35">
                  <c:v>44644</c:v>
                </c:pt>
                <c:pt idx="36">
                  <c:v>44676</c:v>
                </c:pt>
                <c:pt idx="37">
                  <c:v>44705</c:v>
                </c:pt>
                <c:pt idx="38">
                  <c:v>44736</c:v>
                </c:pt>
                <c:pt idx="39">
                  <c:v>44767</c:v>
                </c:pt>
                <c:pt idx="40">
                  <c:v>44797</c:v>
                </c:pt>
                <c:pt idx="41">
                  <c:v>44830</c:v>
                </c:pt>
                <c:pt idx="42">
                  <c:v>44858</c:v>
                </c:pt>
                <c:pt idx="43">
                  <c:v>44889</c:v>
                </c:pt>
                <c:pt idx="44">
                  <c:v>44921</c:v>
                </c:pt>
                <c:pt idx="45">
                  <c:v>44950</c:v>
                </c:pt>
                <c:pt idx="46">
                  <c:v>44981</c:v>
                </c:pt>
                <c:pt idx="47">
                  <c:v>45009</c:v>
                </c:pt>
                <c:pt idx="48">
                  <c:v>45040</c:v>
                </c:pt>
                <c:pt idx="49">
                  <c:v>45070</c:v>
                </c:pt>
                <c:pt idx="50">
                  <c:v>45103</c:v>
                </c:pt>
                <c:pt idx="51">
                  <c:v>45131</c:v>
                </c:pt>
                <c:pt idx="52">
                  <c:v>45162</c:v>
                </c:pt>
                <c:pt idx="53">
                  <c:v>45194</c:v>
                </c:pt>
                <c:pt idx="54">
                  <c:v>45223</c:v>
                </c:pt>
                <c:pt idx="55">
                  <c:v>45254</c:v>
                </c:pt>
                <c:pt idx="56">
                  <c:v>45285</c:v>
                </c:pt>
                <c:pt idx="57">
                  <c:v>45315</c:v>
                </c:pt>
                <c:pt idx="58">
                  <c:v>45348</c:v>
                </c:pt>
                <c:pt idx="59">
                  <c:v>45376</c:v>
                </c:pt>
                <c:pt idx="60">
                  <c:v>45406</c:v>
                </c:pt>
                <c:pt idx="61">
                  <c:v>45436</c:v>
                </c:pt>
                <c:pt idx="62">
                  <c:v>45467</c:v>
                </c:pt>
                <c:pt idx="63">
                  <c:v>45497</c:v>
                </c:pt>
                <c:pt idx="64">
                  <c:v>45530</c:v>
                </c:pt>
                <c:pt idx="65">
                  <c:v>45559</c:v>
                </c:pt>
                <c:pt idx="66">
                  <c:v>45589</c:v>
                </c:pt>
                <c:pt idx="67">
                  <c:v>45621</c:v>
                </c:pt>
                <c:pt idx="68">
                  <c:v>45650</c:v>
                </c:pt>
                <c:pt idx="69">
                  <c:v>45681</c:v>
                </c:pt>
                <c:pt idx="70">
                  <c:v>45712</c:v>
                </c:pt>
                <c:pt idx="71">
                  <c:v>45740</c:v>
                </c:pt>
                <c:pt idx="72">
                  <c:v>45771</c:v>
                </c:pt>
                <c:pt idx="73">
                  <c:v>45803</c:v>
                </c:pt>
                <c:pt idx="74">
                  <c:v>45832</c:v>
                </c:pt>
                <c:pt idx="75">
                  <c:v>45862</c:v>
                </c:pt>
                <c:pt idx="76">
                  <c:v>45894</c:v>
                </c:pt>
                <c:pt idx="77">
                  <c:v>45924</c:v>
                </c:pt>
                <c:pt idx="78">
                  <c:v>45954</c:v>
                </c:pt>
                <c:pt idx="79">
                  <c:v>45985</c:v>
                </c:pt>
                <c:pt idx="80">
                  <c:v>46015</c:v>
                </c:pt>
                <c:pt idx="81">
                  <c:v>46048</c:v>
                </c:pt>
                <c:pt idx="82">
                  <c:v>46077</c:v>
                </c:pt>
                <c:pt idx="83">
                  <c:v>46105</c:v>
                </c:pt>
                <c:pt idx="84">
                  <c:v>46136</c:v>
                </c:pt>
                <c:pt idx="85">
                  <c:v>46167</c:v>
                </c:pt>
                <c:pt idx="86">
                  <c:v>46197</c:v>
                </c:pt>
                <c:pt idx="87">
                  <c:v>46227</c:v>
                </c:pt>
                <c:pt idx="88">
                  <c:v>46258</c:v>
                </c:pt>
                <c:pt idx="89">
                  <c:v>46289</c:v>
                </c:pt>
                <c:pt idx="90">
                  <c:v>46321</c:v>
                </c:pt>
                <c:pt idx="91">
                  <c:v>46350</c:v>
                </c:pt>
                <c:pt idx="92">
                  <c:v>46380</c:v>
                </c:pt>
                <c:pt idx="93">
                  <c:v>46412</c:v>
                </c:pt>
                <c:pt idx="94">
                  <c:v>46442</c:v>
                </c:pt>
                <c:pt idx="95">
                  <c:v>46470</c:v>
                </c:pt>
                <c:pt idx="96">
                  <c:v>46503</c:v>
                </c:pt>
                <c:pt idx="97">
                  <c:v>46531</c:v>
                </c:pt>
                <c:pt idx="98">
                  <c:v>46562</c:v>
                </c:pt>
                <c:pt idx="99">
                  <c:v>46594</c:v>
                </c:pt>
                <c:pt idx="100">
                  <c:v>46623</c:v>
                </c:pt>
                <c:pt idx="101">
                  <c:v>46654</c:v>
                </c:pt>
                <c:pt idx="102">
                  <c:v>46685</c:v>
                </c:pt>
                <c:pt idx="103">
                  <c:v>46715</c:v>
                </c:pt>
                <c:pt idx="104">
                  <c:v>46745</c:v>
                </c:pt>
                <c:pt idx="105">
                  <c:v>46776</c:v>
                </c:pt>
                <c:pt idx="106">
                  <c:v>46807</c:v>
                </c:pt>
                <c:pt idx="107">
                  <c:v>46836</c:v>
                </c:pt>
                <c:pt idx="108">
                  <c:v>46867</c:v>
                </c:pt>
                <c:pt idx="109">
                  <c:v>46897</c:v>
                </c:pt>
                <c:pt idx="110">
                  <c:v>46930</c:v>
                </c:pt>
                <c:pt idx="111">
                  <c:v>46958</c:v>
                </c:pt>
                <c:pt idx="112">
                  <c:v>46989</c:v>
                </c:pt>
                <c:pt idx="113">
                  <c:v>47021</c:v>
                </c:pt>
                <c:pt idx="114">
                  <c:v>47050</c:v>
                </c:pt>
                <c:pt idx="115">
                  <c:v>47081</c:v>
                </c:pt>
                <c:pt idx="116">
                  <c:v>47112</c:v>
                </c:pt>
                <c:pt idx="117">
                  <c:v>47142</c:v>
                </c:pt>
                <c:pt idx="118">
                  <c:v>47175</c:v>
                </c:pt>
                <c:pt idx="119">
                  <c:v>47203</c:v>
                </c:pt>
                <c:pt idx="120">
                  <c:v>47232</c:v>
                </c:pt>
                <c:pt idx="121">
                  <c:v>47262</c:v>
                </c:pt>
                <c:pt idx="122">
                  <c:v>47294</c:v>
                </c:pt>
                <c:pt idx="123">
                  <c:v>47323</c:v>
                </c:pt>
                <c:pt idx="124">
                  <c:v>47354</c:v>
                </c:pt>
                <c:pt idx="125">
                  <c:v>47385</c:v>
                </c:pt>
                <c:pt idx="126">
                  <c:v>47415</c:v>
                </c:pt>
                <c:pt idx="127">
                  <c:v>47448</c:v>
                </c:pt>
                <c:pt idx="128">
                  <c:v>47476</c:v>
                </c:pt>
                <c:pt idx="129">
                  <c:v>47507</c:v>
                </c:pt>
                <c:pt idx="130">
                  <c:v>47539</c:v>
                </c:pt>
                <c:pt idx="131">
                  <c:v>47567</c:v>
                </c:pt>
                <c:pt idx="132">
                  <c:v>47597</c:v>
                </c:pt>
                <c:pt idx="133">
                  <c:v>47627</c:v>
                </c:pt>
                <c:pt idx="134">
                  <c:v>47658</c:v>
                </c:pt>
                <c:pt idx="135">
                  <c:v>47688</c:v>
                </c:pt>
                <c:pt idx="136">
                  <c:v>47721</c:v>
                </c:pt>
                <c:pt idx="137">
                  <c:v>47750</c:v>
                </c:pt>
                <c:pt idx="138">
                  <c:v>47780</c:v>
                </c:pt>
                <c:pt idx="139">
                  <c:v>47812</c:v>
                </c:pt>
                <c:pt idx="140">
                  <c:v>47841</c:v>
                </c:pt>
                <c:pt idx="141">
                  <c:v>47872</c:v>
                </c:pt>
                <c:pt idx="142">
                  <c:v>47903</c:v>
                </c:pt>
                <c:pt idx="143">
                  <c:v>47931</c:v>
                </c:pt>
                <c:pt idx="144">
                  <c:v>47962</c:v>
                </c:pt>
                <c:pt idx="145">
                  <c:v>47994</c:v>
                </c:pt>
                <c:pt idx="146">
                  <c:v>48023</c:v>
                </c:pt>
                <c:pt idx="147">
                  <c:v>48053</c:v>
                </c:pt>
                <c:pt idx="148">
                  <c:v>48085</c:v>
                </c:pt>
                <c:pt idx="149">
                  <c:v>48115</c:v>
                </c:pt>
                <c:pt idx="150">
                  <c:v>48145</c:v>
                </c:pt>
                <c:pt idx="151">
                  <c:v>48176</c:v>
                </c:pt>
                <c:pt idx="152">
                  <c:v>48206</c:v>
                </c:pt>
                <c:pt idx="153">
                  <c:v>48239</c:v>
                </c:pt>
                <c:pt idx="154">
                  <c:v>48268</c:v>
                </c:pt>
                <c:pt idx="155">
                  <c:v>48297</c:v>
                </c:pt>
                <c:pt idx="156">
                  <c:v>48330</c:v>
                </c:pt>
                <c:pt idx="157">
                  <c:v>48358</c:v>
                </c:pt>
                <c:pt idx="158">
                  <c:v>48389</c:v>
                </c:pt>
                <c:pt idx="159">
                  <c:v>48421</c:v>
                </c:pt>
                <c:pt idx="160">
                  <c:v>48450</c:v>
                </c:pt>
                <c:pt idx="161">
                  <c:v>48481</c:v>
                </c:pt>
                <c:pt idx="162">
                  <c:v>48512</c:v>
                </c:pt>
                <c:pt idx="163">
                  <c:v>48542</c:v>
                </c:pt>
                <c:pt idx="164">
                  <c:v>48572</c:v>
                </c:pt>
                <c:pt idx="165">
                  <c:v>48603</c:v>
                </c:pt>
                <c:pt idx="166">
                  <c:v>48634</c:v>
                </c:pt>
                <c:pt idx="167">
                  <c:v>48662</c:v>
                </c:pt>
                <c:pt idx="168">
                  <c:v>48694</c:v>
                </c:pt>
                <c:pt idx="169">
                  <c:v>48723</c:v>
                </c:pt>
                <c:pt idx="170">
                  <c:v>48754</c:v>
                </c:pt>
                <c:pt idx="171">
                  <c:v>48785</c:v>
                </c:pt>
                <c:pt idx="172">
                  <c:v>48815</c:v>
                </c:pt>
                <c:pt idx="173">
                  <c:v>48848</c:v>
                </c:pt>
                <c:pt idx="174">
                  <c:v>48876</c:v>
                </c:pt>
                <c:pt idx="175">
                  <c:v>48907</c:v>
                </c:pt>
                <c:pt idx="176">
                  <c:v>48939</c:v>
                </c:pt>
                <c:pt idx="177">
                  <c:v>48968</c:v>
                </c:pt>
                <c:pt idx="178">
                  <c:v>48999</c:v>
                </c:pt>
                <c:pt idx="179">
                  <c:v>49027</c:v>
                </c:pt>
                <c:pt idx="180">
                  <c:v>49058</c:v>
                </c:pt>
                <c:pt idx="181">
                  <c:v>49088</c:v>
                </c:pt>
                <c:pt idx="182">
                  <c:v>49121</c:v>
                </c:pt>
                <c:pt idx="183">
                  <c:v>49149</c:v>
                </c:pt>
                <c:pt idx="184">
                  <c:v>49180</c:v>
                </c:pt>
                <c:pt idx="185">
                  <c:v>49212</c:v>
                </c:pt>
                <c:pt idx="186">
                  <c:v>49241</c:v>
                </c:pt>
                <c:pt idx="187">
                  <c:v>49272</c:v>
                </c:pt>
                <c:pt idx="188">
                  <c:v>49303</c:v>
                </c:pt>
                <c:pt idx="189">
                  <c:v>49333</c:v>
                </c:pt>
                <c:pt idx="190">
                  <c:v>49366</c:v>
                </c:pt>
                <c:pt idx="191">
                  <c:v>49394</c:v>
                </c:pt>
                <c:pt idx="192">
                  <c:v>49423</c:v>
                </c:pt>
                <c:pt idx="193">
                  <c:v>49453</c:v>
                </c:pt>
                <c:pt idx="194">
                  <c:v>49485</c:v>
                </c:pt>
                <c:pt idx="195">
                  <c:v>49514</c:v>
                </c:pt>
                <c:pt idx="196">
                  <c:v>49545</c:v>
                </c:pt>
                <c:pt idx="197">
                  <c:v>49576</c:v>
                </c:pt>
                <c:pt idx="198">
                  <c:v>49606</c:v>
                </c:pt>
                <c:pt idx="199">
                  <c:v>49639</c:v>
                </c:pt>
                <c:pt idx="200">
                  <c:v>49667</c:v>
                </c:pt>
                <c:pt idx="201">
                  <c:v>49698</c:v>
                </c:pt>
                <c:pt idx="202">
                  <c:v>49730</c:v>
                </c:pt>
                <c:pt idx="203">
                  <c:v>49758</c:v>
                </c:pt>
                <c:pt idx="204">
                  <c:v>49789</c:v>
                </c:pt>
                <c:pt idx="205">
                  <c:v>49821</c:v>
                </c:pt>
                <c:pt idx="206">
                  <c:v>49850</c:v>
                </c:pt>
                <c:pt idx="207">
                  <c:v>49880</c:v>
                </c:pt>
                <c:pt idx="208">
                  <c:v>49912</c:v>
                </c:pt>
                <c:pt idx="209">
                  <c:v>49942</c:v>
                </c:pt>
                <c:pt idx="210">
                  <c:v>49972</c:v>
                </c:pt>
                <c:pt idx="211">
                  <c:v>50003</c:v>
                </c:pt>
                <c:pt idx="212">
                  <c:v>50033</c:v>
                </c:pt>
                <c:pt idx="213">
                  <c:v>50066</c:v>
                </c:pt>
                <c:pt idx="214">
                  <c:v>50095</c:v>
                </c:pt>
                <c:pt idx="215">
                  <c:v>50123</c:v>
                </c:pt>
                <c:pt idx="216">
                  <c:v>50154</c:v>
                </c:pt>
                <c:pt idx="217">
                  <c:v>50185</c:v>
                </c:pt>
                <c:pt idx="218">
                  <c:v>50215</c:v>
                </c:pt>
                <c:pt idx="219">
                  <c:v>50245</c:v>
                </c:pt>
                <c:pt idx="220">
                  <c:v>50276</c:v>
                </c:pt>
                <c:pt idx="221">
                  <c:v>50307</c:v>
                </c:pt>
                <c:pt idx="222">
                  <c:v>50339</c:v>
                </c:pt>
                <c:pt idx="223">
                  <c:v>50368</c:v>
                </c:pt>
                <c:pt idx="224">
                  <c:v>50398</c:v>
                </c:pt>
                <c:pt idx="225">
                  <c:v>50430</c:v>
                </c:pt>
                <c:pt idx="226">
                  <c:v>50460</c:v>
                </c:pt>
                <c:pt idx="227">
                  <c:v>50488</c:v>
                </c:pt>
                <c:pt idx="228">
                  <c:v>50521</c:v>
                </c:pt>
                <c:pt idx="229">
                  <c:v>50549</c:v>
                </c:pt>
                <c:pt idx="230">
                  <c:v>50580</c:v>
                </c:pt>
                <c:pt idx="231">
                  <c:v>50612</c:v>
                </c:pt>
                <c:pt idx="232">
                  <c:v>50641</c:v>
                </c:pt>
                <c:pt idx="233">
                  <c:v>50672</c:v>
                </c:pt>
                <c:pt idx="234">
                  <c:v>50703</c:v>
                </c:pt>
                <c:pt idx="235">
                  <c:v>50733</c:v>
                </c:pt>
                <c:pt idx="236">
                  <c:v>50763</c:v>
                </c:pt>
                <c:pt idx="237">
                  <c:v>50794</c:v>
                </c:pt>
                <c:pt idx="238">
                  <c:v>50825</c:v>
                </c:pt>
                <c:pt idx="239">
                  <c:v>50853</c:v>
                </c:pt>
                <c:pt idx="240">
                  <c:v>50885</c:v>
                </c:pt>
                <c:pt idx="241">
                  <c:v>50914</c:v>
                </c:pt>
                <c:pt idx="242">
                  <c:v>50945</c:v>
                </c:pt>
                <c:pt idx="243">
                  <c:v>50976</c:v>
                </c:pt>
                <c:pt idx="244">
                  <c:v>51006</c:v>
                </c:pt>
                <c:pt idx="245">
                  <c:v>51039</c:v>
                </c:pt>
                <c:pt idx="246">
                  <c:v>51067</c:v>
                </c:pt>
                <c:pt idx="247">
                  <c:v>51098</c:v>
                </c:pt>
                <c:pt idx="248">
                  <c:v>51130</c:v>
                </c:pt>
                <c:pt idx="249">
                  <c:v>51159</c:v>
                </c:pt>
                <c:pt idx="250">
                  <c:v>51190</c:v>
                </c:pt>
                <c:pt idx="251">
                  <c:v>51221</c:v>
                </c:pt>
                <c:pt idx="252">
                  <c:v>51250</c:v>
                </c:pt>
                <c:pt idx="253">
                  <c:v>51280</c:v>
                </c:pt>
                <c:pt idx="254">
                  <c:v>51312</c:v>
                </c:pt>
                <c:pt idx="255">
                  <c:v>51341</c:v>
                </c:pt>
                <c:pt idx="256">
                  <c:v>51372</c:v>
                </c:pt>
                <c:pt idx="257">
                  <c:v>51403</c:v>
                </c:pt>
                <c:pt idx="258">
                  <c:v>51433</c:v>
                </c:pt>
                <c:pt idx="259">
                  <c:v>51466</c:v>
                </c:pt>
                <c:pt idx="260">
                  <c:v>51494</c:v>
                </c:pt>
                <c:pt idx="261">
                  <c:v>51525</c:v>
                </c:pt>
                <c:pt idx="262">
                  <c:v>51557</c:v>
                </c:pt>
                <c:pt idx="263">
                  <c:v>51585</c:v>
                </c:pt>
                <c:pt idx="264">
                  <c:v>51615</c:v>
                </c:pt>
                <c:pt idx="265">
                  <c:v>51645</c:v>
                </c:pt>
                <c:pt idx="266">
                  <c:v>51676</c:v>
                </c:pt>
                <c:pt idx="267">
                  <c:v>51706</c:v>
                </c:pt>
                <c:pt idx="268">
                  <c:v>51739</c:v>
                </c:pt>
                <c:pt idx="269">
                  <c:v>51768</c:v>
                </c:pt>
                <c:pt idx="270">
                  <c:v>51798</c:v>
                </c:pt>
                <c:pt idx="271">
                  <c:v>51830</c:v>
                </c:pt>
                <c:pt idx="272">
                  <c:v>51859</c:v>
                </c:pt>
                <c:pt idx="273">
                  <c:v>51890</c:v>
                </c:pt>
                <c:pt idx="274">
                  <c:v>51921</c:v>
                </c:pt>
                <c:pt idx="275">
                  <c:v>51949</c:v>
                </c:pt>
                <c:pt idx="276">
                  <c:v>51980</c:v>
                </c:pt>
                <c:pt idx="277">
                  <c:v>52012</c:v>
                </c:pt>
                <c:pt idx="278">
                  <c:v>52041</c:v>
                </c:pt>
                <c:pt idx="279">
                  <c:v>52071</c:v>
                </c:pt>
                <c:pt idx="280">
                  <c:v>52103</c:v>
                </c:pt>
                <c:pt idx="281">
                  <c:v>52133</c:v>
                </c:pt>
                <c:pt idx="282">
                  <c:v>52163</c:v>
                </c:pt>
                <c:pt idx="283">
                  <c:v>52194</c:v>
                </c:pt>
                <c:pt idx="284">
                  <c:v>52224</c:v>
                </c:pt>
                <c:pt idx="285">
                  <c:v>52257</c:v>
                </c:pt>
                <c:pt idx="286">
                  <c:v>52286</c:v>
                </c:pt>
                <c:pt idx="287">
                  <c:v>52314</c:v>
                </c:pt>
                <c:pt idx="288">
                  <c:v>52345</c:v>
                </c:pt>
                <c:pt idx="289">
                  <c:v>52376</c:v>
                </c:pt>
                <c:pt idx="290">
                  <c:v>52406</c:v>
                </c:pt>
                <c:pt idx="291">
                  <c:v>52436</c:v>
                </c:pt>
                <c:pt idx="292">
                  <c:v>52467</c:v>
                </c:pt>
                <c:pt idx="293">
                  <c:v>52498</c:v>
                </c:pt>
                <c:pt idx="294">
                  <c:v>52530</c:v>
                </c:pt>
                <c:pt idx="295">
                  <c:v>52559</c:v>
                </c:pt>
                <c:pt idx="296">
                  <c:v>52589</c:v>
                </c:pt>
                <c:pt idx="297">
                  <c:v>52621</c:v>
                </c:pt>
                <c:pt idx="298">
                  <c:v>52651</c:v>
                </c:pt>
                <c:pt idx="299">
                  <c:v>52680</c:v>
                </c:pt>
                <c:pt idx="300">
                  <c:v>52712</c:v>
                </c:pt>
                <c:pt idx="301">
                  <c:v>52741</c:v>
                </c:pt>
                <c:pt idx="302">
                  <c:v>52772</c:v>
                </c:pt>
                <c:pt idx="303">
                  <c:v>52803</c:v>
                </c:pt>
                <c:pt idx="304">
                  <c:v>52833</c:v>
                </c:pt>
                <c:pt idx="305">
                  <c:v>52866</c:v>
                </c:pt>
                <c:pt idx="306">
                  <c:v>52894</c:v>
                </c:pt>
                <c:pt idx="307">
                  <c:v>52925</c:v>
                </c:pt>
                <c:pt idx="308">
                  <c:v>52957</c:v>
                </c:pt>
                <c:pt idx="309">
                  <c:v>52986</c:v>
                </c:pt>
                <c:pt idx="310">
                  <c:v>53017</c:v>
                </c:pt>
                <c:pt idx="311">
                  <c:v>53045</c:v>
                </c:pt>
                <c:pt idx="312">
                  <c:v>53076</c:v>
                </c:pt>
                <c:pt idx="313">
                  <c:v>53106</c:v>
                </c:pt>
                <c:pt idx="314">
                  <c:v>53139</c:v>
                </c:pt>
                <c:pt idx="315">
                  <c:v>53167</c:v>
                </c:pt>
                <c:pt idx="316">
                  <c:v>53198</c:v>
                </c:pt>
                <c:pt idx="317">
                  <c:v>53230</c:v>
                </c:pt>
                <c:pt idx="318">
                  <c:v>53259</c:v>
                </c:pt>
                <c:pt idx="319">
                  <c:v>53290</c:v>
                </c:pt>
                <c:pt idx="320">
                  <c:v>53321</c:v>
                </c:pt>
                <c:pt idx="321">
                  <c:v>53351</c:v>
                </c:pt>
                <c:pt idx="322">
                  <c:v>53384</c:v>
                </c:pt>
                <c:pt idx="323">
                  <c:v>53412</c:v>
                </c:pt>
                <c:pt idx="324">
                  <c:v>53441</c:v>
                </c:pt>
                <c:pt idx="325">
                  <c:v>53471</c:v>
                </c:pt>
                <c:pt idx="326">
                  <c:v>53503</c:v>
                </c:pt>
                <c:pt idx="327">
                  <c:v>53532</c:v>
                </c:pt>
                <c:pt idx="328">
                  <c:v>53563</c:v>
                </c:pt>
                <c:pt idx="329">
                  <c:v>53594</c:v>
                </c:pt>
                <c:pt idx="330">
                  <c:v>53624</c:v>
                </c:pt>
                <c:pt idx="331">
                  <c:v>53657</c:v>
                </c:pt>
                <c:pt idx="332">
                  <c:v>53685</c:v>
                </c:pt>
                <c:pt idx="333">
                  <c:v>53716</c:v>
                </c:pt>
                <c:pt idx="334">
                  <c:v>53748</c:v>
                </c:pt>
                <c:pt idx="335">
                  <c:v>53776</c:v>
                </c:pt>
                <c:pt idx="336">
                  <c:v>53806</c:v>
                </c:pt>
                <c:pt idx="337">
                  <c:v>53836</c:v>
                </c:pt>
                <c:pt idx="338">
                  <c:v>53867</c:v>
                </c:pt>
                <c:pt idx="339">
                  <c:v>53897</c:v>
                </c:pt>
                <c:pt idx="340">
                  <c:v>53930</c:v>
                </c:pt>
                <c:pt idx="341">
                  <c:v>53959</c:v>
                </c:pt>
                <c:pt idx="342">
                  <c:v>53989</c:v>
                </c:pt>
                <c:pt idx="343">
                  <c:v>54021</c:v>
                </c:pt>
                <c:pt idx="344">
                  <c:v>54050</c:v>
                </c:pt>
                <c:pt idx="345">
                  <c:v>54081</c:v>
                </c:pt>
                <c:pt idx="346">
                  <c:v>54112</c:v>
                </c:pt>
                <c:pt idx="347">
                  <c:v>54141</c:v>
                </c:pt>
                <c:pt idx="348">
                  <c:v>54172</c:v>
                </c:pt>
                <c:pt idx="349">
                  <c:v>54203</c:v>
                </c:pt>
                <c:pt idx="350">
                  <c:v>54233</c:v>
                </c:pt>
                <c:pt idx="351">
                  <c:v>54263</c:v>
                </c:pt>
                <c:pt idx="352">
                  <c:v>54294</c:v>
                </c:pt>
                <c:pt idx="353">
                  <c:v>54325</c:v>
                </c:pt>
                <c:pt idx="354">
                  <c:v>54357</c:v>
                </c:pt>
                <c:pt idx="355">
                  <c:v>54386</c:v>
                </c:pt>
                <c:pt idx="356">
                  <c:v>54416</c:v>
                </c:pt>
                <c:pt idx="357">
                  <c:v>54448</c:v>
                </c:pt>
                <c:pt idx="358">
                  <c:v>54478</c:v>
                </c:pt>
                <c:pt idx="359">
                  <c:v>54506</c:v>
                </c:pt>
                <c:pt idx="360">
                  <c:v>54539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cat>
          <c:val>
            <c:numRef>
              <c:f>DISPLAY_USD_CURVE!$D$10:$D$501</c:f>
              <c:numCache>
                <c:formatCode>0.00000%</c:formatCode>
                <c:ptCount val="492"/>
                <c:pt idx="0">
                  <c:v>2.3099867662516944E-2</c:v>
                </c:pt>
                <c:pt idx="1">
                  <c:v>2.336435272476476E-2</c:v>
                </c:pt>
                <c:pt idx="2">
                  <c:v>2.3738679899522511E-2</c:v>
                </c:pt>
                <c:pt idx="3">
                  <c:v>2.4609320624380371E-2</c:v>
                </c:pt>
                <c:pt idx="4">
                  <c:v>2.5474225339509632E-2</c:v>
                </c:pt>
                <c:pt idx="5">
                  <c:v>2.6164373895884364E-2</c:v>
                </c:pt>
                <c:pt idx="6">
                  <c:v>2.6621918935307864E-2</c:v>
                </c:pt>
                <c:pt idx="7">
                  <c:v>2.7098407266531895E-2</c:v>
                </c:pt>
                <c:pt idx="8">
                  <c:v>2.7509228605737991E-2</c:v>
                </c:pt>
                <c:pt idx="9">
                  <c:v>2.7868478748690469E-2</c:v>
                </c:pt>
                <c:pt idx="10">
                  <c:v>2.8227771843458413E-2</c:v>
                </c:pt>
                <c:pt idx="11">
                  <c:v>2.85334280994036E-2</c:v>
                </c:pt>
                <c:pt idx="12">
                  <c:v>2.8735344250919059E-2</c:v>
                </c:pt>
                <c:pt idx="13">
                  <c:v>2.8937273967214964E-2</c:v>
                </c:pt>
                <c:pt idx="14">
                  <c:v>2.9109224021107848E-2</c:v>
                </c:pt>
                <c:pt idx="15">
                  <c:v>2.9204067537473601E-2</c:v>
                </c:pt>
                <c:pt idx="16">
                  <c:v>2.9298459889313486E-2</c:v>
                </c:pt>
                <c:pt idx="17">
                  <c:v>2.9365747718407817E-2</c:v>
                </c:pt>
                <c:pt idx="18">
                  <c:v>2.9355915605545676E-2</c:v>
                </c:pt>
                <c:pt idx="19">
                  <c:v>2.9345699279997767E-2</c:v>
                </c:pt>
                <c:pt idx="20">
                  <c:v>2.9334129420514565E-2</c:v>
                </c:pt>
                <c:pt idx="21">
                  <c:v>2.9318851246313334E-2</c:v>
                </c:pt>
                <c:pt idx="22">
                  <c:v>2.9305736095833222E-2</c:v>
                </c:pt>
                <c:pt idx="23">
                  <c:v>2.9292568078230326E-2</c:v>
                </c:pt>
                <c:pt idx="24">
                  <c:v>2.9273632799790433E-2</c:v>
                </c:pt>
                <c:pt idx="25">
                  <c:v>2.9257566608182142E-2</c:v>
                </c:pt>
                <c:pt idx="26">
                  <c:v>2.9239007236568328E-2</c:v>
                </c:pt>
                <c:pt idx="27">
                  <c:v>2.9217558665397454E-2</c:v>
                </c:pt>
                <c:pt idx="28">
                  <c:v>2.9197086118063771E-2</c:v>
                </c:pt>
                <c:pt idx="29">
                  <c:v>2.9174481528882485E-2</c:v>
                </c:pt>
                <c:pt idx="30">
                  <c:v>2.9150116592513133E-2</c:v>
                </c:pt>
                <c:pt idx="31">
                  <c:v>2.9125584964293856E-2</c:v>
                </c:pt>
                <c:pt idx="32">
                  <c:v>2.9099489352665122E-2</c:v>
                </c:pt>
                <c:pt idx="33">
                  <c:v>2.9068832155166112E-2</c:v>
                </c:pt>
                <c:pt idx="34">
                  <c:v>2.9041799914897894E-2</c:v>
                </c:pt>
                <c:pt idx="35">
                  <c:v>2.902442471954168E-2</c:v>
                </c:pt>
                <c:pt idx="36">
                  <c:v>2.9036892381475655E-2</c:v>
                </c:pt>
                <c:pt idx="37">
                  <c:v>2.9046757549261094E-2</c:v>
                </c:pt>
                <c:pt idx="38">
                  <c:v>2.9047733632411907E-2</c:v>
                </c:pt>
                <c:pt idx="39">
                  <c:v>2.9038320471993215E-2</c:v>
                </c:pt>
                <c:pt idx="40">
                  <c:v>2.9018907675815615E-2</c:v>
                </c:pt>
                <c:pt idx="41">
                  <c:v>2.8985749925307731E-2</c:v>
                </c:pt>
                <c:pt idx="42">
                  <c:v>2.8947923294767034E-2</c:v>
                </c:pt>
                <c:pt idx="43">
                  <c:v>2.8895668120387193E-2</c:v>
                </c:pt>
                <c:pt idx="44">
                  <c:v>2.8830289123750363E-2</c:v>
                </c:pt>
                <c:pt idx="45">
                  <c:v>2.8760999818492693E-2</c:v>
                </c:pt>
                <c:pt idx="46">
                  <c:v>2.8677509950645441E-2</c:v>
                </c:pt>
                <c:pt idx="47">
                  <c:v>2.8599188727407937E-2</c:v>
                </c:pt>
                <c:pt idx="48">
                  <c:v>2.8516923938255646E-2</c:v>
                </c:pt>
                <c:pt idx="49">
                  <c:v>2.8448323389527547E-2</c:v>
                </c:pt>
                <c:pt idx="50">
                  <c:v>2.8387161369212814E-2</c:v>
                </c:pt>
                <c:pt idx="51">
                  <c:v>2.8346963679020287E-2</c:v>
                </c:pt>
                <c:pt idx="52">
                  <c:v>2.8314924102518124E-2</c:v>
                </c:pt>
                <c:pt idx="53">
                  <c:v>2.8295488685490183E-2</c:v>
                </c:pt>
                <c:pt idx="54">
                  <c:v>2.8289743574612603E-2</c:v>
                </c:pt>
                <c:pt idx="55">
                  <c:v>2.8296000498802685E-2</c:v>
                </c:pt>
                <c:pt idx="56">
                  <c:v>2.8315097743848973E-2</c:v>
                </c:pt>
                <c:pt idx="57">
                  <c:v>2.8345862383704852E-2</c:v>
                </c:pt>
                <c:pt idx="58">
                  <c:v>2.8392948116821259E-2</c:v>
                </c:pt>
                <c:pt idx="59">
                  <c:v>2.8440551255277675E-2</c:v>
                </c:pt>
                <c:pt idx="60">
                  <c:v>2.8495273293443757E-2</c:v>
                </c:pt>
                <c:pt idx="61">
                  <c:v>2.8550168244352917E-2</c:v>
                </c:pt>
                <c:pt idx="62">
                  <c:v>2.8605178434662391E-2</c:v>
                </c:pt>
                <c:pt idx="63">
                  <c:v>2.8655532284479857E-2</c:v>
                </c:pt>
                <c:pt idx="64">
                  <c:v>2.8706605969930986E-2</c:v>
                </c:pt>
                <c:pt idx="65">
                  <c:v>2.8748313104605846E-2</c:v>
                </c:pt>
                <c:pt idx="66">
                  <c:v>2.8789284191403461E-2</c:v>
                </c:pt>
                <c:pt idx="67">
                  <c:v>2.883143892613545E-2</c:v>
                </c:pt>
                <c:pt idx="68">
                  <c:v>2.8868264745192607E-2</c:v>
                </c:pt>
                <c:pt idx="69">
                  <c:v>2.8905886537449323E-2</c:v>
                </c:pt>
                <c:pt idx="70">
                  <c:v>2.8941455898525904E-2</c:v>
                </c:pt>
                <c:pt idx="71">
                  <c:v>2.8971836039710867E-2</c:v>
                </c:pt>
                <c:pt idx="72">
                  <c:v>2.9003645011855168E-2</c:v>
                </c:pt>
                <c:pt idx="73">
                  <c:v>2.9034545407184337E-2</c:v>
                </c:pt>
                <c:pt idx="74">
                  <c:v>2.906071937506206E-2</c:v>
                </c:pt>
                <c:pt idx="75">
                  <c:v>2.9085761314649024E-2</c:v>
                </c:pt>
                <c:pt idx="76">
                  <c:v>2.9109995302435337E-2</c:v>
                </c:pt>
                <c:pt idx="77">
                  <c:v>2.9130367484177112E-2</c:v>
                </c:pt>
                <c:pt idx="78">
                  <c:v>2.9148499447503088E-2</c:v>
                </c:pt>
                <c:pt idx="79">
                  <c:v>2.91649303386422E-2</c:v>
                </c:pt>
                <c:pt idx="80">
                  <c:v>2.9178723542602373E-2</c:v>
                </c:pt>
                <c:pt idx="81">
                  <c:v>2.9191676074989435E-2</c:v>
                </c:pt>
                <c:pt idx="82">
                  <c:v>2.9201491500421124E-2</c:v>
                </c:pt>
                <c:pt idx="83">
                  <c:v>2.9210678123797691E-2</c:v>
                </c:pt>
                <c:pt idx="84">
                  <c:v>2.9222013897652506E-2</c:v>
                </c:pt>
                <c:pt idx="85">
                  <c:v>2.9235966548465411E-2</c:v>
                </c:pt>
                <c:pt idx="86">
                  <c:v>2.9252233731249661E-2</c:v>
                </c:pt>
                <c:pt idx="87">
                  <c:v>2.9271127346569843E-2</c:v>
                </c:pt>
                <c:pt idx="88">
                  <c:v>2.9293289865356592E-2</c:v>
                </c:pt>
                <c:pt idx="89">
                  <c:v>2.9317893049851596E-2</c:v>
                </c:pt>
                <c:pt idx="90">
                  <c:v>2.9345549947929074E-2</c:v>
                </c:pt>
                <c:pt idx="91">
                  <c:v>2.9372474837933708E-2</c:v>
                </c:pt>
                <c:pt idx="92">
                  <c:v>2.9402663823196909E-2</c:v>
                </c:pt>
                <c:pt idx="93">
                  <c:v>2.9438199275612961E-2</c:v>
                </c:pt>
                <c:pt idx="94">
                  <c:v>2.9475008108630719E-2</c:v>
                </c:pt>
                <c:pt idx="95">
                  <c:v>2.9511511402126371E-2</c:v>
                </c:pt>
                <c:pt idx="96">
                  <c:v>2.9555596928098244E-2</c:v>
                </c:pt>
                <c:pt idx="97">
                  <c:v>2.9592773918200182E-2</c:v>
                </c:pt>
                <c:pt idx="98">
                  <c:v>2.9633428227670004E-2</c:v>
                </c:pt>
                <c:pt idx="99">
                  <c:v>2.9674869122849362E-2</c:v>
                </c:pt>
                <c:pt idx="100">
                  <c:v>2.9711980370024916E-2</c:v>
                </c:pt>
                <c:pt idx="101">
                  <c:v>2.9751138853315047E-2</c:v>
                </c:pt>
                <c:pt idx="102">
                  <c:v>2.9789705203285329E-2</c:v>
                </c:pt>
                <c:pt idx="103">
                  <c:v>2.9826444063746699E-2</c:v>
                </c:pt>
                <c:pt idx="104">
                  <c:v>2.9862772687136167E-2</c:v>
                </c:pt>
                <c:pt idx="105">
                  <c:v>2.9900108149124277E-2</c:v>
                </c:pt>
                <c:pt idx="106">
                  <c:v>2.9937385423404614E-2</c:v>
                </c:pt>
                <c:pt idx="107">
                  <c:v>2.9971981223426657E-2</c:v>
                </c:pt>
                <c:pt idx="108">
                  <c:v>3.000830869014531E-2</c:v>
                </c:pt>
                <c:pt idx="109">
                  <c:v>3.0042499768616893E-2</c:v>
                </c:pt>
                <c:pt idx="110">
                  <c:v>3.0078800477280801E-2</c:v>
                </c:pt>
                <c:pt idx="111">
                  <c:v>3.0108395674028239E-2</c:v>
                </c:pt>
                <c:pt idx="112">
                  <c:v>3.0139721633786986E-2</c:v>
                </c:pt>
                <c:pt idx="113">
                  <c:v>3.0170261887980769E-2</c:v>
                </c:pt>
                <c:pt idx="114">
                  <c:v>3.0196166755939009E-2</c:v>
                </c:pt>
                <c:pt idx="115">
                  <c:v>3.0221910238451697E-2</c:v>
                </c:pt>
                <c:pt idx="116">
                  <c:v>3.0246138539833187E-2</c:v>
                </c:pt>
                <c:pt idx="117">
                  <c:v>3.0268779538245041E-2</c:v>
                </c:pt>
                <c:pt idx="118">
                  <c:v>3.029328671877736E-2</c:v>
                </c:pt>
                <c:pt idx="119">
                  <c:v>3.0313404576631439E-2</c:v>
                </c:pt>
                <c:pt idx="120">
                  <c:v>3.0333041430806337E-2</c:v>
                </c:pt>
                <c:pt idx="121">
                  <c:v>3.0351639989907728E-2</c:v>
                </c:pt>
                <c:pt idx="122">
                  <c:v>3.0369780745065574E-2</c:v>
                </c:pt>
                <c:pt idx="123">
                  <c:v>3.0385094650875511E-2</c:v>
                </c:pt>
                <c:pt idx="124">
                  <c:v>3.0400525359596708E-2</c:v>
                </c:pt>
                <c:pt idx="125">
                  <c:v>3.0414432442598994E-2</c:v>
                </c:pt>
                <c:pt idx="126">
                  <c:v>3.0425690858946183E-2</c:v>
                </c:pt>
                <c:pt idx="127">
                  <c:v>3.0434979550286224E-2</c:v>
                </c:pt>
                <c:pt idx="128">
                  <c:v>3.0440782047622184E-2</c:v>
                </c:pt>
                <c:pt idx="129">
                  <c:v>3.0445777144027918E-2</c:v>
                </c:pt>
                <c:pt idx="130">
                  <c:v>3.045011479623894E-2</c:v>
                </c:pt>
                <c:pt idx="131">
                  <c:v>3.0453357663003677E-2</c:v>
                </c:pt>
                <c:pt idx="132">
                  <c:v>3.0456200349974333E-2</c:v>
                </c:pt>
                <c:pt idx="133">
                  <c:v>3.0458247735126297E-2</c:v>
                </c:pt>
                <c:pt idx="134">
                  <c:v>3.0458952752841075E-2</c:v>
                </c:pt>
                <c:pt idx="135">
                  <c:v>3.0457590227899276E-2</c:v>
                </c:pt>
                <c:pt idx="136">
                  <c:v>3.0453199543329958E-2</c:v>
                </c:pt>
                <c:pt idx="137">
                  <c:v>3.0447195957583734E-2</c:v>
                </c:pt>
                <c:pt idx="138">
                  <c:v>3.0439459489307208E-2</c:v>
                </c:pt>
                <c:pt idx="139">
                  <c:v>3.0430043511698496E-2</c:v>
                </c:pt>
                <c:pt idx="140">
                  <c:v>3.0420471154113789E-2</c:v>
                </c:pt>
                <c:pt idx="141">
                  <c:v>3.0408959204123814E-2</c:v>
                </c:pt>
                <c:pt idx="142">
                  <c:v>3.0396041365613091E-2</c:v>
                </c:pt>
                <c:pt idx="143">
                  <c:v>3.0383565443599776E-2</c:v>
                </c:pt>
                <c:pt idx="144">
                  <c:v>3.0369483672422821E-2</c:v>
                </c:pt>
                <c:pt idx="145">
                  <c:v>3.0355247049424192E-2</c:v>
                </c:pt>
                <c:pt idx="146">
                  <c:v>3.0342653566509375E-2</c:v>
                </c:pt>
                <c:pt idx="147">
                  <c:v>3.0329803305565325E-2</c:v>
                </c:pt>
                <c:pt idx="148">
                  <c:v>3.0316166273693167E-2</c:v>
                </c:pt>
                <c:pt idx="149">
                  <c:v>3.0303417419928397E-2</c:v>
                </c:pt>
                <c:pt idx="150">
                  <c:v>3.0290706032883509E-2</c:v>
                </c:pt>
                <c:pt idx="151">
                  <c:v>3.0277628595397635E-2</c:v>
                </c:pt>
                <c:pt idx="152">
                  <c:v>3.0265123208571495E-2</c:v>
                </c:pt>
                <c:pt idx="153">
                  <c:v>3.0251678159892239E-2</c:v>
                </c:pt>
                <c:pt idx="154">
                  <c:v>3.0240231687956854E-2</c:v>
                </c:pt>
                <c:pt idx="155">
                  <c:v>3.0229145399411884E-2</c:v>
                </c:pt>
                <c:pt idx="156">
                  <c:v>3.0216958908480803E-2</c:v>
                </c:pt>
                <c:pt idx="157">
                  <c:v>3.020695970243048E-2</c:v>
                </c:pt>
                <c:pt idx="158">
                  <c:v>3.0196186251495439E-2</c:v>
                </c:pt>
                <c:pt idx="159">
                  <c:v>3.0185303078828378E-2</c:v>
                </c:pt>
                <c:pt idx="160">
                  <c:v>3.0175560476516802E-2</c:v>
                </c:pt>
                <c:pt idx="161">
                  <c:v>3.0165137999506368E-2</c:v>
                </c:pt>
                <c:pt idx="162">
                  <c:v>3.0154558296050207E-2</c:v>
                </c:pt>
                <c:pt idx="163">
                  <c:v>3.0144107369980414E-2</c:v>
                </c:pt>
                <c:pt idx="164">
                  <c:v>3.0133746219350388E-2</c:v>
                </c:pt>
                <c:pt idx="165">
                  <c:v>3.0123556207848731E-2</c:v>
                </c:pt>
                <c:pt idx="166">
                  <c:v>3.0114220717869053E-2</c:v>
                </c:pt>
                <c:pt idx="167">
                  <c:v>3.0106384130954233E-2</c:v>
                </c:pt>
                <c:pt idx="168">
                  <c:v>3.0097801663518227E-2</c:v>
                </c:pt>
                <c:pt idx="169">
                  <c:v>3.0090128988254663E-2</c:v>
                </c:pt>
                <c:pt idx="170">
                  <c:v>3.0082024629722471E-2</c:v>
                </c:pt>
                <c:pt idx="171">
                  <c:v>3.0074083955702321E-2</c:v>
                </c:pt>
                <c:pt idx="172">
                  <c:v>3.0066580111928295E-2</c:v>
                </c:pt>
                <c:pt idx="173">
                  <c:v>3.0058367615802564E-2</c:v>
                </c:pt>
                <c:pt idx="174">
                  <c:v>3.0051261624392506E-2</c:v>
                </c:pt>
                <c:pt idx="175">
                  <c:v>3.0043150587758843E-2</c:v>
                </c:pt>
                <c:pt idx="176">
                  <c:v>3.0034862919561419E-2</c:v>
                </c:pt>
                <c:pt idx="177">
                  <c:v>3.0027848515235617E-2</c:v>
                </c:pt>
                <c:pt idx="178">
                  <c:v>3.0021185325977345E-2</c:v>
                </c:pt>
                <c:pt idx="179">
                  <c:v>3.0015659695160721E-2</c:v>
                </c:pt>
                <c:pt idx="180">
                  <c:v>3.0009634876909698E-2</c:v>
                </c:pt>
                <c:pt idx="181">
                  <c:v>3.0003518109920989E-2</c:v>
                </c:pt>
                <c:pt idx="182">
                  <c:v>2.9996415297384754E-2</c:v>
                </c:pt>
                <c:pt idx="183">
                  <c:v>2.9990140361313148E-2</c:v>
                </c:pt>
                <c:pt idx="184">
                  <c:v>2.9982955636137312E-2</c:v>
                </c:pt>
                <c:pt idx="185">
                  <c:v>2.997512669587998E-2</c:v>
                </c:pt>
                <c:pt idx="186">
                  <c:v>2.9967493315218474E-2</c:v>
                </c:pt>
                <c:pt idx="187">
                  <c:v>2.9958671957095243E-2</c:v>
                </c:pt>
                <c:pt idx="188">
                  <c:v>2.9949502224321998E-2</c:v>
                </c:pt>
                <c:pt idx="189">
                  <c:v>2.9940736220883699E-2</c:v>
                </c:pt>
                <c:pt idx="190">
                  <c:v>2.9931582173435264E-2</c:v>
                </c:pt>
                <c:pt idx="191">
                  <c:v>2.9924012422086147E-2</c:v>
                </c:pt>
                <c:pt idx="192">
                  <c:v>2.9916030715500353E-2</c:v>
                </c:pt>
                <c:pt idx="193">
                  <c:v>2.9907365738225018E-2</c:v>
                </c:pt>
                <c:pt idx="194">
                  <c:v>2.9897846566345511E-2</c:v>
                </c:pt>
                <c:pt idx="195">
                  <c:v>2.9889257657448678E-2</c:v>
                </c:pt>
                <c:pt idx="196">
                  <c:v>2.9880292023949491E-2</c:v>
                </c:pt>
                <c:pt idx="197">
                  <c:v>2.9871121454341624E-2</c:v>
                </c:pt>
                <c:pt idx="198">
                  <c:v>2.9861475679863421E-2</c:v>
                </c:pt>
                <c:pt idx="199">
                  <c:v>2.9849537307928213E-2</c:v>
                </c:pt>
                <c:pt idx="200">
                  <c:v>2.9838699332811518E-2</c:v>
                </c:pt>
                <c:pt idx="201">
                  <c:v>2.9826588417642425E-2</c:v>
                </c:pt>
                <c:pt idx="202">
                  <c:v>2.9814549363432932E-2</c:v>
                </c:pt>
                <c:pt idx="203">
                  <c:v>2.9804355189591611E-2</c:v>
                </c:pt>
                <c:pt idx="204">
                  <c:v>2.9793171878376896E-2</c:v>
                </c:pt>
                <c:pt idx="205">
                  <c:v>2.9781476284076978E-2</c:v>
                </c:pt>
                <c:pt idx="206">
                  <c:v>2.9770649821379599E-2</c:v>
                </c:pt>
                <c:pt idx="207">
                  <c:v>2.9759180631873126E-2</c:v>
                </c:pt>
                <c:pt idx="208">
                  <c:v>2.9746601508775623E-2</c:v>
                </c:pt>
                <c:pt idx="209">
                  <c:v>2.9734461870359916E-2</c:v>
                </c:pt>
                <c:pt idx="210">
                  <c:v>2.9721970632372401E-2</c:v>
                </c:pt>
                <c:pt idx="211">
                  <c:v>2.970869443288943E-2</c:v>
                </c:pt>
                <c:pt idx="212">
                  <c:v>2.9695577701811918E-2</c:v>
                </c:pt>
                <c:pt idx="213">
                  <c:v>2.96809805655893E-2</c:v>
                </c:pt>
                <c:pt idx="214">
                  <c:v>2.9668104856218742E-2</c:v>
                </c:pt>
                <c:pt idx="215">
                  <c:v>2.9655647275307083E-2</c:v>
                </c:pt>
                <c:pt idx="216">
                  <c:v>2.96418212428456E-2</c:v>
                </c:pt>
                <c:pt idx="217">
                  <c:v>2.9627941684628935E-2</c:v>
                </c:pt>
                <c:pt idx="218">
                  <c:v>2.9614372728306883E-2</c:v>
                </c:pt>
                <c:pt idx="219">
                  <c:v>2.960056236864736E-2</c:v>
                </c:pt>
                <c:pt idx="220">
                  <c:v>2.9585940894961107E-2</c:v>
                </c:pt>
                <c:pt idx="221">
                  <c:v>2.9570941502204278E-2</c:v>
                </c:pt>
                <c:pt idx="222">
                  <c:v>2.9555066052808391E-2</c:v>
                </c:pt>
                <c:pt idx="223">
                  <c:v>2.9540353103490201E-2</c:v>
                </c:pt>
                <c:pt idx="224">
                  <c:v>2.9524889605066641E-2</c:v>
                </c:pt>
                <c:pt idx="225">
                  <c:v>2.9508235494132385E-2</c:v>
                </c:pt>
                <c:pt idx="226">
                  <c:v>2.9492563016319872E-2</c:v>
                </c:pt>
                <c:pt idx="227">
                  <c:v>2.9477895942079519E-2</c:v>
                </c:pt>
                <c:pt idx="228">
                  <c:v>2.9460551320026042E-2</c:v>
                </c:pt>
                <c:pt idx="229">
                  <c:v>2.9445769378908155E-2</c:v>
                </c:pt>
                <c:pt idx="230">
                  <c:v>2.9429272514791664E-2</c:v>
                </c:pt>
                <c:pt idx="231">
                  <c:v>2.9412016786474298E-2</c:v>
                </c:pt>
                <c:pt idx="232">
                  <c:v>2.939610207057498E-2</c:v>
                </c:pt>
                <c:pt idx="233">
                  <c:v>2.9378694111169074E-2</c:v>
                </c:pt>
                <c:pt idx="234">
                  <c:v>2.9360763830647962E-2</c:v>
                </c:pt>
                <c:pt idx="235">
                  <c:v>2.9342869287534542E-2</c:v>
                </c:pt>
                <c:pt idx="236">
                  <c:v>2.932468202287088E-2</c:v>
                </c:pt>
                <c:pt idx="237">
                  <c:v>2.930592002756378E-2</c:v>
                </c:pt>
                <c:pt idx="238">
                  <c:v>2.9287467136908822E-2</c:v>
                </c:pt>
                <c:pt idx="239">
                  <c:v>2.9271014190561599E-2</c:v>
                </c:pt>
                <c:pt idx="240">
                  <c:v>2.9252293204594475E-2</c:v>
                </c:pt>
                <c:pt idx="241">
                  <c:v>2.9235276611669428E-2</c:v>
                </c:pt>
                <c:pt idx="242">
                  <c:v>2.9217016517868854E-2</c:v>
                </c:pt>
                <c:pt idx="243">
                  <c:v>2.9198704603006845E-2</c:v>
                </c:pt>
                <c:pt idx="244">
                  <c:v>2.9180946054879711E-2</c:v>
                </c:pt>
                <c:pt idx="245">
                  <c:v>2.9161341832044177E-2</c:v>
                </c:pt>
                <c:pt idx="246">
                  <c:v>2.9144619762542425E-2</c:v>
                </c:pt>
                <c:pt idx="247">
                  <c:v>2.9126000266392948E-2</c:v>
                </c:pt>
                <c:pt idx="248">
                  <c:v>2.9106763104640242E-2</c:v>
                </c:pt>
                <c:pt idx="249">
                  <c:v>2.9089429161801867E-2</c:v>
                </c:pt>
                <c:pt idx="250">
                  <c:v>2.9071099340695454E-2</c:v>
                </c:pt>
                <c:pt idx="251">
                  <c:v>2.9052948231999658E-2</c:v>
                </c:pt>
                <c:pt idx="252">
                  <c:v>2.903607345799436E-2</c:v>
                </c:pt>
                <c:pt idx="253">
                  <c:v>2.9018690770002634E-2</c:v>
                </c:pt>
                <c:pt idx="254">
                  <c:v>2.900032543940928E-2</c:v>
                </c:pt>
                <c:pt idx="255">
                  <c:v>2.8983955374076081E-2</c:v>
                </c:pt>
                <c:pt idx="256">
                  <c:v>2.896678814589803E-2</c:v>
                </c:pt>
                <c:pt idx="257">
                  <c:v>2.8949627173051447E-2</c:v>
                </c:pt>
                <c:pt idx="258">
                  <c:v>2.893259852886752E-2</c:v>
                </c:pt>
                <c:pt idx="259">
                  <c:v>2.8913051148750014E-2</c:v>
                </c:pt>
                <c:pt idx="260">
                  <c:v>2.8896070770650508E-2</c:v>
                </c:pt>
                <c:pt idx="261">
                  <c:v>2.8877317229925641E-2</c:v>
                </c:pt>
                <c:pt idx="262">
                  <c:v>2.8858460545892639E-2</c:v>
                </c:pt>
                <c:pt idx="263">
                  <c:v>2.8842486128166318E-2</c:v>
                </c:pt>
                <c:pt idx="264">
                  <c:v>2.8825921101505631E-2</c:v>
                </c:pt>
                <c:pt idx="265">
                  <c:v>2.8809866489142352E-2</c:v>
                </c:pt>
                <c:pt idx="266">
                  <c:v>2.8793409809025353E-2</c:v>
                </c:pt>
                <c:pt idx="267">
                  <c:v>2.8777123524614201E-2</c:v>
                </c:pt>
                <c:pt idx="268">
                  <c:v>2.8758386910859222E-2</c:v>
                </c:pt>
                <c:pt idx="269">
                  <c:v>2.8741454833153372E-2</c:v>
                </c:pt>
                <c:pt idx="270">
                  <c:v>2.872388657084202E-2</c:v>
                </c:pt>
                <c:pt idx="271">
                  <c:v>2.8705469082572765E-2</c:v>
                </c:pt>
                <c:pt idx="272">
                  <c:v>2.8689069434123644E-2</c:v>
                </c:pt>
                <c:pt idx="273">
                  <c:v>2.867172225571557E-2</c:v>
                </c:pt>
                <c:pt idx="274">
                  <c:v>2.8654462363856797E-2</c:v>
                </c:pt>
                <c:pt idx="275">
                  <c:v>2.8638963069726835E-2</c:v>
                </c:pt>
                <c:pt idx="276">
                  <c:v>2.8621959583340732E-2</c:v>
                </c:pt>
                <c:pt idx="277">
                  <c:v>2.8604620940898155E-2</c:v>
                </c:pt>
                <c:pt idx="278">
                  <c:v>2.8589026043084342E-2</c:v>
                </c:pt>
                <c:pt idx="279">
                  <c:v>2.8572905019419521E-2</c:v>
                </c:pt>
                <c:pt idx="280">
                  <c:v>2.8555617794068303E-2</c:v>
                </c:pt>
                <c:pt idx="281">
                  <c:v>2.8539302944632621E-2</c:v>
                </c:pt>
                <c:pt idx="282">
                  <c:v>2.8522887981754143E-2</c:v>
                </c:pt>
                <c:pt idx="283">
                  <c:v>2.8505837084886722E-2</c:v>
                </c:pt>
                <c:pt idx="284">
                  <c:v>2.8489324579172335E-2</c:v>
                </c:pt>
                <c:pt idx="285">
                  <c:v>2.8471257193264904E-2</c:v>
                </c:pt>
                <c:pt idx="286">
                  <c:v>2.8455542230629155E-2</c:v>
                </c:pt>
                <c:pt idx="287">
                  <c:v>2.8440529051070453E-2</c:v>
                </c:pt>
                <c:pt idx="288">
                  <c:v>2.8424090514852403E-2</c:v>
                </c:pt>
                <c:pt idx="289">
                  <c:v>2.8407832014358925E-2</c:v>
                </c:pt>
                <c:pt idx="290">
                  <c:v>2.8392195098737961E-2</c:v>
                </c:pt>
                <c:pt idx="291">
                  <c:v>2.8376560837979427E-2</c:v>
                </c:pt>
                <c:pt idx="292">
                  <c:v>2.8360323248956536E-2</c:v>
                </c:pt>
                <c:pt idx="293">
                  <c:v>2.8343981766352753E-2</c:v>
                </c:pt>
                <c:pt idx="294">
                  <c:v>2.8327005504458217E-2</c:v>
                </c:pt>
                <c:pt idx="295">
                  <c:v>2.8311540827222568E-2</c:v>
                </c:pt>
                <c:pt idx="296">
                  <c:v>2.8295535915126121E-2</c:v>
                </c:pt>
                <c:pt idx="297">
                  <c:v>2.8278556259202337E-2</c:v>
                </c:pt>
                <c:pt idx="298">
                  <c:v>2.8262832523576024E-2</c:v>
                </c:pt>
                <c:pt idx="299">
                  <c:v>2.8247966654020816E-2</c:v>
                </c:pt>
                <c:pt idx="300">
                  <c:v>2.8232139490715496E-2</c:v>
                </c:pt>
                <c:pt idx="301">
                  <c:v>2.8218461550892394E-2</c:v>
                </c:pt>
                <c:pt idx="302">
                  <c:v>2.820452547426491E-2</c:v>
                </c:pt>
                <c:pt idx="303">
                  <c:v>2.8191230667620245E-2</c:v>
                </c:pt>
                <c:pt idx="304">
                  <c:v>2.8178901891449813E-2</c:v>
                </c:pt>
                <c:pt idx="305">
                  <c:v>2.8165816020153847E-2</c:v>
                </c:pt>
                <c:pt idx="306">
                  <c:v>2.815498601911089E-2</c:v>
                </c:pt>
                <c:pt idx="307">
                  <c:v>2.8143230329346132E-2</c:v>
                </c:pt>
                <c:pt idx="308">
                  <c:v>2.8131644697730742E-2</c:v>
                </c:pt>
                <c:pt idx="309">
                  <c:v>2.81219683257538E-2</c:v>
                </c:pt>
                <c:pt idx="310">
                  <c:v>2.8112760079929636E-2</c:v>
                </c:pt>
                <c:pt idx="311">
                  <c:v>2.8105330314260737E-2</c:v>
                </c:pt>
                <c:pt idx="312">
                  <c:v>2.8097833445403966E-2</c:v>
                </c:pt>
                <c:pt idx="313">
                  <c:v>2.8091097601760998E-2</c:v>
                </c:pt>
                <c:pt idx="314">
                  <c:v>2.8084266075446278E-2</c:v>
                </c:pt>
                <c:pt idx="315">
                  <c:v>2.8078993104408388E-2</c:v>
                </c:pt>
                <c:pt idx="316">
                  <c:v>2.8073734734274956E-2</c:v>
                </c:pt>
                <c:pt idx="317">
                  <c:v>2.8068794825197939E-2</c:v>
                </c:pt>
                <c:pt idx="318">
                  <c:v>2.8064572210553425E-2</c:v>
                </c:pt>
                <c:pt idx="319">
                  <c:v>2.8060229822849371E-2</c:v>
                </c:pt>
                <c:pt idx="320">
                  <c:v>2.805638561429857E-2</c:v>
                </c:pt>
                <c:pt idx="321">
                  <c:v>2.8053561983479129E-2</c:v>
                </c:pt>
                <c:pt idx="322">
                  <c:v>2.8051826171500541E-2</c:v>
                </c:pt>
                <c:pt idx="323">
                  <c:v>2.8051283712006748E-2</c:v>
                </c:pt>
                <c:pt idx="324">
                  <c:v>2.8051303636452477E-2</c:v>
                </c:pt>
                <c:pt idx="325">
                  <c:v>2.805170434557834E-2</c:v>
                </c:pt>
                <c:pt idx="326">
                  <c:v>2.8052749890497497E-2</c:v>
                </c:pt>
                <c:pt idx="327">
                  <c:v>2.8054541766703359E-2</c:v>
                </c:pt>
                <c:pt idx="328">
                  <c:v>2.8057524212075073E-2</c:v>
                </c:pt>
                <c:pt idx="329">
                  <c:v>2.8061156195091225E-2</c:v>
                </c:pt>
                <c:pt idx="330">
                  <c:v>2.8064681456954781E-2</c:v>
                </c:pt>
                <c:pt idx="331">
                  <c:v>2.8068083617295521E-2</c:v>
                </c:pt>
                <c:pt idx="332">
                  <c:v>2.8070940345028921E-2</c:v>
                </c:pt>
                <c:pt idx="333">
                  <c:v>2.8074696392708029E-2</c:v>
                </c:pt>
                <c:pt idx="334">
                  <c:v>2.8079833196819635E-2</c:v>
                </c:pt>
                <c:pt idx="335">
                  <c:v>2.808554294178852E-2</c:v>
                </c:pt>
                <c:pt idx="336">
                  <c:v>2.8092958149040531E-2</c:v>
                </c:pt>
                <c:pt idx="337">
                  <c:v>2.8101656144604713E-2</c:v>
                </c:pt>
                <c:pt idx="338">
                  <c:v>2.8111413536852686E-2</c:v>
                </c:pt>
                <c:pt idx="339">
                  <c:v>2.8120891171459505E-2</c:v>
                </c:pt>
                <c:pt idx="340">
                  <c:v>2.8130756654919604E-2</c:v>
                </c:pt>
                <c:pt idx="341">
                  <c:v>2.8139287934841023E-2</c:v>
                </c:pt>
                <c:pt idx="342">
                  <c:v>2.8148557573587064E-2</c:v>
                </c:pt>
                <c:pt idx="343">
                  <c:v>2.8159486826171372E-2</c:v>
                </c:pt>
                <c:pt idx="344">
                  <c:v>2.8170331266129174E-2</c:v>
                </c:pt>
                <c:pt idx="345">
                  <c:v>2.8182743943784023E-2</c:v>
                </c:pt>
                <c:pt idx="346">
                  <c:v>2.8195864256746785E-2</c:v>
                </c:pt>
                <c:pt idx="347">
                  <c:v>2.8208800806951224E-2</c:v>
                </c:pt>
                <c:pt idx="348">
                  <c:v>2.8223416396117119E-2</c:v>
                </c:pt>
                <c:pt idx="349">
                  <c:v>2.8238899764887321E-2</c:v>
                </c:pt>
                <c:pt idx="350">
                  <c:v>2.8254630317127293E-2</c:v>
                </c:pt>
                <c:pt idx="351">
                  <c:v>2.8270974143446828E-2</c:v>
                </c:pt>
                <c:pt idx="352">
                  <c:v>2.8288371217682143E-2</c:v>
                </c:pt>
                <c:pt idx="353">
                  <c:v>2.8306100172635098E-2</c:v>
                </c:pt>
                <c:pt idx="354">
                  <c:v>2.8324535290763751E-2</c:v>
                </c:pt>
                <c:pt idx="355">
                  <c:v>2.8341282007849116E-2</c:v>
                </c:pt>
                <c:pt idx="356">
                  <c:v>2.8359033879643628E-2</c:v>
                </c:pt>
                <c:pt idx="357">
                  <c:v>2.8379027655395458E-2</c:v>
                </c:pt>
                <c:pt idx="358">
                  <c:v>2.8399135529887393E-2</c:v>
                </c:pt>
                <c:pt idx="359">
                  <c:v>2.8418713084066165E-2</c:v>
                </c:pt>
                <c:pt idx="360">
                  <c:v>2.8442045899991403E-2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8119040"/>
        <c:axId val="666674304"/>
      </c:lineChart>
      <c:dateAx>
        <c:axId val="738119040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666674304"/>
        <c:crosses val="autoZero"/>
        <c:auto val="1"/>
        <c:lblOffset val="100"/>
        <c:baseTimeUnit val="months"/>
      </c:dateAx>
      <c:valAx>
        <c:axId val="666674304"/>
        <c:scaling>
          <c:orientation val="minMax"/>
          <c:min val="1.5000000000000003E-2"/>
        </c:scaling>
        <c:delete val="0"/>
        <c:axPos val="l"/>
        <c:majorGridlines/>
        <c:numFmt formatCode="0.00000%" sourceLinked="1"/>
        <c:majorTickMark val="out"/>
        <c:minorTickMark val="none"/>
        <c:tickLblPos val="nextTo"/>
        <c:crossAx val="73811904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9003024680531581"/>
          <c:y val="0.72104461942257214"/>
          <c:w val="0.43088115744031413"/>
          <c:h val="0.11935942098146822"/>
        </c:manualLayout>
      </c:layout>
      <c:overlay val="0"/>
      <c:txPr>
        <a:bodyPr/>
        <a:lstStyle/>
        <a:p>
          <a:pPr>
            <a:defRPr sz="2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0"/>
            </a:pPr>
            <a:r>
              <a:rPr lang="en-GB" sz="2400" b="0"/>
              <a:t>EUR Yield</a:t>
            </a:r>
            <a:r>
              <a:rPr lang="en-GB" sz="2400" b="0" baseline="0"/>
              <a:t> Curve</a:t>
            </a:r>
            <a:endParaRPr lang="en-GB" sz="2400" b="0"/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8.7332342542762453E-2"/>
          <c:y val="2.2429332697049234E-2"/>
          <c:w val="0.87920625982713474"/>
          <c:h val="0.87093215620774678"/>
        </c:manualLayout>
      </c:layout>
      <c:lineChart>
        <c:grouping val="standard"/>
        <c:varyColors val="0"/>
        <c:ser>
          <c:idx val="0"/>
          <c:order val="0"/>
          <c:tx>
            <c:strRef>
              <c:f>DISPLAY_EUR_CURVE!$C$9</c:f>
              <c:strCache>
                <c:ptCount val="1"/>
                <c:pt idx="0">
                  <c:v>EUROIS</c:v>
                </c:pt>
              </c:strCache>
            </c:strRef>
          </c:tx>
          <c:marker>
            <c:symbol val="none"/>
          </c:marker>
          <c:cat>
            <c:numRef>
              <c:f>DISPLAY_EUR_CURVE!$B$10:$B$501</c:f>
              <c:numCache>
                <c:formatCode>d\-mmm\-yy</c:formatCode>
                <c:ptCount val="492"/>
                <c:pt idx="0">
                  <c:v>43579</c:v>
                </c:pt>
                <c:pt idx="1">
                  <c:v>43609</c:v>
                </c:pt>
                <c:pt idx="2">
                  <c:v>43640</c:v>
                </c:pt>
                <c:pt idx="3">
                  <c:v>43670</c:v>
                </c:pt>
                <c:pt idx="4">
                  <c:v>43703</c:v>
                </c:pt>
                <c:pt idx="5">
                  <c:v>43732</c:v>
                </c:pt>
                <c:pt idx="6">
                  <c:v>43762</c:v>
                </c:pt>
                <c:pt idx="7">
                  <c:v>43794</c:v>
                </c:pt>
                <c:pt idx="8">
                  <c:v>43823</c:v>
                </c:pt>
                <c:pt idx="9">
                  <c:v>43854</c:v>
                </c:pt>
                <c:pt idx="10">
                  <c:v>43885</c:v>
                </c:pt>
                <c:pt idx="11">
                  <c:v>43914</c:v>
                </c:pt>
                <c:pt idx="12">
                  <c:v>43945</c:v>
                </c:pt>
                <c:pt idx="13">
                  <c:v>43976</c:v>
                </c:pt>
                <c:pt idx="14">
                  <c:v>44006</c:v>
                </c:pt>
                <c:pt idx="15">
                  <c:v>44036</c:v>
                </c:pt>
                <c:pt idx="16">
                  <c:v>44067</c:v>
                </c:pt>
                <c:pt idx="17">
                  <c:v>44098</c:v>
                </c:pt>
                <c:pt idx="18">
                  <c:v>44130</c:v>
                </c:pt>
                <c:pt idx="19">
                  <c:v>44159</c:v>
                </c:pt>
                <c:pt idx="20">
                  <c:v>44189</c:v>
                </c:pt>
                <c:pt idx="21">
                  <c:v>44221</c:v>
                </c:pt>
                <c:pt idx="22">
                  <c:v>44251</c:v>
                </c:pt>
                <c:pt idx="23">
                  <c:v>44279</c:v>
                </c:pt>
                <c:pt idx="24">
                  <c:v>44312</c:v>
                </c:pt>
                <c:pt idx="25">
                  <c:v>44340</c:v>
                </c:pt>
                <c:pt idx="26">
                  <c:v>44371</c:v>
                </c:pt>
                <c:pt idx="27">
                  <c:v>44403</c:v>
                </c:pt>
                <c:pt idx="28">
                  <c:v>44432</c:v>
                </c:pt>
                <c:pt idx="29">
                  <c:v>44463</c:v>
                </c:pt>
                <c:pt idx="30">
                  <c:v>44494</c:v>
                </c:pt>
                <c:pt idx="31">
                  <c:v>44524</c:v>
                </c:pt>
                <c:pt idx="32">
                  <c:v>44554</c:v>
                </c:pt>
                <c:pt idx="33">
                  <c:v>44585</c:v>
                </c:pt>
                <c:pt idx="34">
                  <c:v>44616</c:v>
                </c:pt>
                <c:pt idx="35">
                  <c:v>44644</c:v>
                </c:pt>
                <c:pt idx="36">
                  <c:v>44676</c:v>
                </c:pt>
                <c:pt idx="37">
                  <c:v>44705</c:v>
                </c:pt>
                <c:pt idx="38">
                  <c:v>44736</c:v>
                </c:pt>
                <c:pt idx="39">
                  <c:v>44767</c:v>
                </c:pt>
                <c:pt idx="40">
                  <c:v>44797</c:v>
                </c:pt>
                <c:pt idx="41">
                  <c:v>44830</c:v>
                </c:pt>
                <c:pt idx="42">
                  <c:v>44858</c:v>
                </c:pt>
                <c:pt idx="43">
                  <c:v>44889</c:v>
                </c:pt>
                <c:pt idx="44">
                  <c:v>44921</c:v>
                </c:pt>
                <c:pt idx="45">
                  <c:v>44950</c:v>
                </c:pt>
                <c:pt idx="46">
                  <c:v>44981</c:v>
                </c:pt>
                <c:pt idx="47">
                  <c:v>45009</c:v>
                </c:pt>
                <c:pt idx="48">
                  <c:v>45040</c:v>
                </c:pt>
                <c:pt idx="49">
                  <c:v>45070</c:v>
                </c:pt>
                <c:pt idx="50">
                  <c:v>45103</c:v>
                </c:pt>
                <c:pt idx="51">
                  <c:v>45131</c:v>
                </c:pt>
                <c:pt idx="52">
                  <c:v>45162</c:v>
                </c:pt>
                <c:pt idx="53">
                  <c:v>45194</c:v>
                </c:pt>
                <c:pt idx="54">
                  <c:v>45223</c:v>
                </c:pt>
                <c:pt idx="55">
                  <c:v>45254</c:v>
                </c:pt>
                <c:pt idx="56">
                  <c:v>45285</c:v>
                </c:pt>
                <c:pt idx="57">
                  <c:v>45315</c:v>
                </c:pt>
                <c:pt idx="58">
                  <c:v>45348</c:v>
                </c:pt>
                <c:pt idx="59">
                  <c:v>45376</c:v>
                </c:pt>
                <c:pt idx="60">
                  <c:v>45406</c:v>
                </c:pt>
                <c:pt idx="61">
                  <c:v>45436</c:v>
                </c:pt>
                <c:pt idx="62">
                  <c:v>45467</c:v>
                </c:pt>
                <c:pt idx="63">
                  <c:v>45497</c:v>
                </c:pt>
                <c:pt idx="64">
                  <c:v>45530</c:v>
                </c:pt>
                <c:pt idx="65">
                  <c:v>45559</c:v>
                </c:pt>
                <c:pt idx="66">
                  <c:v>45589</c:v>
                </c:pt>
                <c:pt idx="67">
                  <c:v>45621</c:v>
                </c:pt>
                <c:pt idx="68">
                  <c:v>45650</c:v>
                </c:pt>
                <c:pt idx="69">
                  <c:v>45681</c:v>
                </c:pt>
                <c:pt idx="70">
                  <c:v>45712</c:v>
                </c:pt>
                <c:pt idx="71">
                  <c:v>45740</c:v>
                </c:pt>
                <c:pt idx="72">
                  <c:v>45771</c:v>
                </c:pt>
                <c:pt idx="73">
                  <c:v>45803</c:v>
                </c:pt>
                <c:pt idx="74">
                  <c:v>45832</c:v>
                </c:pt>
                <c:pt idx="75">
                  <c:v>45862</c:v>
                </c:pt>
                <c:pt idx="76">
                  <c:v>45894</c:v>
                </c:pt>
                <c:pt idx="77">
                  <c:v>45924</c:v>
                </c:pt>
                <c:pt idx="78">
                  <c:v>45954</c:v>
                </c:pt>
                <c:pt idx="79">
                  <c:v>45985</c:v>
                </c:pt>
                <c:pt idx="80">
                  <c:v>46015</c:v>
                </c:pt>
                <c:pt idx="81">
                  <c:v>46048</c:v>
                </c:pt>
                <c:pt idx="82">
                  <c:v>46077</c:v>
                </c:pt>
                <c:pt idx="83">
                  <c:v>46105</c:v>
                </c:pt>
                <c:pt idx="84">
                  <c:v>46136</c:v>
                </c:pt>
                <c:pt idx="85">
                  <c:v>46167</c:v>
                </c:pt>
                <c:pt idx="86">
                  <c:v>46197</c:v>
                </c:pt>
                <c:pt idx="87">
                  <c:v>46227</c:v>
                </c:pt>
                <c:pt idx="88">
                  <c:v>46258</c:v>
                </c:pt>
                <c:pt idx="89">
                  <c:v>46289</c:v>
                </c:pt>
                <c:pt idx="90">
                  <c:v>46321</c:v>
                </c:pt>
                <c:pt idx="91">
                  <c:v>46350</c:v>
                </c:pt>
                <c:pt idx="92">
                  <c:v>46380</c:v>
                </c:pt>
                <c:pt idx="93">
                  <c:v>46412</c:v>
                </c:pt>
                <c:pt idx="94">
                  <c:v>46442</c:v>
                </c:pt>
                <c:pt idx="95">
                  <c:v>46470</c:v>
                </c:pt>
                <c:pt idx="96">
                  <c:v>46503</c:v>
                </c:pt>
                <c:pt idx="97">
                  <c:v>46531</c:v>
                </c:pt>
                <c:pt idx="98">
                  <c:v>46562</c:v>
                </c:pt>
                <c:pt idx="99">
                  <c:v>46594</c:v>
                </c:pt>
                <c:pt idx="100">
                  <c:v>46623</c:v>
                </c:pt>
                <c:pt idx="101">
                  <c:v>46654</c:v>
                </c:pt>
                <c:pt idx="102">
                  <c:v>46685</c:v>
                </c:pt>
                <c:pt idx="103">
                  <c:v>46715</c:v>
                </c:pt>
                <c:pt idx="104">
                  <c:v>46745</c:v>
                </c:pt>
                <c:pt idx="105">
                  <c:v>46776</c:v>
                </c:pt>
                <c:pt idx="106">
                  <c:v>46807</c:v>
                </c:pt>
                <c:pt idx="107">
                  <c:v>46836</c:v>
                </c:pt>
                <c:pt idx="108">
                  <c:v>46867</c:v>
                </c:pt>
                <c:pt idx="109">
                  <c:v>46897</c:v>
                </c:pt>
                <c:pt idx="110">
                  <c:v>46930</c:v>
                </c:pt>
                <c:pt idx="111">
                  <c:v>46958</c:v>
                </c:pt>
                <c:pt idx="112">
                  <c:v>46989</c:v>
                </c:pt>
                <c:pt idx="113">
                  <c:v>47021</c:v>
                </c:pt>
                <c:pt idx="114">
                  <c:v>47050</c:v>
                </c:pt>
                <c:pt idx="115">
                  <c:v>47081</c:v>
                </c:pt>
                <c:pt idx="116">
                  <c:v>47112</c:v>
                </c:pt>
                <c:pt idx="117">
                  <c:v>47142</c:v>
                </c:pt>
                <c:pt idx="118">
                  <c:v>47175</c:v>
                </c:pt>
                <c:pt idx="119">
                  <c:v>47203</c:v>
                </c:pt>
                <c:pt idx="120">
                  <c:v>47232</c:v>
                </c:pt>
                <c:pt idx="121">
                  <c:v>47262</c:v>
                </c:pt>
                <c:pt idx="122">
                  <c:v>47294</c:v>
                </c:pt>
                <c:pt idx="123">
                  <c:v>47323</c:v>
                </c:pt>
                <c:pt idx="124">
                  <c:v>47354</c:v>
                </c:pt>
                <c:pt idx="125">
                  <c:v>47385</c:v>
                </c:pt>
                <c:pt idx="126">
                  <c:v>47415</c:v>
                </c:pt>
                <c:pt idx="127">
                  <c:v>47448</c:v>
                </c:pt>
                <c:pt idx="128">
                  <c:v>47476</c:v>
                </c:pt>
                <c:pt idx="129">
                  <c:v>47507</c:v>
                </c:pt>
                <c:pt idx="130">
                  <c:v>47539</c:v>
                </c:pt>
                <c:pt idx="131">
                  <c:v>47567</c:v>
                </c:pt>
                <c:pt idx="132">
                  <c:v>47597</c:v>
                </c:pt>
                <c:pt idx="133">
                  <c:v>47627</c:v>
                </c:pt>
                <c:pt idx="134">
                  <c:v>47658</c:v>
                </c:pt>
                <c:pt idx="135">
                  <c:v>47688</c:v>
                </c:pt>
                <c:pt idx="136">
                  <c:v>47721</c:v>
                </c:pt>
                <c:pt idx="137">
                  <c:v>47750</c:v>
                </c:pt>
                <c:pt idx="138">
                  <c:v>47780</c:v>
                </c:pt>
                <c:pt idx="139">
                  <c:v>47812</c:v>
                </c:pt>
                <c:pt idx="140">
                  <c:v>47841</c:v>
                </c:pt>
                <c:pt idx="141">
                  <c:v>47872</c:v>
                </c:pt>
                <c:pt idx="142">
                  <c:v>47903</c:v>
                </c:pt>
                <c:pt idx="143">
                  <c:v>47931</c:v>
                </c:pt>
                <c:pt idx="144">
                  <c:v>47962</c:v>
                </c:pt>
                <c:pt idx="145">
                  <c:v>47994</c:v>
                </c:pt>
                <c:pt idx="146">
                  <c:v>48023</c:v>
                </c:pt>
                <c:pt idx="147">
                  <c:v>48053</c:v>
                </c:pt>
                <c:pt idx="148">
                  <c:v>48085</c:v>
                </c:pt>
                <c:pt idx="149">
                  <c:v>48115</c:v>
                </c:pt>
                <c:pt idx="150">
                  <c:v>48145</c:v>
                </c:pt>
                <c:pt idx="151">
                  <c:v>48176</c:v>
                </c:pt>
                <c:pt idx="152">
                  <c:v>48206</c:v>
                </c:pt>
                <c:pt idx="153">
                  <c:v>48239</c:v>
                </c:pt>
                <c:pt idx="154">
                  <c:v>48268</c:v>
                </c:pt>
                <c:pt idx="155">
                  <c:v>48297</c:v>
                </c:pt>
                <c:pt idx="156">
                  <c:v>48330</c:v>
                </c:pt>
                <c:pt idx="157">
                  <c:v>48358</c:v>
                </c:pt>
                <c:pt idx="158">
                  <c:v>48389</c:v>
                </c:pt>
                <c:pt idx="159">
                  <c:v>48421</c:v>
                </c:pt>
                <c:pt idx="160">
                  <c:v>48450</c:v>
                </c:pt>
                <c:pt idx="161">
                  <c:v>48481</c:v>
                </c:pt>
                <c:pt idx="162">
                  <c:v>48512</c:v>
                </c:pt>
                <c:pt idx="163">
                  <c:v>48542</c:v>
                </c:pt>
                <c:pt idx="164">
                  <c:v>48572</c:v>
                </c:pt>
                <c:pt idx="165">
                  <c:v>48603</c:v>
                </c:pt>
                <c:pt idx="166">
                  <c:v>48634</c:v>
                </c:pt>
                <c:pt idx="167">
                  <c:v>48662</c:v>
                </c:pt>
                <c:pt idx="168">
                  <c:v>48694</c:v>
                </c:pt>
                <c:pt idx="169">
                  <c:v>48723</c:v>
                </c:pt>
                <c:pt idx="170">
                  <c:v>48754</c:v>
                </c:pt>
                <c:pt idx="171">
                  <c:v>48785</c:v>
                </c:pt>
                <c:pt idx="172">
                  <c:v>48815</c:v>
                </c:pt>
                <c:pt idx="173">
                  <c:v>48848</c:v>
                </c:pt>
                <c:pt idx="174">
                  <c:v>48876</c:v>
                </c:pt>
                <c:pt idx="175">
                  <c:v>48907</c:v>
                </c:pt>
                <c:pt idx="176">
                  <c:v>48939</c:v>
                </c:pt>
                <c:pt idx="177">
                  <c:v>48968</c:v>
                </c:pt>
                <c:pt idx="178">
                  <c:v>48999</c:v>
                </c:pt>
                <c:pt idx="179">
                  <c:v>49027</c:v>
                </c:pt>
                <c:pt idx="180">
                  <c:v>49058</c:v>
                </c:pt>
                <c:pt idx="181">
                  <c:v>49088</c:v>
                </c:pt>
                <c:pt idx="182">
                  <c:v>49121</c:v>
                </c:pt>
                <c:pt idx="183">
                  <c:v>49149</c:v>
                </c:pt>
                <c:pt idx="184">
                  <c:v>49180</c:v>
                </c:pt>
                <c:pt idx="185">
                  <c:v>49212</c:v>
                </c:pt>
                <c:pt idx="186">
                  <c:v>49241</c:v>
                </c:pt>
                <c:pt idx="187">
                  <c:v>49272</c:v>
                </c:pt>
                <c:pt idx="188">
                  <c:v>49303</c:v>
                </c:pt>
                <c:pt idx="189">
                  <c:v>49333</c:v>
                </c:pt>
                <c:pt idx="190">
                  <c:v>49366</c:v>
                </c:pt>
                <c:pt idx="191">
                  <c:v>49394</c:v>
                </c:pt>
                <c:pt idx="192">
                  <c:v>49423</c:v>
                </c:pt>
                <c:pt idx="193">
                  <c:v>49453</c:v>
                </c:pt>
                <c:pt idx="194">
                  <c:v>49485</c:v>
                </c:pt>
                <c:pt idx="195">
                  <c:v>49514</c:v>
                </c:pt>
                <c:pt idx="196">
                  <c:v>49545</c:v>
                </c:pt>
                <c:pt idx="197">
                  <c:v>49576</c:v>
                </c:pt>
                <c:pt idx="198">
                  <c:v>49606</c:v>
                </c:pt>
                <c:pt idx="199">
                  <c:v>49639</c:v>
                </c:pt>
                <c:pt idx="200">
                  <c:v>49667</c:v>
                </c:pt>
                <c:pt idx="201">
                  <c:v>49698</c:v>
                </c:pt>
                <c:pt idx="202">
                  <c:v>49730</c:v>
                </c:pt>
                <c:pt idx="203">
                  <c:v>49758</c:v>
                </c:pt>
                <c:pt idx="204">
                  <c:v>49789</c:v>
                </c:pt>
                <c:pt idx="205">
                  <c:v>49821</c:v>
                </c:pt>
                <c:pt idx="206">
                  <c:v>49850</c:v>
                </c:pt>
                <c:pt idx="207">
                  <c:v>49880</c:v>
                </c:pt>
                <c:pt idx="208">
                  <c:v>49912</c:v>
                </c:pt>
                <c:pt idx="209">
                  <c:v>49942</c:v>
                </c:pt>
                <c:pt idx="210">
                  <c:v>49972</c:v>
                </c:pt>
                <c:pt idx="211">
                  <c:v>50003</c:v>
                </c:pt>
                <c:pt idx="212">
                  <c:v>50033</c:v>
                </c:pt>
                <c:pt idx="213">
                  <c:v>50066</c:v>
                </c:pt>
                <c:pt idx="214">
                  <c:v>50095</c:v>
                </c:pt>
                <c:pt idx="215">
                  <c:v>50123</c:v>
                </c:pt>
                <c:pt idx="216">
                  <c:v>50154</c:v>
                </c:pt>
                <c:pt idx="217">
                  <c:v>50185</c:v>
                </c:pt>
                <c:pt idx="218">
                  <c:v>50215</c:v>
                </c:pt>
                <c:pt idx="219">
                  <c:v>50245</c:v>
                </c:pt>
                <c:pt idx="220">
                  <c:v>50276</c:v>
                </c:pt>
                <c:pt idx="221">
                  <c:v>50307</c:v>
                </c:pt>
                <c:pt idx="222">
                  <c:v>50339</c:v>
                </c:pt>
                <c:pt idx="223">
                  <c:v>50368</c:v>
                </c:pt>
                <c:pt idx="224">
                  <c:v>50398</c:v>
                </c:pt>
                <c:pt idx="225">
                  <c:v>50430</c:v>
                </c:pt>
                <c:pt idx="226">
                  <c:v>50460</c:v>
                </c:pt>
                <c:pt idx="227">
                  <c:v>50488</c:v>
                </c:pt>
                <c:pt idx="228">
                  <c:v>50521</c:v>
                </c:pt>
                <c:pt idx="229">
                  <c:v>50549</c:v>
                </c:pt>
                <c:pt idx="230">
                  <c:v>50580</c:v>
                </c:pt>
                <c:pt idx="231">
                  <c:v>50612</c:v>
                </c:pt>
                <c:pt idx="232">
                  <c:v>50641</c:v>
                </c:pt>
                <c:pt idx="233">
                  <c:v>50672</c:v>
                </c:pt>
                <c:pt idx="234">
                  <c:v>50703</c:v>
                </c:pt>
                <c:pt idx="235">
                  <c:v>50733</c:v>
                </c:pt>
                <c:pt idx="236">
                  <c:v>50763</c:v>
                </c:pt>
                <c:pt idx="237">
                  <c:v>50794</c:v>
                </c:pt>
                <c:pt idx="238">
                  <c:v>50825</c:v>
                </c:pt>
                <c:pt idx="239">
                  <c:v>50853</c:v>
                </c:pt>
                <c:pt idx="240">
                  <c:v>50885</c:v>
                </c:pt>
                <c:pt idx="241">
                  <c:v>50914</c:v>
                </c:pt>
                <c:pt idx="242">
                  <c:v>50945</c:v>
                </c:pt>
                <c:pt idx="243">
                  <c:v>50976</c:v>
                </c:pt>
                <c:pt idx="244">
                  <c:v>51006</c:v>
                </c:pt>
                <c:pt idx="245">
                  <c:v>51039</c:v>
                </c:pt>
                <c:pt idx="246">
                  <c:v>51067</c:v>
                </c:pt>
                <c:pt idx="247">
                  <c:v>51098</c:v>
                </c:pt>
                <c:pt idx="248">
                  <c:v>51130</c:v>
                </c:pt>
                <c:pt idx="249">
                  <c:v>51159</c:v>
                </c:pt>
                <c:pt idx="250">
                  <c:v>51190</c:v>
                </c:pt>
                <c:pt idx="251">
                  <c:v>51221</c:v>
                </c:pt>
                <c:pt idx="252">
                  <c:v>51250</c:v>
                </c:pt>
                <c:pt idx="253">
                  <c:v>51280</c:v>
                </c:pt>
                <c:pt idx="254">
                  <c:v>51312</c:v>
                </c:pt>
                <c:pt idx="255">
                  <c:v>51341</c:v>
                </c:pt>
                <c:pt idx="256">
                  <c:v>51372</c:v>
                </c:pt>
                <c:pt idx="257">
                  <c:v>51403</c:v>
                </c:pt>
                <c:pt idx="258">
                  <c:v>51433</c:v>
                </c:pt>
                <c:pt idx="259">
                  <c:v>51466</c:v>
                </c:pt>
                <c:pt idx="260">
                  <c:v>51494</c:v>
                </c:pt>
                <c:pt idx="261">
                  <c:v>51525</c:v>
                </c:pt>
                <c:pt idx="262">
                  <c:v>51557</c:v>
                </c:pt>
                <c:pt idx="263">
                  <c:v>51585</c:v>
                </c:pt>
                <c:pt idx="264">
                  <c:v>51615</c:v>
                </c:pt>
                <c:pt idx="265">
                  <c:v>51645</c:v>
                </c:pt>
                <c:pt idx="266">
                  <c:v>51676</c:v>
                </c:pt>
                <c:pt idx="267">
                  <c:v>51706</c:v>
                </c:pt>
                <c:pt idx="268">
                  <c:v>51739</c:v>
                </c:pt>
                <c:pt idx="269">
                  <c:v>51768</c:v>
                </c:pt>
                <c:pt idx="270">
                  <c:v>51798</c:v>
                </c:pt>
                <c:pt idx="271">
                  <c:v>51830</c:v>
                </c:pt>
                <c:pt idx="272">
                  <c:v>51859</c:v>
                </c:pt>
                <c:pt idx="273">
                  <c:v>51890</c:v>
                </c:pt>
                <c:pt idx="274">
                  <c:v>51921</c:v>
                </c:pt>
                <c:pt idx="275">
                  <c:v>51949</c:v>
                </c:pt>
                <c:pt idx="276">
                  <c:v>51980</c:v>
                </c:pt>
                <c:pt idx="277">
                  <c:v>52012</c:v>
                </c:pt>
                <c:pt idx="278">
                  <c:v>52041</c:v>
                </c:pt>
                <c:pt idx="279">
                  <c:v>52071</c:v>
                </c:pt>
                <c:pt idx="280">
                  <c:v>52103</c:v>
                </c:pt>
                <c:pt idx="281">
                  <c:v>52133</c:v>
                </c:pt>
                <c:pt idx="282">
                  <c:v>52163</c:v>
                </c:pt>
                <c:pt idx="283">
                  <c:v>52194</c:v>
                </c:pt>
                <c:pt idx="284">
                  <c:v>52224</c:v>
                </c:pt>
                <c:pt idx="285">
                  <c:v>52257</c:v>
                </c:pt>
                <c:pt idx="286">
                  <c:v>52286</c:v>
                </c:pt>
                <c:pt idx="287">
                  <c:v>52314</c:v>
                </c:pt>
                <c:pt idx="288">
                  <c:v>52345</c:v>
                </c:pt>
                <c:pt idx="289">
                  <c:v>52376</c:v>
                </c:pt>
                <c:pt idx="290">
                  <c:v>52406</c:v>
                </c:pt>
                <c:pt idx="291">
                  <c:v>52436</c:v>
                </c:pt>
                <c:pt idx="292">
                  <c:v>52467</c:v>
                </c:pt>
                <c:pt idx="293">
                  <c:v>52498</c:v>
                </c:pt>
                <c:pt idx="294">
                  <c:v>52530</c:v>
                </c:pt>
                <c:pt idx="295">
                  <c:v>52559</c:v>
                </c:pt>
                <c:pt idx="296">
                  <c:v>52589</c:v>
                </c:pt>
                <c:pt idx="297">
                  <c:v>52621</c:v>
                </c:pt>
                <c:pt idx="298">
                  <c:v>52651</c:v>
                </c:pt>
                <c:pt idx="299">
                  <c:v>52680</c:v>
                </c:pt>
                <c:pt idx="300">
                  <c:v>52712</c:v>
                </c:pt>
                <c:pt idx="301">
                  <c:v>52741</c:v>
                </c:pt>
                <c:pt idx="302">
                  <c:v>52772</c:v>
                </c:pt>
                <c:pt idx="303">
                  <c:v>52803</c:v>
                </c:pt>
                <c:pt idx="304">
                  <c:v>52833</c:v>
                </c:pt>
                <c:pt idx="305">
                  <c:v>52866</c:v>
                </c:pt>
                <c:pt idx="306">
                  <c:v>52894</c:v>
                </c:pt>
                <c:pt idx="307">
                  <c:v>52925</c:v>
                </c:pt>
                <c:pt idx="308">
                  <c:v>52957</c:v>
                </c:pt>
                <c:pt idx="309">
                  <c:v>52986</c:v>
                </c:pt>
                <c:pt idx="310">
                  <c:v>53017</c:v>
                </c:pt>
                <c:pt idx="311">
                  <c:v>53045</c:v>
                </c:pt>
                <c:pt idx="312">
                  <c:v>53076</c:v>
                </c:pt>
                <c:pt idx="313">
                  <c:v>53106</c:v>
                </c:pt>
                <c:pt idx="314">
                  <c:v>53139</c:v>
                </c:pt>
                <c:pt idx="315">
                  <c:v>53167</c:v>
                </c:pt>
                <c:pt idx="316">
                  <c:v>53198</c:v>
                </c:pt>
                <c:pt idx="317">
                  <c:v>53230</c:v>
                </c:pt>
                <c:pt idx="318">
                  <c:v>53259</c:v>
                </c:pt>
                <c:pt idx="319">
                  <c:v>53290</c:v>
                </c:pt>
                <c:pt idx="320">
                  <c:v>53321</c:v>
                </c:pt>
                <c:pt idx="321">
                  <c:v>53351</c:v>
                </c:pt>
                <c:pt idx="322">
                  <c:v>53384</c:v>
                </c:pt>
                <c:pt idx="323">
                  <c:v>53412</c:v>
                </c:pt>
                <c:pt idx="324">
                  <c:v>53441</c:v>
                </c:pt>
                <c:pt idx="325">
                  <c:v>53471</c:v>
                </c:pt>
                <c:pt idx="326">
                  <c:v>53503</c:v>
                </c:pt>
                <c:pt idx="327">
                  <c:v>53532</c:v>
                </c:pt>
                <c:pt idx="328">
                  <c:v>53563</c:v>
                </c:pt>
                <c:pt idx="329">
                  <c:v>53594</c:v>
                </c:pt>
                <c:pt idx="330">
                  <c:v>53624</c:v>
                </c:pt>
                <c:pt idx="331">
                  <c:v>53657</c:v>
                </c:pt>
                <c:pt idx="332">
                  <c:v>53685</c:v>
                </c:pt>
                <c:pt idx="333">
                  <c:v>53716</c:v>
                </c:pt>
                <c:pt idx="334">
                  <c:v>53748</c:v>
                </c:pt>
                <c:pt idx="335">
                  <c:v>53776</c:v>
                </c:pt>
                <c:pt idx="336">
                  <c:v>53806</c:v>
                </c:pt>
                <c:pt idx="337">
                  <c:v>53836</c:v>
                </c:pt>
                <c:pt idx="338">
                  <c:v>53867</c:v>
                </c:pt>
                <c:pt idx="339">
                  <c:v>53897</c:v>
                </c:pt>
                <c:pt idx="340">
                  <c:v>53930</c:v>
                </c:pt>
                <c:pt idx="341">
                  <c:v>53959</c:v>
                </c:pt>
                <c:pt idx="342">
                  <c:v>53989</c:v>
                </c:pt>
                <c:pt idx="343">
                  <c:v>54021</c:v>
                </c:pt>
                <c:pt idx="344">
                  <c:v>54050</c:v>
                </c:pt>
                <c:pt idx="345">
                  <c:v>54081</c:v>
                </c:pt>
                <c:pt idx="346">
                  <c:v>54112</c:v>
                </c:pt>
                <c:pt idx="347">
                  <c:v>54141</c:v>
                </c:pt>
                <c:pt idx="348">
                  <c:v>54172</c:v>
                </c:pt>
                <c:pt idx="349">
                  <c:v>54203</c:v>
                </c:pt>
                <c:pt idx="350">
                  <c:v>54233</c:v>
                </c:pt>
                <c:pt idx="351">
                  <c:v>54263</c:v>
                </c:pt>
                <c:pt idx="352">
                  <c:v>54294</c:v>
                </c:pt>
                <c:pt idx="353">
                  <c:v>54325</c:v>
                </c:pt>
                <c:pt idx="354">
                  <c:v>54357</c:v>
                </c:pt>
                <c:pt idx="355">
                  <c:v>54386</c:v>
                </c:pt>
                <c:pt idx="356">
                  <c:v>54416</c:v>
                </c:pt>
                <c:pt idx="357">
                  <c:v>54448</c:v>
                </c:pt>
                <c:pt idx="358">
                  <c:v>54478</c:v>
                </c:pt>
                <c:pt idx="359">
                  <c:v>54506</c:v>
                </c:pt>
                <c:pt idx="360">
                  <c:v>54539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cat>
          <c:val>
            <c:numRef>
              <c:f>DISPLAY_EUR_CURVE!$C$10:$C$501</c:f>
              <c:numCache>
                <c:formatCode>0.00000%</c:formatCode>
                <c:ptCount val="492"/>
                <c:pt idx="0">
                  <c:v>-3.6899999999961963E-3</c:v>
                </c:pt>
                <c:pt idx="1">
                  <c:v>-3.6499999999906061E-3</c:v>
                </c:pt>
                <c:pt idx="2">
                  <c:v>-3.6500000000838769E-3</c:v>
                </c:pt>
                <c:pt idx="3">
                  <c:v>-3.6500000000838769E-3</c:v>
                </c:pt>
                <c:pt idx="4">
                  <c:v>-3.659999999952048E-3</c:v>
                </c:pt>
                <c:pt idx="5">
                  <c:v>-3.6900000000361774E-3</c:v>
                </c:pt>
                <c:pt idx="6">
                  <c:v>-3.6900000000361774E-3</c:v>
                </c:pt>
                <c:pt idx="7">
                  <c:v>-3.7200000000004027E-3</c:v>
                </c:pt>
                <c:pt idx="8">
                  <c:v>-3.7624210893616584E-3</c:v>
                </c:pt>
                <c:pt idx="9">
                  <c:v>-3.8921557722914786E-3</c:v>
                </c:pt>
                <c:pt idx="10">
                  <c:v>-3.9494788992033986E-3</c:v>
                </c:pt>
                <c:pt idx="11">
                  <c:v>-3.9455067037908048E-3</c:v>
                </c:pt>
                <c:pt idx="12">
                  <c:v>-3.8734709695997932E-3</c:v>
                </c:pt>
                <c:pt idx="13">
                  <c:v>-3.7772040697614663E-3</c:v>
                </c:pt>
                <c:pt idx="14">
                  <c:v>-3.6971162567400869E-3</c:v>
                </c:pt>
                <c:pt idx="15">
                  <c:v>-3.6314770711731855E-3</c:v>
                </c:pt>
                <c:pt idx="16">
                  <c:v>-3.5846284262497489E-3</c:v>
                </c:pt>
                <c:pt idx="17">
                  <c:v>-3.5533816865740545E-3</c:v>
                </c:pt>
                <c:pt idx="18">
                  <c:v>-3.5394361281856986E-3</c:v>
                </c:pt>
                <c:pt idx="19">
                  <c:v>-3.5428678869031797E-3</c:v>
                </c:pt>
                <c:pt idx="20">
                  <c:v>-3.5625020669050171E-3</c:v>
                </c:pt>
                <c:pt idx="21">
                  <c:v>-3.6014521831173726E-3</c:v>
                </c:pt>
                <c:pt idx="22">
                  <c:v>-3.6548668288638583E-3</c:v>
                </c:pt>
                <c:pt idx="23">
                  <c:v>-3.7194947862495683E-3</c:v>
                </c:pt>
                <c:pt idx="24">
                  <c:v>-3.813941181634042E-3</c:v>
                </c:pt>
                <c:pt idx="25">
                  <c:v>-3.8820987734444895E-3</c:v>
                </c:pt>
                <c:pt idx="26">
                  <c:v>-3.9122741554376145E-3</c:v>
                </c:pt>
                <c:pt idx="27">
                  <c:v>-3.8935732673195528E-3</c:v>
                </c:pt>
                <c:pt idx="28">
                  <c:v>-3.8328496199691166E-3</c:v>
                </c:pt>
                <c:pt idx="29">
                  <c:v>-3.7174430552644596E-3</c:v>
                </c:pt>
                <c:pt idx="30">
                  <c:v>-3.5633434536253132E-3</c:v>
                </c:pt>
                <c:pt idx="31">
                  <c:v>-3.364645534746925E-3</c:v>
                </c:pt>
                <c:pt idx="32">
                  <c:v>-3.1124571543017618E-3</c:v>
                </c:pt>
                <c:pt idx="33">
                  <c:v>-2.8232099473424299E-3</c:v>
                </c:pt>
                <c:pt idx="34">
                  <c:v>-2.4774841839248028E-3</c:v>
                </c:pt>
                <c:pt idx="35">
                  <c:v>-2.1243191773656707E-3</c:v>
                </c:pt>
                <c:pt idx="36">
                  <c:v>-1.6731687377991081E-3</c:v>
                </c:pt>
                <c:pt idx="37">
                  <c:v>-1.2526713997296258E-3</c:v>
                </c:pt>
                <c:pt idx="38">
                  <c:v>-8.1757357582646088E-4</c:v>
                </c:pt>
                <c:pt idx="39">
                  <c:v>-4.3714440427500436E-4</c:v>
                </c:pt>
                <c:pt idx="40">
                  <c:v>-8.3344820045461475E-5</c:v>
                </c:pt>
                <c:pt idx="41">
                  <c:v>2.7505185553167264E-4</c:v>
                </c:pt>
                <c:pt idx="42">
                  <c:v>5.5388108715526325E-4</c:v>
                </c:pt>
                <c:pt idx="43">
                  <c:v>8.3552791845243073E-4</c:v>
                </c:pt>
                <c:pt idx="44">
                  <c:v>1.0964243896793885E-3</c:v>
                </c:pt>
                <c:pt idx="45">
                  <c:v>1.3066879739831495E-3</c:v>
                </c:pt>
                <c:pt idx="46">
                  <c:v>1.5098227075505176E-3</c:v>
                </c:pt>
                <c:pt idx="47">
                  <c:v>1.6627172297933926E-3</c:v>
                </c:pt>
                <c:pt idx="48">
                  <c:v>1.8007860637062223E-3</c:v>
                </c:pt>
                <c:pt idx="49">
                  <c:v>1.9239855687033559E-3</c:v>
                </c:pt>
                <c:pt idx="50">
                  <c:v>2.0588343573994007E-3</c:v>
                </c:pt>
                <c:pt idx="51">
                  <c:v>2.1727343314111793E-3</c:v>
                </c:pt>
                <c:pt idx="52">
                  <c:v>2.2982813114232632E-3</c:v>
                </c:pt>
                <c:pt idx="53">
                  <c:v>2.4272609139415848E-3</c:v>
                </c:pt>
                <c:pt idx="54">
                  <c:v>2.5436102219696297E-3</c:v>
                </c:pt>
                <c:pt idx="55">
                  <c:v>2.6714199844767089E-3</c:v>
                </c:pt>
                <c:pt idx="56">
                  <c:v>2.7906347327371194E-3</c:v>
                </c:pt>
                <c:pt idx="57">
                  <c:v>2.9093216344828646E-3</c:v>
                </c:pt>
                <c:pt idx="58">
                  <c:v>3.0392438446731032E-3</c:v>
                </c:pt>
                <c:pt idx="59">
                  <c:v>3.1489591781314681E-3</c:v>
                </c:pt>
                <c:pt idx="60">
                  <c:v>3.2659826234665355E-3</c:v>
                </c:pt>
                <c:pt idx="61">
                  <c:v>3.3881043287207735E-3</c:v>
                </c:pt>
                <c:pt idx="62">
                  <c:v>3.5093199543118252E-3</c:v>
                </c:pt>
                <c:pt idx="63">
                  <c:v>3.6336277402154596E-3</c:v>
                </c:pt>
                <c:pt idx="64">
                  <c:v>3.7738950790794021E-3</c:v>
                </c:pt>
                <c:pt idx="65">
                  <c:v>3.900207370585663E-3</c:v>
                </c:pt>
                <c:pt idx="66">
                  <c:v>4.0338829671775845E-3</c:v>
                </c:pt>
                <c:pt idx="67">
                  <c:v>4.1798390830922912E-3</c:v>
                </c:pt>
                <c:pt idx="68">
                  <c:v>4.3151090704636576E-3</c:v>
                </c:pt>
                <c:pt idx="69">
                  <c:v>4.46774644224468E-3</c:v>
                </c:pt>
                <c:pt idx="70">
                  <c:v>4.6138920475417566E-3</c:v>
                </c:pt>
                <c:pt idx="71">
                  <c:v>4.7530984808837884E-3</c:v>
                </c:pt>
                <c:pt idx="72">
                  <c:v>4.9103284279442645E-3</c:v>
                </c:pt>
                <c:pt idx="73">
                  <c:v>5.0760538896996131E-3</c:v>
                </c:pt>
                <c:pt idx="74">
                  <c:v>5.2292387134853175E-3</c:v>
                </c:pt>
                <c:pt idx="75">
                  <c:v>5.3907146684126703E-3</c:v>
                </c:pt>
                <c:pt idx="76">
                  <c:v>5.5663249882966963E-3</c:v>
                </c:pt>
                <c:pt idx="77">
                  <c:v>5.7341091472649583E-3</c:v>
                </c:pt>
                <c:pt idx="78">
                  <c:v>5.9107996772048725E-3</c:v>
                </c:pt>
                <c:pt idx="79">
                  <c:v>6.0847045750743681E-3</c:v>
                </c:pt>
                <c:pt idx="80">
                  <c:v>6.2617556976353383E-3</c:v>
                </c:pt>
                <c:pt idx="81">
                  <c:v>6.4600488916621299E-3</c:v>
                </c:pt>
                <c:pt idx="82">
                  <c:v>6.6373574108091497E-3</c:v>
                </c:pt>
                <c:pt idx="83">
                  <c:v>6.8112515325491792E-3</c:v>
                </c:pt>
                <c:pt idx="84">
                  <c:v>7.0133892046979167E-3</c:v>
                </c:pt>
                <c:pt idx="85">
                  <c:v>7.2032284099877277E-3</c:v>
                </c:pt>
                <c:pt idx="86">
                  <c:v>7.390588076486803E-3</c:v>
                </c:pt>
                <c:pt idx="87">
                  <c:v>7.5815964608235255E-3</c:v>
                </c:pt>
                <c:pt idx="88">
                  <c:v>7.7634655513835272E-3</c:v>
                </c:pt>
                <c:pt idx="89">
                  <c:v>7.9488069871823455E-3</c:v>
                </c:pt>
                <c:pt idx="90">
                  <c:v>8.1371920160387464E-3</c:v>
                </c:pt>
                <c:pt idx="91">
                  <c:v>8.3053402508146759E-3</c:v>
                </c:pt>
                <c:pt idx="92">
                  <c:v>8.4767089753082208E-3</c:v>
                </c:pt>
                <c:pt idx="93">
                  <c:v>8.6566123375156623E-3</c:v>
                </c:pt>
                <c:pt idx="94">
                  <c:v>8.8225631565194782E-3</c:v>
                </c:pt>
                <c:pt idx="95">
                  <c:v>8.9750862010337506E-3</c:v>
                </c:pt>
                <c:pt idx="96">
                  <c:v>9.1519129094294171E-3</c:v>
                </c:pt>
                <c:pt idx="97">
                  <c:v>9.2994605049309016E-3</c:v>
                </c:pt>
                <c:pt idx="98">
                  <c:v>9.4601544325353046E-3</c:v>
                </c:pt>
                <c:pt idx="99">
                  <c:v>9.6230944034910119E-3</c:v>
                </c:pt>
                <c:pt idx="100">
                  <c:v>9.7681827509872587E-3</c:v>
                </c:pt>
                <c:pt idx="101">
                  <c:v>9.9257120902136488E-3</c:v>
                </c:pt>
                <c:pt idx="102">
                  <c:v>1.0070156651512211E-2</c:v>
                </c:pt>
                <c:pt idx="103">
                  <c:v>1.0212252611071018E-2</c:v>
                </c:pt>
                <c:pt idx="104">
                  <c:v>1.0356630674977529E-2</c:v>
                </c:pt>
                <c:pt idx="105">
                  <c:v>1.0493099547824255E-2</c:v>
                </c:pt>
                <c:pt idx="106">
                  <c:v>1.0631670081025505E-2</c:v>
                </c:pt>
                <c:pt idx="107">
                  <c:v>1.0763429315084396E-2</c:v>
                </c:pt>
                <c:pt idx="108">
                  <c:v>1.0891922753398195E-2</c:v>
                </c:pt>
                <c:pt idx="109">
                  <c:v>1.1018115218515643E-2</c:v>
                </c:pt>
                <c:pt idx="110">
                  <c:v>1.11539029801904E-2</c:v>
                </c:pt>
                <c:pt idx="111">
                  <c:v>1.1266626302626663E-2</c:v>
                </c:pt>
                <c:pt idx="112">
                  <c:v>1.1388763321525271E-2</c:v>
                </c:pt>
                <c:pt idx="113">
                  <c:v>1.1511908510458701E-2</c:v>
                </c:pt>
                <c:pt idx="114">
                  <c:v>1.1620928999415201E-2</c:v>
                </c:pt>
                <c:pt idx="115">
                  <c:v>1.1738766148355452E-2</c:v>
                </c:pt>
                <c:pt idx="116">
                  <c:v>1.1845794155982784E-2</c:v>
                </c:pt>
                <c:pt idx="117">
                  <c:v>1.1950578399664643E-2</c:v>
                </c:pt>
                <c:pt idx="118">
                  <c:v>1.2062813213587266E-2</c:v>
                </c:pt>
                <c:pt idx="119">
                  <c:v>1.215556014772E-2</c:v>
                </c:pt>
                <c:pt idx="120">
                  <c:v>1.2249208850832222E-2</c:v>
                </c:pt>
                <c:pt idx="121">
                  <c:v>1.2344045834386388E-2</c:v>
                </c:pt>
                <c:pt idx="122">
                  <c:v>1.2443634424632864E-2</c:v>
                </c:pt>
                <c:pt idx="123">
                  <c:v>1.2532483183862726E-2</c:v>
                </c:pt>
                <c:pt idx="124">
                  <c:v>1.2629418698866964E-2</c:v>
                </c:pt>
                <c:pt idx="125">
                  <c:v>1.2717966394421614E-2</c:v>
                </c:pt>
                <c:pt idx="126">
                  <c:v>1.2805527375838951E-2</c:v>
                </c:pt>
                <c:pt idx="127">
                  <c:v>1.2900196447940476E-2</c:v>
                </c:pt>
                <c:pt idx="128">
                  <c:v>1.2979170720262192E-2</c:v>
                </c:pt>
                <c:pt idx="129">
                  <c:v>1.3065154704035199E-2</c:v>
                </c:pt>
                <c:pt idx="130">
                  <c:v>1.3152313329711949E-2</c:v>
                </c:pt>
                <c:pt idx="131">
                  <c:v>1.3227248238549968E-2</c:v>
                </c:pt>
                <c:pt idx="132">
                  <c:v>1.3306154338204175E-2</c:v>
                </c:pt>
                <c:pt idx="133">
                  <c:v>1.3386688792269692E-2</c:v>
                </c:pt>
                <c:pt idx="134">
                  <c:v>1.3462199318581397E-2</c:v>
                </c:pt>
                <c:pt idx="135">
                  <c:v>1.353677764882143E-2</c:v>
                </c:pt>
                <c:pt idx="136">
                  <c:v>1.3617165796320137E-2</c:v>
                </c:pt>
                <c:pt idx="137">
                  <c:v>1.3686388002518505E-2</c:v>
                </c:pt>
                <c:pt idx="138">
                  <c:v>1.375659164797545E-2</c:v>
                </c:pt>
                <c:pt idx="139">
                  <c:v>1.3829901800723802E-2</c:v>
                </c:pt>
                <c:pt idx="140">
                  <c:v>1.3894940566057161E-2</c:v>
                </c:pt>
                <c:pt idx="141">
                  <c:v>1.3965698881906703E-2</c:v>
                </c:pt>
                <c:pt idx="142">
                  <c:v>1.4029511193818262E-2</c:v>
                </c:pt>
                <c:pt idx="143">
                  <c:v>1.4088290209473015E-2</c:v>
                </c:pt>
                <c:pt idx="144">
                  <c:v>1.4151914390605657E-2</c:v>
                </c:pt>
                <c:pt idx="145">
                  <c:v>1.4215781879973742E-2</c:v>
                </c:pt>
                <c:pt idx="146">
                  <c:v>1.4271808293651279E-2</c:v>
                </c:pt>
                <c:pt idx="147">
                  <c:v>1.4327900781176942E-2</c:v>
                </c:pt>
                <c:pt idx="148">
                  <c:v>1.43856437504722E-2</c:v>
                </c:pt>
                <c:pt idx="149">
                  <c:v>1.4437826358937275E-2</c:v>
                </c:pt>
                <c:pt idx="150">
                  <c:v>1.4490337523743449E-2</c:v>
                </c:pt>
                <c:pt idx="151">
                  <c:v>1.453808250608141E-2</c:v>
                </c:pt>
                <c:pt idx="152">
                  <c:v>1.4584521448053275E-2</c:v>
                </c:pt>
                <c:pt idx="153">
                  <c:v>1.463341227559971E-2</c:v>
                </c:pt>
                <c:pt idx="154">
                  <c:v>1.4674485287071642E-2</c:v>
                </c:pt>
                <c:pt idx="155">
                  <c:v>1.4713793434937731E-2</c:v>
                </c:pt>
                <c:pt idx="156">
                  <c:v>1.4756366030546555E-2</c:v>
                </c:pt>
                <c:pt idx="157">
                  <c:v>1.4790691126182939E-2</c:v>
                </c:pt>
                <c:pt idx="158">
                  <c:v>1.482677483612295E-2</c:v>
                </c:pt>
                <c:pt idx="159">
                  <c:v>1.4861896687230378E-2</c:v>
                </c:pt>
                <c:pt idx="160">
                  <c:v>1.4891864859334251E-2</c:v>
                </c:pt>
                <c:pt idx="161">
                  <c:v>1.4923502822733208E-2</c:v>
                </c:pt>
                <c:pt idx="162">
                  <c:v>1.4950004655591593E-2</c:v>
                </c:pt>
                <c:pt idx="163">
                  <c:v>1.4975230493570071E-2</c:v>
                </c:pt>
                <c:pt idx="164">
                  <c:v>1.4999937587674025E-2</c:v>
                </c:pt>
                <c:pt idx="165">
                  <c:v>1.5020689689018023E-2</c:v>
                </c:pt>
                <c:pt idx="166">
                  <c:v>1.5040788345597059E-2</c:v>
                </c:pt>
                <c:pt idx="167">
                  <c:v>1.5057208916020448E-2</c:v>
                </c:pt>
                <c:pt idx="168">
                  <c:v>1.5073950811579985E-2</c:v>
                </c:pt>
                <c:pt idx="169">
                  <c:v>1.5087261540978687E-2</c:v>
                </c:pt>
                <c:pt idx="170">
                  <c:v>1.5100533844548429E-2</c:v>
                </c:pt>
                <c:pt idx="171">
                  <c:v>1.510978932748527E-2</c:v>
                </c:pt>
                <c:pt idx="172">
                  <c:v>1.511778359025703E-2</c:v>
                </c:pt>
                <c:pt idx="173">
                  <c:v>1.5124395950916048E-2</c:v>
                </c:pt>
                <c:pt idx="174">
                  <c:v>1.5128205202630108E-2</c:v>
                </c:pt>
                <c:pt idx="175">
                  <c:v>1.5130497829687988E-2</c:v>
                </c:pt>
                <c:pt idx="176">
                  <c:v>1.5130749084215489E-2</c:v>
                </c:pt>
                <c:pt idx="177">
                  <c:v>1.5129111093282282E-2</c:v>
                </c:pt>
                <c:pt idx="178">
                  <c:v>1.5125884676275597E-2</c:v>
                </c:pt>
                <c:pt idx="179">
                  <c:v>1.5120744081069526E-2</c:v>
                </c:pt>
                <c:pt idx="180">
                  <c:v>1.5112768796406524E-2</c:v>
                </c:pt>
                <c:pt idx="181">
                  <c:v>1.5104162066108399E-2</c:v>
                </c:pt>
                <c:pt idx="182">
                  <c:v>1.5094123990617575E-2</c:v>
                </c:pt>
                <c:pt idx="183">
                  <c:v>1.5085137409058676E-2</c:v>
                </c:pt>
                <c:pt idx="184">
                  <c:v>1.5074685647762241E-2</c:v>
                </c:pt>
                <c:pt idx="185">
                  <c:v>1.5063343780396954E-2</c:v>
                </c:pt>
                <c:pt idx="186">
                  <c:v>1.5052577677347891E-2</c:v>
                </c:pt>
                <c:pt idx="187">
                  <c:v>1.5040789310798311E-2</c:v>
                </c:pt>
                <c:pt idx="188">
                  <c:v>1.5028010848216904E-2</c:v>
                </c:pt>
                <c:pt idx="189">
                  <c:v>1.501536489241438E-2</c:v>
                </c:pt>
                <c:pt idx="190">
                  <c:v>1.5000882862029882E-2</c:v>
                </c:pt>
                <c:pt idx="191">
                  <c:v>1.4988126772984027E-2</c:v>
                </c:pt>
                <c:pt idx="192">
                  <c:v>1.4974459807984305E-2</c:v>
                </c:pt>
                <c:pt idx="193">
                  <c:v>1.4959834957453689E-2</c:v>
                </c:pt>
                <c:pt idx="194">
                  <c:v>1.4943691220047671E-2</c:v>
                </c:pt>
                <c:pt idx="195">
                  <c:v>1.4928573786681661E-2</c:v>
                </c:pt>
                <c:pt idx="196">
                  <c:v>1.4911973362706514E-2</c:v>
                </c:pt>
                <c:pt idx="197">
                  <c:v>1.4894704182680222E-2</c:v>
                </c:pt>
                <c:pt idx="198">
                  <c:v>1.487755671435495E-2</c:v>
                </c:pt>
                <c:pt idx="199">
                  <c:v>1.4858123043023752E-2</c:v>
                </c:pt>
                <c:pt idx="200">
                  <c:v>1.4841165674013789E-2</c:v>
                </c:pt>
                <c:pt idx="201">
                  <c:v>1.4821887836127756E-2</c:v>
                </c:pt>
                <c:pt idx="202">
                  <c:v>1.4801433586713533E-2</c:v>
                </c:pt>
                <c:pt idx="203">
                  <c:v>1.4783075643848734E-2</c:v>
                </c:pt>
                <c:pt idx="204">
                  <c:v>1.4762247315125904E-2</c:v>
                </c:pt>
                <c:pt idx="205">
                  <c:v>1.4740192636642408E-2</c:v>
                </c:pt>
                <c:pt idx="206">
                  <c:v>1.4719720639025276E-2</c:v>
                </c:pt>
                <c:pt idx="207">
                  <c:v>1.4698055445607166E-2</c:v>
                </c:pt>
                <c:pt idx="208">
                  <c:v>1.4674400247486875E-2</c:v>
                </c:pt>
                <c:pt idx="209">
                  <c:v>1.4651713571208065E-2</c:v>
                </c:pt>
                <c:pt idx="210">
                  <c:v>1.462834424038467E-2</c:v>
                </c:pt>
                <c:pt idx="211">
                  <c:v>1.4604056405794048E-2</c:v>
                </c:pt>
                <c:pt idx="212">
                  <c:v>1.4579869241264141E-2</c:v>
                </c:pt>
                <c:pt idx="213">
                  <c:v>1.4552690949185912E-2</c:v>
                </c:pt>
                <c:pt idx="214">
                  <c:v>1.4528312826625282E-2</c:v>
                </c:pt>
                <c:pt idx="215">
                  <c:v>1.4504337690889994E-2</c:v>
                </c:pt>
                <c:pt idx="216">
                  <c:v>1.4476990921440103E-2</c:v>
                </c:pt>
                <c:pt idx="217">
                  <c:v>1.4449714387108391E-2</c:v>
                </c:pt>
                <c:pt idx="218">
                  <c:v>1.4422526243292074E-2</c:v>
                </c:pt>
                <c:pt idx="219">
                  <c:v>1.4394486604515075E-2</c:v>
                </c:pt>
                <c:pt idx="220">
                  <c:v>1.4365716222924098E-2</c:v>
                </c:pt>
                <c:pt idx="221">
                  <c:v>1.4336062771309875E-2</c:v>
                </c:pt>
                <c:pt idx="222">
                  <c:v>1.4304897729402716E-2</c:v>
                </c:pt>
                <c:pt idx="223">
                  <c:v>1.4276168248288604E-2</c:v>
                </c:pt>
                <c:pt idx="224">
                  <c:v>1.4245962662336131E-2</c:v>
                </c:pt>
                <c:pt idx="225">
                  <c:v>1.4213197193180052E-2</c:v>
                </c:pt>
                <c:pt idx="226">
                  <c:v>1.4181968283162132E-2</c:v>
                </c:pt>
                <c:pt idx="227">
                  <c:v>1.4152375932930016E-2</c:v>
                </c:pt>
                <c:pt idx="228">
                  <c:v>1.4116945157816189E-2</c:v>
                </c:pt>
                <c:pt idx="229">
                  <c:v>1.4086413112684026E-2</c:v>
                </c:pt>
                <c:pt idx="230">
                  <c:v>1.4052108117279655E-2</c:v>
                </c:pt>
                <c:pt idx="231">
                  <c:v>1.4016141583128694E-2</c:v>
                </c:pt>
                <c:pt idx="232">
                  <c:v>1.3983060768880768E-2</c:v>
                </c:pt>
                <c:pt idx="233">
                  <c:v>1.3946562426153346E-2</c:v>
                </c:pt>
                <c:pt idx="234">
                  <c:v>1.3910786840021259E-2</c:v>
                </c:pt>
                <c:pt idx="235">
                  <c:v>1.3875056560823705E-2</c:v>
                </c:pt>
                <c:pt idx="236">
                  <c:v>1.383814815645835E-2</c:v>
                </c:pt>
                <c:pt idx="237">
                  <c:v>1.3800880294334579E-2</c:v>
                </c:pt>
                <c:pt idx="238">
                  <c:v>1.3762399913035555E-2</c:v>
                </c:pt>
                <c:pt idx="239">
                  <c:v>1.3727190666414894E-2</c:v>
                </c:pt>
                <c:pt idx="240">
                  <c:v>1.3686423593897108E-2</c:v>
                </c:pt>
                <c:pt idx="241">
                  <c:v>1.3649259949575155E-2</c:v>
                </c:pt>
                <c:pt idx="242">
                  <c:v>1.3608875407085882E-2</c:v>
                </c:pt>
                <c:pt idx="243">
                  <c:v>1.3570123474025168E-2</c:v>
                </c:pt>
                <c:pt idx="244">
                  <c:v>1.3531987160255598E-2</c:v>
                </c:pt>
                <c:pt idx="245">
                  <c:v>1.3490153022884066E-2</c:v>
                </c:pt>
                <c:pt idx="246">
                  <c:v>1.3454753610859634E-2</c:v>
                </c:pt>
                <c:pt idx="247">
                  <c:v>1.341566401585874E-2</c:v>
                </c:pt>
                <c:pt idx="248">
                  <c:v>1.3375425900299187E-2</c:v>
                </c:pt>
                <c:pt idx="249">
                  <c:v>1.3339059874988074E-2</c:v>
                </c:pt>
                <c:pt idx="250">
                  <c:v>1.3299532754765454E-2</c:v>
                </c:pt>
                <c:pt idx="251">
                  <c:v>1.3261627844520531E-2</c:v>
                </c:pt>
                <c:pt idx="252">
                  <c:v>1.3225557845133191E-2</c:v>
                </c:pt>
                <c:pt idx="253">
                  <c:v>1.3188343420294565E-2</c:v>
                </c:pt>
                <c:pt idx="254">
                  <c:v>1.3148758672894639E-2</c:v>
                </c:pt>
                <c:pt idx="255">
                  <c:v>1.3112984706865172E-2</c:v>
                </c:pt>
                <c:pt idx="256">
                  <c:v>1.3074094359134168E-2</c:v>
                </c:pt>
                <c:pt idx="257">
                  <c:v>1.3036818448141833E-2</c:v>
                </c:pt>
                <c:pt idx="258">
                  <c:v>1.3000118837911032E-2</c:v>
                </c:pt>
                <c:pt idx="259">
                  <c:v>1.2959865926586867E-2</c:v>
                </c:pt>
                <c:pt idx="260">
                  <c:v>1.2925807160459463E-2</c:v>
                </c:pt>
                <c:pt idx="261">
                  <c:v>1.2888202281248883E-2</c:v>
                </c:pt>
                <c:pt idx="262">
                  <c:v>1.2849497677886559E-2</c:v>
                </c:pt>
                <c:pt idx="263">
                  <c:v>1.2815724840703273E-2</c:v>
                </c:pt>
                <c:pt idx="264">
                  <c:v>1.2779637664192612E-2</c:v>
                </c:pt>
                <c:pt idx="265">
                  <c:v>1.2742904782810541E-2</c:v>
                </c:pt>
                <c:pt idx="266">
                  <c:v>1.2706571356868068E-2</c:v>
                </c:pt>
                <c:pt idx="267">
                  <c:v>1.267079045692889E-2</c:v>
                </c:pt>
                <c:pt idx="268">
                  <c:v>1.2631548128758104E-2</c:v>
                </c:pt>
                <c:pt idx="269">
                  <c:v>1.2597162732707593E-2</c:v>
                </c:pt>
                <c:pt idx="270">
                  <c:v>1.2561691350476098E-2</c:v>
                </c:pt>
                <c:pt idx="271">
                  <c:v>1.2523966712582546E-2</c:v>
                </c:pt>
                <c:pt idx="272">
                  <c:v>1.2489877406804335E-2</c:v>
                </c:pt>
                <c:pt idx="273">
                  <c:v>1.2452802315002384E-2</c:v>
                </c:pt>
                <c:pt idx="274">
                  <c:v>1.2417314242990751E-2</c:v>
                </c:pt>
                <c:pt idx="275">
                  <c:v>1.2384684673879974E-2</c:v>
                </c:pt>
                <c:pt idx="276">
                  <c:v>1.2348662054192798E-2</c:v>
                </c:pt>
                <c:pt idx="277">
                  <c:v>1.2311590696049543E-2</c:v>
                </c:pt>
                <c:pt idx="278">
                  <c:v>1.2278093453309928E-2</c:v>
                </c:pt>
                <c:pt idx="279">
                  <c:v>1.2243540786422234E-2</c:v>
                </c:pt>
                <c:pt idx="280">
                  <c:v>1.2206796077531001E-2</c:v>
                </c:pt>
                <c:pt idx="281">
                  <c:v>1.2172451685096616E-2</c:v>
                </c:pt>
                <c:pt idx="282">
                  <c:v>1.2137478205032772E-2</c:v>
                </c:pt>
                <c:pt idx="283">
                  <c:v>1.2102930385339569E-2</c:v>
                </c:pt>
                <c:pt idx="284">
                  <c:v>1.2068892236959675E-2</c:v>
                </c:pt>
                <c:pt idx="285">
                  <c:v>1.2031567368788049E-2</c:v>
                </c:pt>
                <c:pt idx="286">
                  <c:v>1.1998867597177608E-2</c:v>
                </c:pt>
                <c:pt idx="287">
                  <c:v>1.1967384482997287E-2</c:v>
                </c:pt>
                <c:pt idx="288">
                  <c:v>1.19319073834674E-2</c:v>
                </c:pt>
                <c:pt idx="289">
                  <c:v>1.1897985778838684E-2</c:v>
                </c:pt>
                <c:pt idx="290">
                  <c:v>1.1864560114777283E-2</c:v>
                </c:pt>
                <c:pt idx="291">
                  <c:v>1.1830515527276438E-2</c:v>
                </c:pt>
                <c:pt idx="292">
                  <c:v>1.1796906846269922E-2</c:v>
                </c:pt>
                <c:pt idx="293">
                  <c:v>1.1762685202016475E-2</c:v>
                </c:pt>
                <c:pt idx="294">
                  <c:v>1.1727473186952768E-2</c:v>
                </c:pt>
                <c:pt idx="295">
                  <c:v>1.169566150870118E-2</c:v>
                </c:pt>
                <c:pt idx="296">
                  <c:v>1.1662851649406697E-2</c:v>
                </c:pt>
                <c:pt idx="297">
                  <c:v>1.1627966138926317E-2</c:v>
                </c:pt>
                <c:pt idx="298">
                  <c:v>1.15953654134323E-2</c:v>
                </c:pt>
                <c:pt idx="299">
                  <c:v>1.1563947058954261E-2</c:v>
                </c:pt>
                <c:pt idx="300">
                  <c:v>1.15293886146081E-2</c:v>
                </c:pt>
                <c:pt idx="301">
                  <c:v>1.1498293187175166E-2</c:v>
                </c:pt>
                <c:pt idx="302">
                  <c:v>1.1464753392563351E-2</c:v>
                </c:pt>
                <c:pt idx="303">
                  <c:v>1.143299218850144E-2</c:v>
                </c:pt>
                <c:pt idx="304">
                  <c:v>1.1401972697605525E-2</c:v>
                </c:pt>
                <c:pt idx="305">
                  <c:v>1.1368284791526241E-2</c:v>
                </c:pt>
                <c:pt idx="306">
                  <c:v>1.1340059045400403E-2</c:v>
                </c:pt>
                <c:pt idx="307">
                  <c:v>1.1309191619105399E-2</c:v>
                </c:pt>
                <c:pt idx="308">
                  <c:v>1.1277748885648484E-2</c:v>
                </c:pt>
                <c:pt idx="309">
                  <c:v>1.1249624617054471E-2</c:v>
                </c:pt>
                <c:pt idx="310">
                  <c:v>1.1219348979288075E-2</c:v>
                </c:pt>
                <c:pt idx="311">
                  <c:v>1.1192900477530824E-2</c:v>
                </c:pt>
                <c:pt idx="312">
                  <c:v>1.1164581024006703E-2</c:v>
                </c:pt>
                <c:pt idx="313">
                  <c:v>1.1136986206455698E-2</c:v>
                </c:pt>
                <c:pt idx="314">
                  <c:v>1.1107065537952859E-2</c:v>
                </c:pt>
                <c:pt idx="315">
                  <c:v>1.1082036205571973E-2</c:v>
                </c:pt>
                <c:pt idx="316">
                  <c:v>1.1054707674468046E-2</c:v>
                </c:pt>
                <c:pt idx="317">
                  <c:v>1.1026918067532419E-2</c:v>
                </c:pt>
                <c:pt idx="318">
                  <c:v>1.1002104404727917E-2</c:v>
                </c:pt>
                <c:pt idx="319">
                  <c:v>1.0975466780190415E-2</c:v>
                </c:pt>
                <c:pt idx="320">
                  <c:v>1.0950233405777778E-2</c:v>
                </c:pt>
                <c:pt idx="321">
                  <c:v>1.092571189528963E-2</c:v>
                </c:pt>
                <c:pt idx="322">
                  <c:v>1.0899173042094583E-2</c:v>
                </c:pt>
                <c:pt idx="323">
                  <c:v>1.0877011547375231E-2</c:v>
                </c:pt>
                <c:pt idx="324">
                  <c:v>1.0854404910412811E-2</c:v>
                </c:pt>
                <c:pt idx="325">
                  <c:v>1.0831388938004853E-2</c:v>
                </c:pt>
                <c:pt idx="326">
                  <c:v>1.0807252430412254E-2</c:v>
                </c:pt>
                <c:pt idx="327">
                  <c:v>1.0785749321358888E-2</c:v>
                </c:pt>
                <c:pt idx="328">
                  <c:v>1.0762751875886324E-2</c:v>
                </c:pt>
                <c:pt idx="329">
                  <c:v>1.0740956140740445E-2</c:v>
                </c:pt>
                <c:pt idx="330">
                  <c:v>1.0719859420943074E-2</c:v>
                </c:pt>
                <c:pt idx="331">
                  <c:v>1.069708778499249E-2</c:v>
                </c:pt>
                <c:pt idx="332">
                  <c:v>1.0678122643389017E-2</c:v>
                </c:pt>
                <c:pt idx="333">
                  <c:v>1.0657508608270125E-2</c:v>
                </c:pt>
                <c:pt idx="334">
                  <c:v>1.063665150150842E-2</c:v>
                </c:pt>
                <c:pt idx="335">
                  <c:v>1.0618751988103347E-2</c:v>
                </c:pt>
                <c:pt idx="336">
                  <c:v>1.0599938352187768E-2</c:v>
                </c:pt>
                <c:pt idx="337">
                  <c:v>1.0581204195317431E-2</c:v>
                </c:pt>
                <c:pt idx="338">
                  <c:v>1.0562843977415911E-2</c:v>
                </c:pt>
                <c:pt idx="339">
                  <c:v>1.0545171972276656E-2</c:v>
                </c:pt>
                <c:pt idx="340">
                  <c:v>1.0526167525207136E-2</c:v>
                </c:pt>
                <c:pt idx="341">
                  <c:v>1.0509841739923495E-2</c:v>
                </c:pt>
                <c:pt idx="342">
                  <c:v>1.0493323725700518E-2</c:v>
                </c:pt>
                <c:pt idx="343">
                  <c:v>1.0476119658969284E-2</c:v>
                </c:pt>
                <c:pt idx="344">
                  <c:v>1.0460897483848878E-2</c:v>
                </c:pt>
                <c:pt idx="345">
                  <c:v>1.0444812547363872E-2</c:v>
                </c:pt>
                <c:pt idx="346">
                  <c:v>1.0429534602503536E-2</c:v>
                </c:pt>
                <c:pt idx="347">
                  <c:v>1.0415415935241571E-2</c:v>
                </c:pt>
                <c:pt idx="348">
                  <c:v>1.0400546115008661E-2</c:v>
                </c:pt>
                <c:pt idx="349">
                  <c:v>1.0386412316295024E-2</c:v>
                </c:pt>
                <c:pt idx="350">
                  <c:v>1.0372954663382965E-2</c:v>
                </c:pt>
                <c:pt idx="351">
                  <c:v>1.0359742697270724E-2</c:v>
                </c:pt>
                <c:pt idx="352">
                  <c:v>1.034675282140685E-2</c:v>
                </c:pt>
                <c:pt idx="353">
                  <c:v>1.0334032687900337E-2</c:v>
                </c:pt>
                <c:pt idx="354">
                  <c:v>1.0321324465186179E-2</c:v>
                </c:pt>
                <c:pt idx="355">
                  <c:v>1.0310177527813033E-2</c:v>
                </c:pt>
                <c:pt idx="356">
                  <c:v>1.029901560130995E-2</c:v>
                </c:pt>
                <c:pt idx="357">
                  <c:v>1.0287525132333638E-2</c:v>
                </c:pt>
                <c:pt idx="358">
                  <c:v>1.0277141734418996E-2</c:v>
                </c:pt>
                <c:pt idx="359">
                  <c:v>1.0267789233098755E-2</c:v>
                </c:pt>
                <c:pt idx="360">
                  <c:v>1.0257187899114947E-2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DISPLAY_EUR_CURVE!$D$9</c:f>
              <c:strCache>
                <c:ptCount val="1"/>
                <c:pt idx="0">
                  <c:v>EUR3ML</c:v>
                </c:pt>
              </c:strCache>
            </c:strRef>
          </c:tx>
          <c:marker>
            <c:symbol val="none"/>
          </c:marker>
          <c:cat>
            <c:numRef>
              <c:f>DISPLAY_EUR_CURVE!$B$10:$B$501</c:f>
              <c:numCache>
                <c:formatCode>d\-mmm\-yy</c:formatCode>
                <c:ptCount val="492"/>
                <c:pt idx="0">
                  <c:v>43579</c:v>
                </c:pt>
                <c:pt idx="1">
                  <c:v>43609</c:v>
                </c:pt>
                <c:pt idx="2">
                  <c:v>43640</c:v>
                </c:pt>
                <c:pt idx="3">
                  <c:v>43670</c:v>
                </c:pt>
                <c:pt idx="4">
                  <c:v>43703</c:v>
                </c:pt>
                <c:pt idx="5">
                  <c:v>43732</c:v>
                </c:pt>
                <c:pt idx="6">
                  <c:v>43762</c:v>
                </c:pt>
                <c:pt idx="7">
                  <c:v>43794</c:v>
                </c:pt>
                <c:pt idx="8">
                  <c:v>43823</c:v>
                </c:pt>
                <c:pt idx="9">
                  <c:v>43854</c:v>
                </c:pt>
                <c:pt idx="10">
                  <c:v>43885</c:v>
                </c:pt>
                <c:pt idx="11">
                  <c:v>43914</c:v>
                </c:pt>
                <c:pt idx="12">
                  <c:v>43945</c:v>
                </c:pt>
                <c:pt idx="13">
                  <c:v>43976</c:v>
                </c:pt>
                <c:pt idx="14">
                  <c:v>44006</c:v>
                </c:pt>
                <c:pt idx="15">
                  <c:v>44036</c:v>
                </c:pt>
                <c:pt idx="16">
                  <c:v>44067</c:v>
                </c:pt>
                <c:pt idx="17">
                  <c:v>44098</c:v>
                </c:pt>
                <c:pt idx="18">
                  <c:v>44130</c:v>
                </c:pt>
                <c:pt idx="19">
                  <c:v>44159</c:v>
                </c:pt>
                <c:pt idx="20">
                  <c:v>44189</c:v>
                </c:pt>
                <c:pt idx="21">
                  <c:v>44221</c:v>
                </c:pt>
                <c:pt idx="22">
                  <c:v>44251</c:v>
                </c:pt>
                <c:pt idx="23">
                  <c:v>44279</c:v>
                </c:pt>
                <c:pt idx="24">
                  <c:v>44312</c:v>
                </c:pt>
                <c:pt idx="25">
                  <c:v>44340</c:v>
                </c:pt>
                <c:pt idx="26">
                  <c:v>44371</c:v>
                </c:pt>
                <c:pt idx="27">
                  <c:v>44403</c:v>
                </c:pt>
                <c:pt idx="28">
                  <c:v>44432</c:v>
                </c:pt>
                <c:pt idx="29">
                  <c:v>44463</c:v>
                </c:pt>
                <c:pt idx="30">
                  <c:v>44494</c:v>
                </c:pt>
                <c:pt idx="31">
                  <c:v>44524</c:v>
                </c:pt>
                <c:pt idx="32">
                  <c:v>44554</c:v>
                </c:pt>
                <c:pt idx="33">
                  <c:v>44585</c:v>
                </c:pt>
                <c:pt idx="34">
                  <c:v>44616</c:v>
                </c:pt>
                <c:pt idx="35">
                  <c:v>44644</c:v>
                </c:pt>
                <c:pt idx="36">
                  <c:v>44676</c:v>
                </c:pt>
                <c:pt idx="37">
                  <c:v>44705</c:v>
                </c:pt>
                <c:pt idx="38">
                  <c:v>44736</c:v>
                </c:pt>
                <c:pt idx="39">
                  <c:v>44767</c:v>
                </c:pt>
                <c:pt idx="40">
                  <c:v>44797</c:v>
                </c:pt>
                <c:pt idx="41">
                  <c:v>44830</c:v>
                </c:pt>
                <c:pt idx="42">
                  <c:v>44858</c:v>
                </c:pt>
                <c:pt idx="43">
                  <c:v>44889</c:v>
                </c:pt>
                <c:pt idx="44">
                  <c:v>44921</c:v>
                </c:pt>
                <c:pt idx="45">
                  <c:v>44950</c:v>
                </c:pt>
                <c:pt idx="46">
                  <c:v>44981</c:v>
                </c:pt>
                <c:pt idx="47">
                  <c:v>45009</c:v>
                </c:pt>
                <c:pt idx="48">
                  <c:v>45040</c:v>
                </c:pt>
                <c:pt idx="49">
                  <c:v>45070</c:v>
                </c:pt>
                <c:pt idx="50">
                  <c:v>45103</c:v>
                </c:pt>
                <c:pt idx="51">
                  <c:v>45131</c:v>
                </c:pt>
                <c:pt idx="52">
                  <c:v>45162</c:v>
                </c:pt>
                <c:pt idx="53">
                  <c:v>45194</c:v>
                </c:pt>
                <c:pt idx="54">
                  <c:v>45223</c:v>
                </c:pt>
                <c:pt idx="55">
                  <c:v>45254</c:v>
                </c:pt>
                <c:pt idx="56">
                  <c:v>45285</c:v>
                </c:pt>
                <c:pt idx="57">
                  <c:v>45315</c:v>
                </c:pt>
                <c:pt idx="58">
                  <c:v>45348</c:v>
                </c:pt>
                <c:pt idx="59">
                  <c:v>45376</c:v>
                </c:pt>
                <c:pt idx="60">
                  <c:v>45406</c:v>
                </c:pt>
                <c:pt idx="61">
                  <c:v>45436</c:v>
                </c:pt>
                <c:pt idx="62">
                  <c:v>45467</c:v>
                </c:pt>
                <c:pt idx="63">
                  <c:v>45497</c:v>
                </c:pt>
                <c:pt idx="64">
                  <c:v>45530</c:v>
                </c:pt>
                <c:pt idx="65">
                  <c:v>45559</c:v>
                </c:pt>
                <c:pt idx="66">
                  <c:v>45589</c:v>
                </c:pt>
                <c:pt idx="67">
                  <c:v>45621</c:v>
                </c:pt>
                <c:pt idx="68">
                  <c:v>45650</c:v>
                </c:pt>
                <c:pt idx="69">
                  <c:v>45681</c:v>
                </c:pt>
                <c:pt idx="70">
                  <c:v>45712</c:v>
                </c:pt>
                <c:pt idx="71">
                  <c:v>45740</c:v>
                </c:pt>
                <c:pt idx="72">
                  <c:v>45771</c:v>
                </c:pt>
                <c:pt idx="73">
                  <c:v>45803</c:v>
                </c:pt>
                <c:pt idx="74">
                  <c:v>45832</c:v>
                </c:pt>
                <c:pt idx="75">
                  <c:v>45862</c:v>
                </c:pt>
                <c:pt idx="76">
                  <c:v>45894</c:v>
                </c:pt>
                <c:pt idx="77">
                  <c:v>45924</c:v>
                </c:pt>
                <c:pt idx="78">
                  <c:v>45954</c:v>
                </c:pt>
                <c:pt idx="79">
                  <c:v>45985</c:v>
                </c:pt>
                <c:pt idx="80">
                  <c:v>46015</c:v>
                </c:pt>
                <c:pt idx="81">
                  <c:v>46048</c:v>
                </c:pt>
                <c:pt idx="82">
                  <c:v>46077</c:v>
                </c:pt>
                <c:pt idx="83">
                  <c:v>46105</c:v>
                </c:pt>
                <c:pt idx="84">
                  <c:v>46136</c:v>
                </c:pt>
                <c:pt idx="85">
                  <c:v>46167</c:v>
                </c:pt>
                <c:pt idx="86">
                  <c:v>46197</c:v>
                </c:pt>
                <c:pt idx="87">
                  <c:v>46227</c:v>
                </c:pt>
                <c:pt idx="88">
                  <c:v>46258</c:v>
                </c:pt>
                <c:pt idx="89">
                  <c:v>46289</c:v>
                </c:pt>
                <c:pt idx="90">
                  <c:v>46321</c:v>
                </c:pt>
                <c:pt idx="91">
                  <c:v>46350</c:v>
                </c:pt>
                <c:pt idx="92">
                  <c:v>46380</c:v>
                </c:pt>
                <c:pt idx="93">
                  <c:v>46412</c:v>
                </c:pt>
                <c:pt idx="94">
                  <c:v>46442</c:v>
                </c:pt>
                <c:pt idx="95">
                  <c:v>46470</c:v>
                </c:pt>
                <c:pt idx="96">
                  <c:v>46503</c:v>
                </c:pt>
                <c:pt idx="97">
                  <c:v>46531</c:v>
                </c:pt>
                <c:pt idx="98">
                  <c:v>46562</c:v>
                </c:pt>
                <c:pt idx="99">
                  <c:v>46594</c:v>
                </c:pt>
                <c:pt idx="100">
                  <c:v>46623</c:v>
                </c:pt>
                <c:pt idx="101">
                  <c:v>46654</c:v>
                </c:pt>
                <c:pt idx="102">
                  <c:v>46685</c:v>
                </c:pt>
                <c:pt idx="103">
                  <c:v>46715</c:v>
                </c:pt>
                <c:pt idx="104">
                  <c:v>46745</c:v>
                </c:pt>
                <c:pt idx="105">
                  <c:v>46776</c:v>
                </c:pt>
                <c:pt idx="106">
                  <c:v>46807</c:v>
                </c:pt>
                <c:pt idx="107">
                  <c:v>46836</c:v>
                </c:pt>
                <c:pt idx="108">
                  <c:v>46867</c:v>
                </c:pt>
                <c:pt idx="109">
                  <c:v>46897</c:v>
                </c:pt>
                <c:pt idx="110">
                  <c:v>46930</c:v>
                </c:pt>
                <c:pt idx="111">
                  <c:v>46958</c:v>
                </c:pt>
                <c:pt idx="112">
                  <c:v>46989</c:v>
                </c:pt>
                <c:pt idx="113">
                  <c:v>47021</c:v>
                </c:pt>
                <c:pt idx="114">
                  <c:v>47050</c:v>
                </c:pt>
                <c:pt idx="115">
                  <c:v>47081</c:v>
                </c:pt>
                <c:pt idx="116">
                  <c:v>47112</c:v>
                </c:pt>
                <c:pt idx="117">
                  <c:v>47142</c:v>
                </c:pt>
                <c:pt idx="118">
                  <c:v>47175</c:v>
                </c:pt>
                <c:pt idx="119">
                  <c:v>47203</c:v>
                </c:pt>
                <c:pt idx="120">
                  <c:v>47232</c:v>
                </c:pt>
                <c:pt idx="121">
                  <c:v>47262</c:v>
                </c:pt>
                <c:pt idx="122">
                  <c:v>47294</c:v>
                </c:pt>
                <c:pt idx="123">
                  <c:v>47323</c:v>
                </c:pt>
                <c:pt idx="124">
                  <c:v>47354</c:v>
                </c:pt>
                <c:pt idx="125">
                  <c:v>47385</c:v>
                </c:pt>
                <c:pt idx="126">
                  <c:v>47415</c:v>
                </c:pt>
                <c:pt idx="127">
                  <c:v>47448</c:v>
                </c:pt>
                <c:pt idx="128">
                  <c:v>47476</c:v>
                </c:pt>
                <c:pt idx="129">
                  <c:v>47507</c:v>
                </c:pt>
                <c:pt idx="130">
                  <c:v>47539</c:v>
                </c:pt>
                <c:pt idx="131">
                  <c:v>47567</c:v>
                </c:pt>
                <c:pt idx="132">
                  <c:v>47597</c:v>
                </c:pt>
                <c:pt idx="133">
                  <c:v>47627</c:v>
                </c:pt>
                <c:pt idx="134">
                  <c:v>47658</c:v>
                </c:pt>
                <c:pt idx="135">
                  <c:v>47688</c:v>
                </c:pt>
                <c:pt idx="136">
                  <c:v>47721</c:v>
                </c:pt>
                <c:pt idx="137">
                  <c:v>47750</c:v>
                </c:pt>
                <c:pt idx="138">
                  <c:v>47780</c:v>
                </c:pt>
                <c:pt idx="139">
                  <c:v>47812</c:v>
                </c:pt>
                <c:pt idx="140">
                  <c:v>47841</c:v>
                </c:pt>
                <c:pt idx="141">
                  <c:v>47872</c:v>
                </c:pt>
                <c:pt idx="142">
                  <c:v>47903</c:v>
                </c:pt>
                <c:pt idx="143">
                  <c:v>47931</c:v>
                </c:pt>
                <c:pt idx="144">
                  <c:v>47962</c:v>
                </c:pt>
                <c:pt idx="145">
                  <c:v>47994</c:v>
                </c:pt>
                <c:pt idx="146">
                  <c:v>48023</c:v>
                </c:pt>
                <c:pt idx="147">
                  <c:v>48053</c:v>
                </c:pt>
                <c:pt idx="148">
                  <c:v>48085</c:v>
                </c:pt>
                <c:pt idx="149">
                  <c:v>48115</c:v>
                </c:pt>
                <c:pt idx="150">
                  <c:v>48145</c:v>
                </c:pt>
                <c:pt idx="151">
                  <c:v>48176</c:v>
                </c:pt>
                <c:pt idx="152">
                  <c:v>48206</c:v>
                </c:pt>
                <c:pt idx="153">
                  <c:v>48239</c:v>
                </c:pt>
                <c:pt idx="154">
                  <c:v>48268</c:v>
                </c:pt>
                <c:pt idx="155">
                  <c:v>48297</c:v>
                </c:pt>
                <c:pt idx="156">
                  <c:v>48330</c:v>
                </c:pt>
                <c:pt idx="157">
                  <c:v>48358</c:v>
                </c:pt>
                <c:pt idx="158">
                  <c:v>48389</c:v>
                </c:pt>
                <c:pt idx="159">
                  <c:v>48421</c:v>
                </c:pt>
                <c:pt idx="160">
                  <c:v>48450</c:v>
                </c:pt>
                <c:pt idx="161">
                  <c:v>48481</c:v>
                </c:pt>
                <c:pt idx="162">
                  <c:v>48512</c:v>
                </c:pt>
                <c:pt idx="163">
                  <c:v>48542</c:v>
                </c:pt>
                <c:pt idx="164">
                  <c:v>48572</c:v>
                </c:pt>
                <c:pt idx="165">
                  <c:v>48603</c:v>
                </c:pt>
                <c:pt idx="166">
                  <c:v>48634</c:v>
                </c:pt>
                <c:pt idx="167">
                  <c:v>48662</c:v>
                </c:pt>
                <c:pt idx="168">
                  <c:v>48694</c:v>
                </c:pt>
                <c:pt idx="169">
                  <c:v>48723</c:v>
                </c:pt>
                <c:pt idx="170">
                  <c:v>48754</c:v>
                </c:pt>
                <c:pt idx="171">
                  <c:v>48785</c:v>
                </c:pt>
                <c:pt idx="172">
                  <c:v>48815</c:v>
                </c:pt>
                <c:pt idx="173">
                  <c:v>48848</c:v>
                </c:pt>
                <c:pt idx="174">
                  <c:v>48876</c:v>
                </c:pt>
                <c:pt idx="175">
                  <c:v>48907</c:v>
                </c:pt>
                <c:pt idx="176">
                  <c:v>48939</c:v>
                </c:pt>
                <c:pt idx="177">
                  <c:v>48968</c:v>
                </c:pt>
                <c:pt idx="178">
                  <c:v>48999</c:v>
                </c:pt>
                <c:pt idx="179">
                  <c:v>49027</c:v>
                </c:pt>
                <c:pt idx="180">
                  <c:v>49058</c:v>
                </c:pt>
                <c:pt idx="181">
                  <c:v>49088</c:v>
                </c:pt>
                <c:pt idx="182">
                  <c:v>49121</c:v>
                </c:pt>
                <c:pt idx="183">
                  <c:v>49149</c:v>
                </c:pt>
                <c:pt idx="184">
                  <c:v>49180</c:v>
                </c:pt>
                <c:pt idx="185">
                  <c:v>49212</c:v>
                </c:pt>
                <c:pt idx="186">
                  <c:v>49241</c:v>
                </c:pt>
                <c:pt idx="187">
                  <c:v>49272</c:v>
                </c:pt>
                <c:pt idx="188">
                  <c:v>49303</c:v>
                </c:pt>
                <c:pt idx="189">
                  <c:v>49333</c:v>
                </c:pt>
                <c:pt idx="190">
                  <c:v>49366</c:v>
                </c:pt>
                <c:pt idx="191">
                  <c:v>49394</c:v>
                </c:pt>
                <c:pt idx="192">
                  <c:v>49423</c:v>
                </c:pt>
                <c:pt idx="193">
                  <c:v>49453</c:v>
                </c:pt>
                <c:pt idx="194">
                  <c:v>49485</c:v>
                </c:pt>
                <c:pt idx="195">
                  <c:v>49514</c:v>
                </c:pt>
                <c:pt idx="196">
                  <c:v>49545</c:v>
                </c:pt>
                <c:pt idx="197">
                  <c:v>49576</c:v>
                </c:pt>
                <c:pt idx="198">
                  <c:v>49606</c:v>
                </c:pt>
                <c:pt idx="199">
                  <c:v>49639</c:v>
                </c:pt>
                <c:pt idx="200">
                  <c:v>49667</c:v>
                </c:pt>
                <c:pt idx="201">
                  <c:v>49698</c:v>
                </c:pt>
                <c:pt idx="202">
                  <c:v>49730</c:v>
                </c:pt>
                <c:pt idx="203">
                  <c:v>49758</c:v>
                </c:pt>
                <c:pt idx="204">
                  <c:v>49789</c:v>
                </c:pt>
                <c:pt idx="205">
                  <c:v>49821</c:v>
                </c:pt>
                <c:pt idx="206">
                  <c:v>49850</c:v>
                </c:pt>
                <c:pt idx="207">
                  <c:v>49880</c:v>
                </c:pt>
                <c:pt idx="208">
                  <c:v>49912</c:v>
                </c:pt>
                <c:pt idx="209">
                  <c:v>49942</c:v>
                </c:pt>
                <c:pt idx="210">
                  <c:v>49972</c:v>
                </c:pt>
                <c:pt idx="211">
                  <c:v>50003</c:v>
                </c:pt>
                <c:pt idx="212">
                  <c:v>50033</c:v>
                </c:pt>
                <c:pt idx="213">
                  <c:v>50066</c:v>
                </c:pt>
                <c:pt idx="214">
                  <c:v>50095</c:v>
                </c:pt>
                <c:pt idx="215">
                  <c:v>50123</c:v>
                </c:pt>
                <c:pt idx="216">
                  <c:v>50154</c:v>
                </c:pt>
                <c:pt idx="217">
                  <c:v>50185</c:v>
                </c:pt>
                <c:pt idx="218">
                  <c:v>50215</c:v>
                </c:pt>
                <c:pt idx="219">
                  <c:v>50245</c:v>
                </c:pt>
                <c:pt idx="220">
                  <c:v>50276</c:v>
                </c:pt>
                <c:pt idx="221">
                  <c:v>50307</c:v>
                </c:pt>
                <c:pt idx="222">
                  <c:v>50339</c:v>
                </c:pt>
                <c:pt idx="223">
                  <c:v>50368</c:v>
                </c:pt>
                <c:pt idx="224">
                  <c:v>50398</c:v>
                </c:pt>
                <c:pt idx="225">
                  <c:v>50430</c:v>
                </c:pt>
                <c:pt idx="226">
                  <c:v>50460</c:v>
                </c:pt>
                <c:pt idx="227">
                  <c:v>50488</c:v>
                </c:pt>
                <c:pt idx="228">
                  <c:v>50521</c:v>
                </c:pt>
                <c:pt idx="229">
                  <c:v>50549</c:v>
                </c:pt>
                <c:pt idx="230">
                  <c:v>50580</c:v>
                </c:pt>
                <c:pt idx="231">
                  <c:v>50612</c:v>
                </c:pt>
                <c:pt idx="232">
                  <c:v>50641</c:v>
                </c:pt>
                <c:pt idx="233">
                  <c:v>50672</c:v>
                </c:pt>
                <c:pt idx="234">
                  <c:v>50703</c:v>
                </c:pt>
                <c:pt idx="235">
                  <c:v>50733</c:v>
                </c:pt>
                <c:pt idx="236">
                  <c:v>50763</c:v>
                </c:pt>
                <c:pt idx="237">
                  <c:v>50794</c:v>
                </c:pt>
                <c:pt idx="238">
                  <c:v>50825</c:v>
                </c:pt>
                <c:pt idx="239">
                  <c:v>50853</c:v>
                </c:pt>
                <c:pt idx="240">
                  <c:v>50885</c:v>
                </c:pt>
                <c:pt idx="241">
                  <c:v>50914</c:v>
                </c:pt>
                <c:pt idx="242">
                  <c:v>50945</c:v>
                </c:pt>
                <c:pt idx="243">
                  <c:v>50976</c:v>
                </c:pt>
                <c:pt idx="244">
                  <c:v>51006</c:v>
                </c:pt>
                <c:pt idx="245">
                  <c:v>51039</c:v>
                </c:pt>
                <c:pt idx="246">
                  <c:v>51067</c:v>
                </c:pt>
                <c:pt idx="247">
                  <c:v>51098</c:v>
                </c:pt>
                <c:pt idx="248">
                  <c:v>51130</c:v>
                </c:pt>
                <c:pt idx="249">
                  <c:v>51159</c:v>
                </c:pt>
                <c:pt idx="250">
                  <c:v>51190</c:v>
                </c:pt>
                <c:pt idx="251">
                  <c:v>51221</c:v>
                </c:pt>
                <c:pt idx="252">
                  <c:v>51250</c:v>
                </c:pt>
                <c:pt idx="253">
                  <c:v>51280</c:v>
                </c:pt>
                <c:pt idx="254">
                  <c:v>51312</c:v>
                </c:pt>
                <c:pt idx="255">
                  <c:v>51341</c:v>
                </c:pt>
                <c:pt idx="256">
                  <c:v>51372</c:v>
                </c:pt>
                <c:pt idx="257">
                  <c:v>51403</c:v>
                </c:pt>
                <c:pt idx="258">
                  <c:v>51433</c:v>
                </c:pt>
                <c:pt idx="259">
                  <c:v>51466</c:v>
                </c:pt>
                <c:pt idx="260">
                  <c:v>51494</c:v>
                </c:pt>
                <c:pt idx="261">
                  <c:v>51525</c:v>
                </c:pt>
                <c:pt idx="262">
                  <c:v>51557</c:v>
                </c:pt>
                <c:pt idx="263">
                  <c:v>51585</c:v>
                </c:pt>
                <c:pt idx="264">
                  <c:v>51615</c:v>
                </c:pt>
                <c:pt idx="265">
                  <c:v>51645</c:v>
                </c:pt>
                <c:pt idx="266">
                  <c:v>51676</c:v>
                </c:pt>
                <c:pt idx="267">
                  <c:v>51706</c:v>
                </c:pt>
                <c:pt idx="268">
                  <c:v>51739</c:v>
                </c:pt>
                <c:pt idx="269">
                  <c:v>51768</c:v>
                </c:pt>
                <c:pt idx="270">
                  <c:v>51798</c:v>
                </c:pt>
                <c:pt idx="271">
                  <c:v>51830</c:v>
                </c:pt>
                <c:pt idx="272">
                  <c:v>51859</c:v>
                </c:pt>
                <c:pt idx="273">
                  <c:v>51890</c:v>
                </c:pt>
                <c:pt idx="274">
                  <c:v>51921</c:v>
                </c:pt>
                <c:pt idx="275">
                  <c:v>51949</c:v>
                </c:pt>
                <c:pt idx="276">
                  <c:v>51980</c:v>
                </c:pt>
                <c:pt idx="277">
                  <c:v>52012</c:v>
                </c:pt>
                <c:pt idx="278">
                  <c:v>52041</c:v>
                </c:pt>
                <c:pt idx="279">
                  <c:v>52071</c:v>
                </c:pt>
                <c:pt idx="280">
                  <c:v>52103</c:v>
                </c:pt>
                <c:pt idx="281">
                  <c:v>52133</c:v>
                </c:pt>
                <c:pt idx="282">
                  <c:v>52163</c:v>
                </c:pt>
                <c:pt idx="283">
                  <c:v>52194</c:v>
                </c:pt>
                <c:pt idx="284">
                  <c:v>52224</c:v>
                </c:pt>
                <c:pt idx="285">
                  <c:v>52257</c:v>
                </c:pt>
                <c:pt idx="286">
                  <c:v>52286</c:v>
                </c:pt>
                <c:pt idx="287">
                  <c:v>52314</c:v>
                </c:pt>
                <c:pt idx="288">
                  <c:v>52345</c:v>
                </c:pt>
                <c:pt idx="289">
                  <c:v>52376</c:v>
                </c:pt>
                <c:pt idx="290">
                  <c:v>52406</c:v>
                </c:pt>
                <c:pt idx="291">
                  <c:v>52436</c:v>
                </c:pt>
                <c:pt idx="292">
                  <c:v>52467</c:v>
                </c:pt>
                <c:pt idx="293">
                  <c:v>52498</c:v>
                </c:pt>
                <c:pt idx="294">
                  <c:v>52530</c:v>
                </c:pt>
                <c:pt idx="295">
                  <c:v>52559</c:v>
                </c:pt>
                <c:pt idx="296">
                  <c:v>52589</c:v>
                </c:pt>
                <c:pt idx="297">
                  <c:v>52621</c:v>
                </c:pt>
                <c:pt idx="298">
                  <c:v>52651</c:v>
                </c:pt>
                <c:pt idx="299">
                  <c:v>52680</c:v>
                </c:pt>
                <c:pt idx="300">
                  <c:v>52712</c:v>
                </c:pt>
                <c:pt idx="301">
                  <c:v>52741</c:v>
                </c:pt>
                <c:pt idx="302">
                  <c:v>52772</c:v>
                </c:pt>
                <c:pt idx="303">
                  <c:v>52803</c:v>
                </c:pt>
                <c:pt idx="304">
                  <c:v>52833</c:v>
                </c:pt>
                <c:pt idx="305">
                  <c:v>52866</c:v>
                </c:pt>
                <c:pt idx="306">
                  <c:v>52894</c:v>
                </c:pt>
                <c:pt idx="307">
                  <c:v>52925</c:v>
                </c:pt>
                <c:pt idx="308">
                  <c:v>52957</c:v>
                </c:pt>
                <c:pt idx="309">
                  <c:v>52986</c:v>
                </c:pt>
                <c:pt idx="310">
                  <c:v>53017</c:v>
                </c:pt>
                <c:pt idx="311">
                  <c:v>53045</c:v>
                </c:pt>
                <c:pt idx="312">
                  <c:v>53076</c:v>
                </c:pt>
                <c:pt idx="313">
                  <c:v>53106</c:v>
                </c:pt>
                <c:pt idx="314">
                  <c:v>53139</c:v>
                </c:pt>
                <c:pt idx="315">
                  <c:v>53167</c:v>
                </c:pt>
                <c:pt idx="316">
                  <c:v>53198</c:v>
                </c:pt>
                <c:pt idx="317">
                  <c:v>53230</c:v>
                </c:pt>
                <c:pt idx="318">
                  <c:v>53259</c:v>
                </c:pt>
                <c:pt idx="319">
                  <c:v>53290</c:v>
                </c:pt>
                <c:pt idx="320">
                  <c:v>53321</c:v>
                </c:pt>
                <c:pt idx="321">
                  <c:v>53351</c:v>
                </c:pt>
                <c:pt idx="322">
                  <c:v>53384</c:v>
                </c:pt>
                <c:pt idx="323">
                  <c:v>53412</c:v>
                </c:pt>
                <c:pt idx="324">
                  <c:v>53441</c:v>
                </c:pt>
                <c:pt idx="325">
                  <c:v>53471</c:v>
                </c:pt>
                <c:pt idx="326">
                  <c:v>53503</c:v>
                </c:pt>
                <c:pt idx="327">
                  <c:v>53532</c:v>
                </c:pt>
                <c:pt idx="328">
                  <c:v>53563</c:v>
                </c:pt>
                <c:pt idx="329">
                  <c:v>53594</c:v>
                </c:pt>
                <c:pt idx="330">
                  <c:v>53624</c:v>
                </c:pt>
                <c:pt idx="331">
                  <c:v>53657</c:v>
                </c:pt>
                <c:pt idx="332">
                  <c:v>53685</c:v>
                </c:pt>
                <c:pt idx="333">
                  <c:v>53716</c:v>
                </c:pt>
                <c:pt idx="334">
                  <c:v>53748</c:v>
                </c:pt>
                <c:pt idx="335">
                  <c:v>53776</c:v>
                </c:pt>
                <c:pt idx="336">
                  <c:v>53806</c:v>
                </c:pt>
                <c:pt idx="337">
                  <c:v>53836</c:v>
                </c:pt>
                <c:pt idx="338">
                  <c:v>53867</c:v>
                </c:pt>
                <c:pt idx="339">
                  <c:v>53897</c:v>
                </c:pt>
                <c:pt idx="340">
                  <c:v>53930</c:v>
                </c:pt>
                <c:pt idx="341">
                  <c:v>53959</c:v>
                </c:pt>
                <c:pt idx="342">
                  <c:v>53989</c:v>
                </c:pt>
                <c:pt idx="343">
                  <c:v>54021</c:v>
                </c:pt>
                <c:pt idx="344">
                  <c:v>54050</c:v>
                </c:pt>
                <c:pt idx="345">
                  <c:v>54081</c:v>
                </c:pt>
                <c:pt idx="346">
                  <c:v>54112</c:v>
                </c:pt>
                <c:pt idx="347">
                  <c:v>54141</c:v>
                </c:pt>
                <c:pt idx="348">
                  <c:v>54172</c:v>
                </c:pt>
                <c:pt idx="349">
                  <c:v>54203</c:v>
                </c:pt>
                <c:pt idx="350">
                  <c:v>54233</c:v>
                </c:pt>
                <c:pt idx="351">
                  <c:v>54263</c:v>
                </c:pt>
                <c:pt idx="352">
                  <c:v>54294</c:v>
                </c:pt>
                <c:pt idx="353">
                  <c:v>54325</c:v>
                </c:pt>
                <c:pt idx="354">
                  <c:v>54357</c:v>
                </c:pt>
                <c:pt idx="355">
                  <c:v>54386</c:v>
                </c:pt>
                <c:pt idx="356">
                  <c:v>54416</c:v>
                </c:pt>
                <c:pt idx="357">
                  <c:v>54448</c:v>
                </c:pt>
                <c:pt idx="358">
                  <c:v>54478</c:v>
                </c:pt>
                <c:pt idx="359">
                  <c:v>54506</c:v>
                </c:pt>
                <c:pt idx="360">
                  <c:v>54539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cat>
          <c:val>
            <c:numRef>
              <c:f>DISPLAY_EUR_CURVE!$D$10:$D$501</c:f>
              <c:numCache>
                <c:formatCode>0.00000%</c:formatCode>
                <c:ptCount val="492"/>
                <c:pt idx="0">
                  <c:v>-3.4895967005401513E-3</c:v>
                </c:pt>
                <c:pt idx="1">
                  <c:v>-3.2811461924342777E-3</c:v>
                </c:pt>
                <c:pt idx="2">
                  <c:v>-3.1005359388952452E-3</c:v>
                </c:pt>
                <c:pt idx="3">
                  <c:v>-3.1008170598115932E-3</c:v>
                </c:pt>
                <c:pt idx="4">
                  <c:v>-3.1015414401933182E-3</c:v>
                </c:pt>
                <c:pt idx="5">
                  <c:v>-3.0988893522590506E-3</c:v>
                </c:pt>
                <c:pt idx="6">
                  <c:v>-3.0830112195703039E-3</c:v>
                </c:pt>
                <c:pt idx="7">
                  <c:v>-3.0664521566751159E-3</c:v>
                </c:pt>
                <c:pt idx="8">
                  <c:v>-3.0515199505235283E-3</c:v>
                </c:pt>
                <c:pt idx="9">
                  <c:v>-3.0356626633632959E-3</c:v>
                </c:pt>
                <c:pt idx="10">
                  <c:v>-3.0198052918740349E-3</c:v>
                </c:pt>
                <c:pt idx="11">
                  <c:v>-3.0083274133130351E-3</c:v>
                </c:pt>
                <c:pt idx="12">
                  <c:v>-3.0098116660918408E-3</c:v>
                </c:pt>
                <c:pt idx="13">
                  <c:v>-3.0112959181318759E-3</c:v>
                </c:pt>
                <c:pt idx="14">
                  <c:v>-3.0128037763700885E-3</c:v>
                </c:pt>
                <c:pt idx="15">
                  <c:v>-3.0145465151190753E-3</c:v>
                </c:pt>
                <c:pt idx="16">
                  <c:v>-3.0163232268671462E-3</c:v>
                </c:pt>
                <c:pt idx="17">
                  <c:v>-3.0181813476121743E-3</c:v>
                </c:pt>
                <c:pt idx="18">
                  <c:v>-3.0203486775804353E-3</c:v>
                </c:pt>
                <c:pt idx="19">
                  <c:v>-3.0222810835673288E-3</c:v>
                </c:pt>
                <c:pt idx="20">
                  <c:v>-3.0243524845166869E-3</c:v>
                </c:pt>
                <c:pt idx="21">
                  <c:v>-3.0267742356642363E-3</c:v>
                </c:pt>
                <c:pt idx="22">
                  <c:v>-3.0290828832513668E-3</c:v>
                </c:pt>
                <c:pt idx="23">
                  <c:v>-3.0120677622157157E-3</c:v>
                </c:pt>
                <c:pt idx="24">
                  <c:v>-2.9242307298969444E-3</c:v>
                </c:pt>
                <c:pt idx="25">
                  <c:v>-2.849700055503071E-3</c:v>
                </c:pt>
                <c:pt idx="26">
                  <c:v>-2.766959386350222E-3</c:v>
                </c:pt>
                <c:pt idx="27">
                  <c:v>-2.6808832113186958E-3</c:v>
                </c:pt>
                <c:pt idx="28">
                  <c:v>-2.6047896921810353E-3</c:v>
                </c:pt>
                <c:pt idx="29">
                  <c:v>-2.4778561530828594E-3</c:v>
                </c:pt>
                <c:pt idx="30">
                  <c:v>-2.239475035851533E-3</c:v>
                </c:pt>
                <c:pt idx="31">
                  <c:v>-2.0140829739710934E-3</c:v>
                </c:pt>
                <c:pt idx="32">
                  <c:v>-1.824124602944866E-3</c:v>
                </c:pt>
                <c:pt idx="33">
                  <c:v>-1.7128282553193074E-3</c:v>
                </c:pt>
                <c:pt idx="34">
                  <c:v>-1.5937496789507316E-3</c:v>
                </c:pt>
                <c:pt idx="35">
                  <c:v>-1.3973213746075787E-3</c:v>
                </c:pt>
                <c:pt idx="36">
                  <c:v>-9.2029275542626599E-4</c:v>
                </c:pt>
                <c:pt idx="37">
                  <c:v>-2.4049190382230618E-4</c:v>
                </c:pt>
                <c:pt idx="38">
                  <c:v>5.3041423233989222E-4</c:v>
                </c:pt>
                <c:pt idx="39">
                  <c:v>1.3033706622651462E-3</c:v>
                </c:pt>
                <c:pt idx="40">
                  <c:v>1.905262259925748E-3</c:v>
                </c:pt>
                <c:pt idx="41">
                  <c:v>2.4118576279427511E-3</c:v>
                </c:pt>
                <c:pt idx="42">
                  <c:v>2.7496179259087865E-3</c:v>
                </c:pt>
                <c:pt idx="43">
                  <c:v>3.0565947036711384E-3</c:v>
                </c:pt>
                <c:pt idx="44">
                  <c:v>3.2986750495414188E-3</c:v>
                </c:pt>
                <c:pt idx="45">
                  <c:v>3.4432023355954115E-3</c:v>
                </c:pt>
                <c:pt idx="46">
                  <c:v>3.515623256673902E-3</c:v>
                </c:pt>
                <c:pt idx="47">
                  <c:v>3.5303202518685533E-3</c:v>
                </c:pt>
                <c:pt idx="48">
                  <c:v>3.5238679503451849E-3</c:v>
                </c:pt>
                <c:pt idx="49">
                  <c:v>3.5234256903309458E-3</c:v>
                </c:pt>
                <c:pt idx="50">
                  <c:v>3.5369948870749507E-3</c:v>
                </c:pt>
                <c:pt idx="51">
                  <c:v>3.5595054015399993E-3</c:v>
                </c:pt>
                <c:pt idx="52">
                  <c:v>3.595702617489194E-3</c:v>
                </c:pt>
                <c:pt idx="53">
                  <c:v>3.6454350372907901E-3</c:v>
                </c:pt>
                <c:pt idx="54">
                  <c:v>3.7014186859734223E-3</c:v>
                </c:pt>
                <c:pt idx="55">
                  <c:v>3.772788225171954E-3</c:v>
                </c:pt>
                <c:pt idx="56">
                  <c:v>3.8560475067543286E-3</c:v>
                </c:pt>
                <c:pt idx="57">
                  <c:v>3.9479039595062713E-3</c:v>
                </c:pt>
                <c:pt idx="58">
                  <c:v>4.0615246951813174E-3</c:v>
                </c:pt>
                <c:pt idx="59">
                  <c:v>4.1674022458895957E-3</c:v>
                </c:pt>
                <c:pt idx="60">
                  <c:v>4.2894158801939737E-3</c:v>
                </c:pt>
                <c:pt idx="61">
                  <c:v>4.4191695152212907E-3</c:v>
                </c:pt>
                <c:pt idx="62">
                  <c:v>4.5598810782263681E-3</c:v>
                </c:pt>
                <c:pt idx="63">
                  <c:v>4.7009427392544385E-3</c:v>
                </c:pt>
                <c:pt idx="64">
                  <c:v>4.8603502051590601E-3</c:v>
                </c:pt>
                <c:pt idx="65">
                  <c:v>5.0047474576932639E-3</c:v>
                </c:pt>
                <c:pt idx="66">
                  <c:v>5.1594982521212321E-3</c:v>
                </c:pt>
                <c:pt idx="67">
                  <c:v>5.3316517582690723E-3</c:v>
                </c:pt>
                <c:pt idx="68">
                  <c:v>5.4940259966565321E-3</c:v>
                </c:pt>
                <c:pt idx="69">
                  <c:v>5.6739875400595623E-3</c:v>
                </c:pt>
                <c:pt idx="70">
                  <c:v>5.8600887315513493E-3</c:v>
                </c:pt>
                <c:pt idx="71">
                  <c:v>6.032375184244129E-3</c:v>
                </c:pt>
                <c:pt idx="72">
                  <c:v>6.226300540806585E-3</c:v>
                </c:pt>
                <c:pt idx="73">
                  <c:v>6.428495337481843E-3</c:v>
                </c:pt>
                <c:pt idx="74">
                  <c:v>6.6128548007368315E-3</c:v>
                </c:pt>
                <c:pt idx="75">
                  <c:v>6.804299495185448E-3</c:v>
                </c:pt>
                <c:pt idx="76">
                  <c:v>7.0089361672342207E-3</c:v>
                </c:pt>
                <c:pt idx="77">
                  <c:v>7.2010875043885631E-3</c:v>
                </c:pt>
                <c:pt idx="78">
                  <c:v>7.3935303808142679E-3</c:v>
                </c:pt>
                <c:pt idx="79">
                  <c:v>7.5927420698141453E-3</c:v>
                </c:pt>
                <c:pt idx="80">
                  <c:v>7.7861698852794391E-3</c:v>
                </c:pt>
                <c:pt idx="81">
                  <c:v>8.0001192628375521E-3</c:v>
                </c:pt>
                <c:pt idx="82">
                  <c:v>8.1891164479539775E-3</c:v>
                </c:pt>
                <c:pt idx="83">
                  <c:v>8.3708134227272937E-3</c:v>
                </c:pt>
                <c:pt idx="84">
                  <c:v>8.5686882150700725E-3</c:v>
                </c:pt>
                <c:pt idx="85">
                  <c:v>8.7608259965124731E-3</c:v>
                </c:pt>
                <c:pt idx="86">
                  <c:v>8.9405382283327273E-3</c:v>
                </c:pt>
                <c:pt idx="87">
                  <c:v>9.1138620100489759E-3</c:v>
                </c:pt>
                <c:pt idx="88">
                  <c:v>9.2859820994147402E-3</c:v>
                </c:pt>
                <c:pt idx="89">
                  <c:v>9.4507623176753076E-3</c:v>
                </c:pt>
                <c:pt idx="90">
                  <c:v>9.6129087672068032E-3</c:v>
                </c:pt>
                <c:pt idx="91">
                  <c:v>9.7528204919255027E-3</c:v>
                </c:pt>
                <c:pt idx="92">
                  <c:v>9.8911513654075574E-3</c:v>
                </c:pt>
                <c:pt idx="93">
                  <c:v>1.0032447189266812E-2</c:v>
                </c:pt>
                <c:pt idx="94">
                  <c:v>1.0160067041047946E-2</c:v>
                </c:pt>
                <c:pt idx="95">
                  <c:v>1.0276396910091247E-2</c:v>
                </c:pt>
                <c:pt idx="96">
                  <c:v>1.0412088124010834E-2</c:v>
                </c:pt>
                <c:pt idx="97">
                  <c:v>1.0527475103118664E-2</c:v>
                </c:pt>
                <c:pt idx="98">
                  <c:v>1.0655904538447726E-2</c:v>
                </c:pt>
                <c:pt idx="99">
                  <c:v>1.0789284680171549E-2</c:v>
                </c:pt>
                <c:pt idx="100">
                  <c:v>1.0910900247748732E-2</c:v>
                </c:pt>
                <c:pt idx="101">
                  <c:v>1.1041614332860506E-2</c:v>
                </c:pt>
                <c:pt idx="102">
                  <c:v>1.1172967548461627E-2</c:v>
                </c:pt>
                <c:pt idx="103">
                  <c:v>1.1300654517579226E-2</c:v>
                </c:pt>
                <c:pt idx="104">
                  <c:v>1.1429110485218453E-2</c:v>
                </c:pt>
                <c:pt idx="105">
                  <c:v>1.15629474963881E-2</c:v>
                </c:pt>
                <c:pt idx="106">
                  <c:v>1.1697985569794157E-2</c:v>
                </c:pt>
                <c:pt idx="107">
                  <c:v>1.1824555234454E-2</c:v>
                </c:pt>
                <c:pt idx="108">
                  <c:v>1.1958905618788911E-2</c:v>
                </c:pt>
                <c:pt idx="109">
                  <c:v>1.208694557521604E-2</c:v>
                </c:pt>
                <c:pt idx="110">
                  <c:v>1.2225090624601304E-2</c:v>
                </c:pt>
                <c:pt idx="111">
                  <c:v>1.2339916411340931E-2</c:v>
                </c:pt>
                <c:pt idx="112">
                  <c:v>1.2464295472296032E-2</c:v>
                </c:pt>
                <c:pt idx="113">
                  <c:v>1.2589410526227399E-2</c:v>
                </c:pt>
                <c:pt idx="114">
                  <c:v>1.2699694780371959E-2</c:v>
                </c:pt>
                <c:pt idx="115">
                  <c:v>1.2814231580692647E-2</c:v>
                </c:pt>
                <c:pt idx="116">
                  <c:v>1.292590793180411E-2</c:v>
                </c:pt>
                <c:pt idx="117">
                  <c:v>1.3032029202257734E-2</c:v>
                </c:pt>
                <c:pt idx="118">
                  <c:v>1.3147223610276374E-2</c:v>
                </c:pt>
                <c:pt idx="119">
                  <c:v>1.3243501079999352E-2</c:v>
                </c:pt>
                <c:pt idx="120">
                  <c:v>1.3341405619428618E-2</c:v>
                </c:pt>
                <c:pt idx="121">
                  <c:v>1.3440459343581184E-2</c:v>
                </c:pt>
                <c:pt idx="122">
                  <c:v>1.3543952353986661E-2</c:v>
                </c:pt>
                <c:pt idx="123">
                  <c:v>1.3636279957105424E-2</c:v>
                </c:pt>
                <c:pt idx="124">
                  <c:v>1.3733732127140869E-2</c:v>
                </c:pt>
                <c:pt idx="125">
                  <c:v>1.3829237198178615E-2</c:v>
                </c:pt>
                <c:pt idx="126">
                  <c:v>1.3918908829873358E-2</c:v>
                </c:pt>
                <c:pt idx="127">
                  <c:v>1.4013705209641167E-2</c:v>
                </c:pt>
                <c:pt idx="128">
                  <c:v>1.4091537650165336E-2</c:v>
                </c:pt>
                <c:pt idx="129">
                  <c:v>1.4175878668211832E-2</c:v>
                </c:pt>
                <c:pt idx="130">
                  <c:v>1.4261829078858847E-2</c:v>
                </c:pt>
                <c:pt idx="131">
                  <c:v>1.4336266542128589E-2</c:v>
                </c:pt>
                <c:pt idx="132">
                  <c:v>1.4415155454542892E-2</c:v>
                </c:pt>
                <c:pt idx="133">
                  <c:v>1.4492980697356555E-2</c:v>
                </c:pt>
                <c:pt idx="134">
                  <c:v>1.4571590266922587E-2</c:v>
                </c:pt>
                <c:pt idx="135">
                  <c:v>1.464509352943005E-2</c:v>
                </c:pt>
                <c:pt idx="136">
                  <c:v>1.4722340976765377E-2</c:v>
                </c:pt>
                <c:pt idx="137">
                  <c:v>1.4787533696435698E-2</c:v>
                </c:pt>
                <c:pt idx="138">
                  <c:v>1.4853028996682295E-2</c:v>
                </c:pt>
                <c:pt idx="139">
                  <c:v>1.492136733380134E-2</c:v>
                </c:pt>
                <c:pt idx="140">
                  <c:v>1.4981941454700687E-2</c:v>
                </c:pt>
                <c:pt idx="141">
                  <c:v>1.5045044732001061E-2</c:v>
                </c:pt>
                <c:pt idx="142">
                  <c:v>1.5106257166473401E-2</c:v>
                </c:pt>
                <c:pt idx="143">
                  <c:v>1.5159931177795318E-2</c:v>
                </c:pt>
                <c:pt idx="144">
                  <c:v>1.5217645887252346E-2</c:v>
                </c:pt>
                <c:pt idx="145">
                  <c:v>1.5275393038317431E-2</c:v>
                </c:pt>
                <c:pt idx="146">
                  <c:v>1.5326023417194251E-2</c:v>
                </c:pt>
                <c:pt idx="147">
                  <c:v>1.5376545228027392E-2</c:v>
                </c:pt>
                <c:pt idx="148">
                  <c:v>1.5428211626347227E-2</c:v>
                </c:pt>
                <c:pt idx="149">
                  <c:v>1.5474548111845697E-2</c:v>
                </c:pt>
                <c:pt idx="150">
                  <c:v>1.5518877096585332E-2</c:v>
                </c:pt>
                <c:pt idx="151">
                  <c:v>1.5562612393983174E-2</c:v>
                </c:pt>
                <c:pt idx="152">
                  <c:v>1.5603024218591917E-2</c:v>
                </c:pt>
                <c:pt idx="153">
                  <c:v>1.564543339095829E-2</c:v>
                </c:pt>
                <c:pt idx="154">
                  <c:v>1.5681024017992894E-2</c:v>
                </c:pt>
                <c:pt idx="155">
                  <c:v>1.5715046128803197E-2</c:v>
                </c:pt>
                <c:pt idx="156">
                  <c:v>1.5751825475797964E-2</c:v>
                </c:pt>
                <c:pt idx="157">
                  <c:v>1.5781387727634408E-2</c:v>
                </c:pt>
                <c:pt idx="158">
                  <c:v>1.5812294317920722E-2</c:v>
                </c:pt>
                <c:pt idx="159">
                  <c:v>1.5842111005763441E-2</c:v>
                </c:pt>
                <c:pt idx="160">
                  <c:v>1.5867234619728863E-2</c:v>
                </c:pt>
                <c:pt idx="161">
                  <c:v>1.5892035626242678E-2</c:v>
                </c:pt>
                <c:pt idx="162">
                  <c:v>1.5914654461006417E-2</c:v>
                </c:pt>
                <c:pt idx="163">
                  <c:v>1.5934450743842626E-2</c:v>
                </c:pt>
                <c:pt idx="164">
                  <c:v>1.5952356748010176E-2</c:v>
                </c:pt>
                <c:pt idx="165">
                  <c:v>1.5969105707273955E-2</c:v>
                </c:pt>
                <c:pt idx="166">
                  <c:v>1.5984250903192065E-2</c:v>
                </c:pt>
                <c:pt idx="167">
                  <c:v>1.5996465305785579E-2</c:v>
                </c:pt>
                <c:pt idx="168">
                  <c:v>1.6008531609485226E-2</c:v>
                </c:pt>
                <c:pt idx="169">
                  <c:v>1.6017579614895066E-2</c:v>
                </c:pt>
                <c:pt idx="170">
                  <c:v>1.6025258635964559E-2</c:v>
                </c:pt>
                <c:pt idx="171">
                  <c:v>1.6030914590525108E-2</c:v>
                </c:pt>
                <c:pt idx="172">
                  <c:v>1.6034487544908087E-2</c:v>
                </c:pt>
                <c:pt idx="173">
                  <c:v>1.6036238388389145E-2</c:v>
                </c:pt>
                <c:pt idx="174">
                  <c:v>1.6035906412189525E-2</c:v>
                </c:pt>
                <c:pt idx="175">
                  <c:v>1.6033581419608405E-2</c:v>
                </c:pt>
                <c:pt idx="176">
                  <c:v>1.6029103879385588E-2</c:v>
                </c:pt>
                <c:pt idx="177">
                  <c:v>1.6023315817275948E-2</c:v>
                </c:pt>
                <c:pt idx="178">
                  <c:v>1.6015447376455466E-2</c:v>
                </c:pt>
                <c:pt idx="179">
                  <c:v>1.6007125016623405E-2</c:v>
                </c:pt>
                <c:pt idx="180">
                  <c:v>1.599693321578172E-2</c:v>
                </c:pt>
                <c:pt idx="181">
                  <c:v>1.5986408885121577E-2</c:v>
                </c:pt>
                <c:pt idx="182">
                  <c:v>1.5974183902532101E-2</c:v>
                </c:pt>
                <c:pt idx="183">
                  <c:v>1.5963293438715036E-2</c:v>
                </c:pt>
                <c:pt idx="184">
                  <c:v>1.595069340488112E-2</c:v>
                </c:pt>
                <c:pt idx="185">
                  <c:v>1.5937079584917649E-2</c:v>
                </c:pt>
                <c:pt idx="186">
                  <c:v>1.5924195907097944E-2</c:v>
                </c:pt>
                <c:pt idx="187">
                  <c:v>1.5909843041625217E-2</c:v>
                </c:pt>
                <c:pt idx="188">
                  <c:v>1.5894919631768263E-2</c:v>
                </c:pt>
                <c:pt idx="189">
                  <c:v>1.5879972489382405E-2</c:v>
                </c:pt>
                <c:pt idx="190">
                  <c:v>1.5862988549582045E-2</c:v>
                </c:pt>
                <c:pt idx="191">
                  <c:v>1.5848115180981091E-2</c:v>
                </c:pt>
                <c:pt idx="192">
                  <c:v>1.5832234276350277E-2</c:v>
                </c:pt>
                <c:pt idx="193">
                  <c:v>1.5815271460040463E-2</c:v>
                </c:pt>
                <c:pt idx="194">
                  <c:v>1.5796579312133387E-2</c:v>
                </c:pt>
                <c:pt idx="195">
                  <c:v>1.5779113675619304E-2</c:v>
                </c:pt>
                <c:pt idx="196">
                  <c:v>1.5759897721093596E-2</c:v>
                </c:pt>
                <c:pt idx="197">
                  <c:v>1.5740119814424473E-2</c:v>
                </c:pt>
                <c:pt idx="198">
                  <c:v>1.5720445385210974E-2</c:v>
                </c:pt>
                <c:pt idx="199">
                  <c:v>1.5698197223632929E-2</c:v>
                </c:pt>
                <c:pt idx="200">
                  <c:v>1.5678823830503799E-2</c:v>
                </c:pt>
                <c:pt idx="201">
                  <c:v>1.5656845858707837E-2</c:v>
                </c:pt>
                <c:pt idx="202">
                  <c:v>1.5633577286488884E-2</c:v>
                </c:pt>
                <c:pt idx="203">
                  <c:v>1.5612727504205467E-2</c:v>
                </c:pt>
                <c:pt idx="204">
                  <c:v>1.5589102543144771E-2</c:v>
                </c:pt>
                <c:pt idx="205">
                  <c:v>1.5564112112449551E-2</c:v>
                </c:pt>
                <c:pt idx="206">
                  <c:v>1.5540939194918746E-2</c:v>
                </c:pt>
                <c:pt idx="207">
                  <c:v>1.5516449332303619E-2</c:v>
                </c:pt>
                <c:pt idx="208">
                  <c:v>1.54897548195245E-2</c:v>
                </c:pt>
                <c:pt idx="209">
                  <c:v>1.546419950361278E-2</c:v>
                </c:pt>
                <c:pt idx="210">
                  <c:v>1.543813850701016E-2</c:v>
                </c:pt>
                <c:pt idx="211">
                  <c:v>1.5410681553699108E-2</c:v>
                </c:pt>
                <c:pt idx="212">
                  <c:v>1.538359035353809E-2</c:v>
                </c:pt>
                <c:pt idx="213">
                  <c:v>1.5353182726370127E-2</c:v>
                </c:pt>
                <c:pt idx="214">
                  <c:v>1.5325922686027872E-2</c:v>
                </c:pt>
                <c:pt idx="215">
                  <c:v>1.529911790291871E-2</c:v>
                </c:pt>
                <c:pt idx="216">
                  <c:v>1.5268879207787885E-2</c:v>
                </c:pt>
                <c:pt idx="217">
                  <c:v>1.5238046663935145E-2</c:v>
                </c:pt>
                <c:pt idx="218">
                  <c:v>1.5207658255897791E-2</c:v>
                </c:pt>
                <c:pt idx="219">
                  <c:v>1.5176748983356558E-2</c:v>
                </c:pt>
                <c:pt idx="220">
                  <c:v>1.5144281941780038E-2</c:v>
                </c:pt>
                <c:pt idx="221">
                  <c:v>1.5111289081051077E-2</c:v>
                </c:pt>
                <c:pt idx="222">
                  <c:v>1.5076687967637982E-2</c:v>
                </c:pt>
                <c:pt idx="223">
                  <c:v>1.5044854866059091E-2</c:v>
                </c:pt>
                <c:pt idx="224">
                  <c:v>1.5011427351047029E-2</c:v>
                </c:pt>
                <c:pt idx="225">
                  <c:v>1.4975184603055566E-2</c:v>
                </c:pt>
                <c:pt idx="226">
                  <c:v>1.4940632034595083E-2</c:v>
                </c:pt>
                <c:pt idx="227">
                  <c:v>1.4907873253535976E-2</c:v>
                </c:pt>
                <c:pt idx="228">
                  <c:v>1.4868628484930492E-2</c:v>
                </c:pt>
                <c:pt idx="229">
                  <c:v>1.4834789504640334E-2</c:v>
                </c:pt>
                <c:pt idx="230">
                  <c:v>1.4796762875393828E-2</c:v>
                </c:pt>
                <c:pt idx="231">
                  <c:v>1.4756914269557086E-2</c:v>
                </c:pt>
                <c:pt idx="232">
                  <c:v>1.472030548470162E-2</c:v>
                </c:pt>
                <c:pt idx="233">
                  <c:v>1.4680701258569852E-2</c:v>
                </c:pt>
                <c:pt idx="234">
                  <c:v>1.4640669010885855E-2</c:v>
                </c:pt>
                <c:pt idx="235">
                  <c:v>1.460154794673011E-2</c:v>
                </c:pt>
                <c:pt idx="236">
                  <c:v>1.4561950845652084E-2</c:v>
                </c:pt>
                <c:pt idx="237">
                  <c:v>1.452038775881633E-2</c:v>
                </c:pt>
                <c:pt idx="238">
                  <c:v>1.4478087447458352E-2</c:v>
                </c:pt>
                <c:pt idx="239">
                  <c:v>1.4439456423870241E-2</c:v>
                </c:pt>
                <c:pt idx="240">
                  <c:v>1.4395162873200126E-2</c:v>
                </c:pt>
                <c:pt idx="241">
                  <c:v>1.4355159331284485E-2</c:v>
                </c:pt>
                <c:pt idx="242">
                  <c:v>1.4312604269675766E-2</c:v>
                </c:pt>
                <c:pt idx="243">
                  <c:v>1.4270256214601078E-2</c:v>
                </c:pt>
                <c:pt idx="244">
                  <c:v>1.4229467389617421E-2</c:v>
                </c:pt>
                <c:pt idx="245">
                  <c:v>1.4184830941667876E-2</c:v>
                </c:pt>
                <c:pt idx="246">
                  <c:v>1.4147160557404063E-2</c:v>
                </c:pt>
                <c:pt idx="247">
                  <c:v>1.410567578945842E-2</c:v>
                </c:pt>
                <c:pt idx="248">
                  <c:v>1.4063052882034108E-2</c:v>
                </c:pt>
                <c:pt idx="249">
                  <c:v>1.4024550552886574E-2</c:v>
                </c:pt>
                <c:pt idx="250">
                  <c:v>1.3983481972497045E-2</c:v>
                </c:pt>
                <c:pt idx="251">
                  <c:v>1.3942517677483049E-2</c:v>
                </c:pt>
                <c:pt idx="252">
                  <c:v>1.390431574999057E-2</c:v>
                </c:pt>
                <c:pt idx="253">
                  <c:v>1.3864932980733258E-2</c:v>
                </c:pt>
                <c:pt idx="254">
                  <c:v>1.3823037370947585E-2</c:v>
                </c:pt>
                <c:pt idx="255">
                  <c:v>1.3785119499114895E-2</c:v>
                </c:pt>
                <c:pt idx="256">
                  <c:v>1.3744620173104719E-2</c:v>
                </c:pt>
                <c:pt idx="257">
                  <c:v>1.3704302193624389E-2</c:v>
                </c:pt>
                <c:pt idx="258">
                  <c:v>1.366564352047963E-2</c:v>
                </c:pt>
                <c:pt idx="259">
                  <c:v>1.3623673273733051E-2</c:v>
                </c:pt>
                <c:pt idx="260">
                  <c:v>1.3588396899729373E-2</c:v>
                </c:pt>
                <c:pt idx="261">
                  <c:v>1.3549494343725285E-2</c:v>
                </c:pt>
                <c:pt idx="262">
                  <c:v>1.3509309145053241E-2</c:v>
                </c:pt>
                <c:pt idx="263">
                  <c:v>1.3474079071782169E-2</c:v>
                </c:pt>
                <c:pt idx="264">
                  <c:v>1.3436261796809901E-2</c:v>
                </c:pt>
                <c:pt idx="265">
                  <c:v>1.339839862439815E-2</c:v>
                </c:pt>
                <c:pt idx="266">
                  <c:v>1.3359397696331245E-2</c:v>
                </c:pt>
                <c:pt idx="267">
                  <c:v>1.3321983982369659E-2</c:v>
                </c:pt>
                <c:pt idx="268">
                  <c:v>1.3281378553725298E-2</c:v>
                </c:pt>
                <c:pt idx="269">
                  <c:v>1.3246065585733867E-2</c:v>
                </c:pt>
                <c:pt idx="270">
                  <c:v>1.3209725322555226E-2</c:v>
                </c:pt>
                <c:pt idx="271">
                  <c:v>1.3171012690021536E-2</c:v>
                </c:pt>
                <c:pt idx="272">
                  <c:v>1.3135972678223728E-2</c:v>
                </c:pt>
                <c:pt idx="273">
                  <c:v>1.3098614526574497E-2</c:v>
                </c:pt>
                <c:pt idx="274">
                  <c:v>1.3061402269840644E-2</c:v>
                </c:pt>
                <c:pt idx="275">
                  <c:v>1.3027910626474397E-2</c:v>
                </c:pt>
                <c:pt idx="276">
                  <c:v>1.29909393387099E-2</c:v>
                </c:pt>
                <c:pt idx="277">
                  <c:v>1.2952878315168297E-2</c:v>
                </c:pt>
                <c:pt idx="278">
                  <c:v>1.2918504576503353E-2</c:v>
                </c:pt>
                <c:pt idx="279">
                  <c:v>1.2883109167439488E-2</c:v>
                </c:pt>
                <c:pt idx="280">
                  <c:v>1.284558096794617E-2</c:v>
                </c:pt>
                <c:pt idx="281">
                  <c:v>1.2810619711575167E-2</c:v>
                </c:pt>
                <c:pt idx="282">
                  <c:v>1.2775870118849722E-2</c:v>
                </c:pt>
                <c:pt idx="283">
                  <c:v>1.2740177155851103E-2</c:v>
                </c:pt>
                <c:pt idx="284">
                  <c:v>1.2705813136637326E-2</c:v>
                </c:pt>
                <c:pt idx="285">
                  <c:v>1.2668169743601201E-2</c:v>
                </c:pt>
                <c:pt idx="286">
                  <c:v>1.2635192849530977E-2</c:v>
                </c:pt>
                <c:pt idx="287">
                  <c:v>1.2603439233695678E-2</c:v>
                </c:pt>
                <c:pt idx="288">
                  <c:v>1.2568382914110728E-2</c:v>
                </c:pt>
                <c:pt idx="289">
                  <c:v>1.2533436796841227E-2</c:v>
                </c:pt>
                <c:pt idx="290">
                  <c:v>1.2499752749567583E-2</c:v>
                </c:pt>
                <c:pt idx="291">
                  <c:v>1.2466238363596262E-2</c:v>
                </c:pt>
                <c:pt idx="292">
                  <c:v>1.2431818922706213E-2</c:v>
                </c:pt>
                <c:pt idx="293">
                  <c:v>1.2397622620186803E-2</c:v>
                </c:pt>
                <c:pt idx="294">
                  <c:v>1.2362555962001523E-2</c:v>
                </c:pt>
                <c:pt idx="295">
                  <c:v>1.2330974723619388E-2</c:v>
                </c:pt>
                <c:pt idx="296">
                  <c:v>1.2298473440055418E-2</c:v>
                </c:pt>
                <c:pt idx="297">
                  <c:v>1.22639551227908E-2</c:v>
                </c:pt>
                <c:pt idx="298">
                  <c:v>1.2231713386354339E-2</c:v>
                </c:pt>
                <c:pt idx="299">
                  <c:v>1.2200705796645183E-2</c:v>
                </c:pt>
                <c:pt idx="300">
                  <c:v>1.2166753010223286E-2</c:v>
                </c:pt>
                <c:pt idx="301">
                  <c:v>1.2136286785807851E-2</c:v>
                </c:pt>
                <c:pt idx="302">
                  <c:v>1.2104074809370152E-2</c:v>
                </c:pt>
                <c:pt idx="303">
                  <c:v>1.2072256532449257E-2</c:v>
                </c:pt>
                <c:pt idx="304">
                  <c:v>1.2041865831625522E-2</c:v>
                </c:pt>
                <c:pt idx="305">
                  <c:v>1.2008926845067396E-2</c:v>
                </c:pt>
                <c:pt idx="306">
                  <c:v>1.1981410642365175E-2</c:v>
                </c:pt>
                <c:pt idx="307">
                  <c:v>1.1951420779317769E-2</c:v>
                </c:pt>
                <c:pt idx="308">
                  <c:v>1.1920901193339984E-2</c:v>
                </c:pt>
                <c:pt idx="309">
                  <c:v>1.1893528039585315E-2</c:v>
                </c:pt>
                <c:pt idx="310">
                  <c:v>1.186448925689897E-2</c:v>
                </c:pt>
                <c:pt idx="311">
                  <c:v>1.1838495602220429E-2</c:v>
                </c:pt>
                <c:pt idx="312">
                  <c:v>1.1810053966436515E-2</c:v>
                </c:pt>
                <c:pt idx="313">
                  <c:v>1.1782930911041243E-2</c:v>
                </c:pt>
                <c:pt idx="314">
                  <c:v>1.1753555348766247E-2</c:v>
                </c:pt>
                <c:pt idx="315">
                  <c:v>1.1728994079580245E-2</c:v>
                </c:pt>
                <c:pt idx="316">
                  <c:v>1.1702182014594919E-2</c:v>
                </c:pt>
                <c:pt idx="317">
                  <c:v>1.1674951394273738E-2</c:v>
                </c:pt>
                <c:pt idx="318">
                  <c:v>1.1650697393950199E-2</c:v>
                </c:pt>
                <c:pt idx="319">
                  <c:v>1.1625233067195446E-2</c:v>
                </c:pt>
                <c:pt idx="320">
                  <c:v>1.1600182454288744E-2</c:v>
                </c:pt>
                <c:pt idx="321">
                  <c:v>1.1576250213291069E-2</c:v>
                </c:pt>
                <c:pt idx="322">
                  <c:v>1.1550207611413156E-2</c:v>
                </c:pt>
                <c:pt idx="323">
                  <c:v>1.1528381897717103E-2</c:v>
                </c:pt>
                <c:pt idx="324">
                  <c:v>1.1506102075896909E-2</c:v>
                </c:pt>
                <c:pt idx="325">
                  <c:v>1.1483452204061348E-2</c:v>
                </c:pt>
                <c:pt idx="326">
                  <c:v>1.1459712267620945E-2</c:v>
                </c:pt>
                <c:pt idx="327">
                  <c:v>1.1438527096337137E-2</c:v>
                </c:pt>
                <c:pt idx="328">
                  <c:v>1.1416197669051635E-2</c:v>
                </c:pt>
                <c:pt idx="329">
                  <c:v>1.1394256130913097E-2</c:v>
                </c:pt>
                <c:pt idx="330">
                  <c:v>1.1373474432108776E-2</c:v>
                </c:pt>
                <c:pt idx="331">
                  <c:v>1.135119357663834E-2</c:v>
                </c:pt>
                <c:pt idx="332">
                  <c:v>1.1332711527771931E-2</c:v>
                </c:pt>
                <c:pt idx="333">
                  <c:v>1.1312612140731881E-2</c:v>
                </c:pt>
                <c:pt idx="334">
                  <c:v>1.129218009593673E-2</c:v>
                </c:pt>
                <c:pt idx="335">
                  <c:v>1.1274556699908834E-2</c:v>
                </c:pt>
                <c:pt idx="336">
                  <c:v>1.1255953278791735E-2</c:v>
                </c:pt>
                <c:pt idx="337">
                  <c:v>1.1237659258047615E-2</c:v>
                </c:pt>
                <c:pt idx="338">
                  <c:v>1.1219133038386453E-2</c:v>
                </c:pt>
                <c:pt idx="339">
                  <c:v>1.1201629421287057E-2</c:v>
                </c:pt>
                <c:pt idx="340">
                  <c:v>1.1182907582891723E-2</c:v>
                </c:pt>
                <c:pt idx="341">
                  <c:v>1.1166881747700912E-2</c:v>
                </c:pt>
                <c:pt idx="342">
                  <c:v>1.1150669171940953E-2</c:v>
                </c:pt>
                <c:pt idx="343">
                  <c:v>1.1133735429788785E-2</c:v>
                </c:pt>
                <c:pt idx="344">
                  <c:v>1.1118710645326099E-2</c:v>
                </c:pt>
                <c:pt idx="345">
                  <c:v>1.1103005709048066E-2</c:v>
                </c:pt>
                <c:pt idx="346">
                  <c:v>1.1087684423222961E-2</c:v>
                </c:pt>
                <c:pt idx="347">
                  <c:v>1.1073700182054181E-2</c:v>
                </c:pt>
                <c:pt idx="348">
                  <c:v>1.1059120675700562E-2</c:v>
                </c:pt>
                <c:pt idx="349">
                  <c:v>1.1044920472131034E-2</c:v>
                </c:pt>
                <c:pt idx="350">
                  <c:v>1.1031544405018518E-2</c:v>
                </c:pt>
                <c:pt idx="351">
                  <c:v>1.1018535502344138E-2</c:v>
                </c:pt>
                <c:pt idx="352">
                  <c:v>1.1005484758640761E-2</c:v>
                </c:pt>
                <c:pt idx="353">
                  <c:v>1.0992831028232852E-2</c:v>
                </c:pt>
                <c:pt idx="354">
                  <c:v>1.0980181689359547E-2</c:v>
                </c:pt>
                <c:pt idx="355">
                  <c:v>1.0969076907398919E-2</c:v>
                </c:pt>
                <c:pt idx="356">
                  <c:v>1.0957944620624048E-2</c:v>
                </c:pt>
                <c:pt idx="357">
                  <c:v>1.0946464639428643E-2</c:v>
                </c:pt>
                <c:pt idx="358">
                  <c:v>1.0936048134012185E-2</c:v>
                </c:pt>
                <c:pt idx="359">
                  <c:v>1.0926528739695388E-2</c:v>
                </c:pt>
                <c:pt idx="360">
                  <c:v>1.0915405717347787E-2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7287936"/>
        <c:axId val="667289472"/>
      </c:lineChart>
      <c:dateAx>
        <c:axId val="66728793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667289472"/>
        <c:crosses val="autoZero"/>
        <c:auto val="1"/>
        <c:lblOffset val="100"/>
        <c:baseTimeUnit val="months"/>
      </c:dateAx>
      <c:valAx>
        <c:axId val="667289472"/>
        <c:scaling>
          <c:orientation val="minMax"/>
          <c:min val="-5.000000000000001E-3"/>
        </c:scaling>
        <c:delete val="0"/>
        <c:axPos val="l"/>
        <c:majorGridlines/>
        <c:numFmt formatCode="0.00000%" sourceLinked="1"/>
        <c:majorTickMark val="out"/>
        <c:minorTickMark val="none"/>
        <c:tickLblPos val="nextTo"/>
        <c:crossAx val="6672879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9003024680531581"/>
          <c:y val="0.72104461942257214"/>
          <c:w val="0.43088115744031413"/>
          <c:h val="0.11935942098146822"/>
        </c:manualLayout>
      </c:layout>
      <c:overlay val="0"/>
      <c:txPr>
        <a:bodyPr/>
        <a:lstStyle/>
        <a:p>
          <a:pPr>
            <a:defRPr sz="2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8</xdr:row>
      <xdr:rowOff>0</xdr:rowOff>
    </xdr:from>
    <xdr:to>
      <xdr:col>19</xdr:col>
      <xdr:colOff>200024</xdr:colOff>
      <xdr:row>41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8</xdr:row>
      <xdr:rowOff>0</xdr:rowOff>
    </xdr:from>
    <xdr:to>
      <xdr:col>19</xdr:col>
      <xdr:colOff>200024</xdr:colOff>
      <xdr:row>41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B3:W41"/>
  <sheetViews>
    <sheetView showGridLines="0" tabSelected="1" workbookViewId="0"/>
  </sheetViews>
  <sheetFormatPr defaultRowHeight="15"/>
  <cols>
    <col min="1" max="1" width="4.7109375" customWidth="1"/>
    <col min="2" max="2" width="2.7109375" customWidth="1"/>
    <col min="3" max="3" width="16" customWidth="1"/>
    <col min="4" max="4" width="27.7109375" customWidth="1"/>
    <col min="5" max="5" width="2.7109375" customWidth="1"/>
    <col min="6" max="6" width="4.7109375" customWidth="1"/>
    <col min="7" max="7" width="2.7109375" customWidth="1"/>
    <col min="8" max="8" width="25.28515625" bestFit="1" customWidth="1"/>
    <col min="9" max="9" width="28.28515625" customWidth="1"/>
    <col min="10" max="10" width="2.7109375" customWidth="1"/>
    <col min="13" max="13" width="2.7109375" customWidth="1"/>
    <col min="14" max="14" width="12.140625" customWidth="1"/>
    <col min="15" max="16" width="12.7109375" customWidth="1"/>
    <col min="18" max="18" width="13.5703125" customWidth="1"/>
    <col min="19" max="19" width="2.7109375" customWidth="1"/>
    <col min="21" max="21" width="10.140625" customWidth="1"/>
    <col min="23" max="23" width="2.7109375" customWidth="1"/>
  </cols>
  <sheetData>
    <row r="3" spans="2:23">
      <c r="B3" s="6"/>
      <c r="C3" s="9"/>
      <c r="D3" s="9"/>
      <c r="E3" s="10"/>
      <c r="G3" s="6"/>
      <c r="H3" s="7"/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</row>
    <row r="4" spans="2:23">
      <c r="B4" s="11"/>
      <c r="C4" s="25" t="s">
        <v>80</v>
      </c>
      <c r="D4" s="13"/>
      <c r="E4" s="14"/>
      <c r="G4" s="11"/>
      <c r="H4" s="15" t="s">
        <v>11</v>
      </c>
      <c r="I4" s="16"/>
      <c r="J4" s="13" t="s">
        <v>10</v>
      </c>
      <c r="K4" s="13" t="s">
        <v>10</v>
      </c>
      <c r="L4" s="13" t="s">
        <v>10</v>
      </c>
      <c r="M4" s="13" t="s">
        <v>10</v>
      </c>
      <c r="N4" s="17" t="s">
        <v>12</v>
      </c>
      <c r="O4" s="5"/>
      <c r="P4" s="5"/>
      <c r="Q4" s="5"/>
      <c r="R4" s="5"/>
      <c r="S4" s="5"/>
      <c r="T4" s="17" t="s">
        <v>13</v>
      </c>
      <c r="U4" s="17"/>
      <c r="V4" s="13"/>
      <c r="W4" s="14"/>
    </row>
    <row r="5" spans="2:23">
      <c r="B5" s="11"/>
      <c r="C5" s="69" t="s">
        <v>67</v>
      </c>
      <c r="D5" s="69" t="s">
        <v>68</v>
      </c>
      <c r="E5" s="14"/>
      <c r="G5" s="11" t="s">
        <v>10</v>
      </c>
      <c r="H5" s="69" t="s">
        <v>67</v>
      </c>
      <c r="I5" s="69" t="s">
        <v>68</v>
      </c>
      <c r="J5" s="13" t="s">
        <v>10</v>
      </c>
      <c r="K5" s="13" t="s">
        <v>10</v>
      </c>
      <c r="L5" s="13" t="s">
        <v>10</v>
      </c>
      <c r="M5" s="13" t="s">
        <v>10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 s="13"/>
      <c r="T5" s="18" t="s">
        <v>15</v>
      </c>
      <c r="U5" s="18" t="s">
        <v>16</v>
      </c>
      <c r="V5" s="13"/>
      <c r="W5" s="14"/>
    </row>
    <row r="6" spans="2:23">
      <c r="B6" s="11"/>
      <c r="C6" s="12" t="s">
        <v>82</v>
      </c>
      <c r="D6" s="86" t="s">
        <v>83</v>
      </c>
      <c r="E6" s="14"/>
      <c r="G6" s="11"/>
      <c r="H6" s="36" t="s">
        <v>6</v>
      </c>
      <c r="I6" s="89" t="s">
        <v>1</v>
      </c>
      <c r="J6" s="13" t="s">
        <v>10</v>
      </c>
      <c r="K6" s="13" t="s">
        <v>10</v>
      </c>
      <c r="L6" s="13" t="s">
        <v>10</v>
      </c>
      <c r="M6" s="13" t="s">
        <v>10</v>
      </c>
      <c r="N6" s="49" t="s">
        <v>35</v>
      </c>
      <c r="O6" s="55">
        <v>1.9099999999999999E-2</v>
      </c>
      <c r="P6" s="29"/>
      <c r="Q6" s="30"/>
      <c r="R6" s="19" t="b">
        <v>1</v>
      </c>
      <c r="S6" s="53"/>
      <c r="T6" s="49" t="s">
        <v>4</v>
      </c>
      <c r="U6" s="50">
        <v>2.7499999999999998E-3</v>
      </c>
      <c r="V6" s="26"/>
      <c r="W6" s="27"/>
    </row>
    <row r="7" spans="2:23">
      <c r="B7" s="11"/>
      <c r="C7" s="79" t="s">
        <v>8</v>
      </c>
      <c r="D7" s="87" t="s">
        <v>3</v>
      </c>
      <c r="E7" s="14"/>
      <c r="G7" s="11"/>
      <c r="H7" s="39" t="s">
        <v>20</v>
      </c>
      <c r="I7" s="90" t="s">
        <v>12</v>
      </c>
      <c r="J7" s="13" t="s">
        <v>10</v>
      </c>
      <c r="K7" s="13" t="s">
        <v>10</v>
      </c>
      <c r="L7" s="13" t="s">
        <v>10</v>
      </c>
      <c r="M7" s="13" t="s">
        <v>10</v>
      </c>
      <c r="N7" s="33" t="s">
        <v>36</v>
      </c>
      <c r="O7" s="56">
        <v>1.9123000000000001E-2</v>
      </c>
      <c r="P7" s="30"/>
      <c r="Q7" s="30"/>
      <c r="R7" s="19" t="b">
        <v>1</v>
      </c>
      <c r="S7" s="53"/>
      <c r="T7" s="33" t="s">
        <v>37</v>
      </c>
      <c r="U7" s="51">
        <v>2.875E-3</v>
      </c>
      <c r="V7" s="26"/>
      <c r="W7" s="27"/>
    </row>
    <row r="8" spans="2:23">
      <c r="B8" s="11"/>
      <c r="C8" s="20" t="s">
        <v>81</v>
      </c>
      <c r="D8" s="88" t="str">
        <f ca="1">_xll.meLWOCurveEngineCalibrate(D6,D7,C12:D15,D20,D26,D21,D27)</f>
        <v>USD_CURVE@6:1</v>
      </c>
      <c r="E8" s="14"/>
      <c r="G8" s="11"/>
      <c r="H8" s="39" t="s">
        <v>21</v>
      </c>
      <c r="I8" s="90" t="s">
        <v>22</v>
      </c>
      <c r="J8" s="13" t="s">
        <v>10</v>
      </c>
      <c r="K8" s="13" t="s">
        <v>10</v>
      </c>
      <c r="L8" s="13" t="s">
        <v>10</v>
      </c>
      <c r="M8" s="13" t="s">
        <v>10</v>
      </c>
      <c r="N8" s="33" t="s">
        <v>38</v>
      </c>
      <c r="O8" s="56">
        <v>1.9126000000000001E-2</v>
      </c>
      <c r="P8" s="30"/>
      <c r="Q8" s="30"/>
      <c r="R8" s="19" t="b">
        <v>1</v>
      </c>
      <c r="S8" s="53"/>
      <c r="T8" s="33" t="s">
        <v>29</v>
      </c>
      <c r="U8" s="51">
        <v>2.96875E-3</v>
      </c>
      <c r="V8" s="26"/>
      <c r="W8" s="27"/>
    </row>
    <row r="9" spans="2:23">
      <c r="B9" s="11"/>
      <c r="C9" s="13" t="s">
        <v>160</v>
      </c>
      <c r="D9" s="147" t="b">
        <f ca="1">LEFT(D8,3)=LEFT(D6,3)</f>
        <v>1</v>
      </c>
      <c r="E9" s="14"/>
      <c r="G9" s="11"/>
      <c r="H9" s="59" t="s">
        <v>7</v>
      </c>
      <c r="I9" s="201">
        <v>43579</v>
      </c>
      <c r="J9" s="13" t="s">
        <v>10</v>
      </c>
      <c r="K9" s="13" t="s">
        <v>10</v>
      </c>
      <c r="L9" s="13" t="s">
        <v>10</v>
      </c>
      <c r="M9" s="13" t="s">
        <v>10</v>
      </c>
      <c r="N9" s="33" t="s">
        <v>39</v>
      </c>
      <c r="O9" s="56">
        <v>1.9119999999999998E-2</v>
      </c>
      <c r="P9" s="30"/>
      <c r="Q9" s="30"/>
      <c r="R9" s="19" t="b">
        <v>1</v>
      </c>
      <c r="S9" s="53"/>
      <c r="T9" s="33" t="s">
        <v>40</v>
      </c>
      <c r="U9" s="51">
        <v>3.0625000000000001E-3</v>
      </c>
      <c r="V9" s="26"/>
      <c r="W9" s="27"/>
    </row>
    <row r="10" spans="2:23">
      <c r="B10" s="11"/>
      <c r="C10" s="13"/>
      <c r="D10" s="13"/>
      <c r="E10" s="14"/>
      <c r="G10" s="11"/>
      <c r="H10" s="16"/>
      <c r="I10" s="16"/>
      <c r="J10" s="13" t="s">
        <v>10</v>
      </c>
      <c r="K10" s="13" t="s">
        <v>10</v>
      </c>
      <c r="L10" s="13" t="s">
        <v>10</v>
      </c>
      <c r="M10" s="13" t="s">
        <v>10</v>
      </c>
      <c r="N10" s="33" t="s">
        <v>41</v>
      </c>
      <c r="O10" s="56">
        <v>1.9099999999999999E-2</v>
      </c>
      <c r="P10" s="30"/>
      <c r="Q10" s="30"/>
      <c r="R10" s="19" t="b">
        <v>1</v>
      </c>
      <c r="S10" s="53"/>
      <c r="T10" s="33" t="s">
        <v>5</v>
      </c>
      <c r="U10" s="51">
        <v>3.1250000000000002E-3</v>
      </c>
      <c r="V10" s="26"/>
      <c r="W10" s="27"/>
    </row>
    <row r="11" spans="2:23">
      <c r="B11" s="11"/>
      <c r="C11" s="15" t="s">
        <v>75</v>
      </c>
      <c r="D11" s="13"/>
      <c r="E11" s="14"/>
      <c r="G11" s="11"/>
      <c r="H11" s="13"/>
      <c r="I11" s="91"/>
      <c r="J11" s="13" t="s">
        <v>10</v>
      </c>
      <c r="K11" s="13" t="s">
        <v>10</v>
      </c>
      <c r="L11" s="13" t="s">
        <v>10</v>
      </c>
      <c r="M11" s="13" t="s">
        <v>10</v>
      </c>
      <c r="N11" s="33" t="s">
        <v>42</v>
      </c>
      <c r="O11" s="56">
        <v>1.9900000000000001E-2</v>
      </c>
      <c r="P11" s="30"/>
      <c r="Q11" s="30"/>
      <c r="R11" s="19" t="b">
        <v>1</v>
      </c>
      <c r="S11" s="53"/>
      <c r="T11" s="33" t="s">
        <v>43</v>
      </c>
      <c r="U11" s="51">
        <v>3.18125E-3</v>
      </c>
      <c r="V11" s="26"/>
      <c r="W11" s="27"/>
    </row>
    <row r="12" spans="2:23">
      <c r="B12" s="11"/>
      <c r="C12" s="36" t="s">
        <v>76</v>
      </c>
      <c r="D12" s="76" t="b">
        <v>1</v>
      </c>
      <c r="E12" s="14"/>
      <c r="G12" s="11"/>
      <c r="H12" s="24" t="s">
        <v>23</v>
      </c>
      <c r="I12" s="16"/>
      <c r="J12" s="13" t="s">
        <v>10</v>
      </c>
      <c r="K12" s="13" t="s">
        <v>10</v>
      </c>
      <c r="L12" s="13" t="s">
        <v>10</v>
      </c>
      <c r="M12" s="13" t="s">
        <v>10</v>
      </c>
      <c r="N12" s="33" t="s">
        <v>44</v>
      </c>
      <c r="O12" s="56">
        <v>2.0475E-2</v>
      </c>
      <c r="P12" s="30"/>
      <c r="Q12" s="30"/>
      <c r="R12" s="19" t="b">
        <v>1</v>
      </c>
      <c r="S12" s="53"/>
      <c r="T12" s="33" t="s">
        <v>45</v>
      </c>
      <c r="U12" s="51">
        <v>3.375E-3</v>
      </c>
      <c r="V12" s="26"/>
      <c r="W12" s="27"/>
    </row>
    <row r="13" spans="2:23">
      <c r="B13" s="11"/>
      <c r="C13" s="39" t="s">
        <v>107</v>
      </c>
      <c r="D13" s="77">
        <v>1.0000000000000001E-9</v>
      </c>
      <c r="E13" s="14"/>
      <c r="G13" s="11"/>
      <c r="H13" s="12" t="s">
        <v>24</v>
      </c>
      <c r="I13" s="86" t="s">
        <v>73</v>
      </c>
      <c r="J13" s="13" t="s">
        <v>10</v>
      </c>
      <c r="K13" s="13" t="s">
        <v>10</v>
      </c>
      <c r="L13" s="13" t="s">
        <v>10</v>
      </c>
      <c r="M13" s="13" t="s">
        <v>10</v>
      </c>
      <c r="N13" s="33" t="s">
        <v>46</v>
      </c>
      <c r="O13" s="56">
        <v>2.0710000000000003E-2</v>
      </c>
      <c r="P13" s="30"/>
      <c r="Q13" s="30"/>
      <c r="R13" s="19" t="b">
        <v>1</v>
      </c>
      <c r="S13" s="53"/>
      <c r="T13" s="33" t="s">
        <v>47</v>
      </c>
      <c r="U13" s="51">
        <v>3.4630000000000004E-3</v>
      </c>
      <c r="V13" s="26"/>
      <c r="W13" s="27"/>
    </row>
    <row r="14" spans="2:23">
      <c r="B14" s="11"/>
      <c r="C14" s="39" t="s">
        <v>108</v>
      </c>
      <c r="D14" s="77">
        <v>1.0000000000000001E-15</v>
      </c>
      <c r="E14" s="14"/>
      <c r="G14" s="11"/>
      <c r="H14" s="20" t="s">
        <v>25</v>
      </c>
      <c r="I14" s="95" t="str">
        <f ca="1">_xll.meLWOCurveMarketDataCreate(I13,H4,H6:I9,N4,N6:R20,T4,T6:U20)</f>
        <v>USD_OIS_MARKETDATA@4:0</v>
      </c>
      <c r="J14" s="13" t="s">
        <v>10</v>
      </c>
      <c r="K14" s="13" t="s">
        <v>10</v>
      </c>
      <c r="L14" s="13" t="s">
        <v>10</v>
      </c>
      <c r="M14" s="13" t="s">
        <v>10</v>
      </c>
      <c r="N14" s="33" t="s">
        <v>48</v>
      </c>
      <c r="O14" s="56">
        <v>2.1219000000000002E-2</v>
      </c>
      <c r="P14" s="30"/>
      <c r="Q14" s="30"/>
      <c r="R14" s="19" t="b">
        <v>1</v>
      </c>
      <c r="S14" s="53"/>
      <c r="T14" s="33" t="s">
        <v>49</v>
      </c>
      <c r="U14" s="51">
        <v>3.5875E-3</v>
      </c>
      <c r="V14" s="26"/>
      <c r="W14" s="27"/>
    </row>
    <row r="15" spans="2:23">
      <c r="B15" s="11"/>
      <c r="C15" s="59" t="s">
        <v>109</v>
      </c>
      <c r="D15" s="78">
        <v>1E-10</v>
      </c>
      <c r="E15" s="14"/>
      <c r="G15" s="11"/>
      <c r="H15" s="13"/>
      <c r="I15" s="13"/>
      <c r="J15" s="13" t="s">
        <v>10</v>
      </c>
      <c r="K15" s="13" t="s">
        <v>10</v>
      </c>
      <c r="L15" s="13" t="s">
        <v>10</v>
      </c>
      <c r="M15" s="13" t="s">
        <v>10</v>
      </c>
      <c r="N15" s="33" t="s">
        <v>50</v>
      </c>
      <c r="O15" s="56">
        <v>2.1610999999999998E-2</v>
      </c>
      <c r="P15" s="30"/>
      <c r="Q15" s="30"/>
      <c r="R15" s="19" t="b">
        <v>1</v>
      </c>
      <c r="S15" s="53"/>
      <c r="T15" s="33" t="s">
        <v>51</v>
      </c>
      <c r="U15" s="51">
        <v>3.7624999999999998E-3</v>
      </c>
      <c r="V15" s="26"/>
      <c r="W15" s="27"/>
    </row>
    <row r="16" spans="2:23">
      <c r="B16" s="11"/>
      <c r="C16" s="13"/>
      <c r="D16" s="13"/>
      <c r="E16" s="14"/>
      <c r="G16" s="11"/>
      <c r="H16" s="13"/>
      <c r="I16" s="13"/>
      <c r="J16" s="13" t="s">
        <v>10</v>
      </c>
      <c r="K16" s="13" t="s">
        <v>10</v>
      </c>
      <c r="L16" s="13" t="s">
        <v>10</v>
      </c>
      <c r="M16" s="13" t="s">
        <v>10</v>
      </c>
      <c r="N16" s="33" t="s">
        <v>52</v>
      </c>
      <c r="O16" s="56">
        <v>2.2532999999999997E-2</v>
      </c>
      <c r="P16" s="30"/>
      <c r="Q16" s="30"/>
      <c r="R16" s="19" t="b">
        <v>1</v>
      </c>
      <c r="S16" s="53"/>
      <c r="T16" s="33" t="s">
        <v>53</v>
      </c>
      <c r="U16" s="51">
        <v>3.8500000000000001E-3</v>
      </c>
      <c r="V16" s="26"/>
      <c r="W16" s="27"/>
    </row>
    <row r="17" spans="2:23">
      <c r="B17" s="11"/>
      <c r="C17" s="13"/>
      <c r="D17" s="13"/>
      <c r="E17" s="14"/>
      <c r="G17" s="11"/>
      <c r="H17" s="13"/>
      <c r="I17" s="13"/>
      <c r="J17" s="13" t="s">
        <v>10</v>
      </c>
      <c r="K17" s="13" t="s">
        <v>10</v>
      </c>
      <c r="L17" s="13" t="s">
        <v>10</v>
      </c>
      <c r="M17" s="13" t="s">
        <v>10</v>
      </c>
      <c r="N17" s="33"/>
      <c r="O17" s="56"/>
      <c r="P17" s="30"/>
      <c r="Q17" s="30"/>
      <c r="R17" s="19"/>
      <c r="S17" s="53"/>
      <c r="T17" s="33" t="s">
        <v>54</v>
      </c>
      <c r="U17" s="51">
        <v>3.9500000000000004E-3</v>
      </c>
      <c r="V17" s="26"/>
      <c r="W17" s="27"/>
    </row>
    <row r="18" spans="2:23">
      <c r="B18" s="11"/>
      <c r="C18" s="13"/>
      <c r="D18" s="13"/>
      <c r="E18" s="14"/>
      <c r="G18" s="11"/>
      <c r="H18" s="13"/>
      <c r="I18" s="13"/>
      <c r="J18" s="13" t="s">
        <v>10</v>
      </c>
      <c r="K18" s="13" t="s">
        <v>10</v>
      </c>
      <c r="L18" s="13" t="s">
        <v>10</v>
      </c>
      <c r="M18" s="13" t="s">
        <v>10</v>
      </c>
      <c r="N18" s="33"/>
      <c r="O18" s="56"/>
      <c r="P18" s="30"/>
      <c r="Q18" s="30"/>
      <c r="R18" s="19"/>
      <c r="S18" s="53"/>
      <c r="T18" s="33" t="s">
        <v>26</v>
      </c>
      <c r="U18" s="51">
        <v>3.9500000000000004E-3</v>
      </c>
      <c r="V18" s="26"/>
      <c r="W18" s="27"/>
    </row>
    <row r="19" spans="2:23">
      <c r="B19" s="11"/>
      <c r="C19" s="15" t="s">
        <v>77</v>
      </c>
      <c r="D19" s="13"/>
      <c r="E19" s="14"/>
      <c r="G19" s="11"/>
      <c r="H19" s="13"/>
      <c r="I19" s="13"/>
      <c r="J19" s="13" t="s">
        <v>10</v>
      </c>
      <c r="K19" s="13" t="s">
        <v>10</v>
      </c>
      <c r="L19" s="13" t="s">
        <v>10</v>
      </c>
      <c r="M19" s="13" t="s">
        <v>10</v>
      </c>
      <c r="N19" s="33"/>
      <c r="O19" s="56"/>
      <c r="P19" s="30"/>
      <c r="Q19" s="30"/>
      <c r="R19" s="19"/>
      <c r="S19" s="53"/>
      <c r="T19" s="33" t="s">
        <v>27</v>
      </c>
      <c r="U19" s="51">
        <v>3.9500000000000004E-3</v>
      </c>
      <c r="V19" s="26"/>
      <c r="W19" s="27"/>
    </row>
    <row r="20" spans="2:23">
      <c r="B20" s="11"/>
      <c r="C20" s="36" t="s">
        <v>12</v>
      </c>
      <c r="D20" s="12" t="s">
        <v>28</v>
      </c>
      <c r="E20" s="14"/>
      <c r="G20" s="11"/>
      <c r="H20" s="13"/>
      <c r="I20" s="13"/>
      <c r="J20" s="13"/>
      <c r="K20" s="13"/>
      <c r="L20" s="13"/>
      <c r="M20" s="13"/>
      <c r="N20" s="45"/>
      <c r="O20" s="57"/>
      <c r="P20" s="58"/>
      <c r="Q20" s="58"/>
      <c r="R20" s="54"/>
      <c r="S20" s="53"/>
      <c r="T20" s="170" t="s">
        <v>111</v>
      </c>
      <c r="U20" s="171">
        <v>3.9500000000000004E-3</v>
      </c>
      <c r="V20" s="172" t="s">
        <v>112</v>
      </c>
      <c r="W20" s="27"/>
    </row>
    <row r="21" spans="2:23">
      <c r="B21" s="11"/>
      <c r="C21" s="59" t="s">
        <v>78</v>
      </c>
      <c r="D21" s="20" t="s">
        <v>34</v>
      </c>
      <c r="E21" s="14"/>
      <c r="G21" s="21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3"/>
    </row>
    <row r="22" spans="2:23">
      <c r="B22" s="11"/>
      <c r="C22" s="13"/>
      <c r="D22" s="13"/>
      <c r="E22" s="14"/>
    </row>
    <row r="23" spans="2:23">
      <c r="B23" s="11"/>
      <c r="C23" s="13"/>
      <c r="D23" s="13"/>
      <c r="E23" s="14"/>
    </row>
    <row r="24" spans="2:23">
      <c r="B24" s="11"/>
      <c r="C24" s="13"/>
      <c r="D24" s="13"/>
      <c r="E24" s="14"/>
      <c r="G24" s="6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</row>
    <row r="25" spans="2:23">
      <c r="B25" s="11"/>
      <c r="C25" s="15" t="s">
        <v>79</v>
      </c>
      <c r="D25" s="13"/>
      <c r="E25" s="14"/>
      <c r="G25" s="11"/>
      <c r="H25" s="15" t="s">
        <v>11</v>
      </c>
      <c r="I25" s="13"/>
      <c r="J25" s="13"/>
      <c r="K25" s="15" t="s">
        <v>31</v>
      </c>
      <c r="L25" s="13"/>
      <c r="M25" s="13"/>
      <c r="N25" s="15" t="s">
        <v>32</v>
      </c>
      <c r="O25" s="35"/>
      <c r="P25" s="13"/>
      <c r="Q25" s="13"/>
      <c r="R25" s="13"/>
      <c r="S25" s="13"/>
      <c r="T25" s="15" t="s">
        <v>14</v>
      </c>
      <c r="U25" s="13"/>
      <c r="V25" s="13"/>
      <c r="W25" s="14"/>
    </row>
    <row r="26" spans="2:23">
      <c r="B26" s="11"/>
      <c r="C26" s="36" t="s">
        <v>12</v>
      </c>
      <c r="D26" s="81" t="str">
        <f ca="1">I14</f>
        <v>USD_OIS_MARKETDATA@4:0</v>
      </c>
      <c r="E26" s="14"/>
      <c r="G26" s="11"/>
      <c r="H26" s="69" t="s">
        <v>67</v>
      </c>
      <c r="I26" s="69" t="s">
        <v>68</v>
      </c>
      <c r="J26" s="13" t="s">
        <v>10</v>
      </c>
      <c r="K26" s="16" t="s">
        <v>15</v>
      </c>
      <c r="L26" s="16" t="s">
        <v>16</v>
      </c>
      <c r="M26" s="34"/>
      <c r="N26" s="37" t="s">
        <v>15</v>
      </c>
      <c r="O26" s="37" t="s">
        <v>17</v>
      </c>
      <c r="P26" s="37" t="s">
        <v>18</v>
      </c>
      <c r="Q26" s="37" t="s">
        <v>16</v>
      </c>
      <c r="R26" s="37" t="s">
        <v>9</v>
      </c>
      <c r="S26" s="34"/>
      <c r="T26" s="38" t="s">
        <v>15</v>
      </c>
      <c r="U26" s="16" t="s">
        <v>16</v>
      </c>
      <c r="V26" s="16" t="s">
        <v>19</v>
      </c>
      <c r="W26" s="14"/>
    </row>
    <row r="27" spans="2:23">
      <c r="B27" s="11"/>
      <c r="C27" s="59" t="s">
        <v>78</v>
      </c>
      <c r="D27" s="80" t="str">
        <f ca="1">I35</f>
        <v>USD_3M_MARKETDATA@5:0</v>
      </c>
      <c r="E27" s="14"/>
      <c r="G27" s="11"/>
      <c r="H27" s="36" t="s">
        <v>6</v>
      </c>
      <c r="I27" s="92" t="s">
        <v>1</v>
      </c>
      <c r="J27" s="13" t="s">
        <v>10</v>
      </c>
      <c r="K27" s="49" t="s">
        <v>44</v>
      </c>
      <c r="L27" s="60">
        <v>2.3117499999999999E-2</v>
      </c>
      <c r="M27" s="26"/>
      <c r="N27" s="61" t="s">
        <v>55</v>
      </c>
      <c r="O27" s="72">
        <f ca="1">_xll.meDateIMMNext(I30)</f>
        <v>43635</v>
      </c>
      <c r="P27" s="72">
        <f ca="1">_xll.meDateIMMNext(O27)</f>
        <v>43726</v>
      </c>
      <c r="Q27" s="62">
        <v>97.64</v>
      </c>
      <c r="R27" s="40">
        <v>1.4500000000000001E-2</v>
      </c>
      <c r="S27" s="26"/>
      <c r="T27" s="61" t="s">
        <v>40</v>
      </c>
      <c r="U27" s="63">
        <v>2.8679999999999997E-2</v>
      </c>
      <c r="V27" s="41" t="b">
        <v>1</v>
      </c>
      <c r="W27" s="27"/>
    </row>
    <row r="28" spans="2:23">
      <c r="B28" s="11"/>
      <c r="C28" s="13"/>
      <c r="D28" s="13"/>
      <c r="E28" s="14"/>
      <c r="G28" s="11"/>
      <c r="H28" s="39" t="s">
        <v>20</v>
      </c>
      <c r="I28" s="93" t="s">
        <v>33</v>
      </c>
      <c r="J28" s="13" t="s">
        <v>10</v>
      </c>
      <c r="K28" s="33"/>
      <c r="L28" s="64"/>
      <c r="M28" s="26"/>
      <c r="N28" s="65" t="s">
        <v>56</v>
      </c>
      <c r="O28" s="73">
        <f ca="1">P27</f>
        <v>43726</v>
      </c>
      <c r="P28" s="73">
        <f ca="1">_xll.meDateIMMNext(O28)</f>
        <v>43817</v>
      </c>
      <c r="Q28" s="66">
        <v>97.39</v>
      </c>
      <c r="R28" s="42">
        <v>1.4500000000000001E-2</v>
      </c>
      <c r="S28" s="26"/>
      <c r="T28" s="65" t="s">
        <v>5</v>
      </c>
      <c r="U28" s="67">
        <v>2.8729000000000001E-2</v>
      </c>
      <c r="V28" s="43" t="b">
        <v>1</v>
      </c>
      <c r="W28" s="27"/>
    </row>
    <row r="29" spans="2:23">
      <c r="B29" s="11"/>
      <c r="C29" s="13"/>
      <c r="D29" s="13"/>
      <c r="E29" s="14"/>
      <c r="G29" s="11"/>
      <c r="H29" s="39" t="s">
        <v>21</v>
      </c>
      <c r="I29" s="93" t="s">
        <v>30</v>
      </c>
      <c r="J29" s="13" t="s">
        <v>10</v>
      </c>
      <c r="K29" s="33"/>
      <c r="L29" s="64"/>
      <c r="M29" s="26"/>
      <c r="N29" s="65" t="s">
        <v>57</v>
      </c>
      <c r="O29" s="74">
        <f t="shared" ref="O29:O38" ca="1" si="0">P28</f>
        <v>43817</v>
      </c>
      <c r="P29" s="74">
        <f ca="1">_xll.meDateIMMNext(O29)</f>
        <v>43908</v>
      </c>
      <c r="Q29" s="66">
        <v>97.25</v>
      </c>
      <c r="R29" s="44">
        <v>1.4500000000000001E-2</v>
      </c>
      <c r="S29" s="26"/>
      <c r="T29" s="65" t="s">
        <v>43</v>
      </c>
      <c r="U29" s="67">
        <v>2.8910000000000002E-2</v>
      </c>
      <c r="V29" s="43" t="b">
        <v>1</v>
      </c>
      <c r="W29" s="27"/>
    </row>
    <row r="30" spans="2:23">
      <c r="B30" s="11"/>
      <c r="C30" s="13"/>
      <c r="D30" s="13"/>
      <c r="E30" s="14"/>
      <c r="G30" s="11"/>
      <c r="H30" s="39" t="s">
        <v>7</v>
      </c>
      <c r="I30" s="202">
        <f ca="1">USDCurve.AsOfDate</f>
        <v>43579</v>
      </c>
      <c r="J30" s="13" t="s">
        <v>10</v>
      </c>
      <c r="K30" s="33"/>
      <c r="L30" s="64"/>
      <c r="M30" s="26"/>
      <c r="N30" s="65" t="s">
        <v>58</v>
      </c>
      <c r="O30" s="74">
        <f t="shared" ca="1" si="0"/>
        <v>43908</v>
      </c>
      <c r="P30" s="74">
        <f ca="1">_xll.meDateIMMNext(O30)</f>
        <v>43999</v>
      </c>
      <c r="Q30" s="66">
        <v>97.14</v>
      </c>
      <c r="R30" s="44">
        <v>1.4500000000000001E-2</v>
      </c>
      <c r="S30" s="26"/>
      <c r="T30" s="65" t="s">
        <v>60</v>
      </c>
      <c r="U30" s="67">
        <v>2.9014000000000002E-2</v>
      </c>
      <c r="V30" s="43" t="b">
        <v>1</v>
      </c>
      <c r="W30" s="27"/>
    </row>
    <row r="31" spans="2:23">
      <c r="B31" s="11"/>
      <c r="C31" s="13"/>
      <c r="D31" s="13"/>
      <c r="E31" s="14"/>
      <c r="G31" s="11"/>
      <c r="H31" s="59"/>
      <c r="I31" s="94"/>
      <c r="J31" s="13" t="s">
        <v>10</v>
      </c>
      <c r="K31" s="45"/>
      <c r="L31" s="52"/>
      <c r="M31" s="26"/>
      <c r="N31" s="65" t="s">
        <v>59</v>
      </c>
      <c r="O31" s="74">
        <f t="shared" ca="1" si="0"/>
        <v>43999</v>
      </c>
      <c r="P31" s="74">
        <f ca="1">_xll.meDateIMMNext(O31)</f>
        <v>44090</v>
      </c>
      <c r="Q31" s="66">
        <v>97.075000000000003</v>
      </c>
      <c r="R31" s="44">
        <v>1.4500000000000001E-2</v>
      </c>
      <c r="S31" s="26"/>
      <c r="T31" s="65" t="s">
        <v>62</v>
      </c>
      <c r="U31" s="67">
        <v>2.9144999999999997E-2</v>
      </c>
      <c r="V31" s="43" t="b">
        <v>1</v>
      </c>
      <c r="W31" s="27"/>
    </row>
    <row r="32" spans="2:23">
      <c r="B32" s="11"/>
      <c r="C32" s="13"/>
      <c r="D32" s="13"/>
      <c r="E32" s="14"/>
      <c r="G32" s="11"/>
      <c r="H32" s="13"/>
      <c r="I32" s="91"/>
      <c r="J32" s="13" t="s">
        <v>10</v>
      </c>
      <c r="K32" s="26"/>
      <c r="L32" s="26"/>
      <c r="M32" s="26"/>
      <c r="N32" s="65" t="s">
        <v>61</v>
      </c>
      <c r="O32" s="74">
        <f t="shared" ca="1" si="0"/>
        <v>44090</v>
      </c>
      <c r="P32" s="74">
        <f ca="1">_xll.meDateIMMNext(O32)</f>
        <v>44181</v>
      </c>
      <c r="Q32" s="66">
        <v>97.04</v>
      </c>
      <c r="R32" s="44">
        <v>1.4500000000000001E-2</v>
      </c>
      <c r="S32" s="26"/>
      <c r="T32" s="65" t="s">
        <v>45</v>
      </c>
      <c r="U32" s="67">
        <v>2.928E-2</v>
      </c>
      <c r="V32" s="43" t="b">
        <v>1</v>
      </c>
      <c r="W32" s="27"/>
    </row>
    <row r="33" spans="2:23">
      <c r="B33" s="11"/>
      <c r="C33" s="13"/>
      <c r="D33" s="13"/>
      <c r="E33" s="14"/>
      <c r="G33" s="11"/>
      <c r="H33" s="25" t="s">
        <v>23</v>
      </c>
      <c r="I33" s="16"/>
      <c r="J33" s="13" t="s">
        <v>10</v>
      </c>
      <c r="K33" s="26"/>
      <c r="L33" s="26"/>
      <c r="M33" s="26"/>
      <c r="N33" s="65" t="s">
        <v>63</v>
      </c>
      <c r="O33" s="74">
        <f t="shared" ca="1" si="0"/>
        <v>44181</v>
      </c>
      <c r="P33" s="74">
        <f ca="1">_xll.meDateIMMNext(O33)</f>
        <v>44272</v>
      </c>
      <c r="Q33" s="66">
        <v>97.034999999999997</v>
      </c>
      <c r="R33" s="44">
        <v>1.4500000000000001E-2</v>
      </c>
      <c r="S33" s="26"/>
      <c r="T33" s="65" t="s">
        <v>47</v>
      </c>
      <c r="U33" s="67">
        <v>2.9523000000000001E-2</v>
      </c>
      <c r="V33" s="43" t="b">
        <v>1</v>
      </c>
      <c r="W33" s="27"/>
    </row>
    <row r="34" spans="2:23">
      <c r="B34" s="11"/>
      <c r="C34" s="13"/>
      <c r="D34" s="13"/>
      <c r="E34" s="14"/>
      <c r="G34" s="11"/>
      <c r="H34" s="12" t="s">
        <v>24</v>
      </c>
      <c r="I34" s="86" t="s">
        <v>74</v>
      </c>
      <c r="J34" s="13" t="s">
        <v>10</v>
      </c>
      <c r="K34" s="26"/>
      <c r="L34" s="26"/>
      <c r="M34" s="26"/>
      <c r="N34" s="65" t="s">
        <v>64</v>
      </c>
      <c r="O34" s="74">
        <f t="shared" ca="1" si="0"/>
        <v>44272</v>
      </c>
      <c r="P34" s="74">
        <f ca="1">_xll.meDateIMMNext(O34)</f>
        <v>44363</v>
      </c>
      <c r="Q34" s="66">
        <v>97.03</v>
      </c>
      <c r="R34" s="44">
        <v>1.4500000000000001E-2</v>
      </c>
      <c r="S34" s="26"/>
      <c r="T34" s="65" t="s">
        <v>49</v>
      </c>
      <c r="U34" s="67">
        <v>2.9727999999999997E-2</v>
      </c>
      <c r="V34" s="43" t="b">
        <v>1</v>
      </c>
      <c r="W34" s="27"/>
    </row>
    <row r="35" spans="2:23">
      <c r="B35" s="11"/>
      <c r="C35" s="13"/>
      <c r="D35" s="13"/>
      <c r="E35" s="14"/>
      <c r="G35" s="11"/>
      <c r="H35" s="20" t="s">
        <v>25</v>
      </c>
      <c r="I35" s="95" t="str">
        <f ca="1">_xll.meLWOCurveMarketDataCreate(I34,H25,H27:I31,K25,K27:L31,N25,N27:R40,T25,T27:V40)</f>
        <v>USD_3M_MARKETDATA@5:0</v>
      </c>
      <c r="J35" s="13" t="s">
        <v>10</v>
      </c>
      <c r="K35" s="26"/>
      <c r="L35" s="26"/>
      <c r="M35" s="70"/>
      <c r="N35" s="65" t="s">
        <v>69</v>
      </c>
      <c r="O35" s="74">
        <f t="shared" ca="1" si="0"/>
        <v>44363</v>
      </c>
      <c r="P35" s="74">
        <f ca="1">_xll.meDateIMMNext(O35)</f>
        <v>44454</v>
      </c>
      <c r="Q35" s="66">
        <v>97.025000000000006</v>
      </c>
      <c r="R35" s="44">
        <v>1.4500000000000001E-2</v>
      </c>
      <c r="S35" s="26"/>
      <c r="T35" s="65" t="s">
        <v>51</v>
      </c>
      <c r="U35" s="67">
        <v>2.9832999999999998E-2</v>
      </c>
      <c r="V35" s="43" t="b">
        <v>1</v>
      </c>
      <c r="W35" s="27"/>
    </row>
    <row r="36" spans="2:23">
      <c r="B36" s="11"/>
      <c r="C36" s="13"/>
      <c r="D36" s="13"/>
      <c r="E36" s="14"/>
      <c r="G36" s="11"/>
      <c r="H36" s="13"/>
      <c r="I36" s="13"/>
      <c r="J36" s="13" t="s">
        <v>10</v>
      </c>
      <c r="K36" s="26"/>
      <c r="L36" s="26"/>
      <c r="M36" s="71"/>
      <c r="N36" s="65" t="s">
        <v>70</v>
      </c>
      <c r="O36" s="74">
        <f t="shared" ca="1" si="0"/>
        <v>44454</v>
      </c>
      <c r="P36" s="74">
        <f ca="1">_xll.meDateIMMNext(O36)</f>
        <v>44545</v>
      </c>
      <c r="Q36" s="66">
        <v>97.02000000000001</v>
      </c>
      <c r="R36" s="44">
        <v>1.4500000000000001E-2</v>
      </c>
      <c r="S36" s="26"/>
      <c r="T36" s="65" t="s">
        <v>53</v>
      </c>
      <c r="U36" s="67">
        <v>2.9750000000000002E-2</v>
      </c>
      <c r="V36" s="43" t="b">
        <v>1</v>
      </c>
      <c r="W36" s="27"/>
    </row>
    <row r="37" spans="2:23">
      <c r="B37" s="11"/>
      <c r="C37" s="13"/>
      <c r="D37" s="13"/>
      <c r="E37" s="14"/>
      <c r="G37" s="11"/>
      <c r="H37" s="13"/>
      <c r="I37" s="13"/>
      <c r="J37" s="13" t="s">
        <v>10</v>
      </c>
      <c r="K37" s="26"/>
      <c r="L37" s="26"/>
      <c r="M37" s="71"/>
      <c r="N37" s="65" t="s">
        <v>71</v>
      </c>
      <c r="O37" s="74">
        <f t="shared" ca="1" si="0"/>
        <v>44545</v>
      </c>
      <c r="P37" s="74">
        <f ca="1">_xll.meDateIMMNext(O37)</f>
        <v>44636</v>
      </c>
      <c r="Q37" s="66">
        <v>97.015000000000015</v>
      </c>
      <c r="R37" s="44">
        <v>1.4500000000000001E-2</v>
      </c>
      <c r="S37" s="26"/>
      <c r="T37" s="65" t="s">
        <v>54</v>
      </c>
      <c r="U37" s="67">
        <v>2.9618000000000002E-2</v>
      </c>
      <c r="V37" s="43" t="b">
        <v>1</v>
      </c>
      <c r="W37" s="27"/>
    </row>
    <row r="38" spans="2:23">
      <c r="B38" s="11"/>
      <c r="C38" s="13"/>
      <c r="D38" s="13"/>
      <c r="E38" s="14"/>
      <c r="G38" s="11"/>
      <c r="H38" s="13"/>
      <c r="I38" s="13"/>
      <c r="J38" s="13" t="s">
        <v>10</v>
      </c>
      <c r="K38" s="26"/>
      <c r="L38" s="26"/>
      <c r="M38" s="71"/>
      <c r="N38" s="65" t="s">
        <v>72</v>
      </c>
      <c r="O38" s="74">
        <f t="shared" ca="1" si="0"/>
        <v>44636</v>
      </c>
      <c r="P38" s="74">
        <f ca="1">_xll.meDateIMMNext(O38)</f>
        <v>44727</v>
      </c>
      <c r="Q38" s="66">
        <v>97.010000000000019</v>
      </c>
      <c r="R38" s="44">
        <v>1.4500000000000001E-2</v>
      </c>
      <c r="S38" s="26"/>
      <c r="T38" s="65" t="s">
        <v>26</v>
      </c>
      <c r="U38" s="67">
        <v>2.9618000000000002E-2</v>
      </c>
      <c r="V38" s="43" t="b">
        <v>1</v>
      </c>
      <c r="W38" s="27"/>
    </row>
    <row r="39" spans="2:23">
      <c r="B39" s="11"/>
      <c r="C39" s="13"/>
      <c r="D39" s="13"/>
      <c r="E39" s="14"/>
      <c r="G39" s="11"/>
      <c r="H39" s="13"/>
      <c r="I39" s="13"/>
      <c r="J39" s="13" t="s">
        <v>10</v>
      </c>
      <c r="K39" s="26"/>
      <c r="L39" s="26"/>
      <c r="M39" s="26"/>
      <c r="N39" s="65"/>
      <c r="O39" s="74"/>
      <c r="P39" s="74"/>
      <c r="Q39" s="66"/>
      <c r="R39" s="44"/>
      <c r="S39" s="26"/>
      <c r="T39" s="65" t="s">
        <v>27</v>
      </c>
      <c r="U39" s="67">
        <v>2.9618000000000002E-2</v>
      </c>
      <c r="V39" s="43" t="b">
        <v>1</v>
      </c>
      <c r="W39" s="27"/>
    </row>
    <row r="40" spans="2:23">
      <c r="B40" s="11"/>
      <c r="C40" s="13"/>
      <c r="D40" s="13"/>
      <c r="E40" s="14"/>
      <c r="G40" s="11"/>
      <c r="H40" s="13"/>
      <c r="I40" s="13"/>
      <c r="J40" s="13"/>
      <c r="K40" s="13"/>
      <c r="L40" s="13"/>
      <c r="M40" s="13"/>
      <c r="N40" s="46"/>
      <c r="O40" s="75"/>
      <c r="P40" s="75"/>
      <c r="Q40" s="47"/>
      <c r="R40" s="48"/>
      <c r="S40" s="13"/>
      <c r="T40" s="159" t="s">
        <v>111</v>
      </c>
      <c r="U40" s="160">
        <f ca="1">U39</f>
        <v>2.9618000000000002E-2</v>
      </c>
      <c r="V40" s="161" t="b">
        <v>1</v>
      </c>
      <c r="W40" s="162" t="s">
        <v>112</v>
      </c>
    </row>
    <row r="41" spans="2:23">
      <c r="B41" s="21"/>
      <c r="C41" s="22"/>
      <c r="D41" s="22"/>
      <c r="E41" s="23"/>
      <c r="G41" s="21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B3:W41"/>
  <sheetViews>
    <sheetView showGridLines="0" workbookViewId="0"/>
  </sheetViews>
  <sheetFormatPr defaultRowHeight="15"/>
  <cols>
    <col min="1" max="1" width="4.7109375" customWidth="1"/>
    <col min="2" max="2" width="2.7109375" customWidth="1"/>
    <col min="3" max="3" width="16" customWidth="1"/>
    <col min="4" max="4" width="27.7109375" customWidth="1"/>
    <col min="5" max="5" width="2.7109375" customWidth="1"/>
    <col min="6" max="6" width="4.7109375" customWidth="1"/>
    <col min="7" max="7" width="2.7109375" customWidth="1"/>
    <col min="8" max="8" width="25.28515625" bestFit="1" customWidth="1"/>
    <col min="9" max="9" width="28.28515625" customWidth="1"/>
    <col min="10" max="10" width="2.7109375" customWidth="1"/>
    <col min="13" max="13" width="2.7109375" customWidth="1"/>
    <col min="14" max="14" width="12.140625" customWidth="1"/>
    <col min="15" max="16" width="12.7109375" customWidth="1"/>
    <col min="17" max="17" width="9.7109375" bestFit="1" customWidth="1"/>
    <col min="18" max="18" width="13.5703125" customWidth="1"/>
    <col min="19" max="19" width="2.7109375" customWidth="1"/>
    <col min="21" max="21" width="10.140625" customWidth="1"/>
    <col min="23" max="23" width="2.7109375" customWidth="1"/>
  </cols>
  <sheetData>
    <row r="3" spans="2:23">
      <c r="B3" s="6"/>
      <c r="C3" s="9"/>
      <c r="D3" s="9"/>
      <c r="E3" s="10"/>
      <c r="G3" s="6"/>
      <c r="H3" s="7"/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</row>
    <row r="4" spans="2:23">
      <c r="B4" s="11"/>
      <c r="C4" s="25" t="s">
        <v>80</v>
      </c>
      <c r="D4" s="13"/>
      <c r="E4" s="14"/>
      <c r="G4" s="11"/>
      <c r="H4" s="15" t="s">
        <v>11</v>
      </c>
      <c r="I4" s="16"/>
      <c r="J4" s="13" t="s">
        <v>10</v>
      </c>
      <c r="K4" s="13" t="s">
        <v>10</v>
      </c>
      <c r="L4" s="13" t="s">
        <v>10</v>
      </c>
      <c r="M4" s="13" t="s">
        <v>10</v>
      </c>
      <c r="N4" s="17" t="s">
        <v>12</v>
      </c>
      <c r="O4" s="5"/>
      <c r="P4" s="5"/>
      <c r="Q4" s="5"/>
      <c r="R4" s="5"/>
      <c r="S4" s="5"/>
      <c r="T4" s="17" t="s">
        <v>13</v>
      </c>
      <c r="U4" s="17"/>
      <c r="V4" s="13"/>
      <c r="W4" s="14"/>
    </row>
    <row r="5" spans="2:23">
      <c r="B5" s="11"/>
      <c r="C5" s="69" t="s">
        <v>67</v>
      </c>
      <c r="D5" s="69" t="s">
        <v>68</v>
      </c>
      <c r="E5" s="14"/>
      <c r="G5" s="11" t="s">
        <v>10</v>
      </c>
      <c r="H5" s="69" t="s">
        <v>67</v>
      </c>
      <c r="I5" s="69" t="s">
        <v>68</v>
      </c>
      <c r="J5" s="13" t="s">
        <v>10</v>
      </c>
      <c r="K5" s="13" t="s">
        <v>10</v>
      </c>
      <c r="L5" s="13" t="s">
        <v>10</v>
      </c>
      <c r="M5" s="13" t="s">
        <v>10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 s="13"/>
      <c r="T5" s="18" t="s">
        <v>15</v>
      </c>
      <c r="U5" s="18" t="s">
        <v>16</v>
      </c>
      <c r="V5" s="13"/>
      <c r="W5" s="14"/>
    </row>
    <row r="6" spans="2:23">
      <c r="B6" s="11"/>
      <c r="C6" s="12" t="s">
        <v>82</v>
      </c>
      <c r="D6" s="86" t="s">
        <v>116</v>
      </c>
      <c r="E6" s="14"/>
      <c r="G6" s="11"/>
      <c r="H6" s="36" t="s">
        <v>6</v>
      </c>
      <c r="I6" s="89" t="s">
        <v>118</v>
      </c>
      <c r="J6" s="13" t="s">
        <v>10</v>
      </c>
      <c r="K6" s="13" t="s">
        <v>10</v>
      </c>
      <c r="L6" s="13" t="s">
        <v>10</v>
      </c>
      <c r="M6" s="13" t="s">
        <v>10</v>
      </c>
      <c r="N6" s="49" t="s">
        <v>35</v>
      </c>
      <c r="O6" s="55">
        <v>-3.6900000000000001E-3</v>
      </c>
      <c r="P6" s="29"/>
      <c r="Q6" s="30"/>
      <c r="R6" s="19" t="b">
        <v>1</v>
      </c>
      <c r="S6" s="53"/>
      <c r="T6" s="49" t="s">
        <v>4</v>
      </c>
      <c r="U6" s="50">
        <v>5.8E-4</v>
      </c>
      <c r="V6" s="26"/>
      <c r="W6" s="27"/>
    </row>
    <row r="7" spans="2:23">
      <c r="B7" s="11"/>
      <c r="C7" s="79" t="s">
        <v>8</v>
      </c>
      <c r="D7" s="87" t="s">
        <v>117</v>
      </c>
      <c r="E7" s="14"/>
      <c r="G7" s="11"/>
      <c r="H7" s="39" t="s">
        <v>20</v>
      </c>
      <c r="I7" s="90" t="s">
        <v>12</v>
      </c>
      <c r="J7" s="13" t="s">
        <v>10</v>
      </c>
      <c r="K7" s="13" t="s">
        <v>10</v>
      </c>
      <c r="L7" s="13" t="s">
        <v>10</v>
      </c>
      <c r="M7" s="13" t="s">
        <v>10</v>
      </c>
      <c r="N7" s="33" t="s">
        <v>123</v>
      </c>
      <c r="O7" s="56">
        <v>-3.65E-3</v>
      </c>
      <c r="P7" s="30">
        <v>43628</v>
      </c>
      <c r="Q7" s="30">
        <v>43676</v>
      </c>
      <c r="R7" s="19" t="b">
        <v>1</v>
      </c>
      <c r="S7" s="53"/>
      <c r="T7" s="33" t="s">
        <v>37</v>
      </c>
      <c r="U7" s="51">
        <v>5.9999999999999995E-4</v>
      </c>
      <c r="V7" s="26"/>
      <c r="W7" s="27"/>
    </row>
    <row r="8" spans="2:23">
      <c r="B8" s="11"/>
      <c r="C8" s="20" t="s">
        <v>81</v>
      </c>
      <c r="D8" s="88" t="str">
        <f ca="1">_xll.meLWOCurveEngineCalibrate(D6,D7,C12:D15,D20,D26,D21,D27)</f>
        <v>EUR_CURVE@3:44</v>
      </c>
      <c r="E8" s="14"/>
      <c r="G8" s="11"/>
      <c r="H8" s="39" t="s">
        <v>21</v>
      </c>
      <c r="I8" s="90" t="s">
        <v>22</v>
      </c>
      <c r="J8" s="13" t="s">
        <v>10</v>
      </c>
      <c r="K8" s="13" t="s">
        <v>10</v>
      </c>
      <c r="L8" s="13" t="s">
        <v>10</v>
      </c>
      <c r="M8" s="13" t="s">
        <v>10</v>
      </c>
      <c r="N8" s="33" t="s">
        <v>124</v>
      </c>
      <c r="O8" s="56">
        <v>-3.6600000000000001E-3</v>
      </c>
      <c r="P8" s="30">
        <v>43677</v>
      </c>
      <c r="Q8" s="30">
        <v>43725</v>
      </c>
      <c r="R8" s="19" t="b">
        <v>1</v>
      </c>
      <c r="S8" s="53"/>
      <c r="T8" s="33" t="s">
        <v>29</v>
      </c>
      <c r="U8" s="51">
        <v>6.9999999999999999E-4</v>
      </c>
      <c r="V8" s="26"/>
      <c r="W8" s="27"/>
    </row>
    <row r="9" spans="2:23">
      <c r="B9" s="11"/>
      <c r="C9" s="13" t="s">
        <v>160</v>
      </c>
      <c r="D9" s="147" t="b">
        <f ca="1">LEFT(D8,3)=LEFT(D6,3)</f>
        <v>1</v>
      </c>
      <c r="E9" s="14"/>
      <c r="G9" s="11"/>
      <c r="H9" s="59" t="s">
        <v>7</v>
      </c>
      <c r="I9" s="203">
        <f ca="1">USDCurve.AsOfDate</f>
        <v>43579</v>
      </c>
      <c r="J9" s="13" t="s">
        <v>10</v>
      </c>
      <c r="K9" s="13" t="s">
        <v>10</v>
      </c>
      <c r="L9" s="13" t="s">
        <v>10</v>
      </c>
      <c r="M9" s="13" t="s">
        <v>10</v>
      </c>
      <c r="N9" s="33" t="s">
        <v>125</v>
      </c>
      <c r="O9" s="56">
        <v>-3.6900000000000001E-3</v>
      </c>
      <c r="P9" s="30">
        <v>43726</v>
      </c>
      <c r="Q9" s="30">
        <v>43767</v>
      </c>
      <c r="R9" s="19" t="b">
        <v>1</v>
      </c>
      <c r="S9" s="53"/>
      <c r="T9" s="33" t="s">
        <v>40</v>
      </c>
      <c r="U9" s="51">
        <v>8.4000000000000003E-4</v>
      </c>
      <c r="V9" s="26"/>
      <c r="W9" s="27"/>
    </row>
    <row r="10" spans="2:23">
      <c r="B10" s="11"/>
      <c r="C10" s="13"/>
      <c r="D10" s="13"/>
      <c r="E10" s="14"/>
      <c r="G10" s="11"/>
      <c r="H10" s="16"/>
      <c r="I10" s="16"/>
      <c r="J10" s="13" t="s">
        <v>10</v>
      </c>
      <c r="K10" s="13" t="s">
        <v>10</v>
      </c>
      <c r="L10" s="13" t="s">
        <v>10</v>
      </c>
      <c r="M10" s="13" t="s">
        <v>10</v>
      </c>
      <c r="N10" s="33" t="s">
        <v>126</v>
      </c>
      <c r="O10" s="56">
        <v>-3.7199999999999998E-3</v>
      </c>
      <c r="P10" s="30">
        <v>43768</v>
      </c>
      <c r="Q10" s="30">
        <v>43816</v>
      </c>
      <c r="R10" s="19" t="b">
        <v>1</v>
      </c>
      <c r="S10" s="53"/>
      <c r="T10" s="33" t="s">
        <v>5</v>
      </c>
      <c r="U10" s="51">
        <v>8.9999999999999998E-4</v>
      </c>
      <c r="V10" s="26"/>
      <c r="W10" s="27"/>
    </row>
    <row r="11" spans="2:23">
      <c r="B11" s="11"/>
      <c r="C11" s="15" t="s">
        <v>75</v>
      </c>
      <c r="D11" s="13"/>
      <c r="E11" s="14"/>
      <c r="G11" s="11"/>
      <c r="H11" s="13"/>
      <c r="I11" s="91"/>
      <c r="J11" s="13" t="s">
        <v>10</v>
      </c>
      <c r="K11" s="13" t="s">
        <v>10</v>
      </c>
      <c r="L11" s="13" t="s">
        <v>10</v>
      </c>
      <c r="M11" s="13" t="s">
        <v>10</v>
      </c>
      <c r="N11" s="33"/>
      <c r="O11" s="56"/>
      <c r="P11" s="30"/>
      <c r="Q11" s="30"/>
      <c r="R11" s="19"/>
      <c r="S11" s="53"/>
      <c r="T11" s="33" t="s">
        <v>43</v>
      </c>
      <c r="U11" s="51">
        <v>9.4000000000000008E-4</v>
      </c>
      <c r="V11" s="26"/>
      <c r="W11" s="27"/>
    </row>
    <row r="12" spans="2:23">
      <c r="B12" s="11"/>
      <c r="C12" s="36" t="s">
        <v>76</v>
      </c>
      <c r="D12" s="76" t="b">
        <v>1</v>
      </c>
      <c r="E12" s="14"/>
      <c r="G12" s="11"/>
      <c r="H12" s="24" t="s">
        <v>23</v>
      </c>
      <c r="I12" s="16"/>
      <c r="J12" s="13" t="s">
        <v>10</v>
      </c>
      <c r="K12" s="13" t="s">
        <v>10</v>
      </c>
      <c r="L12" s="13" t="s">
        <v>10</v>
      </c>
      <c r="M12" s="13" t="s">
        <v>10</v>
      </c>
      <c r="N12" s="33"/>
      <c r="O12" s="56"/>
      <c r="P12" s="30"/>
      <c r="Q12" s="30"/>
      <c r="R12" s="19"/>
      <c r="S12" s="53"/>
      <c r="T12" s="33" t="s">
        <v>45</v>
      </c>
      <c r="U12" s="51">
        <v>9.5999999999999992E-4</v>
      </c>
      <c r="V12" s="26"/>
      <c r="W12" s="27"/>
    </row>
    <row r="13" spans="2:23">
      <c r="B13" s="11"/>
      <c r="C13" s="39" t="s">
        <v>107</v>
      </c>
      <c r="D13" s="77">
        <v>1.0000000000000001E-9</v>
      </c>
      <c r="E13" s="14"/>
      <c r="G13" s="11"/>
      <c r="H13" s="12" t="s">
        <v>24</v>
      </c>
      <c r="I13" s="86" t="s">
        <v>120</v>
      </c>
      <c r="J13" s="13" t="s">
        <v>10</v>
      </c>
      <c r="K13" s="13" t="s">
        <v>10</v>
      </c>
      <c r="L13" s="13" t="s">
        <v>10</v>
      </c>
      <c r="M13" s="13" t="s">
        <v>10</v>
      </c>
      <c r="N13" s="33"/>
      <c r="O13" s="56"/>
      <c r="P13" s="30"/>
      <c r="Q13" s="30"/>
      <c r="R13" s="19"/>
      <c r="S13" s="53"/>
      <c r="T13" s="33" t="s">
        <v>47</v>
      </c>
      <c r="U13" s="51">
        <v>9.5999999999999992E-4</v>
      </c>
      <c r="V13" s="26"/>
      <c r="W13" s="27"/>
    </row>
    <row r="14" spans="2:23">
      <c r="B14" s="11"/>
      <c r="C14" s="39" t="s">
        <v>108</v>
      </c>
      <c r="D14" s="77">
        <v>1.0000000000000001E-15</v>
      </c>
      <c r="E14" s="14"/>
      <c r="G14" s="11"/>
      <c r="H14" s="20" t="s">
        <v>25</v>
      </c>
      <c r="I14" s="95" t="str">
        <f ca="1">_xll.meLWOCurveMarketDataCreate(I13,H4,H6:I9,N4,N6:R20,T4,T6:U20)</f>
        <v>EUR_OIS_MARKETDATA@2:48</v>
      </c>
      <c r="J14" s="13" t="s">
        <v>10</v>
      </c>
      <c r="K14" s="13" t="s">
        <v>10</v>
      </c>
      <c r="L14" s="13" t="s">
        <v>10</v>
      </c>
      <c r="M14" s="13" t="s">
        <v>10</v>
      </c>
      <c r="N14" s="33"/>
      <c r="O14" s="56"/>
      <c r="P14" s="30"/>
      <c r="Q14" s="30"/>
      <c r="R14" s="19"/>
      <c r="S14" s="53"/>
      <c r="T14" s="33" t="s">
        <v>49</v>
      </c>
      <c r="U14" s="51">
        <v>9.5E-4</v>
      </c>
      <c r="V14" s="26"/>
      <c r="W14" s="27"/>
    </row>
    <row r="15" spans="2:23">
      <c r="B15" s="11"/>
      <c r="C15" s="59" t="s">
        <v>109</v>
      </c>
      <c r="D15" s="78">
        <v>1E-10</v>
      </c>
      <c r="E15" s="14"/>
      <c r="G15" s="11"/>
      <c r="H15" s="13"/>
      <c r="I15" s="13"/>
      <c r="J15" s="13" t="s">
        <v>10</v>
      </c>
      <c r="K15" s="13" t="s">
        <v>10</v>
      </c>
      <c r="L15" s="13" t="s">
        <v>10</v>
      </c>
      <c r="M15" s="13" t="s">
        <v>10</v>
      </c>
      <c r="N15" s="33"/>
      <c r="O15" s="56"/>
      <c r="P15" s="30"/>
      <c r="Q15" s="30"/>
      <c r="R15" s="19"/>
      <c r="S15" s="53"/>
      <c r="T15" s="33" t="s">
        <v>51</v>
      </c>
      <c r="U15" s="51">
        <v>9.1999999999999992E-4</v>
      </c>
      <c r="V15" s="26"/>
      <c r="W15" s="27"/>
    </row>
    <row r="16" spans="2:23">
      <c r="B16" s="11"/>
      <c r="C16" s="13"/>
      <c r="D16" s="13"/>
      <c r="E16" s="14"/>
      <c r="G16" s="11"/>
      <c r="H16" s="13"/>
      <c r="I16" s="13"/>
      <c r="J16" s="13" t="s">
        <v>10</v>
      </c>
      <c r="K16" s="13" t="s">
        <v>10</v>
      </c>
      <c r="L16" s="13" t="s">
        <v>10</v>
      </c>
      <c r="M16" s="13" t="s">
        <v>10</v>
      </c>
      <c r="N16" s="33"/>
      <c r="O16" s="56"/>
      <c r="P16" s="30"/>
      <c r="Q16" s="30"/>
      <c r="R16" s="19"/>
      <c r="S16" s="53"/>
      <c r="T16" s="33" t="s">
        <v>53</v>
      </c>
      <c r="U16" s="51">
        <v>8.8000000000000003E-4</v>
      </c>
      <c r="V16" s="26"/>
      <c r="W16" s="27"/>
    </row>
    <row r="17" spans="2:23">
      <c r="B17" s="11"/>
      <c r="C17" s="13"/>
      <c r="D17" s="13"/>
      <c r="E17" s="14"/>
      <c r="G17" s="11"/>
      <c r="H17" s="13"/>
      <c r="I17" s="13"/>
      <c r="J17" s="13" t="s">
        <v>10</v>
      </c>
      <c r="K17" s="13" t="s">
        <v>10</v>
      </c>
      <c r="L17" s="13" t="s">
        <v>10</v>
      </c>
      <c r="M17" s="13" t="s">
        <v>10</v>
      </c>
      <c r="N17" s="33"/>
      <c r="O17" s="56"/>
      <c r="P17" s="30"/>
      <c r="Q17" s="30"/>
      <c r="R17" s="19"/>
      <c r="S17" s="53"/>
      <c r="T17" s="33" t="s">
        <v>54</v>
      </c>
      <c r="U17" s="51">
        <v>8.4999999999999995E-4</v>
      </c>
      <c r="V17" s="26"/>
      <c r="W17" s="27"/>
    </row>
    <row r="18" spans="2:23">
      <c r="B18" s="11"/>
      <c r="C18" s="13"/>
      <c r="D18" s="13"/>
      <c r="E18" s="14"/>
      <c r="G18" s="11"/>
      <c r="H18" s="13"/>
      <c r="I18" s="13"/>
      <c r="J18" s="13" t="s">
        <v>10</v>
      </c>
      <c r="K18" s="13" t="s">
        <v>10</v>
      </c>
      <c r="L18" s="13" t="s">
        <v>10</v>
      </c>
      <c r="M18" s="13" t="s">
        <v>10</v>
      </c>
      <c r="N18" s="33"/>
      <c r="O18" s="56"/>
      <c r="P18" s="30"/>
      <c r="Q18" s="30"/>
      <c r="R18" s="19"/>
      <c r="S18" s="53"/>
      <c r="T18" s="33" t="s">
        <v>26</v>
      </c>
      <c r="U18" s="51">
        <v>7.9000000000000001E-4</v>
      </c>
      <c r="V18" s="26"/>
      <c r="W18" s="27"/>
    </row>
    <row r="19" spans="2:23">
      <c r="B19" s="11"/>
      <c r="C19" s="15" t="s">
        <v>77</v>
      </c>
      <c r="D19" s="13"/>
      <c r="E19" s="14"/>
      <c r="G19" s="11"/>
      <c r="H19" s="13"/>
      <c r="I19" s="13"/>
      <c r="J19" s="13" t="s">
        <v>10</v>
      </c>
      <c r="K19" s="13" t="s">
        <v>10</v>
      </c>
      <c r="L19" s="13" t="s">
        <v>10</v>
      </c>
      <c r="M19" s="13" t="s">
        <v>10</v>
      </c>
      <c r="N19" s="33"/>
      <c r="O19" s="56"/>
      <c r="P19" s="30"/>
      <c r="Q19" s="30"/>
      <c r="R19" s="19"/>
      <c r="S19" s="53"/>
      <c r="T19" s="33" t="s">
        <v>27</v>
      </c>
      <c r="U19" s="51">
        <v>7.2999999999999996E-4</v>
      </c>
      <c r="V19" s="26"/>
      <c r="W19" s="27"/>
    </row>
    <row r="20" spans="2:23">
      <c r="B20" s="11"/>
      <c r="C20" s="36" t="s">
        <v>12</v>
      </c>
      <c r="D20" s="12" t="s">
        <v>114</v>
      </c>
      <c r="E20" s="14"/>
      <c r="G20" s="11"/>
      <c r="H20" s="13"/>
      <c r="I20" s="13"/>
      <c r="J20" s="13"/>
      <c r="K20" s="13"/>
      <c r="L20" s="13"/>
      <c r="M20" s="13"/>
      <c r="N20" s="45"/>
      <c r="O20" s="57"/>
      <c r="P20" s="58"/>
      <c r="Q20" s="58"/>
      <c r="R20" s="54"/>
      <c r="S20" s="53"/>
      <c r="T20" s="170" t="s">
        <v>111</v>
      </c>
      <c r="U20" s="171">
        <v>7.2999999999999996E-4</v>
      </c>
      <c r="V20" s="172" t="s">
        <v>112</v>
      </c>
      <c r="W20" s="27"/>
    </row>
    <row r="21" spans="2:23">
      <c r="B21" s="11"/>
      <c r="C21" s="59" t="s">
        <v>78</v>
      </c>
      <c r="D21" s="20" t="s">
        <v>115</v>
      </c>
      <c r="E21" s="14"/>
      <c r="G21" s="21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3"/>
    </row>
    <row r="22" spans="2:23">
      <c r="B22" s="11"/>
      <c r="C22" s="13"/>
      <c r="D22" s="13"/>
      <c r="E22" s="14"/>
    </row>
    <row r="23" spans="2:23">
      <c r="B23" s="11"/>
      <c r="C23" s="13"/>
      <c r="D23" s="13"/>
      <c r="E23" s="14"/>
    </row>
    <row r="24" spans="2:23">
      <c r="B24" s="11"/>
      <c r="C24" s="13"/>
      <c r="D24" s="13"/>
      <c r="E24" s="14"/>
      <c r="G24" s="6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</row>
    <row r="25" spans="2:23">
      <c r="B25" s="11"/>
      <c r="C25" s="15" t="s">
        <v>79</v>
      </c>
      <c r="D25" s="13"/>
      <c r="E25" s="14"/>
      <c r="G25" s="11"/>
      <c r="H25" s="15" t="s">
        <v>11</v>
      </c>
      <c r="I25" s="13"/>
      <c r="J25" s="13"/>
      <c r="K25" s="15" t="s">
        <v>31</v>
      </c>
      <c r="L25" s="13"/>
      <c r="M25" s="13"/>
      <c r="N25" s="15" t="s">
        <v>32</v>
      </c>
      <c r="O25" s="35"/>
      <c r="P25" s="13"/>
      <c r="Q25" s="13"/>
      <c r="R25" s="13"/>
      <c r="S25" s="13"/>
      <c r="T25" s="15" t="s">
        <v>14</v>
      </c>
      <c r="U25" s="13"/>
      <c r="V25" s="13"/>
      <c r="W25" s="14"/>
    </row>
    <row r="26" spans="2:23">
      <c r="B26" s="11"/>
      <c r="C26" s="36" t="s">
        <v>12</v>
      </c>
      <c r="D26" s="81" t="str">
        <f ca="1">I14</f>
        <v>EUR_OIS_MARKETDATA@2:48</v>
      </c>
      <c r="E26" s="14"/>
      <c r="G26" s="11"/>
      <c r="H26" s="69" t="s">
        <v>67</v>
      </c>
      <c r="I26" s="69" t="s">
        <v>68</v>
      </c>
      <c r="J26" s="13" t="s">
        <v>10</v>
      </c>
      <c r="K26" s="16" t="s">
        <v>15</v>
      </c>
      <c r="L26" s="16" t="s">
        <v>16</v>
      </c>
      <c r="M26" s="34"/>
      <c r="N26" s="37" t="s">
        <v>15</v>
      </c>
      <c r="O26" s="37" t="s">
        <v>17</v>
      </c>
      <c r="P26" s="37" t="s">
        <v>18</v>
      </c>
      <c r="Q26" s="37" t="s">
        <v>16</v>
      </c>
      <c r="R26" s="37" t="s">
        <v>9</v>
      </c>
      <c r="S26" s="34"/>
      <c r="T26" s="38" t="s">
        <v>15</v>
      </c>
      <c r="U26" s="16" t="s">
        <v>16</v>
      </c>
      <c r="V26" s="16" t="s">
        <v>19</v>
      </c>
      <c r="W26" s="14"/>
    </row>
    <row r="27" spans="2:23">
      <c r="B27" s="11"/>
      <c r="C27" s="59" t="s">
        <v>78</v>
      </c>
      <c r="D27" s="80" t="str">
        <f ca="1">I35</f>
        <v>EUR_3M_MARKETDATA@1:48</v>
      </c>
      <c r="E27" s="14"/>
      <c r="G27" s="11"/>
      <c r="H27" s="36" t="s">
        <v>6</v>
      </c>
      <c r="I27" s="92" t="s">
        <v>118</v>
      </c>
      <c r="J27" s="13" t="s">
        <v>10</v>
      </c>
      <c r="K27" s="49" t="s">
        <v>44</v>
      </c>
      <c r="L27" s="60">
        <v>-3.4757E-3</v>
      </c>
      <c r="M27" s="26"/>
      <c r="N27" s="61" t="s">
        <v>128</v>
      </c>
      <c r="O27" s="72">
        <v>43635</v>
      </c>
      <c r="P27" s="72">
        <v>43726</v>
      </c>
      <c r="Q27" s="62">
        <v>100.31</v>
      </c>
      <c r="R27" s="40">
        <v>4.0000000000000001E-3</v>
      </c>
      <c r="S27" s="26"/>
      <c r="T27" s="61" t="s">
        <v>40</v>
      </c>
      <c r="U27" s="63">
        <v>-1.75E-3</v>
      </c>
      <c r="V27" s="41" t="b">
        <v>1</v>
      </c>
      <c r="W27" s="27"/>
    </row>
    <row r="28" spans="2:23">
      <c r="B28" s="11"/>
      <c r="C28" s="13"/>
      <c r="D28" s="13"/>
      <c r="E28" s="14"/>
      <c r="G28" s="11"/>
      <c r="H28" s="39" t="s">
        <v>20</v>
      </c>
      <c r="I28" s="93" t="s">
        <v>33</v>
      </c>
      <c r="J28" s="13" t="s">
        <v>10</v>
      </c>
      <c r="K28" s="33"/>
      <c r="L28" s="64"/>
      <c r="M28" s="26"/>
      <c r="N28" s="65" t="s">
        <v>129</v>
      </c>
      <c r="O28" s="73">
        <v>43726</v>
      </c>
      <c r="P28" s="73">
        <v>43817</v>
      </c>
      <c r="Q28" s="66">
        <v>100.31</v>
      </c>
      <c r="R28" s="42">
        <v>4.0000000000000001E-3</v>
      </c>
      <c r="S28" s="26"/>
      <c r="T28" s="65" t="s">
        <v>5</v>
      </c>
      <c r="U28" s="67">
        <v>-6.4999999999999997E-4</v>
      </c>
      <c r="V28" s="43" t="b">
        <v>1</v>
      </c>
      <c r="W28" s="27"/>
    </row>
    <row r="29" spans="2:23">
      <c r="B29" s="11"/>
      <c r="C29" s="13"/>
      <c r="D29" s="13"/>
      <c r="E29" s="14"/>
      <c r="G29" s="11"/>
      <c r="H29" s="39" t="s">
        <v>21</v>
      </c>
      <c r="I29" s="93" t="s">
        <v>30</v>
      </c>
      <c r="J29" s="13" t="s">
        <v>10</v>
      </c>
      <c r="K29" s="33"/>
      <c r="L29" s="64"/>
      <c r="M29" s="26"/>
      <c r="N29" s="65" t="s">
        <v>130</v>
      </c>
      <c r="O29" s="74">
        <v>43817</v>
      </c>
      <c r="P29" s="74">
        <v>43908</v>
      </c>
      <c r="Q29" s="66">
        <v>100.30500000000001</v>
      </c>
      <c r="R29" s="44">
        <v>4.0000000000000001E-3</v>
      </c>
      <c r="S29" s="26"/>
      <c r="T29" s="65" t="s">
        <v>127</v>
      </c>
      <c r="U29" s="67">
        <v>2.9999999999999997E-4</v>
      </c>
      <c r="V29" s="43" t="b">
        <v>1</v>
      </c>
      <c r="W29" s="27"/>
    </row>
    <row r="30" spans="2:23">
      <c r="B30" s="11"/>
      <c r="C30" s="13"/>
      <c r="D30" s="13"/>
      <c r="E30" s="14"/>
      <c r="G30" s="11"/>
      <c r="H30" s="39" t="s">
        <v>7</v>
      </c>
      <c r="I30" s="202">
        <f ca="1">USDCurve.AsOfDate</f>
        <v>43579</v>
      </c>
      <c r="J30" s="13" t="s">
        <v>10</v>
      </c>
      <c r="K30" s="33"/>
      <c r="L30" s="64"/>
      <c r="M30" s="26"/>
      <c r="N30" s="65" t="s">
        <v>131</v>
      </c>
      <c r="O30" s="74">
        <v>43908</v>
      </c>
      <c r="P30" s="74">
        <v>43999</v>
      </c>
      <c r="Q30" s="66">
        <v>100.3</v>
      </c>
      <c r="R30" s="44">
        <v>4.0000000000000001E-3</v>
      </c>
      <c r="S30" s="26"/>
      <c r="T30" s="65" t="s">
        <v>43</v>
      </c>
      <c r="U30" s="67">
        <v>1.2800000000000001E-3</v>
      </c>
      <c r="V30" s="43" t="b">
        <v>1</v>
      </c>
      <c r="W30" s="27"/>
    </row>
    <row r="31" spans="2:23">
      <c r="B31" s="11"/>
      <c r="C31" s="13"/>
      <c r="D31" s="13"/>
      <c r="E31" s="14"/>
      <c r="G31" s="11"/>
      <c r="H31" s="59"/>
      <c r="I31" s="94"/>
      <c r="J31" s="13" t="s">
        <v>10</v>
      </c>
      <c r="K31" s="45"/>
      <c r="L31" s="52"/>
      <c r="M31" s="26"/>
      <c r="N31" s="65" t="s">
        <v>132</v>
      </c>
      <c r="O31" s="74">
        <v>43999</v>
      </c>
      <c r="P31" s="74">
        <v>44090</v>
      </c>
      <c r="Q31" s="66">
        <v>100.3</v>
      </c>
      <c r="R31" s="44">
        <v>4.0000000000000001E-3</v>
      </c>
      <c r="S31" s="26"/>
      <c r="T31" s="65" t="s">
        <v>60</v>
      </c>
      <c r="U31" s="67">
        <v>2.2899999999999999E-3</v>
      </c>
      <c r="V31" s="43" t="b">
        <v>1</v>
      </c>
      <c r="W31" s="27"/>
    </row>
    <row r="32" spans="2:23">
      <c r="B32" s="11"/>
      <c r="C32" s="13"/>
      <c r="D32" s="13"/>
      <c r="E32" s="14"/>
      <c r="G32" s="11"/>
      <c r="H32" s="13"/>
      <c r="I32" s="91"/>
      <c r="J32" s="13" t="s">
        <v>10</v>
      </c>
      <c r="K32" s="26"/>
      <c r="L32" s="26"/>
      <c r="M32" s="26"/>
      <c r="N32" s="65" t="s">
        <v>133</v>
      </c>
      <c r="O32" s="74">
        <v>44090</v>
      </c>
      <c r="P32" s="74">
        <v>44181</v>
      </c>
      <c r="Q32" s="66">
        <v>100.3</v>
      </c>
      <c r="R32" s="44">
        <v>4.0000000000000001E-3</v>
      </c>
      <c r="S32" s="26"/>
      <c r="T32" s="65" t="s">
        <v>62</v>
      </c>
      <c r="U32" s="67">
        <v>3.2600000000000003E-3</v>
      </c>
      <c r="V32" s="43" t="b">
        <v>1</v>
      </c>
      <c r="W32" s="27"/>
    </row>
    <row r="33" spans="2:23">
      <c r="B33" s="11"/>
      <c r="C33" s="13"/>
      <c r="D33" s="13"/>
      <c r="E33" s="14"/>
      <c r="G33" s="11"/>
      <c r="H33" s="25" t="s">
        <v>23</v>
      </c>
      <c r="I33" s="16"/>
      <c r="J33" s="13" t="s">
        <v>10</v>
      </c>
      <c r="K33" s="26"/>
      <c r="L33" s="26"/>
      <c r="M33" s="26"/>
      <c r="N33" s="65" t="s">
        <v>134</v>
      </c>
      <c r="O33" s="74">
        <v>44181</v>
      </c>
      <c r="P33" s="74">
        <v>44272</v>
      </c>
      <c r="Q33" s="66">
        <v>100.3</v>
      </c>
      <c r="R33" s="44">
        <v>4.0000000000000001E-3</v>
      </c>
      <c r="S33" s="26"/>
      <c r="T33" s="65" t="s">
        <v>45</v>
      </c>
      <c r="U33" s="67">
        <v>4.1799999999999997E-3</v>
      </c>
      <c r="V33" s="43" t="b">
        <v>1</v>
      </c>
      <c r="W33" s="27"/>
    </row>
    <row r="34" spans="2:23">
      <c r="B34" s="11"/>
      <c r="C34" s="13"/>
      <c r="D34" s="13"/>
      <c r="E34" s="14"/>
      <c r="G34" s="11"/>
      <c r="H34" s="12" t="s">
        <v>24</v>
      </c>
      <c r="I34" s="86" t="s">
        <v>119</v>
      </c>
      <c r="J34" s="13" t="s">
        <v>10</v>
      </c>
      <c r="K34" s="26"/>
      <c r="L34" s="26"/>
      <c r="M34" s="26"/>
      <c r="N34" s="65" t="s">
        <v>135</v>
      </c>
      <c r="O34" s="74">
        <v>44272</v>
      </c>
      <c r="P34" s="74">
        <v>44363</v>
      </c>
      <c r="Q34" s="66">
        <v>100.3</v>
      </c>
      <c r="R34" s="44">
        <v>4.0000000000000001E-3</v>
      </c>
      <c r="S34" s="26"/>
      <c r="T34" s="65" t="s">
        <v>49</v>
      </c>
      <c r="U34" s="67">
        <v>7.7600000000000004E-3</v>
      </c>
      <c r="V34" s="43" t="b">
        <v>1</v>
      </c>
      <c r="W34" s="27"/>
    </row>
    <row r="35" spans="2:23">
      <c r="B35" s="11"/>
      <c r="C35" s="13"/>
      <c r="D35" s="13"/>
      <c r="E35" s="14"/>
      <c r="G35" s="11"/>
      <c r="H35" s="20" t="s">
        <v>25</v>
      </c>
      <c r="I35" s="95" t="str">
        <f ca="1">_xll.meLWOCurveMarketDataCreate(I34,H25,H27:I31,K25,K27:L31,N25,N27:R40,T25,T27:V40)</f>
        <v>EUR_3M_MARKETDATA@1:48</v>
      </c>
      <c r="J35" s="13" t="s">
        <v>10</v>
      </c>
      <c r="K35" s="26"/>
      <c r="L35" s="26"/>
      <c r="M35" s="70"/>
      <c r="N35" s="65" t="s">
        <v>136</v>
      </c>
      <c r="O35" s="74">
        <v>44363</v>
      </c>
      <c r="P35" s="74">
        <v>44454</v>
      </c>
      <c r="Q35" s="66">
        <v>100.27500000000001</v>
      </c>
      <c r="R35" s="44">
        <v>4.0000000000000001E-3</v>
      </c>
      <c r="S35" s="26"/>
      <c r="T35" s="65" t="s">
        <v>51</v>
      </c>
      <c r="U35" s="67">
        <v>9.5700000000000004E-3</v>
      </c>
      <c r="V35" s="43" t="b">
        <v>1</v>
      </c>
      <c r="W35" s="27"/>
    </row>
    <row r="36" spans="2:23">
      <c r="B36" s="11"/>
      <c r="C36" s="13"/>
      <c r="D36" s="13"/>
      <c r="E36" s="14"/>
      <c r="G36" s="11"/>
      <c r="H36" s="13"/>
      <c r="I36" s="13"/>
      <c r="J36" s="13" t="s">
        <v>10</v>
      </c>
      <c r="K36" s="26"/>
      <c r="L36" s="26"/>
      <c r="M36" s="71"/>
      <c r="N36" s="65" t="s">
        <v>137</v>
      </c>
      <c r="O36" s="74">
        <v>44454</v>
      </c>
      <c r="P36" s="74">
        <v>44545</v>
      </c>
      <c r="Q36" s="66">
        <v>100.25</v>
      </c>
      <c r="R36" s="44">
        <v>4.0000000000000001E-3</v>
      </c>
      <c r="S36" s="26"/>
      <c r="T36" s="65" t="s">
        <v>53</v>
      </c>
      <c r="U36" s="67">
        <v>1.027E-2</v>
      </c>
      <c r="V36" s="43" t="b">
        <v>1</v>
      </c>
      <c r="W36" s="27"/>
    </row>
    <row r="37" spans="2:23">
      <c r="B37" s="11"/>
      <c r="C37" s="13"/>
      <c r="D37" s="13"/>
      <c r="E37" s="14"/>
      <c r="G37" s="11"/>
      <c r="H37" s="13"/>
      <c r="I37" s="13"/>
      <c r="J37" s="13" t="s">
        <v>10</v>
      </c>
      <c r="K37" s="26"/>
      <c r="L37" s="26"/>
      <c r="M37" s="71"/>
      <c r="N37" s="65" t="s">
        <v>138</v>
      </c>
      <c r="O37" s="74">
        <v>44545</v>
      </c>
      <c r="P37" s="74">
        <v>44636</v>
      </c>
      <c r="Q37" s="66">
        <v>100.18</v>
      </c>
      <c r="R37" s="44">
        <v>4.0000000000000001E-3</v>
      </c>
      <c r="S37" s="26"/>
      <c r="T37" s="65" t="s">
        <v>54</v>
      </c>
      <c r="U37" s="67">
        <v>1.047E-2</v>
      </c>
      <c r="V37" s="43" t="b">
        <v>1</v>
      </c>
      <c r="W37" s="27"/>
    </row>
    <row r="38" spans="2:23">
      <c r="B38" s="11"/>
      <c r="C38" s="13"/>
      <c r="D38" s="13"/>
      <c r="E38" s="14"/>
      <c r="G38" s="11"/>
      <c r="H38" s="13"/>
      <c r="I38" s="13"/>
      <c r="J38" s="13" t="s">
        <v>10</v>
      </c>
      <c r="K38" s="26"/>
      <c r="L38" s="26"/>
      <c r="M38" s="71"/>
      <c r="N38" s="65" t="s">
        <v>139</v>
      </c>
      <c r="O38" s="74">
        <v>44636</v>
      </c>
      <c r="P38" s="74">
        <v>44727</v>
      </c>
      <c r="Q38" s="66">
        <v>100.145</v>
      </c>
      <c r="R38" s="44">
        <v>4.0000000000000001E-3</v>
      </c>
      <c r="S38" s="26"/>
      <c r="T38" s="65" t="s">
        <v>26</v>
      </c>
      <c r="U38" s="67">
        <v>1.0449999999999999E-2</v>
      </c>
      <c r="V38" s="43" t="b">
        <v>1</v>
      </c>
      <c r="W38" s="27"/>
    </row>
    <row r="39" spans="2:23">
      <c r="B39" s="11"/>
      <c r="C39" s="13"/>
      <c r="D39" s="13"/>
      <c r="E39" s="14"/>
      <c r="G39" s="11"/>
      <c r="H39" s="13"/>
      <c r="I39" s="13"/>
      <c r="J39" s="13" t="s">
        <v>10</v>
      </c>
      <c r="K39" s="26"/>
      <c r="L39" s="26"/>
      <c r="M39" s="26"/>
      <c r="N39" s="65"/>
      <c r="O39" s="74"/>
      <c r="P39" s="74"/>
      <c r="Q39" s="66"/>
      <c r="R39" s="44"/>
      <c r="S39" s="26"/>
      <c r="T39" s="65" t="s">
        <v>27</v>
      </c>
      <c r="U39" s="67">
        <v>1.027E-2</v>
      </c>
      <c r="V39" s="43" t="b">
        <v>1</v>
      </c>
      <c r="W39" s="27"/>
    </row>
    <row r="40" spans="2:23">
      <c r="B40" s="11"/>
      <c r="C40" s="13"/>
      <c r="D40" s="13"/>
      <c r="E40" s="14"/>
      <c r="G40" s="11"/>
      <c r="H40" s="13"/>
      <c r="I40" s="13"/>
      <c r="J40" s="13"/>
      <c r="K40" s="13"/>
      <c r="L40" s="13"/>
      <c r="M40" s="13"/>
      <c r="N40" s="46"/>
      <c r="O40" s="75"/>
      <c r="P40" s="75"/>
      <c r="Q40" s="47"/>
      <c r="R40" s="48"/>
      <c r="S40" s="13"/>
      <c r="T40" s="159" t="s">
        <v>111</v>
      </c>
      <c r="U40" s="160">
        <f ca="1">U39</f>
        <v>1.027E-2</v>
      </c>
      <c r="V40" s="161" t="b">
        <v>1</v>
      </c>
      <c r="W40" s="162" t="s">
        <v>112</v>
      </c>
    </row>
    <row r="41" spans="2:23">
      <c r="B41" s="21"/>
      <c r="C41" s="22"/>
      <c r="D41" s="22"/>
      <c r="E41" s="23"/>
      <c r="G41" s="21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B2:K24"/>
  <sheetViews>
    <sheetView showGridLines="0" workbookViewId="0"/>
  </sheetViews>
  <sheetFormatPr defaultRowHeight="15"/>
  <cols>
    <col min="2" max="2" width="28.85546875" bestFit="1" customWidth="1"/>
    <col min="3" max="3" width="36.7109375" bestFit="1" customWidth="1"/>
    <col min="10" max="10" width="11.140625" customWidth="1"/>
  </cols>
  <sheetData>
    <row r="2" spans="2:10">
      <c r="B2" s="173" t="s">
        <v>11</v>
      </c>
      <c r="C2" s="174"/>
      <c r="E2" s="175" t="s">
        <v>140</v>
      </c>
      <c r="I2" s="175" t="s">
        <v>141</v>
      </c>
      <c r="J2" s="176"/>
    </row>
    <row r="3" spans="2:10">
      <c r="B3" s="28" t="s">
        <v>6</v>
      </c>
      <c r="C3" s="177" t="s">
        <v>118</v>
      </c>
      <c r="E3" s="178" t="s">
        <v>142</v>
      </c>
      <c r="F3" s="179" t="s">
        <v>143</v>
      </c>
      <c r="G3" s="180" t="s">
        <v>16</v>
      </c>
      <c r="H3" s="220"/>
      <c r="I3" s="181" t="s">
        <v>15</v>
      </c>
      <c r="J3" s="182" t="s">
        <v>16</v>
      </c>
    </row>
    <row r="4" spans="2:10">
      <c r="B4" s="31" t="s">
        <v>20</v>
      </c>
      <c r="C4" s="183" t="s">
        <v>144</v>
      </c>
      <c r="E4" s="195" t="s">
        <v>118</v>
      </c>
      <c r="F4" s="221" t="s">
        <v>1</v>
      </c>
      <c r="G4" s="222">
        <v>1.1202000000000001</v>
      </c>
      <c r="H4" s="220"/>
      <c r="I4" s="192" t="s">
        <v>4</v>
      </c>
      <c r="J4" s="193">
        <v>-1.4499999999999999E-3</v>
      </c>
    </row>
    <row r="5" spans="2:10">
      <c r="B5" s="31" t="s">
        <v>21</v>
      </c>
      <c r="C5" s="183" t="s">
        <v>30</v>
      </c>
      <c r="E5" s="220"/>
      <c r="F5" s="220"/>
      <c r="G5" s="220"/>
      <c r="H5" s="220"/>
      <c r="I5" s="192" t="s">
        <v>37</v>
      </c>
      <c r="J5" s="193">
        <v>-1.3500000000000001E-3</v>
      </c>
    </row>
    <row r="6" spans="2:10">
      <c r="B6" s="32" t="s">
        <v>7</v>
      </c>
      <c r="C6" s="204">
        <f ca="1">USDCurve.AsOfDate</f>
        <v>43579</v>
      </c>
      <c r="E6" s="220"/>
      <c r="F6" s="220"/>
      <c r="G6" s="220"/>
      <c r="H6" s="220"/>
      <c r="I6" s="192" t="s">
        <v>29</v>
      </c>
      <c r="J6" s="193">
        <v>-1.3625E-3</v>
      </c>
    </row>
    <row r="7" spans="2:10">
      <c r="C7" s="174"/>
      <c r="E7" s="223" t="s">
        <v>145</v>
      </c>
      <c r="F7" s="220"/>
      <c r="G7" s="220"/>
      <c r="H7" s="220"/>
      <c r="I7" s="192" t="s">
        <v>40</v>
      </c>
      <c r="J7" s="193">
        <v>-1.4250000000000001E-3</v>
      </c>
    </row>
    <row r="8" spans="2:10">
      <c r="B8" s="2" t="s">
        <v>146</v>
      </c>
      <c r="C8" s="174"/>
      <c r="E8" s="181" t="s">
        <v>15</v>
      </c>
      <c r="F8" s="184" t="s">
        <v>16</v>
      </c>
      <c r="G8" s="182"/>
      <c r="H8" s="220"/>
      <c r="I8" s="192" t="s">
        <v>5</v>
      </c>
      <c r="J8" s="193">
        <v>-1.4875000000000001E-3</v>
      </c>
    </row>
    <row r="9" spans="2:10">
      <c r="B9" s="28" t="s">
        <v>24</v>
      </c>
      <c r="C9" s="177" t="s">
        <v>147</v>
      </c>
      <c r="E9" s="192" t="s">
        <v>35</v>
      </c>
      <c r="F9" s="224">
        <v>0.94699999999999995</v>
      </c>
      <c r="G9" s="225"/>
      <c r="H9" s="220"/>
      <c r="I9" s="192" t="s">
        <v>127</v>
      </c>
      <c r="J9" s="193">
        <v>-1.5499999999999999E-3</v>
      </c>
    </row>
    <row r="10" spans="2:10">
      <c r="B10" s="31" t="s">
        <v>25</v>
      </c>
      <c r="C10" s="190" t="str">
        <f ca="1">_xll.meLWOCurveMarketDataCreate(C9,B2,B3:C6,E2,E3:G4,E7,E9:F23,I2,I4:J23)</f>
        <v>EUR_XCCYBASIS_MARKETDATA@23:2</v>
      </c>
      <c r="E10" s="192" t="s">
        <v>159</v>
      </c>
      <c r="F10" s="224">
        <v>0.97899999999999998</v>
      </c>
      <c r="G10" s="225"/>
      <c r="H10" s="220"/>
      <c r="I10" s="192" t="s">
        <v>43</v>
      </c>
      <c r="J10" s="193">
        <v>-1.6000000000000001E-3</v>
      </c>
    </row>
    <row r="11" spans="2:10">
      <c r="B11" s="32"/>
      <c r="C11" s="185"/>
      <c r="E11" s="192" t="s">
        <v>36</v>
      </c>
      <c r="F11" s="224">
        <v>6.78</v>
      </c>
      <c r="G11" s="225"/>
      <c r="H11" s="220"/>
      <c r="I11" s="192" t="s">
        <v>60</v>
      </c>
      <c r="J11" s="193">
        <v>-1.6125E-3</v>
      </c>
    </row>
    <row r="12" spans="2:10">
      <c r="C12" s="174"/>
      <c r="E12" s="192" t="s">
        <v>38</v>
      </c>
      <c r="F12" s="224">
        <v>13.42</v>
      </c>
      <c r="G12" s="225"/>
      <c r="H12" s="220"/>
      <c r="I12" s="192" t="s">
        <v>62</v>
      </c>
      <c r="J12" s="193">
        <v>-1.6000000000000001E-3</v>
      </c>
    </row>
    <row r="13" spans="2:10">
      <c r="B13" s="2" t="s">
        <v>148</v>
      </c>
      <c r="C13" s="174"/>
      <c r="E13" s="192" t="s">
        <v>39</v>
      </c>
      <c r="F13" s="224">
        <v>20.04</v>
      </c>
      <c r="G13" s="225"/>
      <c r="H13" s="220"/>
      <c r="I13" s="192" t="s">
        <v>45</v>
      </c>
      <c r="J13" s="193">
        <v>-1.5874999999999999E-3</v>
      </c>
    </row>
    <row r="14" spans="2:10">
      <c r="B14" s="28" t="s">
        <v>149</v>
      </c>
      <c r="C14" s="177" t="s">
        <v>150</v>
      </c>
      <c r="E14" s="192" t="s">
        <v>41</v>
      </c>
      <c r="F14" s="224">
        <v>30.36</v>
      </c>
      <c r="G14" s="225"/>
      <c r="H14" s="220"/>
      <c r="I14" s="192" t="s">
        <v>47</v>
      </c>
      <c r="J14" s="193">
        <v>-1.5250000000000001E-3</v>
      </c>
    </row>
    <row r="15" spans="2:10">
      <c r="B15" s="31" t="s">
        <v>151</v>
      </c>
      <c r="C15" s="183" t="s">
        <v>152</v>
      </c>
      <c r="E15" s="192" t="s">
        <v>42</v>
      </c>
      <c r="F15" s="224">
        <v>57.55</v>
      </c>
      <c r="G15" s="225"/>
      <c r="H15" s="220"/>
      <c r="I15" s="192" t="s">
        <v>49</v>
      </c>
      <c r="J15" s="193">
        <v>-1.3374999999999999E-3</v>
      </c>
    </row>
    <row r="16" spans="2:10">
      <c r="B16" s="31" t="s">
        <v>153</v>
      </c>
      <c r="C16" s="183" t="s">
        <v>117</v>
      </c>
      <c r="E16" s="192" t="s">
        <v>44</v>
      </c>
      <c r="F16" s="224">
        <v>86.39</v>
      </c>
      <c r="G16" s="225"/>
      <c r="H16" s="220"/>
      <c r="I16" s="192" t="s">
        <v>51</v>
      </c>
      <c r="J16" s="193">
        <v>-8.3750000000000003E-4</v>
      </c>
    </row>
    <row r="17" spans="2:11">
      <c r="B17" s="32" t="s">
        <v>154</v>
      </c>
      <c r="C17" s="185" t="s">
        <v>3</v>
      </c>
      <c r="E17" s="192" t="s">
        <v>46</v>
      </c>
      <c r="F17" s="224">
        <v>114.9</v>
      </c>
      <c r="G17" s="225"/>
      <c r="H17" s="220"/>
      <c r="I17" s="192" t="s">
        <v>53</v>
      </c>
      <c r="J17" s="193">
        <v>-3.8749999999999999E-4</v>
      </c>
    </row>
    <row r="18" spans="2:11">
      <c r="C18" s="174"/>
      <c r="E18" s="192" t="s">
        <v>48</v>
      </c>
      <c r="F18" s="224">
        <v>143.35</v>
      </c>
      <c r="G18" s="225"/>
      <c r="H18" s="220"/>
      <c r="I18" s="192" t="s">
        <v>54</v>
      </c>
      <c r="J18" s="193">
        <v>-6.2500000000000001E-5</v>
      </c>
    </row>
    <row r="19" spans="2:11">
      <c r="B19" s="2" t="s">
        <v>155</v>
      </c>
      <c r="C19" s="174"/>
      <c r="E19" s="192" t="s">
        <v>50</v>
      </c>
      <c r="F19" s="224">
        <v>173</v>
      </c>
      <c r="G19" s="225"/>
      <c r="H19" s="220"/>
      <c r="I19" s="192" t="s">
        <v>26</v>
      </c>
      <c r="J19" s="193">
        <v>-6.2500000000000001E-5</v>
      </c>
      <c r="K19" s="188"/>
    </row>
    <row r="20" spans="2:11">
      <c r="B20" s="28" t="s">
        <v>24</v>
      </c>
      <c r="C20" s="189" t="str">
        <f t="array" aca="1" ref="C20:C23" ca="1">IF(AND(isUSDCurveLoaded,isEURCurveLoaded),_xll.meLWOCurveCalibrate(C14,C15,C10,C16,C17),"#LOAD DEPENDENCY CURVES")</f>
        <v>EUR_XCCY_CURVE@25:2</v>
      </c>
      <c r="D20" t="s">
        <v>10</v>
      </c>
      <c r="E20" s="192" t="s">
        <v>52</v>
      </c>
      <c r="F20" s="224">
        <v>259.48</v>
      </c>
      <c r="G20" s="225"/>
      <c r="H20" s="220"/>
      <c r="I20" s="192" t="s">
        <v>27</v>
      </c>
      <c r="J20" s="193">
        <v>-6.2500000000000001E-5</v>
      </c>
      <c r="K20" s="188"/>
    </row>
    <row r="21" spans="2:11">
      <c r="B21" s="31" t="s">
        <v>156</v>
      </c>
      <c r="C21" s="190" t="str">
        <f ca="1"/>
        <v>EURYC</v>
      </c>
      <c r="D21" t="s">
        <v>10</v>
      </c>
      <c r="E21" s="192"/>
      <c r="F21" s="224"/>
      <c r="G21" s="225"/>
      <c r="H21" s="220"/>
      <c r="I21" s="186" t="s">
        <v>111</v>
      </c>
      <c r="J21" s="187">
        <v>-6.2500000000000001E-5</v>
      </c>
      <c r="K21" s="188" t="s">
        <v>112</v>
      </c>
    </row>
    <row r="22" spans="2:11">
      <c r="B22" s="31" t="s">
        <v>157</v>
      </c>
      <c r="C22" s="190" t="str">
        <f ca="1"/>
        <v>XccyBasis:EURDF_USDCSA</v>
      </c>
      <c r="D22" t="s">
        <v>10</v>
      </c>
      <c r="E22" s="192"/>
      <c r="F22" s="224"/>
      <c r="G22" s="225"/>
      <c r="H22" s="220"/>
      <c r="I22" s="192"/>
      <c r="J22" s="193"/>
    </row>
    <row r="23" spans="2:11">
      <c r="B23" s="32" t="s">
        <v>158</v>
      </c>
      <c r="C23" s="191" t="str">
        <f ca="1"/>
        <v>0.04700 sec</v>
      </c>
      <c r="D23" s="194" t="s">
        <v>10</v>
      </c>
      <c r="E23" s="195"/>
      <c r="F23" s="196"/>
      <c r="G23" s="197"/>
      <c r="H23" s="220"/>
      <c r="I23" s="195"/>
      <c r="J23" s="198"/>
    </row>
    <row r="24" spans="2:11">
      <c r="B24" s="194"/>
      <c r="C24" s="199"/>
      <c r="I24" s="1"/>
      <c r="J2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B2:E501"/>
  <sheetViews>
    <sheetView showGridLines="0" workbookViewId="0"/>
  </sheetViews>
  <sheetFormatPr defaultRowHeight="15"/>
  <cols>
    <col min="2" max="2" width="15.28515625" bestFit="1" customWidth="1"/>
    <col min="3" max="3" width="15.140625" customWidth="1"/>
    <col min="4" max="5" width="12.7109375" customWidth="1"/>
  </cols>
  <sheetData>
    <row r="2" spans="2:5">
      <c r="B2" s="2" t="s">
        <v>91</v>
      </c>
      <c r="E2" s="2" t="s">
        <v>84</v>
      </c>
    </row>
    <row r="3" spans="2:5">
      <c r="B3" s="28" t="s">
        <v>8</v>
      </c>
      <c r="C3" s="83" t="s">
        <v>3</v>
      </c>
      <c r="E3" s="83" t="s">
        <v>89</v>
      </c>
    </row>
    <row r="4" spans="2:5">
      <c r="B4" s="31" t="s">
        <v>85</v>
      </c>
      <c r="C4" s="84" t="s">
        <v>88</v>
      </c>
      <c r="E4" s="84" t="s">
        <v>90</v>
      </c>
    </row>
    <row r="5" spans="2:5">
      <c r="B5" s="31" t="s">
        <v>86</v>
      </c>
      <c r="C5" s="84" t="s">
        <v>54</v>
      </c>
      <c r="E5" s="84"/>
    </row>
    <row r="6" spans="2:5">
      <c r="B6" s="32" t="s">
        <v>87</v>
      </c>
      <c r="C6" s="85" t="s">
        <v>106</v>
      </c>
      <c r="E6" s="85"/>
    </row>
    <row r="9" spans="2:5">
      <c r="B9" s="3" t="str">
        <f t="array" aca="1" ref="B9:D501" ca="1">_xll.meLWOCurveForwardRatesTable($C$3,$E$3:$E$4,C4,C5,,,,C6)</f>
        <v>Fixing Dates</v>
      </c>
      <c r="C9" s="3" t="str">
        <f ca="1"/>
        <v>USDOIS</v>
      </c>
      <c r="D9" s="3" t="str">
        <f ca="1"/>
        <v>USD3ML</v>
      </c>
    </row>
    <row r="10" spans="2:5">
      <c r="B10" s="96">
        <f ca="1"/>
        <v>43579</v>
      </c>
      <c r="C10" s="97">
        <f ca="1"/>
        <v>1.9100000000005224E-2</v>
      </c>
      <c r="D10" s="97">
        <f ca="1"/>
        <v>2.3099867662516944E-2</v>
      </c>
      <c r="E10" s="98"/>
    </row>
    <row r="11" spans="2:5">
      <c r="B11" s="99">
        <f ca="1"/>
        <v>43609</v>
      </c>
      <c r="C11" s="100">
        <f ca="1"/>
        <v>1.9177507205272452E-2</v>
      </c>
      <c r="D11" s="100">
        <f ca="1"/>
        <v>2.336435272476476E-2</v>
      </c>
      <c r="E11" s="101"/>
    </row>
    <row r="12" spans="2:5">
      <c r="B12" s="99">
        <f ca="1"/>
        <v>43640</v>
      </c>
      <c r="C12" s="100">
        <f ca="1"/>
        <v>2.1587437051380297E-2</v>
      </c>
      <c r="D12" s="100">
        <f ca="1"/>
        <v>2.3738679899522511E-2</v>
      </c>
      <c r="E12" s="101"/>
    </row>
    <row r="13" spans="2:5">
      <c r="B13" s="99">
        <f ca="1"/>
        <v>43670</v>
      </c>
      <c r="C13" s="100">
        <f ca="1"/>
        <v>2.1382355587009703E-2</v>
      </c>
      <c r="D13" s="100">
        <f ca="1"/>
        <v>2.4609320624380371E-2</v>
      </c>
      <c r="E13" s="101"/>
    </row>
    <row r="14" spans="2:5">
      <c r="B14" s="99">
        <f ca="1"/>
        <v>43703</v>
      </c>
      <c r="C14" s="100">
        <f ca="1"/>
        <v>2.2304149423231303E-2</v>
      </c>
      <c r="D14" s="100">
        <f ca="1"/>
        <v>2.5474225339509632E-2</v>
      </c>
      <c r="E14" s="101"/>
    </row>
    <row r="15" spans="2:5">
      <c r="B15" s="99">
        <f ca="1"/>
        <v>43732</v>
      </c>
      <c r="C15" s="100">
        <f ca="1"/>
        <v>2.3560618475393452E-2</v>
      </c>
      <c r="D15" s="100">
        <f ca="1"/>
        <v>2.6164373895884364E-2</v>
      </c>
      <c r="E15" s="101"/>
    </row>
    <row r="16" spans="2:5">
      <c r="B16" s="99">
        <f ca="1"/>
        <v>43762</v>
      </c>
      <c r="C16" s="100">
        <f ca="1"/>
        <v>2.3635994258048937E-2</v>
      </c>
      <c r="D16" s="100">
        <f ca="1"/>
        <v>2.6621918935307864E-2</v>
      </c>
      <c r="E16" s="101"/>
    </row>
    <row r="17" spans="2:5">
      <c r="B17" s="99">
        <f ca="1"/>
        <v>43794</v>
      </c>
      <c r="C17" s="100">
        <f ca="1"/>
        <v>2.4496784420717874E-2</v>
      </c>
      <c r="D17" s="100">
        <f ca="1"/>
        <v>2.7098407266531895E-2</v>
      </c>
      <c r="E17" s="101"/>
    </row>
    <row r="18" spans="2:5">
      <c r="B18" s="99">
        <f ca="1"/>
        <v>43823</v>
      </c>
      <c r="C18" s="100">
        <f ca="1"/>
        <v>2.464651732135623E-2</v>
      </c>
      <c r="D18" s="100">
        <f ca="1"/>
        <v>2.7509228605737991E-2</v>
      </c>
      <c r="E18" s="101"/>
    </row>
    <row r="19" spans="2:5">
      <c r="B19" s="99">
        <f ca="1"/>
        <v>43854</v>
      </c>
      <c r="C19" s="100">
        <f ca="1"/>
        <v>2.4095640526588843E-2</v>
      </c>
      <c r="D19" s="100">
        <f ca="1"/>
        <v>2.7868478748690469E-2</v>
      </c>
      <c r="E19" s="101"/>
    </row>
    <row r="20" spans="2:5">
      <c r="B20" s="99">
        <f ca="1"/>
        <v>43885</v>
      </c>
      <c r="C20" s="100">
        <f ca="1"/>
        <v>2.3423641438560322E-2</v>
      </c>
      <c r="D20" s="100">
        <f ca="1"/>
        <v>2.8227771843458413E-2</v>
      </c>
      <c r="E20" s="101"/>
    </row>
    <row r="21" spans="2:5">
      <c r="B21" s="99">
        <f ca="1"/>
        <v>43914</v>
      </c>
      <c r="C21" s="100">
        <f ca="1"/>
        <v>2.3270017690997319E-2</v>
      </c>
      <c r="D21" s="100">
        <f ca="1"/>
        <v>2.85334280994036E-2</v>
      </c>
      <c r="E21" s="101"/>
    </row>
    <row r="22" spans="2:5">
      <c r="B22" s="99">
        <f ca="1"/>
        <v>43945</v>
      </c>
      <c r="C22" s="100">
        <f ca="1"/>
        <v>2.3672778890402396E-2</v>
      </c>
      <c r="D22" s="100">
        <f ca="1"/>
        <v>2.8735344250919059E-2</v>
      </c>
      <c r="E22" s="101"/>
    </row>
    <row r="23" spans="2:5">
      <c r="B23" s="99">
        <f ca="1"/>
        <v>43976</v>
      </c>
      <c r="C23" s="100">
        <f ca="1"/>
        <v>2.4322057010337603E-2</v>
      </c>
      <c r="D23" s="100">
        <f ca="1"/>
        <v>2.8937273967214964E-2</v>
      </c>
      <c r="E23" s="101"/>
    </row>
    <row r="24" spans="2:5">
      <c r="B24" s="99">
        <f ca="1"/>
        <v>44006</v>
      </c>
      <c r="C24" s="100">
        <f ca="1"/>
        <v>2.4900809360701801E-2</v>
      </c>
      <c r="D24" s="100">
        <f ca="1"/>
        <v>2.9109224021107848E-2</v>
      </c>
      <c r="E24" s="101"/>
    </row>
    <row r="25" spans="2:5">
      <c r="B25" s="99">
        <f ca="1"/>
        <v>44036</v>
      </c>
      <c r="C25" s="100">
        <f ca="1"/>
        <v>2.542330137851332E-2</v>
      </c>
      <c r="D25" s="100">
        <f ca="1"/>
        <v>2.9204067537473601E-2</v>
      </c>
      <c r="E25" s="101"/>
    </row>
    <row r="26" spans="2:5">
      <c r="B26" s="99">
        <f ca="1"/>
        <v>44067</v>
      </c>
      <c r="C26" s="100">
        <f ca="1"/>
        <v>2.5851515563584206E-2</v>
      </c>
      <c r="D26" s="100">
        <f ca="1"/>
        <v>2.9298459889313486E-2</v>
      </c>
      <c r="E26" s="101"/>
    </row>
    <row r="27" spans="2:5">
      <c r="B27" s="99">
        <f ca="1"/>
        <v>44098</v>
      </c>
      <c r="C27" s="100">
        <f ca="1"/>
        <v>2.6220686638893747E-2</v>
      </c>
      <c r="D27" s="100">
        <f ca="1"/>
        <v>2.9365747718407817E-2</v>
      </c>
      <c r="E27" s="101"/>
    </row>
    <row r="28" spans="2:5">
      <c r="B28" s="99">
        <f ca="1"/>
        <v>44130</v>
      </c>
      <c r="C28" s="100">
        <f ca="1"/>
        <v>2.6520964434639999E-2</v>
      </c>
      <c r="D28" s="100">
        <f ca="1"/>
        <v>2.9355915605545676E-2</v>
      </c>
      <c r="E28" s="101"/>
    </row>
    <row r="29" spans="2:5">
      <c r="B29" s="99">
        <f ca="1"/>
        <v>44159</v>
      </c>
      <c r="C29" s="100">
        <f ca="1"/>
        <v>2.6722279660811404E-2</v>
      </c>
      <c r="D29" s="100">
        <f ca="1"/>
        <v>2.9345699279997767E-2</v>
      </c>
      <c r="E29" s="101"/>
    </row>
    <row r="30" spans="2:5">
      <c r="B30" s="99">
        <f ca="1"/>
        <v>44189</v>
      </c>
      <c r="C30" s="100">
        <f ca="1"/>
        <v>2.6859797527585369E-2</v>
      </c>
      <c r="D30" s="100">
        <f ca="1"/>
        <v>2.9334129420514565E-2</v>
      </c>
      <c r="E30" s="101"/>
    </row>
    <row r="31" spans="2:5">
      <c r="B31" s="99">
        <f ca="1"/>
        <v>44221</v>
      </c>
      <c r="C31" s="100">
        <f ca="1"/>
        <v>2.6926473229105338E-2</v>
      </c>
      <c r="D31" s="100">
        <f ca="1"/>
        <v>2.9318851246313334E-2</v>
      </c>
      <c r="E31" s="101"/>
    </row>
    <row r="32" spans="2:5">
      <c r="B32" s="99">
        <f ca="1"/>
        <v>44251</v>
      </c>
      <c r="C32" s="100">
        <f ca="1"/>
        <v>2.6914364807479982E-2</v>
      </c>
      <c r="D32" s="100">
        <f ca="1"/>
        <v>2.9305736095833222E-2</v>
      </c>
      <c r="E32" s="101"/>
    </row>
    <row r="33" spans="2:5">
      <c r="B33" s="99">
        <f ca="1"/>
        <v>44279</v>
      </c>
      <c r="C33" s="100">
        <f ca="1"/>
        <v>2.6838406102474104E-2</v>
      </c>
      <c r="D33" s="100">
        <f ca="1"/>
        <v>2.9292568078230326E-2</v>
      </c>
      <c r="E33" s="101"/>
    </row>
    <row r="34" spans="2:5">
      <c r="B34" s="99">
        <f ca="1"/>
        <v>44312</v>
      </c>
      <c r="C34" s="100">
        <f ca="1"/>
        <v>2.6668031872789748E-2</v>
      </c>
      <c r="D34" s="100">
        <f ca="1"/>
        <v>2.9273632799790433E-2</v>
      </c>
      <c r="E34" s="101"/>
    </row>
    <row r="35" spans="2:5">
      <c r="B35" s="99">
        <f ca="1"/>
        <v>44340</v>
      </c>
      <c r="C35" s="100">
        <f ca="1"/>
        <v>2.6495138168156723E-2</v>
      </c>
      <c r="D35" s="100">
        <f ca="1"/>
        <v>2.9257566608182142E-2</v>
      </c>
      <c r="E35" s="101"/>
    </row>
    <row r="36" spans="2:5">
      <c r="B36" s="99">
        <f ca="1"/>
        <v>44371</v>
      </c>
      <c r="C36" s="100">
        <f ca="1"/>
        <v>2.6321599921983557E-2</v>
      </c>
      <c r="D36" s="100">
        <f ca="1"/>
        <v>2.9239007236568328E-2</v>
      </c>
      <c r="E36" s="101"/>
    </row>
    <row r="37" spans="2:5">
      <c r="B37" s="99">
        <f ca="1"/>
        <v>44403</v>
      </c>
      <c r="C37" s="100">
        <f ca="1"/>
        <v>2.616236136508308E-2</v>
      </c>
      <c r="D37" s="100">
        <f ca="1"/>
        <v>2.9217558665397454E-2</v>
      </c>
      <c r="E37" s="101"/>
    </row>
    <row r="38" spans="2:5">
      <c r="B38" s="99">
        <f ca="1"/>
        <v>44432</v>
      </c>
      <c r="C38" s="100">
        <f ca="1"/>
        <v>2.6035363410290651E-2</v>
      </c>
      <c r="D38" s="100">
        <f ca="1"/>
        <v>2.9197086118063771E-2</v>
      </c>
      <c r="E38" s="101"/>
    </row>
    <row r="39" spans="2:5">
      <c r="B39" s="99">
        <f ca="1"/>
        <v>44463</v>
      </c>
      <c r="C39" s="100">
        <f ca="1"/>
        <v>2.5916023885441768E-2</v>
      </c>
      <c r="D39" s="100">
        <f ca="1"/>
        <v>2.9174481528882485E-2</v>
      </c>
      <c r="E39" s="101"/>
    </row>
    <row r="40" spans="2:5">
      <c r="B40" s="99">
        <f ca="1"/>
        <v>44494</v>
      </c>
      <c r="C40" s="100">
        <f ca="1"/>
        <v>2.5818713959990892E-2</v>
      </c>
      <c r="D40" s="100">
        <f ca="1"/>
        <v>2.9150116592513133E-2</v>
      </c>
      <c r="E40" s="101"/>
    </row>
    <row r="41" spans="2:5">
      <c r="B41" s="99">
        <f ca="1"/>
        <v>44524</v>
      </c>
      <c r="C41" s="100">
        <f ca="1"/>
        <v>2.574084102596972E-2</v>
      </c>
      <c r="D41" s="100">
        <f ca="1"/>
        <v>2.9125584964293856E-2</v>
      </c>
      <c r="E41" s="101"/>
    </row>
    <row r="42" spans="2:5">
      <c r="B42" s="99">
        <f ca="1"/>
        <v>44554</v>
      </c>
      <c r="C42" s="100">
        <f ca="1"/>
        <v>2.5680595894179793E-2</v>
      </c>
      <c r="D42" s="100">
        <f ca="1"/>
        <v>2.9099489352665122E-2</v>
      </c>
      <c r="E42" s="101"/>
    </row>
    <row r="43" spans="2:5">
      <c r="B43" s="99">
        <f ca="1"/>
        <v>44585</v>
      </c>
      <c r="C43" s="100">
        <f ca="1"/>
        <v>2.5636626871703518E-2</v>
      </c>
      <c r="D43" s="100">
        <f ca="1"/>
        <v>2.9068832155166112E-2</v>
      </c>
      <c r="E43" s="101"/>
    </row>
    <row r="44" spans="2:5">
      <c r="B44" s="99">
        <f ca="1"/>
        <v>44616</v>
      </c>
      <c r="C44" s="100">
        <f ca="1"/>
        <v>2.5611554381699354E-2</v>
      </c>
      <c r="D44" s="100">
        <f ca="1"/>
        <v>2.9041799914897894E-2</v>
      </c>
      <c r="E44" s="101"/>
    </row>
    <row r="45" spans="2:5">
      <c r="B45" s="99">
        <f ca="1"/>
        <v>44644</v>
      </c>
      <c r="C45" s="100">
        <f ca="1"/>
        <v>2.5604918549495627E-2</v>
      </c>
      <c r="D45" s="100">
        <f ca="1"/>
        <v>2.902442471954168E-2</v>
      </c>
      <c r="E45" s="101"/>
    </row>
    <row r="46" spans="2:5">
      <c r="B46" s="99">
        <f ca="1"/>
        <v>44676</v>
      </c>
      <c r="C46" s="100">
        <f ca="1"/>
        <v>2.5616103434993411E-2</v>
      </c>
      <c r="D46" s="100">
        <f ca="1"/>
        <v>2.9036892381475655E-2</v>
      </c>
      <c r="E46" s="101"/>
    </row>
    <row r="47" spans="2:5">
      <c r="B47" s="99">
        <f ca="1"/>
        <v>44705</v>
      </c>
      <c r="C47" s="100">
        <f ca="1"/>
        <v>2.5631362634897049E-2</v>
      </c>
      <c r="D47" s="100">
        <f ca="1"/>
        <v>2.9046757549261094E-2</v>
      </c>
      <c r="E47" s="101"/>
    </row>
    <row r="48" spans="2:5">
      <c r="B48" s="99">
        <f ca="1"/>
        <v>44736</v>
      </c>
      <c r="C48" s="100">
        <f ca="1"/>
        <v>2.5639677283946317E-2</v>
      </c>
      <c r="D48" s="100">
        <f ca="1"/>
        <v>2.9047733632411907E-2</v>
      </c>
      <c r="E48" s="101"/>
    </row>
    <row r="49" spans="2:5">
      <c r="B49" s="99">
        <f ca="1"/>
        <v>44767</v>
      </c>
      <c r="C49" s="100">
        <f ca="1"/>
        <v>2.5633992959175435E-2</v>
      </c>
      <c r="D49" s="100">
        <f ca="1"/>
        <v>2.9038320471993215E-2</v>
      </c>
      <c r="E49" s="101"/>
    </row>
    <row r="50" spans="2:5">
      <c r="B50" s="99">
        <f ca="1"/>
        <v>44797</v>
      </c>
      <c r="C50" s="100">
        <f ca="1"/>
        <v>2.5620562256225644E-2</v>
      </c>
      <c r="D50" s="100">
        <f ca="1"/>
        <v>2.9018907675815615E-2</v>
      </c>
      <c r="E50" s="101"/>
    </row>
    <row r="51" spans="2:5">
      <c r="B51" s="99">
        <f ca="1"/>
        <v>44830</v>
      </c>
      <c r="C51" s="100">
        <f ca="1"/>
        <v>2.5594816471521488E-2</v>
      </c>
      <c r="D51" s="100">
        <f ca="1"/>
        <v>2.8985749925307731E-2</v>
      </c>
      <c r="E51" s="101"/>
    </row>
    <row r="52" spans="2:5">
      <c r="B52" s="99">
        <f ca="1"/>
        <v>44858</v>
      </c>
      <c r="C52" s="100">
        <f ca="1"/>
        <v>2.5563880429553355E-2</v>
      </c>
      <c r="D52" s="100">
        <f ca="1"/>
        <v>2.8947923294767034E-2</v>
      </c>
      <c r="E52" s="101"/>
    </row>
    <row r="53" spans="2:5">
      <c r="B53" s="99">
        <f ca="1"/>
        <v>44889</v>
      </c>
      <c r="C53" s="100">
        <f ca="1"/>
        <v>2.5519919306971152E-2</v>
      </c>
      <c r="D53" s="100">
        <f ca="1"/>
        <v>2.8895668120387193E-2</v>
      </c>
      <c r="E53" s="101"/>
    </row>
    <row r="54" spans="2:5">
      <c r="B54" s="99">
        <f ca="1"/>
        <v>44921</v>
      </c>
      <c r="C54" s="100">
        <f ca="1"/>
        <v>2.5463878067242353E-2</v>
      </c>
      <c r="D54" s="100">
        <f ca="1"/>
        <v>2.8830289123750363E-2</v>
      </c>
      <c r="E54" s="101"/>
    </row>
    <row r="55" spans="2:5">
      <c r="B55" s="99">
        <f ca="1"/>
        <v>44950</v>
      </c>
      <c r="C55" s="100">
        <f ca="1"/>
        <v>2.5403656015417032E-2</v>
      </c>
      <c r="D55" s="100">
        <f ca="1"/>
        <v>2.8760999818492693E-2</v>
      </c>
      <c r="E55" s="101"/>
    </row>
    <row r="56" spans="2:5">
      <c r="B56" s="99">
        <f ca="1"/>
        <v>44981</v>
      </c>
      <c r="C56" s="100">
        <f ca="1"/>
        <v>2.5328627105398828E-2</v>
      </c>
      <c r="D56" s="100">
        <f ca="1"/>
        <v>2.8677509950645441E-2</v>
      </c>
      <c r="E56" s="101"/>
    </row>
    <row r="57" spans="2:5">
      <c r="B57" s="99">
        <f ca="1"/>
        <v>45009</v>
      </c>
      <c r="C57" s="100">
        <f ca="1"/>
        <v>2.5252561926789686E-2</v>
      </c>
      <c r="D57" s="100">
        <f ca="1"/>
        <v>2.8599188727407937E-2</v>
      </c>
      <c r="E57" s="101"/>
    </row>
    <row r="58" spans="2:5">
      <c r="B58" s="99">
        <f ca="1"/>
        <v>45040</v>
      </c>
      <c r="C58" s="100">
        <f ca="1"/>
        <v>2.5160069947864575E-2</v>
      </c>
      <c r="D58" s="100">
        <f ca="1"/>
        <v>2.8516923938255646E-2</v>
      </c>
      <c r="E58" s="101"/>
    </row>
    <row r="59" spans="2:5">
      <c r="B59" s="99">
        <f ca="1"/>
        <v>45070</v>
      </c>
      <c r="C59" s="100">
        <f ca="1"/>
        <v>2.5070111540493288E-2</v>
      </c>
      <c r="D59" s="100">
        <f ca="1"/>
        <v>2.8448323389527547E-2</v>
      </c>
      <c r="E59" s="101"/>
    </row>
    <row r="60" spans="2:5">
      <c r="B60" s="99">
        <f ca="1"/>
        <v>45103</v>
      </c>
      <c r="C60" s="100">
        <f ca="1"/>
        <v>2.4986666121766452E-2</v>
      </c>
      <c r="D60" s="100">
        <f ca="1"/>
        <v>2.8387161369212814E-2</v>
      </c>
      <c r="E60" s="101"/>
    </row>
    <row r="61" spans="2:5">
      <c r="B61" s="99">
        <f ca="1"/>
        <v>45131</v>
      </c>
      <c r="C61" s="100">
        <f ca="1"/>
        <v>2.4928743805934784E-2</v>
      </c>
      <c r="D61" s="100">
        <f ca="1"/>
        <v>2.8346963679020287E-2</v>
      </c>
      <c r="E61" s="101"/>
    </row>
    <row r="62" spans="2:5">
      <c r="B62" s="99">
        <f ca="1"/>
        <v>45162</v>
      </c>
      <c r="C62" s="100">
        <f ca="1"/>
        <v>2.487833960336305E-2</v>
      </c>
      <c r="D62" s="100">
        <f ca="1"/>
        <v>2.8314924102518124E-2</v>
      </c>
      <c r="E62" s="101"/>
    </row>
    <row r="63" spans="2:5">
      <c r="B63" s="99">
        <f ca="1"/>
        <v>45194</v>
      </c>
      <c r="C63" s="100">
        <f ca="1"/>
        <v>2.4841336987032062E-2</v>
      </c>
      <c r="D63" s="100">
        <f ca="1"/>
        <v>2.8295488685490183E-2</v>
      </c>
      <c r="E63" s="101"/>
    </row>
    <row r="64" spans="2:5">
      <c r="B64" s="99">
        <f ca="1"/>
        <v>45223</v>
      </c>
      <c r="C64" s="100">
        <f ca="1"/>
        <v>2.4821102874086905E-2</v>
      </c>
      <c r="D64" s="100">
        <f ca="1"/>
        <v>2.8289743574612603E-2</v>
      </c>
      <c r="E64" s="101"/>
    </row>
    <row r="65" spans="2:5">
      <c r="B65" s="99">
        <f ca="1"/>
        <v>45254</v>
      </c>
      <c r="C65" s="100">
        <f ca="1"/>
        <v>2.4815123565228178E-2</v>
      </c>
      <c r="D65" s="100">
        <f ca="1"/>
        <v>2.8296000498802685E-2</v>
      </c>
      <c r="E65" s="101"/>
    </row>
    <row r="66" spans="2:5">
      <c r="B66" s="99">
        <f ca="1"/>
        <v>45285</v>
      </c>
      <c r="C66" s="100">
        <f ca="1"/>
        <v>2.4820077487599127E-2</v>
      </c>
      <c r="D66" s="100">
        <f ca="1"/>
        <v>2.8315097743848973E-2</v>
      </c>
      <c r="E66" s="101"/>
    </row>
    <row r="67" spans="2:5">
      <c r="B67" s="99">
        <f ca="1"/>
        <v>45315</v>
      </c>
      <c r="C67" s="100">
        <f ca="1"/>
        <v>2.484029558950385E-2</v>
      </c>
      <c r="D67" s="100">
        <f ca="1"/>
        <v>2.8345862383704852E-2</v>
      </c>
      <c r="E67" s="101"/>
    </row>
    <row r="68" spans="2:5">
      <c r="B68" s="99">
        <f ca="1"/>
        <v>45348</v>
      </c>
      <c r="C68" s="100">
        <f ca="1"/>
        <v>2.4878113819011834E-2</v>
      </c>
      <c r="D68" s="100">
        <f ca="1"/>
        <v>2.8392948116821259E-2</v>
      </c>
      <c r="E68" s="101"/>
    </row>
    <row r="69" spans="2:5">
      <c r="B69" s="99">
        <f ca="1"/>
        <v>45376</v>
      </c>
      <c r="C69" s="100">
        <f ca="1"/>
        <v>2.4922923357011951E-2</v>
      </c>
      <c r="D69" s="100">
        <f ca="1"/>
        <v>2.8440551255277675E-2</v>
      </c>
      <c r="E69" s="101"/>
    </row>
    <row r="70" spans="2:5">
      <c r="B70" s="99">
        <f ca="1"/>
        <v>45406</v>
      </c>
      <c r="C70" s="100">
        <f ca="1"/>
        <v>2.4984001628020811E-2</v>
      </c>
      <c r="D70" s="100">
        <f ca="1"/>
        <v>2.8495273293443757E-2</v>
      </c>
      <c r="E70" s="101"/>
    </row>
    <row r="71" spans="2:5">
      <c r="B71" s="99">
        <f ca="1"/>
        <v>45436</v>
      </c>
      <c r="C71" s="100">
        <f ca="1"/>
        <v>2.5054966211558314E-2</v>
      </c>
      <c r="D71" s="100">
        <f ca="1"/>
        <v>2.8550168244352917E-2</v>
      </c>
      <c r="E71" s="101"/>
    </row>
    <row r="72" spans="2:5">
      <c r="B72" s="99">
        <f ca="1"/>
        <v>45467</v>
      </c>
      <c r="C72" s="100">
        <f ca="1"/>
        <v>2.5116850589612324E-2</v>
      </c>
      <c r="D72" s="100">
        <f ca="1"/>
        <v>2.8605178434662391E-2</v>
      </c>
      <c r="E72" s="101"/>
    </row>
    <row r="73" spans="2:5">
      <c r="B73" s="99">
        <f ca="1"/>
        <v>45497</v>
      </c>
      <c r="C73" s="100">
        <f ca="1"/>
        <v>2.5177120233519874E-2</v>
      </c>
      <c r="D73" s="100">
        <f ca="1"/>
        <v>2.8655532284479857E-2</v>
      </c>
      <c r="E73" s="101"/>
    </row>
    <row r="74" spans="2:5">
      <c r="B74" s="99">
        <f ca="1"/>
        <v>45530</v>
      </c>
      <c r="C74" s="100">
        <f ca="1"/>
        <v>2.5239569131332792E-2</v>
      </c>
      <c r="D74" s="100">
        <f ca="1"/>
        <v>2.8706605969930986E-2</v>
      </c>
      <c r="E74" s="101"/>
    </row>
    <row r="75" spans="2:5">
      <c r="B75" s="99">
        <f ca="1"/>
        <v>45559</v>
      </c>
      <c r="C75" s="100">
        <f ca="1"/>
        <v>2.5291152239917333E-2</v>
      </c>
      <c r="D75" s="100">
        <f ca="1"/>
        <v>2.8748313104605846E-2</v>
      </c>
      <c r="E75" s="101"/>
    </row>
    <row r="76" spans="2:5">
      <c r="B76" s="99">
        <f ca="1"/>
        <v>45589</v>
      </c>
      <c r="C76" s="100">
        <f ca="1"/>
        <v>2.5341240785308673E-2</v>
      </c>
      <c r="D76" s="100">
        <f ca="1"/>
        <v>2.8789284191403461E-2</v>
      </c>
      <c r="E76" s="101"/>
    </row>
    <row r="77" spans="2:5">
      <c r="B77" s="99">
        <f ca="1"/>
        <v>45621</v>
      </c>
      <c r="C77" s="100">
        <f ca="1"/>
        <v>2.5391004199586106E-2</v>
      </c>
      <c r="D77" s="100">
        <f ca="1"/>
        <v>2.883143892613545E-2</v>
      </c>
      <c r="E77" s="101"/>
    </row>
    <row r="78" spans="2:5">
      <c r="B78" s="99">
        <f ca="1"/>
        <v>45650</v>
      </c>
      <c r="C78" s="100">
        <f ca="1"/>
        <v>2.5432853261641845E-2</v>
      </c>
      <c r="D78" s="100">
        <f ca="1"/>
        <v>2.8868264745192607E-2</v>
      </c>
      <c r="E78" s="101"/>
    </row>
    <row r="79" spans="2:5">
      <c r="B79" s="99">
        <f ca="1"/>
        <v>45681</v>
      </c>
      <c r="C79" s="100">
        <f ca="1"/>
        <v>2.5477216493284671E-2</v>
      </c>
      <c r="D79" s="100">
        <f ca="1"/>
        <v>2.8905886537449323E-2</v>
      </c>
      <c r="E79" s="101"/>
    </row>
    <row r="80" spans="2:5">
      <c r="B80" s="99">
        <f ca="1"/>
        <v>45712</v>
      </c>
      <c r="C80" s="100">
        <f ca="1"/>
        <v>2.5511880204543324E-2</v>
      </c>
      <c r="D80" s="100">
        <f ca="1"/>
        <v>2.8941455898525904E-2</v>
      </c>
      <c r="E80" s="101"/>
    </row>
    <row r="81" spans="2:5">
      <c r="B81" s="99">
        <f ca="1"/>
        <v>45740</v>
      </c>
      <c r="C81" s="100">
        <f ca="1"/>
        <v>2.5542933278743529E-2</v>
      </c>
      <c r="D81" s="100">
        <f ca="1"/>
        <v>2.8971836039710867E-2</v>
      </c>
      <c r="E81" s="101"/>
    </row>
    <row r="82" spans="2:5">
      <c r="B82" s="99">
        <f ca="1"/>
        <v>45771</v>
      </c>
      <c r="C82" s="100">
        <f ca="1"/>
        <v>2.5573927331020041E-2</v>
      </c>
      <c r="D82" s="100">
        <f ca="1"/>
        <v>2.9003645011855168E-2</v>
      </c>
      <c r="E82" s="101"/>
    </row>
    <row r="83" spans="2:5">
      <c r="B83" s="99">
        <f ca="1"/>
        <v>45803</v>
      </c>
      <c r="C83" s="100">
        <f ca="1"/>
        <v>2.5602195212583743E-2</v>
      </c>
      <c r="D83" s="100">
        <f ca="1"/>
        <v>2.9034545407184337E-2</v>
      </c>
      <c r="E83" s="101"/>
    </row>
    <row r="84" spans="2:5">
      <c r="B84" s="99">
        <f ca="1"/>
        <v>45832</v>
      </c>
      <c r="C84" s="100">
        <f ca="1"/>
        <v>2.5624564945769559E-2</v>
      </c>
      <c r="D84" s="100">
        <f ca="1"/>
        <v>2.906071937506206E-2</v>
      </c>
      <c r="E84" s="101"/>
    </row>
    <row r="85" spans="2:5">
      <c r="B85" s="99">
        <f ca="1"/>
        <v>45862</v>
      </c>
      <c r="C85" s="100">
        <f ca="1"/>
        <v>2.564442829505495E-2</v>
      </c>
      <c r="D85" s="100">
        <f ca="1"/>
        <v>2.9085761314649024E-2</v>
      </c>
      <c r="E85" s="101"/>
    </row>
    <row r="86" spans="2:5">
      <c r="B86" s="99">
        <f ca="1"/>
        <v>45894</v>
      </c>
      <c r="C86" s="100">
        <f ca="1"/>
        <v>2.5661949223994437E-2</v>
      </c>
      <c r="D86" s="100">
        <f ca="1"/>
        <v>2.9109995302435337E-2</v>
      </c>
      <c r="E86" s="101"/>
    </row>
    <row r="87" spans="2:5">
      <c r="B87" s="99">
        <f ca="1"/>
        <v>45924</v>
      </c>
      <c r="C87" s="100">
        <f ca="1"/>
        <v>2.567496030269709E-2</v>
      </c>
      <c r="D87" s="100">
        <f ca="1"/>
        <v>2.9130367484177112E-2</v>
      </c>
      <c r="E87" s="101"/>
    </row>
    <row r="88" spans="2:5">
      <c r="B88" s="99">
        <f ca="1"/>
        <v>45954</v>
      </c>
      <c r="C88" s="100">
        <f ca="1"/>
        <v>2.5686734392930472E-2</v>
      </c>
      <c r="D88" s="100">
        <f ca="1"/>
        <v>2.9148499447503088E-2</v>
      </c>
      <c r="E88" s="101"/>
    </row>
    <row r="89" spans="2:5">
      <c r="B89" s="99">
        <f ca="1"/>
        <v>45985</v>
      </c>
      <c r="C89" s="100">
        <f ca="1"/>
        <v>2.5691144533932266E-2</v>
      </c>
      <c r="D89" s="100">
        <f ca="1"/>
        <v>2.91649303386422E-2</v>
      </c>
      <c r="E89" s="101"/>
    </row>
    <row r="90" spans="2:5">
      <c r="B90" s="99">
        <f ca="1"/>
        <v>46015</v>
      </c>
      <c r="C90" s="100">
        <f ca="1"/>
        <v>2.5694078879730388E-2</v>
      </c>
      <c r="D90" s="100">
        <f ca="1"/>
        <v>2.9178723542602373E-2</v>
      </c>
      <c r="E90" s="101"/>
    </row>
    <row r="91" spans="2:5">
      <c r="B91" s="99">
        <f ca="1"/>
        <v>46048</v>
      </c>
      <c r="C91" s="100">
        <f ca="1"/>
        <v>2.5693453322772376E-2</v>
      </c>
      <c r="D91" s="100">
        <f ca="1"/>
        <v>2.9191676074989435E-2</v>
      </c>
      <c r="E91" s="101"/>
    </row>
    <row r="92" spans="2:5">
      <c r="B92" s="99">
        <f ca="1"/>
        <v>46077</v>
      </c>
      <c r="C92" s="100">
        <f ca="1"/>
        <v>2.5689587307584395E-2</v>
      </c>
      <c r="D92" s="100">
        <f ca="1"/>
        <v>2.9201491500421124E-2</v>
      </c>
      <c r="E92" s="101"/>
    </row>
    <row r="93" spans="2:5">
      <c r="B93" s="99">
        <f ca="1"/>
        <v>46105</v>
      </c>
      <c r="C93" s="100">
        <f ca="1"/>
        <v>2.5682928914059638E-2</v>
      </c>
      <c r="D93" s="100">
        <f ca="1"/>
        <v>2.9210678123797691E-2</v>
      </c>
      <c r="E93" s="101"/>
    </row>
    <row r="94" spans="2:5">
      <c r="B94" s="99">
        <f ca="1"/>
        <v>46136</v>
      </c>
      <c r="C94" s="100">
        <f ca="1"/>
        <v>2.5673599725763236E-2</v>
      </c>
      <c r="D94" s="100">
        <f ca="1"/>
        <v>2.9222013897652506E-2</v>
      </c>
      <c r="E94" s="101"/>
    </row>
    <row r="95" spans="2:5">
      <c r="B95" s="99">
        <f ca="1"/>
        <v>46167</v>
      </c>
      <c r="C95" s="100">
        <f ca="1"/>
        <v>2.5659985972521258E-2</v>
      </c>
      <c r="D95" s="100">
        <f ca="1"/>
        <v>2.9235966548465411E-2</v>
      </c>
      <c r="E95" s="101"/>
    </row>
    <row r="96" spans="2:5">
      <c r="B96" s="99">
        <f ca="1"/>
        <v>46197</v>
      </c>
      <c r="C96" s="100">
        <f ca="1"/>
        <v>2.5649588163259449E-2</v>
      </c>
      <c r="D96" s="100">
        <f ca="1"/>
        <v>2.9252233731249661E-2</v>
      </c>
      <c r="E96" s="101"/>
    </row>
    <row r="97" spans="2:5">
      <c r="B97" s="99">
        <f ca="1"/>
        <v>46227</v>
      </c>
      <c r="C97" s="100">
        <f ca="1"/>
        <v>2.5642146840344326E-2</v>
      </c>
      <c r="D97" s="100">
        <f ca="1"/>
        <v>2.9271127346569843E-2</v>
      </c>
      <c r="E97" s="101"/>
    </row>
    <row r="98" spans="2:5">
      <c r="B98" s="99">
        <f ca="1"/>
        <v>46258</v>
      </c>
      <c r="C98" s="100">
        <f ca="1"/>
        <v>2.5632771893203E-2</v>
      </c>
      <c r="D98" s="100">
        <f ca="1"/>
        <v>2.9293289865356592E-2</v>
      </c>
      <c r="E98" s="101"/>
    </row>
    <row r="99" spans="2:5">
      <c r="B99" s="99">
        <f ca="1"/>
        <v>46289</v>
      </c>
      <c r="C99" s="100">
        <f ca="1"/>
        <v>2.5626426902510147E-2</v>
      </c>
      <c r="D99" s="100">
        <f ca="1"/>
        <v>2.9317893049851596E-2</v>
      </c>
      <c r="E99" s="101"/>
    </row>
    <row r="100" spans="2:5">
      <c r="B100" s="99">
        <f ca="1"/>
        <v>46321</v>
      </c>
      <c r="C100" s="100">
        <f ca="1"/>
        <v>2.5621442388348729E-2</v>
      </c>
      <c r="D100" s="100">
        <f ca="1"/>
        <v>2.9345549947929074E-2</v>
      </c>
      <c r="E100" s="101"/>
    </row>
    <row r="101" spans="2:5">
      <c r="B101" s="99">
        <f ca="1"/>
        <v>46350</v>
      </c>
      <c r="C101" s="100">
        <f ca="1"/>
        <v>2.5618293904155369E-2</v>
      </c>
      <c r="D101" s="100">
        <f ca="1"/>
        <v>2.9372474837933708E-2</v>
      </c>
      <c r="E101" s="101"/>
    </row>
    <row r="102" spans="2:5">
      <c r="B102" s="99">
        <f ca="1"/>
        <v>46380</v>
      </c>
      <c r="C102" s="100">
        <f ca="1"/>
        <v>2.5616400836700772E-2</v>
      </c>
      <c r="D102" s="100">
        <f ca="1"/>
        <v>2.9402663823196909E-2</v>
      </c>
      <c r="E102" s="101"/>
    </row>
    <row r="103" spans="2:5">
      <c r="B103" s="99">
        <f ca="1"/>
        <v>46412</v>
      </c>
      <c r="C103" s="100">
        <f ca="1"/>
        <v>2.561592405616572E-2</v>
      </c>
      <c r="D103" s="100">
        <f ca="1"/>
        <v>2.9438199275612961E-2</v>
      </c>
      <c r="E103" s="101"/>
    </row>
    <row r="104" spans="2:5">
      <c r="B104" s="99">
        <f ca="1"/>
        <v>46442</v>
      </c>
      <c r="C104" s="100">
        <f ca="1"/>
        <v>2.5616917962554712E-2</v>
      </c>
      <c r="D104" s="100">
        <f ca="1"/>
        <v>2.9475008108630719E-2</v>
      </c>
      <c r="E104" s="101"/>
    </row>
    <row r="105" spans="2:5">
      <c r="B105" s="99">
        <f ca="1"/>
        <v>46470</v>
      </c>
      <c r="C105" s="100">
        <f ca="1"/>
        <v>2.561909660046479E-2</v>
      </c>
      <c r="D105" s="100">
        <f ca="1"/>
        <v>2.9511511402126371E-2</v>
      </c>
      <c r="E105" s="101"/>
    </row>
    <row r="106" spans="2:5">
      <c r="B106" s="99">
        <f ca="1"/>
        <v>46503</v>
      </c>
      <c r="C106" s="100">
        <f ca="1"/>
        <v>2.5623228568992122E-2</v>
      </c>
      <c r="D106" s="100">
        <f ca="1"/>
        <v>2.9555596928098244E-2</v>
      </c>
      <c r="E106" s="101"/>
    </row>
    <row r="107" spans="2:5">
      <c r="B107" s="99">
        <f ca="1"/>
        <v>46531</v>
      </c>
      <c r="C107" s="100">
        <f ca="1"/>
        <v>2.5628056903844055E-2</v>
      </c>
      <c r="D107" s="100">
        <f ca="1"/>
        <v>2.9592773918200182E-2</v>
      </c>
      <c r="E107" s="101"/>
    </row>
    <row r="108" spans="2:5">
      <c r="B108" s="99">
        <f ca="1"/>
        <v>46562</v>
      </c>
      <c r="C108" s="100">
        <f ca="1"/>
        <v>2.563481192702487E-2</v>
      </c>
      <c r="D108" s="100">
        <f ca="1"/>
        <v>2.9633428227670004E-2</v>
      </c>
      <c r="E108" s="101"/>
    </row>
    <row r="109" spans="2:5">
      <c r="B109" s="99">
        <f ca="1"/>
        <v>46594</v>
      </c>
      <c r="C109" s="100">
        <f ca="1"/>
        <v>2.5643351880968879E-2</v>
      </c>
      <c r="D109" s="100">
        <f ca="1"/>
        <v>2.9674869122849362E-2</v>
      </c>
      <c r="E109" s="101"/>
    </row>
    <row r="110" spans="2:5">
      <c r="B110" s="99">
        <f ca="1"/>
        <v>46623</v>
      </c>
      <c r="C110" s="100">
        <f ca="1"/>
        <v>2.5652460664935969E-2</v>
      </c>
      <c r="D110" s="100">
        <f ca="1"/>
        <v>2.9711980370024916E-2</v>
      </c>
      <c r="E110" s="101"/>
    </row>
    <row r="111" spans="2:5">
      <c r="B111" s="99">
        <f ca="1"/>
        <v>46654</v>
      </c>
      <c r="C111" s="100">
        <f ca="1"/>
        <v>2.5665846142435708E-2</v>
      </c>
      <c r="D111" s="100">
        <f ca="1"/>
        <v>2.9751138853315047E-2</v>
      </c>
      <c r="E111" s="101"/>
    </row>
    <row r="112" spans="2:5">
      <c r="B112" s="99">
        <f ca="1"/>
        <v>46685</v>
      </c>
      <c r="C112" s="100">
        <f ca="1"/>
        <v>2.5676294981856067E-2</v>
      </c>
      <c r="D112" s="100">
        <f ca="1"/>
        <v>2.9789705203285329E-2</v>
      </c>
      <c r="E112" s="101"/>
    </row>
    <row r="113" spans="2:5">
      <c r="B113" s="99">
        <f ca="1"/>
        <v>46715</v>
      </c>
      <c r="C113" s="100">
        <f ca="1"/>
        <v>2.5689967697136034E-2</v>
      </c>
      <c r="D113" s="100">
        <f ca="1"/>
        <v>2.9826444063746699E-2</v>
      </c>
      <c r="E113" s="101"/>
    </row>
    <row r="114" spans="2:5">
      <c r="B114" s="99">
        <f ca="1"/>
        <v>46745</v>
      </c>
      <c r="C114" s="100">
        <f ca="1"/>
        <v>2.5707389206629867E-2</v>
      </c>
      <c r="D114" s="100">
        <f ca="1"/>
        <v>2.9862772687136167E-2</v>
      </c>
      <c r="E114" s="101"/>
    </row>
    <row r="115" spans="2:5">
      <c r="B115" s="99">
        <f ca="1"/>
        <v>46776</v>
      </c>
      <c r="C115" s="100">
        <f ca="1"/>
        <v>2.5722057997729302E-2</v>
      </c>
      <c r="D115" s="100">
        <f ca="1"/>
        <v>2.9900108149124277E-2</v>
      </c>
      <c r="E115" s="101"/>
    </row>
    <row r="116" spans="2:5">
      <c r="B116" s="99">
        <f ca="1"/>
        <v>46807</v>
      </c>
      <c r="C116" s="100">
        <f ca="1"/>
        <v>2.5740577859916652E-2</v>
      </c>
      <c r="D116" s="100">
        <f ca="1"/>
        <v>2.9937385423404614E-2</v>
      </c>
      <c r="E116" s="101"/>
    </row>
    <row r="117" spans="2:5">
      <c r="B117" s="99">
        <f ca="1"/>
        <v>46836</v>
      </c>
      <c r="C117" s="100">
        <f ca="1"/>
        <v>2.5761754078833875E-2</v>
      </c>
      <c r="D117" s="100">
        <f ca="1"/>
        <v>2.9971981223426657E-2</v>
      </c>
      <c r="E117" s="101"/>
    </row>
    <row r="118" spans="2:5">
      <c r="B118" s="99">
        <f ca="1"/>
        <v>46867</v>
      </c>
      <c r="C118" s="100">
        <f ca="1"/>
        <v>2.5780641348763088E-2</v>
      </c>
      <c r="D118" s="100">
        <f ca="1"/>
        <v>3.000830869014531E-2</v>
      </c>
      <c r="E118" s="101"/>
    </row>
    <row r="119" spans="2:5">
      <c r="B119" s="99">
        <f ca="1"/>
        <v>46897</v>
      </c>
      <c r="C119" s="100">
        <f ca="1"/>
        <v>2.5802766961545005E-2</v>
      </c>
      <c r="D119" s="100">
        <f ca="1"/>
        <v>3.0042499768616893E-2</v>
      </c>
      <c r="E119" s="101"/>
    </row>
    <row r="120" spans="2:5">
      <c r="B120" s="99">
        <f ca="1"/>
        <v>46930</v>
      </c>
      <c r="C120" s="100">
        <f ca="1"/>
        <v>2.5828707378719298E-2</v>
      </c>
      <c r="D120" s="100">
        <f ca="1"/>
        <v>3.0078800477280801E-2</v>
      </c>
      <c r="E120" s="101"/>
    </row>
    <row r="121" spans="2:5">
      <c r="B121" s="99">
        <f ca="1"/>
        <v>46958</v>
      </c>
      <c r="C121" s="100">
        <f ca="1"/>
        <v>2.5852044962025155E-2</v>
      </c>
      <c r="D121" s="100">
        <f ca="1"/>
        <v>3.0108395674028239E-2</v>
      </c>
      <c r="E121" s="101"/>
    </row>
    <row r="122" spans="2:5">
      <c r="B122" s="99">
        <f ca="1"/>
        <v>46989</v>
      </c>
      <c r="C122" s="100">
        <f ca="1"/>
        <v>2.5879299300251409E-2</v>
      </c>
      <c r="D122" s="100">
        <f ca="1"/>
        <v>3.0139721633786986E-2</v>
      </c>
      <c r="E122" s="101"/>
    </row>
    <row r="123" spans="2:5">
      <c r="B123" s="99">
        <f ca="1"/>
        <v>47021</v>
      </c>
      <c r="C123" s="100">
        <f ca="1"/>
        <v>2.590898590823984E-2</v>
      </c>
      <c r="D123" s="100">
        <f ca="1"/>
        <v>3.0170261887980769E-2</v>
      </c>
      <c r="E123" s="101"/>
    </row>
    <row r="124" spans="2:5">
      <c r="B124" s="99">
        <f ca="1"/>
        <v>47050</v>
      </c>
      <c r="C124" s="100">
        <f ca="1"/>
        <v>2.5937263916255046E-2</v>
      </c>
      <c r="D124" s="100">
        <f ca="1"/>
        <v>3.0196166755939009E-2</v>
      </c>
      <c r="E124" s="101"/>
    </row>
    <row r="125" spans="2:5">
      <c r="B125" s="99">
        <f ca="1"/>
        <v>47081</v>
      </c>
      <c r="C125" s="100">
        <f ca="1"/>
        <v>2.5971853458061446E-2</v>
      </c>
      <c r="D125" s="100">
        <f ca="1"/>
        <v>3.0221910238451697E-2</v>
      </c>
      <c r="E125" s="101"/>
    </row>
    <row r="126" spans="2:5">
      <c r="B126" s="99">
        <f ca="1"/>
        <v>47112</v>
      </c>
      <c r="C126" s="100">
        <f ca="1"/>
        <v>2.6002084954775226E-2</v>
      </c>
      <c r="D126" s="100">
        <f ca="1"/>
        <v>3.0246138539833187E-2</v>
      </c>
      <c r="E126" s="101"/>
    </row>
    <row r="127" spans="2:5">
      <c r="B127" s="99">
        <f ca="1"/>
        <v>47142</v>
      </c>
      <c r="C127" s="100">
        <f ca="1"/>
        <v>2.60355907730551E-2</v>
      </c>
      <c r="D127" s="100">
        <f ca="1"/>
        <v>3.0268779538245041E-2</v>
      </c>
      <c r="E127" s="101"/>
    </row>
    <row r="128" spans="2:5">
      <c r="B128" s="99">
        <f ca="1"/>
        <v>47175</v>
      </c>
      <c r="C128" s="100">
        <f ca="1"/>
        <v>2.6074055107572578E-2</v>
      </c>
      <c r="D128" s="100">
        <f ca="1"/>
        <v>3.029328671877736E-2</v>
      </c>
      <c r="E128" s="101"/>
    </row>
    <row r="129" spans="2:5">
      <c r="B129" s="99">
        <f ca="1"/>
        <v>47203</v>
      </c>
      <c r="C129" s="100">
        <f ca="1"/>
        <v>2.6108002592955343E-2</v>
      </c>
      <c r="D129" s="100">
        <f ca="1"/>
        <v>3.0313404576631439E-2</v>
      </c>
      <c r="E129" s="101"/>
    </row>
    <row r="130" spans="2:5">
      <c r="B130" s="99">
        <f ca="1"/>
        <v>47232</v>
      </c>
      <c r="C130" s="100">
        <f ca="1"/>
        <v>2.6144441987656995E-2</v>
      </c>
      <c r="D130" s="100">
        <f ca="1"/>
        <v>3.0333041430806337E-2</v>
      </c>
      <c r="E130" s="101"/>
    </row>
    <row r="131" spans="2:5">
      <c r="B131" s="99">
        <f ca="1"/>
        <v>47262</v>
      </c>
      <c r="C131" s="100">
        <f ca="1"/>
        <v>2.6181701593314559E-2</v>
      </c>
      <c r="D131" s="100">
        <f ca="1"/>
        <v>3.0351639989907728E-2</v>
      </c>
      <c r="E131" s="101"/>
    </row>
    <row r="132" spans="2:5">
      <c r="B132" s="99">
        <f ca="1"/>
        <v>47294</v>
      </c>
      <c r="C132" s="100">
        <f ca="1"/>
        <v>2.6218547614731757E-2</v>
      </c>
      <c r="D132" s="100">
        <f ca="1"/>
        <v>3.0369780745065574E-2</v>
      </c>
      <c r="E132" s="101"/>
    </row>
    <row r="133" spans="2:5">
      <c r="B133" s="99">
        <f ca="1"/>
        <v>47323</v>
      </c>
      <c r="C133" s="100">
        <f ca="1"/>
        <v>2.6249327438301665E-2</v>
      </c>
      <c r="D133" s="100">
        <f ca="1"/>
        <v>3.0385094650875511E-2</v>
      </c>
      <c r="E133" s="101"/>
    </row>
    <row r="134" spans="2:5">
      <c r="B134" s="99">
        <f ca="1"/>
        <v>47354</v>
      </c>
      <c r="C134" s="100">
        <f ca="1"/>
        <v>2.6282340861342565E-2</v>
      </c>
      <c r="D134" s="100">
        <f ca="1"/>
        <v>3.0400525359596708E-2</v>
      </c>
      <c r="E134" s="101"/>
    </row>
    <row r="135" spans="2:5">
      <c r="B135" s="99">
        <f ca="1"/>
        <v>47385</v>
      </c>
      <c r="C135" s="100">
        <f ca="1"/>
        <v>2.630686054635617E-2</v>
      </c>
      <c r="D135" s="100">
        <f ca="1"/>
        <v>3.0414432442598994E-2</v>
      </c>
      <c r="E135" s="101"/>
    </row>
    <row r="136" spans="2:5">
      <c r="B136" s="99">
        <f ca="1"/>
        <v>47415</v>
      </c>
      <c r="C136" s="100">
        <f ca="1"/>
        <v>2.6330646422647923E-2</v>
      </c>
      <c r="D136" s="100">
        <f ca="1"/>
        <v>3.0425690858946183E-2</v>
      </c>
      <c r="E136" s="101"/>
    </row>
    <row r="137" spans="2:5">
      <c r="B137" s="99">
        <f ca="1"/>
        <v>47448</v>
      </c>
      <c r="C137" s="100">
        <f ca="1"/>
        <v>2.6353759856454818E-2</v>
      </c>
      <c r="D137" s="100">
        <f ca="1"/>
        <v>3.0434979550286224E-2</v>
      </c>
      <c r="E137" s="101"/>
    </row>
    <row r="138" spans="2:5">
      <c r="B138" s="99">
        <f ca="1"/>
        <v>47476</v>
      </c>
      <c r="C138" s="100">
        <f ca="1"/>
        <v>2.6370877701436299E-2</v>
      </c>
      <c r="D138" s="100">
        <f ca="1"/>
        <v>3.0440782047622184E-2</v>
      </c>
      <c r="E138" s="101"/>
    </row>
    <row r="139" spans="2:5">
      <c r="B139" s="99">
        <f ca="1"/>
        <v>47507</v>
      </c>
      <c r="C139" s="100">
        <f ca="1"/>
        <v>2.638713521469192E-2</v>
      </c>
      <c r="D139" s="100">
        <f ca="1"/>
        <v>3.0445777144027918E-2</v>
      </c>
      <c r="E139" s="101"/>
    </row>
    <row r="140" spans="2:5">
      <c r="B140" s="99">
        <f ca="1"/>
        <v>47539</v>
      </c>
      <c r="C140" s="100">
        <f ca="1"/>
        <v>2.6400952912557819E-2</v>
      </c>
      <c r="D140" s="100">
        <f ca="1"/>
        <v>3.045011479623894E-2</v>
      </c>
      <c r="E140" s="101"/>
    </row>
    <row r="141" spans="2:5">
      <c r="B141" s="99">
        <f ca="1"/>
        <v>47567</v>
      </c>
      <c r="C141" s="100">
        <f ca="1"/>
        <v>2.6410590588015516E-2</v>
      </c>
      <c r="D141" s="100">
        <f ca="1"/>
        <v>3.0453357663003677E-2</v>
      </c>
      <c r="E141" s="101"/>
    </row>
    <row r="142" spans="2:5">
      <c r="B142" s="99">
        <f ca="1"/>
        <v>47597</v>
      </c>
      <c r="C142" s="100">
        <f ca="1"/>
        <v>2.6418354254605127E-2</v>
      </c>
      <c r="D142" s="100">
        <f ca="1"/>
        <v>3.0456200349974333E-2</v>
      </c>
      <c r="E142" s="101"/>
    </row>
    <row r="143" spans="2:5">
      <c r="B143" s="99">
        <f ca="1"/>
        <v>47627</v>
      </c>
      <c r="C143" s="100">
        <f ca="1"/>
        <v>2.6425539017469777E-2</v>
      </c>
      <c r="D143" s="100">
        <f ca="1"/>
        <v>3.0458247735126297E-2</v>
      </c>
      <c r="E143" s="101"/>
    </row>
    <row r="144" spans="2:5">
      <c r="B144" s="99">
        <f ca="1"/>
        <v>47658</v>
      </c>
      <c r="C144" s="100">
        <f ca="1"/>
        <v>2.6426004204238882E-2</v>
      </c>
      <c r="D144" s="100">
        <f ca="1"/>
        <v>3.0458952752841075E-2</v>
      </c>
      <c r="E144" s="101"/>
    </row>
    <row r="145" spans="2:5">
      <c r="B145" s="99">
        <f ca="1"/>
        <v>47688</v>
      </c>
      <c r="C145" s="100">
        <f ca="1"/>
        <v>2.6425755260989781E-2</v>
      </c>
      <c r="D145" s="100">
        <f ca="1"/>
        <v>3.0457590227899276E-2</v>
      </c>
      <c r="E145" s="101"/>
    </row>
    <row r="146" spans="2:5">
      <c r="B146" s="99">
        <f ca="1"/>
        <v>47721</v>
      </c>
      <c r="C146" s="100">
        <f ca="1"/>
        <v>2.6422429679499593E-2</v>
      </c>
      <c r="D146" s="100">
        <f ca="1"/>
        <v>3.0453199543329958E-2</v>
      </c>
      <c r="E146" s="101"/>
    </row>
    <row r="147" spans="2:5">
      <c r="B147" s="99">
        <f ca="1"/>
        <v>47750</v>
      </c>
      <c r="C147" s="100">
        <f ca="1"/>
        <v>2.6416882116753505E-2</v>
      </c>
      <c r="D147" s="100">
        <f ca="1"/>
        <v>3.0447195957583734E-2</v>
      </c>
      <c r="E147" s="101"/>
    </row>
    <row r="148" spans="2:5">
      <c r="B148" s="99">
        <f ca="1"/>
        <v>47780</v>
      </c>
      <c r="C148" s="100">
        <f ca="1"/>
        <v>2.6408536231810366E-2</v>
      </c>
      <c r="D148" s="100">
        <f ca="1"/>
        <v>3.0439459489307208E-2</v>
      </c>
      <c r="E148" s="101"/>
    </row>
    <row r="149" spans="2:5">
      <c r="B149" s="99">
        <f ca="1"/>
        <v>47812</v>
      </c>
      <c r="C149" s="100">
        <f ca="1"/>
        <v>2.6396717281511922E-2</v>
      </c>
      <c r="D149" s="100">
        <f ca="1"/>
        <v>3.0430043511698496E-2</v>
      </c>
      <c r="E149" s="101"/>
    </row>
    <row r="150" spans="2:5">
      <c r="B150" s="99">
        <f ca="1"/>
        <v>47841</v>
      </c>
      <c r="C150" s="100">
        <f ca="1"/>
        <v>2.6383422792961891E-2</v>
      </c>
      <c r="D150" s="100">
        <f ca="1"/>
        <v>3.0420471154113789E-2</v>
      </c>
      <c r="E150" s="101"/>
    </row>
    <row r="151" spans="2:5">
      <c r="B151" s="99">
        <f ca="1"/>
        <v>47872</v>
      </c>
      <c r="C151" s="100">
        <f ca="1"/>
        <v>2.6367807500122076E-2</v>
      </c>
      <c r="D151" s="100">
        <f ca="1"/>
        <v>3.0408959204123814E-2</v>
      </c>
      <c r="E151" s="101"/>
    </row>
    <row r="152" spans="2:5">
      <c r="B152" s="99">
        <f ca="1"/>
        <v>47903</v>
      </c>
      <c r="C152" s="100">
        <f ca="1"/>
        <v>2.6346697892161475E-2</v>
      </c>
      <c r="D152" s="100">
        <f ca="1"/>
        <v>3.0396041365613091E-2</v>
      </c>
      <c r="E152" s="101"/>
    </row>
    <row r="153" spans="2:5">
      <c r="B153" s="99">
        <f ca="1"/>
        <v>47931</v>
      </c>
      <c r="C153" s="100">
        <f ca="1"/>
        <v>2.6326429474097572E-2</v>
      </c>
      <c r="D153" s="100">
        <f ca="1"/>
        <v>3.0383565443599776E-2</v>
      </c>
      <c r="E153" s="101"/>
    </row>
    <row r="154" spans="2:5">
      <c r="B154" s="99">
        <f ca="1"/>
        <v>47962</v>
      </c>
      <c r="C154" s="100">
        <f ca="1"/>
        <v>2.630130097171551E-2</v>
      </c>
      <c r="D154" s="100">
        <f ca="1"/>
        <v>3.0369483672422821E-2</v>
      </c>
      <c r="E154" s="101"/>
    </row>
    <row r="155" spans="2:5">
      <c r="B155" s="99">
        <f ca="1"/>
        <v>47994</v>
      </c>
      <c r="C155" s="100">
        <f ca="1"/>
        <v>2.6273728306107968E-2</v>
      </c>
      <c r="D155" s="100">
        <f ca="1"/>
        <v>3.0355247049424192E-2</v>
      </c>
      <c r="E155" s="101"/>
    </row>
    <row r="156" spans="2:5">
      <c r="B156" s="99">
        <f ca="1"/>
        <v>48023</v>
      </c>
      <c r="C156" s="100">
        <f ca="1"/>
        <v>2.6249043357719409E-2</v>
      </c>
      <c r="D156" s="100">
        <f ca="1"/>
        <v>3.0342653566509375E-2</v>
      </c>
      <c r="E156" s="101"/>
    </row>
    <row r="157" spans="2:5">
      <c r="B157" s="99">
        <f ca="1"/>
        <v>48053</v>
      </c>
      <c r="C157" s="100">
        <f ca="1"/>
        <v>2.6223832778478402E-2</v>
      </c>
      <c r="D157" s="100">
        <f ca="1"/>
        <v>3.0329803305565325E-2</v>
      </c>
      <c r="E157" s="101"/>
    </row>
    <row r="158" spans="2:5">
      <c r="B158" s="99">
        <f ca="1"/>
        <v>48085</v>
      </c>
      <c r="C158" s="100">
        <f ca="1"/>
        <v>2.6197303058074661E-2</v>
      </c>
      <c r="D158" s="100">
        <f ca="1"/>
        <v>3.0316166273693167E-2</v>
      </c>
      <c r="E158" s="101"/>
    </row>
    <row r="159" spans="2:5">
      <c r="B159" s="99">
        <f ca="1"/>
        <v>48115</v>
      </c>
      <c r="C159" s="100">
        <f ca="1"/>
        <v>2.6172764049153047E-2</v>
      </c>
      <c r="D159" s="100">
        <f ca="1"/>
        <v>3.0303417419928397E-2</v>
      </c>
      <c r="E159" s="101"/>
    </row>
    <row r="160" spans="2:5">
      <c r="B160" s="99">
        <f ca="1"/>
        <v>48145</v>
      </c>
      <c r="C160" s="100">
        <f ca="1"/>
        <v>2.6149648742343309E-2</v>
      </c>
      <c r="D160" s="100">
        <f ca="1"/>
        <v>3.0290706032883509E-2</v>
      </c>
      <c r="E160" s="101"/>
    </row>
    <row r="161" spans="2:5">
      <c r="B161" s="99">
        <f ca="1"/>
        <v>48176</v>
      </c>
      <c r="C161" s="100">
        <f ca="1"/>
        <v>2.6123872276282791E-2</v>
      </c>
      <c r="D161" s="100">
        <f ca="1"/>
        <v>3.0277628595397635E-2</v>
      </c>
      <c r="E161" s="101"/>
    </row>
    <row r="162" spans="2:5">
      <c r="B162" s="99">
        <f ca="1"/>
        <v>48206</v>
      </c>
      <c r="C162" s="100">
        <f ca="1"/>
        <v>2.6100318489601732E-2</v>
      </c>
      <c r="D162" s="100">
        <f ca="1"/>
        <v>3.0265123208571495E-2</v>
      </c>
      <c r="E162" s="101"/>
    </row>
    <row r="163" spans="2:5">
      <c r="B163" s="99">
        <f ca="1"/>
        <v>48239</v>
      </c>
      <c r="C163" s="100">
        <f ca="1"/>
        <v>2.6074787418504473E-2</v>
      </c>
      <c r="D163" s="100">
        <f ca="1"/>
        <v>3.0251678159892239E-2</v>
      </c>
      <c r="E163" s="101"/>
    </row>
    <row r="164" spans="2:5">
      <c r="B164" s="99">
        <f ca="1"/>
        <v>48268</v>
      </c>
      <c r="C164" s="100">
        <f ca="1"/>
        <v>2.6052676128905196E-2</v>
      </c>
      <c r="D164" s="100">
        <f ca="1"/>
        <v>3.0240231687956854E-2</v>
      </c>
      <c r="E164" s="101"/>
    </row>
    <row r="165" spans="2:5">
      <c r="B165" s="99">
        <f ca="1"/>
        <v>48297</v>
      </c>
      <c r="C165" s="100">
        <f ca="1"/>
        <v>2.6030866745262813E-2</v>
      </c>
      <c r="D165" s="100">
        <f ca="1"/>
        <v>3.0229145399411884E-2</v>
      </c>
      <c r="E165" s="101"/>
    </row>
    <row r="166" spans="2:5">
      <c r="B166" s="99">
        <f ca="1"/>
        <v>48330</v>
      </c>
      <c r="C166" s="100">
        <f ca="1"/>
        <v>2.6006420836765319E-2</v>
      </c>
      <c r="D166" s="100">
        <f ca="1"/>
        <v>3.0216958908480803E-2</v>
      </c>
      <c r="E166" s="101"/>
    </row>
    <row r="167" spans="2:5">
      <c r="B167" s="99">
        <f ca="1"/>
        <v>48358</v>
      </c>
      <c r="C167" s="100">
        <f ca="1"/>
        <v>2.5985987597248284E-2</v>
      </c>
      <c r="D167" s="100">
        <f ca="1"/>
        <v>3.020695970243048E-2</v>
      </c>
      <c r="E167" s="101"/>
    </row>
    <row r="168" spans="2:5">
      <c r="B168" s="99">
        <f ca="1"/>
        <v>48389</v>
      </c>
      <c r="C168" s="100">
        <f ca="1"/>
        <v>2.5963693522182245E-2</v>
      </c>
      <c r="D168" s="100">
        <f ca="1"/>
        <v>3.0196186251495439E-2</v>
      </c>
      <c r="E168" s="101"/>
    </row>
    <row r="169" spans="2:5">
      <c r="B169" s="99">
        <f ca="1"/>
        <v>48421</v>
      </c>
      <c r="C169" s="100">
        <f ca="1"/>
        <v>2.5941046606079817E-2</v>
      </c>
      <c r="D169" s="100">
        <f ca="1"/>
        <v>3.0185303078828378E-2</v>
      </c>
      <c r="E169" s="101"/>
    </row>
    <row r="170" spans="2:5">
      <c r="B170" s="99">
        <f ca="1"/>
        <v>48450</v>
      </c>
      <c r="C170" s="100">
        <f ca="1"/>
        <v>2.5920842526790222E-2</v>
      </c>
      <c r="D170" s="100">
        <f ca="1"/>
        <v>3.0175560476516802E-2</v>
      </c>
      <c r="E170" s="101"/>
    </row>
    <row r="171" spans="2:5">
      <c r="B171" s="99">
        <f ca="1"/>
        <v>48481</v>
      </c>
      <c r="C171" s="100">
        <f ca="1"/>
        <v>2.5900762342826816E-2</v>
      </c>
      <c r="D171" s="100">
        <f ca="1"/>
        <v>3.0165137999506368E-2</v>
      </c>
      <c r="E171" s="101"/>
    </row>
    <row r="172" spans="2:5">
      <c r="B172" s="99">
        <f ca="1"/>
        <v>48512</v>
      </c>
      <c r="C172" s="100">
        <f ca="1"/>
        <v>2.5878664891805632E-2</v>
      </c>
      <c r="D172" s="100">
        <f ca="1"/>
        <v>3.0154558296050207E-2</v>
      </c>
      <c r="E172" s="101"/>
    </row>
    <row r="173" spans="2:5">
      <c r="B173" s="99">
        <f ca="1"/>
        <v>48542</v>
      </c>
      <c r="C173" s="100">
        <f ca="1"/>
        <v>2.5858756193355825E-2</v>
      </c>
      <c r="D173" s="100">
        <f ca="1"/>
        <v>3.0144107369980414E-2</v>
      </c>
      <c r="E173" s="101"/>
    </row>
    <row r="174" spans="2:5">
      <c r="B174" s="99">
        <f ca="1"/>
        <v>48572</v>
      </c>
      <c r="C174" s="100">
        <f ca="1"/>
        <v>2.5840378107849074E-2</v>
      </c>
      <c r="D174" s="100">
        <f ca="1"/>
        <v>3.0133746219350388E-2</v>
      </c>
      <c r="E174" s="101"/>
    </row>
    <row r="175" spans="2:5">
      <c r="B175" s="99">
        <f ca="1"/>
        <v>48603</v>
      </c>
      <c r="C175" s="100">
        <f ca="1"/>
        <v>2.5819275702878969E-2</v>
      </c>
      <c r="D175" s="100">
        <f ca="1"/>
        <v>3.0123556207848731E-2</v>
      </c>
      <c r="E175" s="101"/>
    </row>
    <row r="176" spans="2:5">
      <c r="B176" s="99">
        <f ca="1"/>
        <v>48634</v>
      </c>
      <c r="C176" s="100">
        <f ca="1"/>
        <v>2.5799728459854752E-2</v>
      </c>
      <c r="D176" s="100">
        <f ca="1"/>
        <v>3.0114220717869053E-2</v>
      </c>
      <c r="E176" s="101"/>
    </row>
    <row r="177" spans="2:5">
      <c r="B177" s="99">
        <f ca="1"/>
        <v>48662</v>
      </c>
      <c r="C177" s="100">
        <f ca="1"/>
        <v>2.578236952476539E-2</v>
      </c>
      <c r="D177" s="100">
        <f ca="1"/>
        <v>3.0106384130954233E-2</v>
      </c>
      <c r="E177" s="101"/>
    </row>
    <row r="178" spans="2:5">
      <c r="B178" s="99">
        <f ca="1"/>
        <v>48694</v>
      </c>
      <c r="C178" s="100">
        <f ca="1"/>
        <v>2.5762879427805543E-2</v>
      </c>
      <c r="D178" s="100">
        <f ca="1"/>
        <v>3.0097801663518227E-2</v>
      </c>
      <c r="E178" s="101"/>
    </row>
    <row r="179" spans="2:5">
      <c r="B179" s="99">
        <f ca="1"/>
        <v>48723</v>
      </c>
      <c r="C179" s="100">
        <f ca="1"/>
        <v>2.574553642509159E-2</v>
      </c>
      <c r="D179" s="100">
        <f ca="1"/>
        <v>3.0090128988254663E-2</v>
      </c>
      <c r="E179" s="101"/>
    </row>
    <row r="180" spans="2:5">
      <c r="B180" s="99">
        <f ca="1"/>
        <v>48754</v>
      </c>
      <c r="C180" s="100">
        <f ca="1"/>
        <v>2.57285886460338E-2</v>
      </c>
      <c r="D180" s="100">
        <f ca="1"/>
        <v>3.0082024629722471E-2</v>
      </c>
      <c r="E180" s="101"/>
    </row>
    <row r="181" spans="2:5">
      <c r="B181" s="99">
        <f ca="1"/>
        <v>48785</v>
      </c>
      <c r="C181" s="100">
        <f ca="1"/>
        <v>2.5709475545832451E-2</v>
      </c>
      <c r="D181" s="100">
        <f ca="1"/>
        <v>3.0074083955702321E-2</v>
      </c>
      <c r="E181" s="101"/>
    </row>
    <row r="182" spans="2:5">
      <c r="B182" s="99">
        <f ca="1"/>
        <v>48815</v>
      </c>
      <c r="C182" s="100">
        <f ca="1"/>
        <v>2.5692526493590752E-2</v>
      </c>
      <c r="D182" s="100">
        <f ca="1"/>
        <v>3.0066580111928295E-2</v>
      </c>
      <c r="E182" s="101"/>
    </row>
    <row r="183" spans="2:5">
      <c r="B183" s="99">
        <f ca="1"/>
        <v>48848</v>
      </c>
      <c r="C183" s="100">
        <f ca="1"/>
        <v>2.5674256039401194E-2</v>
      </c>
      <c r="D183" s="100">
        <f ca="1"/>
        <v>3.0058367615802564E-2</v>
      </c>
      <c r="E183" s="101"/>
    </row>
    <row r="184" spans="2:5">
      <c r="B184" s="99">
        <f ca="1"/>
        <v>48876</v>
      </c>
      <c r="C184" s="100">
        <f ca="1"/>
        <v>2.5659064101533499E-2</v>
      </c>
      <c r="D184" s="100">
        <f ca="1"/>
        <v>3.0051261624392506E-2</v>
      </c>
      <c r="E184" s="101"/>
    </row>
    <row r="185" spans="2:5">
      <c r="B185" s="99">
        <f ca="1"/>
        <v>48907</v>
      </c>
      <c r="C185" s="100">
        <f ca="1"/>
        <v>2.5642575188754745E-2</v>
      </c>
      <c r="D185" s="100">
        <f ca="1"/>
        <v>3.0043150587758843E-2</v>
      </c>
      <c r="E185" s="101"/>
    </row>
    <row r="186" spans="2:5">
      <c r="B186" s="99">
        <f ca="1"/>
        <v>48939</v>
      </c>
      <c r="C186" s="100">
        <f ca="1"/>
        <v>2.5625916589678156E-2</v>
      </c>
      <c r="D186" s="100">
        <f ca="1"/>
        <v>3.0034862919561419E-2</v>
      </c>
      <c r="E186" s="101"/>
    </row>
    <row r="187" spans="2:5">
      <c r="B187" s="99">
        <f ca="1"/>
        <v>48968</v>
      </c>
      <c r="C187" s="100">
        <f ca="1"/>
        <v>2.5611141090470409E-2</v>
      </c>
      <c r="D187" s="100">
        <f ca="1"/>
        <v>3.0027848515235617E-2</v>
      </c>
      <c r="E187" s="101"/>
    </row>
    <row r="188" spans="2:5">
      <c r="B188" s="99">
        <f ca="1"/>
        <v>48999</v>
      </c>
      <c r="C188" s="100">
        <f ca="1"/>
        <v>2.5597009860673158E-2</v>
      </c>
      <c r="D188" s="100">
        <f ca="1"/>
        <v>3.0021185325977345E-2</v>
      </c>
      <c r="E188" s="101"/>
    </row>
    <row r="189" spans="2:5">
      <c r="B189" s="99">
        <f ca="1"/>
        <v>49027</v>
      </c>
      <c r="C189" s="100">
        <f ca="1"/>
        <v>2.5583352173712989E-2</v>
      </c>
      <c r="D189" s="100">
        <f ca="1"/>
        <v>3.0015659695160721E-2</v>
      </c>
      <c r="E189" s="101"/>
    </row>
    <row r="190" spans="2:5">
      <c r="B190" s="99">
        <f ca="1"/>
        <v>49058</v>
      </c>
      <c r="C190" s="100">
        <f ca="1"/>
        <v>2.5567218655741106E-2</v>
      </c>
      <c r="D190" s="100">
        <f ca="1"/>
        <v>3.0009634876909698E-2</v>
      </c>
      <c r="E190" s="101"/>
    </row>
    <row r="191" spans="2:5">
      <c r="B191" s="99">
        <f ca="1"/>
        <v>49088</v>
      </c>
      <c r="C191" s="100">
        <f ca="1"/>
        <v>2.5553116143127056E-2</v>
      </c>
      <c r="D191" s="100">
        <f ca="1"/>
        <v>3.0003518109920989E-2</v>
      </c>
      <c r="E191" s="101"/>
    </row>
    <row r="192" spans="2:5">
      <c r="B192" s="99">
        <f ca="1"/>
        <v>49121</v>
      </c>
      <c r="C192" s="100">
        <f ca="1"/>
        <v>2.5537688117150296E-2</v>
      </c>
      <c r="D192" s="100">
        <f ca="1"/>
        <v>2.9996415297384754E-2</v>
      </c>
      <c r="E192" s="101"/>
    </row>
    <row r="193" spans="2:5">
      <c r="B193" s="99">
        <f ca="1"/>
        <v>49149</v>
      </c>
      <c r="C193" s="100">
        <f ca="1"/>
        <v>2.552466823629685E-2</v>
      </c>
      <c r="D193" s="100">
        <f ca="1"/>
        <v>2.9990140361313148E-2</v>
      </c>
      <c r="E193" s="101"/>
    </row>
    <row r="194" spans="2:5">
      <c r="B194" s="99">
        <f ca="1"/>
        <v>49180</v>
      </c>
      <c r="C194" s="100">
        <f ca="1"/>
        <v>2.551032857164116E-2</v>
      </c>
      <c r="D194" s="100">
        <f ca="1"/>
        <v>2.9982955636137312E-2</v>
      </c>
      <c r="E194" s="101"/>
    </row>
    <row r="195" spans="2:5">
      <c r="B195" s="99">
        <f ca="1"/>
        <v>49212</v>
      </c>
      <c r="C195" s="100">
        <f ca="1"/>
        <v>2.5495608613109077E-2</v>
      </c>
      <c r="D195" s="100">
        <f ca="1"/>
        <v>2.997512669587998E-2</v>
      </c>
      <c r="E195" s="101"/>
    </row>
    <row r="196" spans="2:5">
      <c r="B196" s="99">
        <f ca="1"/>
        <v>49241</v>
      </c>
      <c r="C196" s="100">
        <f ca="1"/>
        <v>2.5482342144545381E-2</v>
      </c>
      <c r="D196" s="100">
        <f ca="1"/>
        <v>2.9967493315218474E-2</v>
      </c>
      <c r="E196" s="101"/>
    </row>
    <row r="197" spans="2:5">
      <c r="B197" s="99">
        <f ca="1"/>
        <v>49272</v>
      </c>
      <c r="C197" s="100">
        <f ca="1"/>
        <v>2.5469585481805904E-2</v>
      </c>
      <c r="D197" s="100">
        <f ca="1"/>
        <v>2.9958671957095243E-2</v>
      </c>
      <c r="E197" s="101"/>
    </row>
    <row r="198" spans="2:5">
      <c r="B198" s="99">
        <f ca="1"/>
        <v>49303</v>
      </c>
      <c r="C198" s="100">
        <f ca="1"/>
        <v>2.5454210988660648E-2</v>
      </c>
      <c r="D198" s="100">
        <f ca="1"/>
        <v>2.9949502224321998E-2</v>
      </c>
      <c r="E198" s="101"/>
    </row>
    <row r="199" spans="2:5">
      <c r="B199" s="99">
        <f ca="1"/>
        <v>49333</v>
      </c>
      <c r="C199" s="100">
        <f ca="1"/>
        <v>2.5440712902571792E-2</v>
      </c>
      <c r="D199" s="100">
        <f ca="1"/>
        <v>2.9940736220883699E-2</v>
      </c>
      <c r="E199" s="101"/>
    </row>
    <row r="200" spans="2:5">
      <c r="B200" s="99">
        <f ca="1"/>
        <v>49366</v>
      </c>
      <c r="C200" s="100">
        <f ca="1"/>
        <v>2.5425950642740974E-2</v>
      </c>
      <c r="D200" s="100">
        <f ca="1"/>
        <v>2.9931582173435264E-2</v>
      </c>
      <c r="E200" s="101"/>
    </row>
    <row r="201" spans="2:5">
      <c r="B201" s="99">
        <f ca="1"/>
        <v>49394</v>
      </c>
      <c r="C201" s="100">
        <f ca="1"/>
        <v>2.5413494761407151E-2</v>
      </c>
      <c r="D201" s="100">
        <f ca="1"/>
        <v>2.9924012422086147E-2</v>
      </c>
      <c r="E201" s="101"/>
    </row>
    <row r="202" spans="2:5">
      <c r="B202" s="99">
        <f ca="1"/>
        <v>49423</v>
      </c>
      <c r="C202" s="100">
        <f ca="1"/>
        <v>2.5400662620297446E-2</v>
      </c>
      <c r="D202" s="100">
        <f ca="1"/>
        <v>2.9916030715500353E-2</v>
      </c>
      <c r="E202" s="101"/>
    </row>
    <row r="203" spans="2:5">
      <c r="B203" s="99">
        <f ca="1"/>
        <v>49453</v>
      </c>
      <c r="C203" s="100">
        <f ca="1"/>
        <v>2.5387460928557648E-2</v>
      </c>
      <c r="D203" s="100">
        <f ca="1"/>
        <v>2.9907365738225018E-2</v>
      </c>
      <c r="E203" s="101"/>
    </row>
    <row r="204" spans="2:5">
      <c r="B204" s="99">
        <f ca="1"/>
        <v>49485</v>
      </c>
      <c r="C204" s="100">
        <f ca="1"/>
        <v>2.5373460012098961E-2</v>
      </c>
      <c r="D204" s="100">
        <f ca="1"/>
        <v>2.9897846566345511E-2</v>
      </c>
      <c r="E204" s="101"/>
    </row>
    <row r="205" spans="2:5">
      <c r="B205" s="99">
        <f ca="1"/>
        <v>49514</v>
      </c>
      <c r="C205" s="100">
        <f ca="1"/>
        <v>2.5360845053054068E-2</v>
      </c>
      <c r="D205" s="100">
        <f ca="1"/>
        <v>2.9889257657448678E-2</v>
      </c>
      <c r="E205" s="101"/>
    </row>
    <row r="206" spans="2:5">
      <c r="B206" s="99">
        <f ca="1"/>
        <v>49545</v>
      </c>
      <c r="C206" s="100">
        <f ca="1"/>
        <v>2.5348790210052759E-2</v>
      </c>
      <c r="D206" s="100">
        <f ca="1"/>
        <v>2.9880292023949491E-2</v>
      </c>
      <c r="E206" s="101"/>
    </row>
    <row r="207" spans="2:5">
      <c r="B207" s="99">
        <f ca="1"/>
        <v>49576</v>
      </c>
      <c r="C207" s="100">
        <f ca="1"/>
        <v>2.5334106774422854E-2</v>
      </c>
      <c r="D207" s="100">
        <f ca="1"/>
        <v>2.9871121454341624E-2</v>
      </c>
      <c r="E207" s="101"/>
    </row>
    <row r="208" spans="2:5">
      <c r="B208" s="99">
        <f ca="1"/>
        <v>49606</v>
      </c>
      <c r="C208" s="100">
        <f ca="1"/>
        <v>2.532128273067593E-2</v>
      </c>
      <c r="D208" s="100">
        <f ca="1"/>
        <v>2.9861475679863421E-2</v>
      </c>
      <c r="E208" s="101"/>
    </row>
    <row r="209" spans="2:5">
      <c r="B209" s="99">
        <f ca="1"/>
        <v>49639</v>
      </c>
      <c r="C209" s="100">
        <f ca="1"/>
        <v>2.5307261896070198E-2</v>
      </c>
      <c r="D209" s="100">
        <f ca="1"/>
        <v>2.9849537307928213E-2</v>
      </c>
      <c r="E209" s="101"/>
    </row>
    <row r="210" spans="2:5">
      <c r="B210" s="99">
        <f ca="1"/>
        <v>49667</v>
      </c>
      <c r="C210" s="100">
        <f ca="1"/>
        <v>2.5295435033813051E-2</v>
      </c>
      <c r="D210" s="100">
        <f ca="1"/>
        <v>2.9838699332811518E-2</v>
      </c>
      <c r="E210" s="101"/>
    </row>
    <row r="211" spans="2:5">
      <c r="B211" s="99">
        <f ca="1"/>
        <v>49698</v>
      </c>
      <c r="C211" s="100">
        <f ca="1"/>
        <v>2.5282416824822244E-2</v>
      </c>
      <c r="D211" s="100">
        <f ca="1"/>
        <v>2.9826588417642425E-2</v>
      </c>
      <c r="E211" s="101"/>
    </row>
    <row r="212" spans="2:5">
      <c r="B212" s="99">
        <f ca="1"/>
        <v>49730</v>
      </c>
      <c r="C212" s="100">
        <f ca="1"/>
        <v>2.5269061926275201E-2</v>
      </c>
      <c r="D212" s="100">
        <f ca="1"/>
        <v>2.9814549363432932E-2</v>
      </c>
      <c r="E212" s="101"/>
    </row>
    <row r="213" spans="2:5">
      <c r="B213" s="99">
        <f ca="1"/>
        <v>49758</v>
      </c>
      <c r="C213" s="100">
        <f ca="1"/>
        <v>2.5257444822723737E-2</v>
      </c>
      <c r="D213" s="100">
        <f ca="1"/>
        <v>2.9804355189591611E-2</v>
      </c>
      <c r="E213" s="101"/>
    </row>
    <row r="214" spans="2:5">
      <c r="B214" s="99">
        <f ca="1"/>
        <v>49789</v>
      </c>
      <c r="C214" s="100">
        <f ca="1"/>
        <v>2.5244658767901149E-2</v>
      </c>
      <c r="D214" s="100">
        <f ca="1"/>
        <v>2.9793171878376896E-2</v>
      </c>
      <c r="E214" s="101"/>
    </row>
    <row r="215" spans="2:5">
      <c r="B215" s="99">
        <f ca="1"/>
        <v>49821</v>
      </c>
      <c r="C215" s="100">
        <f ca="1"/>
        <v>2.5231543470093355E-2</v>
      </c>
      <c r="D215" s="100">
        <f ca="1"/>
        <v>2.9781476284076978E-2</v>
      </c>
      <c r="E215" s="101"/>
    </row>
    <row r="216" spans="2:5">
      <c r="B216" s="99">
        <f ca="1"/>
        <v>49850</v>
      </c>
      <c r="C216" s="100">
        <f ca="1"/>
        <v>2.5219729827469201E-2</v>
      </c>
      <c r="D216" s="100">
        <f ca="1"/>
        <v>2.9770649821379599E-2</v>
      </c>
      <c r="E216" s="101"/>
    </row>
    <row r="217" spans="2:5">
      <c r="B217" s="99">
        <f ca="1"/>
        <v>49880</v>
      </c>
      <c r="C217" s="100">
        <f ca="1"/>
        <v>2.5207582142019382E-2</v>
      </c>
      <c r="D217" s="100">
        <f ca="1"/>
        <v>2.9759180631873126E-2</v>
      </c>
      <c r="E217" s="101"/>
    </row>
    <row r="218" spans="2:5">
      <c r="B218" s="99">
        <f ca="1"/>
        <v>49912</v>
      </c>
      <c r="C218" s="100">
        <f ca="1"/>
        <v>2.5194706497708653E-2</v>
      </c>
      <c r="D218" s="100">
        <f ca="1"/>
        <v>2.9746601508775623E-2</v>
      </c>
      <c r="E218" s="101"/>
    </row>
    <row r="219" spans="2:5">
      <c r="B219" s="99">
        <f ca="1"/>
        <v>49942</v>
      </c>
      <c r="C219" s="100">
        <f ca="1"/>
        <v>2.5182711400105705E-2</v>
      </c>
      <c r="D219" s="100">
        <f ca="1"/>
        <v>2.9734461870359916E-2</v>
      </c>
      <c r="E219" s="101"/>
    </row>
    <row r="220" spans="2:5">
      <c r="B220" s="99">
        <f ca="1"/>
        <v>49972</v>
      </c>
      <c r="C220" s="100">
        <f ca="1"/>
        <v>2.5172154761811436E-2</v>
      </c>
      <c r="D220" s="100">
        <f ca="1"/>
        <v>2.9721970632372401E-2</v>
      </c>
      <c r="E220" s="101"/>
    </row>
    <row r="221" spans="2:5">
      <c r="B221" s="99">
        <f ca="1"/>
        <v>50003</v>
      </c>
      <c r="C221" s="100">
        <f ca="1"/>
        <v>2.5158551017611053E-2</v>
      </c>
      <c r="D221" s="100">
        <f ca="1"/>
        <v>2.970869443288943E-2</v>
      </c>
      <c r="E221" s="101"/>
    </row>
    <row r="222" spans="2:5">
      <c r="B222" s="99">
        <f ca="1"/>
        <v>50033</v>
      </c>
      <c r="C222" s="100">
        <f ca="1"/>
        <v>2.5146780589106993E-2</v>
      </c>
      <c r="D222" s="100">
        <f ca="1"/>
        <v>2.9695577701811918E-2</v>
      </c>
      <c r="E222" s="101"/>
    </row>
    <row r="223" spans="2:5">
      <c r="B223" s="99">
        <f ca="1"/>
        <v>50066</v>
      </c>
      <c r="C223" s="100">
        <f ca="1"/>
        <v>2.5133919304781635E-2</v>
      </c>
      <c r="D223" s="100">
        <f ca="1"/>
        <v>2.96809805655893E-2</v>
      </c>
      <c r="E223" s="101"/>
    </row>
    <row r="224" spans="2:5">
      <c r="B224" s="99">
        <f ca="1"/>
        <v>50095</v>
      </c>
      <c r="C224" s="100">
        <f ca="1"/>
        <v>2.5122690979232292E-2</v>
      </c>
      <c r="D224" s="100">
        <f ca="1"/>
        <v>2.9668104856218742E-2</v>
      </c>
      <c r="E224" s="101"/>
    </row>
    <row r="225" spans="2:5">
      <c r="B225" s="99">
        <f ca="1"/>
        <v>50123</v>
      </c>
      <c r="C225" s="100">
        <f ca="1"/>
        <v>2.5111914933384494E-2</v>
      </c>
      <c r="D225" s="100">
        <f ca="1"/>
        <v>2.9655647275307083E-2</v>
      </c>
      <c r="E225" s="101"/>
    </row>
    <row r="226" spans="2:5">
      <c r="B226" s="99">
        <f ca="1"/>
        <v>50154</v>
      </c>
      <c r="C226" s="100">
        <f ca="1"/>
        <v>2.5101429066617702E-2</v>
      </c>
      <c r="D226" s="100">
        <f ca="1"/>
        <v>2.96418212428456E-2</v>
      </c>
      <c r="E226" s="101"/>
    </row>
    <row r="227" spans="2:5">
      <c r="B227" s="99">
        <f ca="1"/>
        <v>50185</v>
      </c>
      <c r="C227" s="100">
        <f ca="1"/>
        <v>2.5088284527704417E-2</v>
      </c>
      <c r="D227" s="100">
        <f ca="1"/>
        <v>2.9627941684628935E-2</v>
      </c>
      <c r="E227" s="101"/>
    </row>
    <row r="228" spans="2:5">
      <c r="B228" s="99">
        <f ca="1"/>
        <v>50215</v>
      </c>
      <c r="C228" s="100">
        <f ca="1"/>
        <v>2.5076963439637404E-2</v>
      </c>
      <c r="D228" s="100">
        <f ca="1"/>
        <v>2.9614372728306883E-2</v>
      </c>
      <c r="E228" s="101"/>
    </row>
    <row r="229" spans="2:5">
      <c r="B229" s="99">
        <f ca="1"/>
        <v>50245</v>
      </c>
      <c r="C229" s="100">
        <f ca="1"/>
        <v>2.5067088603637804E-2</v>
      </c>
      <c r="D229" s="100">
        <f ca="1"/>
        <v>2.960056236864736E-2</v>
      </c>
      <c r="E229" s="101"/>
    </row>
    <row r="230" spans="2:5">
      <c r="B230" s="99">
        <f ca="1"/>
        <v>50276</v>
      </c>
      <c r="C230" s="100">
        <f ca="1"/>
        <v>2.505417351297157E-2</v>
      </c>
      <c r="D230" s="100">
        <f ca="1"/>
        <v>2.9585940894961107E-2</v>
      </c>
      <c r="E230" s="101"/>
    </row>
    <row r="231" spans="2:5">
      <c r="B231" s="99">
        <f ca="1"/>
        <v>50307</v>
      </c>
      <c r="C231" s="100">
        <f ca="1"/>
        <v>2.504270849739465E-2</v>
      </c>
      <c r="D231" s="100">
        <f ca="1"/>
        <v>2.9570941502204278E-2</v>
      </c>
      <c r="E231" s="101"/>
    </row>
    <row r="232" spans="2:5">
      <c r="B232" s="99">
        <f ca="1"/>
        <v>50339</v>
      </c>
      <c r="C232" s="100">
        <f ca="1"/>
        <v>2.5030957221122578E-2</v>
      </c>
      <c r="D232" s="100">
        <f ca="1"/>
        <v>2.9555066052808391E-2</v>
      </c>
      <c r="E232" s="101"/>
    </row>
    <row r="233" spans="2:5">
      <c r="B233" s="99">
        <f ca="1"/>
        <v>50368</v>
      </c>
      <c r="C233" s="100">
        <f ca="1"/>
        <v>2.5020380427121944E-2</v>
      </c>
      <c r="D233" s="100">
        <f ca="1"/>
        <v>2.9540353103490201E-2</v>
      </c>
      <c r="E233" s="101"/>
    </row>
    <row r="234" spans="2:5">
      <c r="B234" s="99">
        <f ca="1"/>
        <v>50398</v>
      </c>
      <c r="C234" s="100">
        <f ca="1"/>
        <v>2.5009511133256983E-2</v>
      </c>
      <c r="D234" s="100">
        <f ca="1"/>
        <v>2.9524889605066641E-2</v>
      </c>
      <c r="E234" s="101"/>
    </row>
    <row r="235" spans="2:5">
      <c r="B235" s="99">
        <f ca="1"/>
        <v>50430</v>
      </c>
      <c r="C235" s="100">
        <f ca="1"/>
        <v>2.4997999457532318E-2</v>
      </c>
      <c r="D235" s="100">
        <f ca="1"/>
        <v>2.9508235494132385E-2</v>
      </c>
      <c r="E235" s="101"/>
    </row>
    <row r="236" spans="2:5">
      <c r="B236" s="99">
        <f ca="1"/>
        <v>50460</v>
      </c>
      <c r="C236" s="100">
        <f ca="1"/>
        <v>2.4987283876789602E-2</v>
      </c>
      <c r="D236" s="100">
        <f ca="1"/>
        <v>2.9492563016319872E-2</v>
      </c>
      <c r="E236" s="101"/>
    </row>
    <row r="237" spans="2:5">
      <c r="B237" s="99">
        <f ca="1"/>
        <v>50488</v>
      </c>
      <c r="C237" s="100">
        <f ca="1"/>
        <v>2.4977348902218553E-2</v>
      </c>
      <c r="D237" s="100">
        <f ca="1"/>
        <v>2.9477895942079519E-2</v>
      </c>
      <c r="E237" s="101"/>
    </row>
    <row r="238" spans="2:5">
      <c r="B238" s="99">
        <f ca="1"/>
        <v>50521</v>
      </c>
      <c r="C238" s="100">
        <f ca="1"/>
        <v>2.4965723220041609E-2</v>
      </c>
      <c r="D238" s="100">
        <f ca="1"/>
        <v>2.9460551320026042E-2</v>
      </c>
      <c r="E238" s="101"/>
    </row>
    <row r="239" spans="2:5">
      <c r="B239" s="99">
        <f ca="1"/>
        <v>50549</v>
      </c>
      <c r="C239" s="100">
        <f ca="1"/>
        <v>2.4955929406921106E-2</v>
      </c>
      <c r="D239" s="100">
        <f ca="1"/>
        <v>2.9445769378908155E-2</v>
      </c>
      <c r="E239" s="101"/>
    </row>
    <row r="240" spans="2:5">
      <c r="B240" s="99">
        <f ca="1"/>
        <v>50580</v>
      </c>
      <c r="C240" s="100">
        <f ca="1"/>
        <v>2.4945160893160408E-2</v>
      </c>
      <c r="D240" s="100">
        <f ca="1"/>
        <v>2.9429272514791664E-2</v>
      </c>
      <c r="E240" s="101"/>
    </row>
    <row r="241" spans="2:5">
      <c r="B241" s="99">
        <f ca="1"/>
        <v>50612</v>
      </c>
      <c r="C241" s="100">
        <f ca="1"/>
        <v>2.4934128561791946E-2</v>
      </c>
      <c r="D241" s="100">
        <f ca="1"/>
        <v>2.9412016786474298E-2</v>
      </c>
      <c r="E241" s="101"/>
    </row>
    <row r="242" spans="2:5">
      <c r="B242" s="99">
        <f ca="1"/>
        <v>50641</v>
      </c>
      <c r="C242" s="100">
        <f ca="1"/>
        <v>2.4924203292945143E-2</v>
      </c>
      <c r="D242" s="100">
        <f ca="1"/>
        <v>2.939610207057498E-2</v>
      </c>
      <c r="E242" s="101"/>
    </row>
    <row r="243" spans="2:5">
      <c r="B243" s="99">
        <f ca="1"/>
        <v>50672</v>
      </c>
      <c r="C243" s="100">
        <f ca="1"/>
        <v>2.4915055089273247E-2</v>
      </c>
      <c r="D243" s="100">
        <f ca="1"/>
        <v>2.9378694111169074E-2</v>
      </c>
      <c r="E243" s="101"/>
    </row>
    <row r="244" spans="2:5">
      <c r="B244" s="99">
        <f ca="1"/>
        <v>50703</v>
      </c>
      <c r="C244" s="100">
        <f ca="1"/>
        <v>2.4903215163438908E-2</v>
      </c>
      <c r="D244" s="100">
        <f ca="1"/>
        <v>2.9360763830647962E-2</v>
      </c>
      <c r="E244" s="101"/>
    </row>
    <row r="245" spans="2:5">
      <c r="B245" s="99">
        <f ca="1"/>
        <v>50733</v>
      </c>
      <c r="C245" s="100">
        <f ca="1"/>
        <v>2.4893173557923681E-2</v>
      </c>
      <c r="D245" s="100">
        <f ca="1"/>
        <v>2.9342869287534542E-2</v>
      </c>
      <c r="E245" s="101"/>
    </row>
    <row r="246" spans="2:5">
      <c r="B246" s="99">
        <f ca="1"/>
        <v>50763</v>
      </c>
      <c r="C246" s="100">
        <f ca="1"/>
        <v>2.4884594493787299E-2</v>
      </c>
      <c r="D246" s="100">
        <f ca="1"/>
        <v>2.932468202287088E-2</v>
      </c>
      <c r="E246" s="101"/>
    </row>
    <row r="247" spans="2:5">
      <c r="B247" s="99">
        <f ca="1"/>
        <v>50794</v>
      </c>
      <c r="C247" s="100">
        <f ca="1"/>
        <v>2.4872983725877457E-2</v>
      </c>
      <c r="D247" s="100">
        <f ca="1"/>
        <v>2.930592002756378E-2</v>
      </c>
      <c r="E247" s="101"/>
    </row>
    <row r="248" spans="2:5">
      <c r="B248" s="99">
        <f ca="1"/>
        <v>50825</v>
      </c>
      <c r="C248" s="100">
        <f ca="1"/>
        <v>2.4862840953143926E-2</v>
      </c>
      <c r="D248" s="100">
        <f ca="1"/>
        <v>2.9287467136908822E-2</v>
      </c>
      <c r="E248" s="101"/>
    </row>
    <row r="249" spans="2:5">
      <c r="B249" s="99">
        <f ca="1"/>
        <v>50853</v>
      </c>
      <c r="C249" s="100">
        <f ca="1"/>
        <v>2.4853746648506387E-2</v>
      </c>
      <c r="D249" s="100">
        <f ca="1"/>
        <v>2.9271014190561599E-2</v>
      </c>
      <c r="E249" s="101"/>
    </row>
    <row r="250" spans="2:5">
      <c r="B250" s="99">
        <f ca="1"/>
        <v>50885</v>
      </c>
      <c r="C250" s="100">
        <f ca="1"/>
        <v>2.4843432106805632E-2</v>
      </c>
      <c r="D250" s="100">
        <f ca="1"/>
        <v>2.9252293204594475E-2</v>
      </c>
      <c r="E250" s="101"/>
    </row>
    <row r="251" spans="2:5">
      <c r="B251" s="99">
        <f ca="1"/>
        <v>50914</v>
      </c>
      <c r="C251" s="100">
        <f ca="1"/>
        <v>2.4833972158381019E-2</v>
      </c>
      <c r="D251" s="100">
        <f ca="1"/>
        <v>2.9235276611669428E-2</v>
      </c>
      <c r="E251" s="101"/>
    </row>
    <row r="252" spans="2:5">
      <c r="B252" s="99">
        <f ca="1"/>
        <v>50945</v>
      </c>
      <c r="C252" s="100">
        <f ca="1"/>
        <v>2.4824878000037378E-2</v>
      </c>
      <c r="D252" s="100">
        <f ca="1"/>
        <v>2.9217016517868854E-2</v>
      </c>
      <c r="E252" s="101"/>
    </row>
    <row r="253" spans="2:5">
      <c r="B253" s="99">
        <f ca="1"/>
        <v>50976</v>
      </c>
      <c r="C253" s="100">
        <f ca="1"/>
        <v>2.4812683766020322E-2</v>
      </c>
      <c r="D253" s="100">
        <f ca="1"/>
        <v>2.9198704603006845E-2</v>
      </c>
      <c r="E253" s="101"/>
    </row>
    <row r="254" spans="2:5">
      <c r="B254" s="99">
        <f ca="1"/>
        <v>51006</v>
      </c>
      <c r="C254" s="100">
        <f ca="1"/>
        <v>2.4801861463637824E-2</v>
      </c>
      <c r="D254" s="100">
        <f ca="1"/>
        <v>2.9180946054879711E-2</v>
      </c>
      <c r="E254" s="101"/>
    </row>
    <row r="255" spans="2:5">
      <c r="B255" s="99">
        <f ca="1"/>
        <v>51039</v>
      </c>
      <c r="C255" s="100">
        <f ca="1"/>
        <v>2.4789566527416963E-2</v>
      </c>
      <c r="D255" s="100">
        <f ca="1"/>
        <v>2.9161341832044177E-2</v>
      </c>
      <c r="E255" s="101"/>
    </row>
    <row r="256" spans="2:5">
      <c r="B256" s="99">
        <f ca="1"/>
        <v>51067</v>
      </c>
      <c r="C256" s="100">
        <f ca="1"/>
        <v>2.4778811550859352E-2</v>
      </c>
      <c r="D256" s="100">
        <f ca="1"/>
        <v>2.9144619762542425E-2</v>
      </c>
      <c r="E256" s="101"/>
    </row>
    <row r="257" spans="2:5">
      <c r="B257" s="99">
        <f ca="1"/>
        <v>51098</v>
      </c>
      <c r="C257" s="100">
        <f ca="1"/>
        <v>2.4766559375105388E-2</v>
      </c>
      <c r="D257" s="100">
        <f ca="1"/>
        <v>2.9126000266392948E-2</v>
      </c>
      <c r="E257" s="101"/>
    </row>
    <row r="258" spans="2:5">
      <c r="B258" s="99">
        <f ca="1"/>
        <v>51130</v>
      </c>
      <c r="C258" s="100">
        <f ca="1"/>
        <v>2.475353324173343E-2</v>
      </c>
      <c r="D258" s="100">
        <f ca="1"/>
        <v>2.9106763104640242E-2</v>
      </c>
      <c r="E258" s="101"/>
    </row>
    <row r="259" spans="2:5">
      <c r="B259" s="99">
        <f ca="1"/>
        <v>51159</v>
      </c>
      <c r="C259" s="100">
        <f ca="1"/>
        <v>2.4741393747843309E-2</v>
      </c>
      <c r="D259" s="100">
        <f ca="1"/>
        <v>2.9089429161801867E-2</v>
      </c>
      <c r="E259" s="101"/>
    </row>
    <row r="260" spans="2:5">
      <c r="B260" s="99">
        <f ca="1"/>
        <v>51190</v>
      </c>
      <c r="C260" s="100">
        <f ca="1"/>
        <v>2.4729328692131586E-2</v>
      </c>
      <c r="D260" s="100">
        <f ca="1"/>
        <v>2.9071099340695454E-2</v>
      </c>
      <c r="E260" s="101"/>
    </row>
    <row r="261" spans="2:5">
      <c r="B261" s="99">
        <f ca="1"/>
        <v>51221</v>
      </c>
      <c r="C261" s="100">
        <f ca="1"/>
        <v>2.4714377620268242E-2</v>
      </c>
      <c r="D261" s="100">
        <f ca="1"/>
        <v>2.9052948231999658E-2</v>
      </c>
      <c r="E261" s="101"/>
    </row>
    <row r="262" spans="2:5">
      <c r="B262" s="99">
        <f ca="1"/>
        <v>51250</v>
      </c>
      <c r="C262" s="100">
        <f ca="1"/>
        <v>2.470124316362593E-2</v>
      </c>
      <c r="D262" s="100">
        <f ca="1"/>
        <v>2.903607345799436E-2</v>
      </c>
      <c r="E262" s="101"/>
    </row>
    <row r="263" spans="2:5">
      <c r="B263" s="99">
        <f ca="1"/>
        <v>51280</v>
      </c>
      <c r="C263" s="100">
        <f ca="1"/>
        <v>2.468732193470469E-2</v>
      </c>
      <c r="D263" s="100">
        <f ca="1"/>
        <v>2.9018690770002634E-2</v>
      </c>
      <c r="E263" s="101"/>
    </row>
    <row r="264" spans="2:5">
      <c r="B264" s="99">
        <f ca="1"/>
        <v>51312</v>
      </c>
      <c r="C264" s="100">
        <f ca="1"/>
        <v>2.4672099906666651E-2</v>
      </c>
      <c r="D264" s="100">
        <f ca="1"/>
        <v>2.900032543940928E-2</v>
      </c>
      <c r="E264" s="101"/>
    </row>
    <row r="265" spans="2:5">
      <c r="B265" s="99">
        <f ca="1"/>
        <v>51341</v>
      </c>
      <c r="C265" s="100">
        <f ca="1"/>
        <v>2.4657970475761376E-2</v>
      </c>
      <c r="D265" s="100">
        <f ca="1"/>
        <v>2.8983955374076081E-2</v>
      </c>
      <c r="E265" s="101"/>
    </row>
    <row r="266" spans="2:5">
      <c r="B266" s="99">
        <f ca="1"/>
        <v>51372</v>
      </c>
      <c r="C266" s="100">
        <f ca="1"/>
        <v>2.4643697916887655E-2</v>
      </c>
      <c r="D266" s="100">
        <f ca="1"/>
        <v>2.896678814589803E-2</v>
      </c>
      <c r="E266" s="101"/>
    </row>
    <row r="267" spans="2:5">
      <c r="B267" s="99">
        <f ca="1"/>
        <v>51403</v>
      </c>
      <c r="C267" s="100">
        <f ca="1"/>
        <v>2.4626700006938583E-2</v>
      </c>
      <c r="D267" s="100">
        <f ca="1"/>
        <v>2.8949627173051447E-2</v>
      </c>
      <c r="E267" s="101"/>
    </row>
    <row r="268" spans="2:5">
      <c r="B268" s="99">
        <f ca="1"/>
        <v>51433</v>
      </c>
      <c r="C268" s="100">
        <f ca="1"/>
        <v>2.4611048380623567E-2</v>
      </c>
      <c r="D268" s="100">
        <f ca="1"/>
        <v>2.893259852886752E-2</v>
      </c>
      <c r="E268" s="101"/>
    </row>
    <row r="269" spans="2:5">
      <c r="B269" s="99">
        <f ca="1"/>
        <v>51466</v>
      </c>
      <c r="C269" s="100">
        <f ca="1"/>
        <v>2.4593439561260925E-2</v>
      </c>
      <c r="D269" s="100">
        <f ca="1"/>
        <v>2.8913051148750014E-2</v>
      </c>
      <c r="E269" s="101"/>
    </row>
    <row r="270" spans="2:5">
      <c r="B270" s="99">
        <f ca="1"/>
        <v>51494</v>
      </c>
      <c r="C270" s="100">
        <f ca="1"/>
        <v>2.4578177930501762E-2</v>
      </c>
      <c r="D270" s="100">
        <f ca="1"/>
        <v>2.8896070770650508E-2</v>
      </c>
      <c r="E270" s="101"/>
    </row>
    <row r="271" spans="2:5">
      <c r="B271" s="99">
        <f ca="1"/>
        <v>51525</v>
      </c>
      <c r="C271" s="100">
        <f ca="1"/>
        <v>2.4560935420761751E-2</v>
      </c>
      <c r="D271" s="100">
        <f ca="1"/>
        <v>2.8877317229925641E-2</v>
      </c>
      <c r="E271" s="101"/>
    </row>
    <row r="272" spans="2:5">
      <c r="B272" s="99">
        <f ca="1"/>
        <v>51557</v>
      </c>
      <c r="C272" s="100">
        <f ca="1"/>
        <v>2.4542756125252786E-2</v>
      </c>
      <c r="D272" s="100">
        <f ca="1"/>
        <v>2.8858460545892639E-2</v>
      </c>
      <c r="E272" s="101"/>
    </row>
    <row r="273" spans="2:5">
      <c r="B273" s="99">
        <f ca="1"/>
        <v>51585</v>
      </c>
      <c r="C273" s="100">
        <f ca="1"/>
        <v>2.4526533618843181E-2</v>
      </c>
      <c r="D273" s="100">
        <f ca="1"/>
        <v>2.8842486128166318E-2</v>
      </c>
      <c r="E273" s="101"/>
    </row>
    <row r="274" spans="2:5">
      <c r="B274" s="99">
        <f ca="1"/>
        <v>51615</v>
      </c>
      <c r="C274" s="100">
        <f ca="1"/>
        <v>2.4508823521885621E-2</v>
      </c>
      <c r="D274" s="100">
        <f ca="1"/>
        <v>2.8825921101505631E-2</v>
      </c>
      <c r="E274" s="101"/>
    </row>
    <row r="275" spans="2:5">
      <c r="B275" s="99">
        <f ca="1"/>
        <v>51645</v>
      </c>
      <c r="C275" s="100">
        <f ca="1"/>
        <v>2.4491832405094952E-2</v>
      </c>
      <c r="D275" s="100">
        <f ca="1"/>
        <v>2.8809866489142352E-2</v>
      </c>
      <c r="E275" s="101"/>
    </row>
    <row r="276" spans="2:5">
      <c r="B276" s="99">
        <f ca="1"/>
        <v>51676</v>
      </c>
      <c r="C276" s="100">
        <f ca="1"/>
        <v>2.4471767335126515E-2</v>
      </c>
      <c r="D276" s="100">
        <f ca="1"/>
        <v>2.8793409809025353E-2</v>
      </c>
      <c r="E276" s="101"/>
    </row>
    <row r="277" spans="2:5">
      <c r="B277" s="99">
        <f ca="1"/>
        <v>51706</v>
      </c>
      <c r="C277" s="100">
        <f ca="1"/>
        <v>2.4453027883904434E-2</v>
      </c>
      <c r="D277" s="100">
        <f ca="1"/>
        <v>2.8777123524614201E-2</v>
      </c>
      <c r="E277" s="101"/>
    </row>
    <row r="278" spans="2:5">
      <c r="B278" s="99">
        <f ca="1"/>
        <v>51739</v>
      </c>
      <c r="C278" s="100">
        <f ca="1"/>
        <v>2.443202245334079E-2</v>
      </c>
      <c r="D278" s="100">
        <f ca="1"/>
        <v>2.8758386910859222E-2</v>
      </c>
      <c r="E278" s="101"/>
    </row>
    <row r="279" spans="2:5">
      <c r="B279" s="99">
        <f ca="1"/>
        <v>51768</v>
      </c>
      <c r="C279" s="100">
        <f ca="1"/>
        <v>2.4413225308699965E-2</v>
      </c>
      <c r="D279" s="100">
        <f ca="1"/>
        <v>2.8741454833153372E-2</v>
      </c>
      <c r="E279" s="101"/>
    </row>
    <row r="280" spans="2:5">
      <c r="B280" s="99">
        <f ca="1"/>
        <v>51798</v>
      </c>
      <c r="C280" s="100">
        <f ca="1"/>
        <v>2.4393445439837142E-2</v>
      </c>
      <c r="D280" s="100">
        <f ca="1"/>
        <v>2.872388657084202E-2</v>
      </c>
      <c r="E280" s="101"/>
    </row>
    <row r="281" spans="2:5">
      <c r="B281" s="99">
        <f ca="1"/>
        <v>51830</v>
      </c>
      <c r="C281" s="100">
        <f ca="1"/>
        <v>2.4371972450210729E-2</v>
      </c>
      <c r="D281" s="100">
        <f ca="1"/>
        <v>2.8705469082572765E-2</v>
      </c>
      <c r="E281" s="101"/>
    </row>
    <row r="282" spans="2:5">
      <c r="B282" s="99">
        <f ca="1"/>
        <v>51859</v>
      </c>
      <c r="C282" s="100">
        <f ca="1"/>
        <v>2.4352180213321303E-2</v>
      </c>
      <c r="D282" s="100">
        <f ca="1"/>
        <v>2.8689069434123644E-2</v>
      </c>
      <c r="E282" s="101"/>
    </row>
    <row r="283" spans="2:5">
      <c r="B283" s="99">
        <f ca="1"/>
        <v>51890</v>
      </c>
      <c r="C283" s="100">
        <f ca="1"/>
        <v>2.4331615861462871E-2</v>
      </c>
      <c r="D283" s="100">
        <f ca="1"/>
        <v>2.867172225571557E-2</v>
      </c>
      <c r="E283" s="101"/>
    </row>
    <row r="284" spans="2:5">
      <c r="B284" s="99">
        <f ca="1"/>
        <v>51921</v>
      </c>
      <c r="C284" s="100">
        <f ca="1"/>
        <v>2.4308800252067025E-2</v>
      </c>
      <c r="D284" s="100">
        <f ca="1"/>
        <v>2.8654462363856797E-2</v>
      </c>
      <c r="E284" s="101"/>
    </row>
    <row r="285" spans="2:5">
      <c r="B285" s="99">
        <f ca="1"/>
        <v>51949</v>
      </c>
      <c r="C285" s="100">
        <f ca="1"/>
        <v>2.4288735138847186E-2</v>
      </c>
      <c r="D285" s="100">
        <f ca="1"/>
        <v>2.8638963069726835E-2</v>
      </c>
      <c r="E285" s="101"/>
    </row>
    <row r="286" spans="2:5">
      <c r="B286" s="99">
        <f ca="1"/>
        <v>51980</v>
      </c>
      <c r="C286" s="100">
        <f ca="1"/>
        <v>2.4266174632504089E-2</v>
      </c>
      <c r="D286" s="100">
        <f ca="1"/>
        <v>2.8621959583340732E-2</v>
      </c>
      <c r="E286" s="101"/>
    </row>
    <row r="287" spans="2:5">
      <c r="B287" s="99">
        <f ca="1"/>
        <v>52012</v>
      </c>
      <c r="C287" s="100">
        <f ca="1"/>
        <v>2.4242505908563305E-2</v>
      </c>
      <c r="D287" s="100">
        <f ca="1"/>
        <v>2.8604620940898155E-2</v>
      </c>
      <c r="E287" s="101"/>
    </row>
    <row r="288" spans="2:5">
      <c r="B288" s="99">
        <f ca="1"/>
        <v>52041</v>
      </c>
      <c r="C288" s="100">
        <f ca="1"/>
        <v>2.4220723721629134E-2</v>
      </c>
      <c r="D288" s="100">
        <f ca="1"/>
        <v>2.8589026043084342E-2</v>
      </c>
      <c r="E288" s="101"/>
    </row>
    <row r="289" spans="2:5">
      <c r="B289" s="99">
        <f ca="1"/>
        <v>52071</v>
      </c>
      <c r="C289" s="100">
        <f ca="1"/>
        <v>2.4197856015580367E-2</v>
      </c>
      <c r="D289" s="100">
        <f ca="1"/>
        <v>2.8572905019419521E-2</v>
      </c>
      <c r="E289" s="101"/>
    </row>
    <row r="290" spans="2:5">
      <c r="B290" s="99">
        <f ca="1"/>
        <v>52103</v>
      </c>
      <c r="C290" s="100">
        <f ca="1"/>
        <v>2.4173089406146122E-2</v>
      </c>
      <c r="D290" s="100">
        <f ca="1"/>
        <v>2.8555617794068303E-2</v>
      </c>
      <c r="E290" s="101"/>
    </row>
    <row r="291" spans="2:5">
      <c r="B291" s="99">
        <f ca="1"/>
        <v>52133</v>
      </c>
      <c r="C291" s="100">
        <f ca="1"/>
        <v>2.4149521159302922E-2</v>
      </c>
      <c r="D291" s="100">
        <f ca="1"/>
        <v>2.8539302944632621E-2</v>
      </c>
      <c r="E291" s="101"/>
    </row>
    <row r="292" spans="2:5">
      <c r="B292" s="99">
        <f ca="1"/>
        <v>52163</v>
      </c>
      <c r="C292" s="100">
        <f ca="1"/>
        <v>2.4126426580110254E-2</v>
      </c>
      <c r="D292" s="100">
        <f ca="1"/>
        <v>2.8522887981754143E-2</v>
      </c>
      <c r="E292" s="101"/>
    </row>
    <row r="293" spans="2:5">
      <c r="B293" s="99">
        <f ca="1"/>
        <v>52194</v>
      </c>
      <c r="C293" s="100">
        <f ca="1"/>
        <v>2.4100550753972091E-2</v>
      </c>
      <c r="D293" s="100">
        <f ca="1"/>
        <v>2.8505837084886722E-2</v>
      </c>
      <c r="E293" s="101"/>
    </row>
    <row r="294" spans="2:5">
      <c r="B294" s="99">
        <f ca="1"/>
        <v>52224</v>
      </c>
      <c r="C294" s="100">
        <f ca="1"/>
        <v>2.4075953209890508E-2</v>
      </c>
      <c r="D294" s="100">
        <f ca="1"/>
        <v>2.8489324579172335E-2</v>
      </c>
      <c r="E294" s="101"/>
    </row>
    <row r="295" spans="2:5">
      <c r="B295" s="99">
        <f ca="1"/>
        <v>52257</v>
      </c>
      <c r="C295" s="100">
        <f ca="1"/>
        <v>2.4048503042200811E-2</v>
      </c>
      <c r="D295" s="100">
        <f ca="1"/>
        <v>2.8471257193264904E-2</v>
      </c>
      <c r="E295" s="101"/>
    </row>
    <row r="296" spans="2:5">
      <c r="B296" s="99">
        <f ca="1"/>
        <v>52286</v>
      </c>
      <c r="C296" s="100">
        <f ca="1"/>
        <v>2.4024041172790753E-2</v>
      </c>
      <c r="D296" s="100">
        <f ca="1"/>
        <v>2.8455542230629155E-2</v>
      </c>
      <c r="E296" s="101"/>
    </row>
    <row r="297" spans="2:5">
      <c r="B297" s="99">
        <f ca="1"/>
        <v>52314</v>
      </c>
      <c r="C297" s="100">
        <f ca="1"/>
        <v>2.400012280777291E-2</v>
      </c>
      <c r="D297" s="100">
        <f ca="1"/>
        <v>2.8440529051070453E-2</v>
      </c>
      <c r="E297" s="101"/>
    </row>
    <row r="298" spans="2:5">
      <c r="B298" s="99">
        <f ca="1"/>
        <v>52345</v>
      </c>
      <c r="C298" s="100">
        <f ca="1"/>
        <v>2.3974021016927281E-2</v>
      </c>
      <c r="D298" s="100">
        <f ca="1"/>
        <v>2.8424090514852403E-2</v>
      </c>
      <c r="E298" s="101"/>
    </row>
    <row r="299" spans="2:5">
      <c r="B299" s="99">
        <f ca="1"/>
        <v>52376</v>
      </c>
      <c r="C299" s="100">
        <f ca="1"/>
        <v>2.394610701422421E-2</v>
      </c>
      <c r="D299" s="100">
        <f ca="1"/>
        <v>2.8407832014358925E-2</v>
      </c>
      <c r="E299" s="101"/>
    </row>
    <row r="300" spans="2:5">
      <c r="B300" s="99">
        <f ca="1"/>
        <v>52406</v>
      </c>
      <c r="C300" s="100">
        <f ca="1"/>
        <v>2.391945085889181E-2</v>
      </c>
      <c r="D300" s="100">
        <f ca="1"/>
        <v>2.8392195098737961E-2</v>
      </c>
      <c r="E300" s="101"/>
    </row>
    <row r="301" spans="2:5">
      <c r="B301" s="99">
        <f ca="1"/>
        <v>52436</v>
      </c>
      <c r="C301" s="100">
        <f ca="1"/>
        <v>2.3893134350389224E-2</v>
      </c>
      <c r="D301" s="100">
        <f ca="1"/>
        <v>2.8376560837979427E-2</v>
      </c>
      <c r="E301" s="101"/>
    </row>
    <row r="302" spans="2:5">
      <c r="B302" s="99">
        <f ca="1"/>
        <v>52467</v>
      </c>
      <c r="C302" s="100">
        <f ca="1"/>
        <v>2.3864201801562662E-2</v>
      </c>
      <c r="D302" s="100">
        <f ca="1"/>
        <v>2.8360323248956536E-2</v>
      </c>
      <c r="E302" s="101"/>
    </row>
    <row r="303" spans="2:5">
      <c r="B303" s="99">
        <f ca="1"/>
        <v>52498</v>
      </c>
      <c r="C303" s="100">
        <f ca="1"/>
        <v>2.3835587787893648E-2</v>
      </c>
      <c r="D303" s="100">
        <f ca="1"/>
        <v>2.8343981766352753E-2</v>
      </c>
      <c r="E303" s="101"/>
    </row>
    <row r="304" spans="2:5">
      <c r="B304" s="99">
        <f ca="1"/>
        <v>52530</v>
      </c>
      <c r="C304" s="100">
        <f ca="1"/>
        <v>2.380566995951898E-2</v>
      </c>
      <c r="D304" s="100">
        <f ca="1"/>
        <v>2.8327005504458217E-2</v>
      </c>
      <c r="E304" s="101"/>
    </row>
    <row r="305" spans="2:5">
      <c r="B305" s="99">
        <f ca="1"/>
        <v>52559</v>
      </c>
      <c r="C305" s="100">
        <f ca="1"/>
        <v>2.377822326819929E-2</v>
      </c>
      <c r="D305" s="100">
        <f ca="1"/>
        <v>2.8311540827222568E-2</v>
      </c>
      <c r="E305" s="101"/>
    </row>
    <row r="306" spans="2:5">
      <c r="B306" s="99">
        <f ca="1"/>
        <v>52589</v>
      </c>
      <c r="C306" s="100">
        <f ca="1"/>
        <v>2.3749496875605052E-2</v>
      </c>
      <c r="D306" s="100">
        <f ca="1"/>
        <v>2.8295535915126121E-2</v>
      </c>
      <c r="E306" s="101"/>
    </row>
    <row r="307" spans="2:5">
      <c r="B307" s="99">
        <f ca="1"/>
        <v>52621</v>
      </c>
      <c r="C307" s="100">
        <f ca="1"/>
        <v>2.3718480023558277E-2</v>
      </c>
      <c r="D307" s="100">
        <f ca="1"/>
        <v>2.8278556259202337E-2</v>
      </c>
      <c r="E307" s="101"/>
    </row>
    <row r="308" spans="2:5">
      <c r="B308" s="99">
        <f ca="1"/>
        <v>52651</v>
      </c>
      <c r="C308" s="100">
        <f ca="1"/>
        <v>2.3689051572491925E-2</v>
      </c>
      <c r="D308" s="100">
        <f ca="1"/>
        <v>2.8262832523576024E-2</v>
      </c>
      <c r="E308" s="101"/>
    </row>
    <row r="309" spans="2:5">
      <c r="B309" s="99">
        <f ca="1"/>
        <v>52680</v>
      </c>
      <c r="C309" s="100">
        <f ca="1"/>
        <v>2.3660284069951843E-2</v>
      </c>
      <c r="D309" s="100">
        <f ca="1"/>
        <v>2.8247966654020816E-2</v>
      </c>
      <c r="E309" s="101"/>
    </row>
    <row r="310" spans="2:5">
      <c r="B310" s="99">
        <f ca="1"/>
        <v>52712</v>
      </c>
      <c r="C310" s="100">
        <f ca="1"/>
        <v>2.362817383156364E-2</v>
      </c>
      <c r="D310" s="100">
        <f ca="1"/>
        <v>2.8232139490715496E-2</v>
      </c>
      <c r="E310" s="101"/>
    </row>
    <row r="311" spans="2:5">
      <c r="B311" s="99">
        <f ca="1"/>
        <v>52741</v>
      </c>
      <c r="C311" s="100">
        <f ca="1"/>
        <v>2.3599388473626397E-2</v>
      </c>
      <c r="D311" s="100">
        <f ca="1"/>
        <v>2.8218461550892394E-2</v>
      </c>
      <c r="E311" s="101"/>
    </row>
    <row r="312" spans="2:5">
      <c r="B312" s="99">
        <f ca="1"/>
        <v>52772</v>
      </c>
      <c r="C312" s="100">
        <f ca="1"/>
        <v>2.3570364711319687E-2</v>
      </c>
      <c r="D312" s="100">
        <f ca="1"/>
        <v>2.820452547426491E-2</v>
      </c>
      <c r="E312" s="101"/>
    </row>
    <row r="313" spans="2:5">
      <c r="B313" s="99">
        <f ca="1"/>
        <v>52803</v>
      </c>
      <c r="C313" s="100">
        <f ca="1"/>
        <v>2.3541314485957802E-2</v>
      </c>
      <c r="D313" s="100">
        <f ca="1"/>
        <v>2.8191230667620245E-2</v>
      </c>
      <c r="E313" s="101"/>
    </row>
    <row r="314" spans="2:5">
      <c r="B314" s="99">
        <f ca="1"/>
        <v>52833</v>
      </c>
      <c r="C314" s="100">
        <f ca="1"/>
        <v>2.3514915258034102E-2</v>
      </c>
      <c r="D314" s="100">
        <f ca="1"/>
        <v>2.8178901891449813E-2</v>
      </c>
      <c r="E314" s="101"/>
    </row>
    <row r="315" spans="2:5">
      <c r="B315" s="99">
        <f ca="1"/>
        <v>52866</v>
      </c>
      <c r="C315" s="100">
        <f ca="1"/>
        <v>2.348714780510704E-2</v>
      </c>
      <c r="D315" s="100">
        <f ca="1"/>
        <v>2.8165816020153847E-2</v>
      </c>
      <c r="E315" s="101"/>
    </row>
    <row r="316" spans="2:5">
      <c r="B316" s="99">
        <f ca="1"/>
        <v>52894</v>
      </c>
      <c r="C316" s="100">
        <f ca="1"/>
        <v>2.3464641490005503E-2</v>
      </c>
      <c r="D316" s="100">
        <f ca="1"/>
        <v>2.815498601911089E-2</v>
      </c>
      <c r="E316" s="101"/>
    </row>
    <row r="317" spans="2:5">
      <c r="B317" s="99">
        <f ca="1"/>
        <v>52925</v>
      </c>
      <c r="C317" s="100">
        <f ca="1"/>
        <v>2.3440848475566822E-2</v>
      </c>
      <c r="D317" s="100">
        <f ca="1"/>
        <v>2.8143230329346132E-2</v>
      </c>
      <c r="E317" s="101"/>
    </row>
    <row r="318" spans="2:5">
      <c r="B318" s="99">
        <f ca="1"/>
        <v>52957</v>
      </c>
      <c r="C318" s="100">
        <f ca="1"/>
        <v>2.3417521532709474E-2</v>
      </c>
      <c r="D318" s="100">
        <f ca="1"/>
        <v>2.8131644697730742E-2</v>
      </c>
      <c r="E318" s="101"/>
    </row>
    <row r="319" spans="2:5">
      <c r="B319" s="99">
        <f ca="1"/>
        <v>52986</v>
      </c>
      <c r="C319" s="100">
        <f ca="1"/>
        <v>2.3397473382529489E-2</v>
      </c>
      <c r="D319" s="100">
        <f ca="1"/>
        <v>2.81219683257538E-2</v>
      </c>
      <c r="E319" s="101"/>
    </row>
    <row r="320" spans="2:5">
      <c r="B320" s="99">
        <f ca="1"/>
        <v>53017</v>
      </c>
      <c r="C320" s="100">
        <f ca="1"/>
        <v>2.3378070341762112E-2</v>
      </c>
      <c r="D320" s="100">
        <f ca="1"/>
        <v>2.8112760079929636E-2</v>
      </c>
      <c r="E320" s="101"/>
    </row>
    <row r="321" spans="2:5">
      <c r="B321" s="99">
        <f ca="1"/>
        <v>53045</v>
      </c>
      <c r="C321" s="100">
        <f ca="1"/>
        <v>2.3360789886198937E-2</v>
      </c>
      <c r="D321" s="100">
        <f ca="1"/>
        <v>2.8105330314260737E-2</v>
      </c>
      <c r="E321" s="101"/>
    </row>
    <row r="322" spans="2:5">
      <c r="B322" s="99">
        <f ca="1"/>
        <v>53076</v>
      </c>
      <c r="C322" s="100">
        <f ca="1"/>
        <v>2.3341835065296034E-2</v>
      </c>
      <c r="D322" s="100">
        <f ca="1"/>
        <v>2.8097833445403966E-2</v>
      </c>
      <c r="E322" s="101"/>
    </row>
    <row r="323" spans="2:5">
      <c r="B323" s="99">
        <f ca="1"/>
        <v>53106</v>
      </c>
      <c r="C323" s="100">
        <f ca="1"/>
        <v>2.3325503721418783E-2</v>
      </c>
      <c r="D323" s="100">
        <f ca="1"/>
        <v>2.8091097601760998E-2</v>
      </c>
      <c r="E323" s="101"/>
    </row>
    <row r="324" spans="2:5">
      <c r="B324" s="99">
        <f ca="1"/>
        <v>53139</v>
      </c>
      <c r="C324" s="100">
        <f ca="1"/>
        <v>2.3308811648574838E-2</v>
      </c>
      <c r="D324" s="100">
        <f ca="1"/>
        <v>2.8084266075446278E-2</v>
      </c>
      <c r="E324" s="101"/>
    </row>
    <row r="325" spans="2:5">
      <c r="B325" s="99">
        <f ca="1"/>
        <v>53167</v>
      </c>
      <c r="C325" s="100">
        <f ca="1"/>
        <v>2.3295702787108689E-2</v>
      </c>
      <c r="D325" s="100">
        <f ca="1"/>
        <v>2.8078993104408388E-2</v>
      </c>
      <c r="E325" s="101"/>
    </row>
    <row r="326" spans="2:5">
      <c r="B326" s="99">
        <f ca="1"/>
        <v>53198</v>
      </c>
      <c r="C326" s="100">
        <f ca="1"/>
        <v>2.3282314252697368E-2</v>
      </c>
      <c r="D326" s="100">
        <f ca="1"/>
        <v>2.8073734734274956E-2</v>
      </c>
      <c r="E326" s="101"/>
    </row>
    <row r="327" spans="2:5">
      <c r="B327" s="99">
        <f ca="1"/>
        <v>53230</v>
      </c>
      <c r="C327" s="100">
        <f ca="1"/>
        <v>2.3269727633350588E-2</v>
      </c>
      <c r="D327" s="100">
        <f ca="1"/>
        <v>2.8068794825197939E-2</v>
      </c>
      <c r="E327" s="101"/>
    </row>
    <row r="328" spans="2:5">
      <c r="B328" s="99">
        <f ca="1"/>
        <v>53259</v>
      </c>
      <c r="C328" s="100">
        <f ca="1"/>
        <v>2.325941271003509E-2</v>
      </c>
      <c r="D328" s="100">
        <f ca="1"/>
        <v>2.8064572210553425E-2</v>
      </c>
      <c r="E328" s="101"/>
    </row>
    <row r="329" spans="2:5">
      <c r="B329" s="99">
        <f ca="1"/>
        <v>53290</v>
      </c>
      <c r="C329" s="100">
        <f ca="1"/>
        <v>2.3250733091241472E-2</v>
      </c>
      <c r="D329" s="100">
        <f ca="1"/>
        <v>2.8060229822849371E-2</v>
      </c>
      <c r="E329" s="101"/>
    </row>
    <row r="330" spans="2:5">
      <c r="B330" s="99">
        <f ca="1"/>
        <v>53321</v>
      </c>
      <c r="C330" s="100">
        <f ca="1"/>
        <v>2.3240824290161988E-2</v>
      </c>
      <c r="D330" s="100">
        <f ca="1"/>
        <v>2.805638561429857E-2</v>
      </c>
      <c r="E330" s="101"/>
    </row>
    <row r="331" spans="2:5">
      <c r="B331" s="99">
        <f ca="1"/>
        <v>53351</v>
      </c>
      <c r="C331" s="100">
        <f ca="1"/>
        <v>2.3233528066246692E-2</v>
      </c>
      <c r="D331" s="100">
        <f ca="1"/>
        <v>2.8053561983479129E-2</v>
      </c>
      <c r="E331" s="101"/>
    </row>
    <row r="332" spans="2:5">
      <c r="B332" s="99">
        <f ca="1"/>
        <v>53384</v>
      </c>
      <c r="C332" s="100">
        <f ca="1"/>
        <v>2.3226780871204011E-2</v>
      </c>
      <c r="D332" s="100">
        <f ca="1"/>
        <v>2.8051826171500541E-2</v>
      </c>
      <c r="E332" s="101"/>
    </row>
    <row r="333" spans="2:5">
      <c r="B333" s="99">
        <f ca="1"/>
        <v>53412</v>
      </c>
      <c r="C333" s="100">
        <f ca="1"/>
        <v>2.3222101606788066E-2</v>
      </c>
      <c r="D333" s="100">
        <f ca="1"/>
        <v>2.8051283712006748E-2</v>
      </c>
      <c r="E333" s="101"/>
    </row>
    <row r="334" spans="2:5">
      <c r="B334" s="99">
        <f ca="1"/>
        <v>53441</v>
      </c>
      <c r="C334" s="100">
        <f ca="1"/>
        <v>2.3218275283529825E-2</v>
      </c>
      <c r="D334" s="100">
        <f ca="1"/>
        <v>2.8051303636452477E-2</v>
      </c>
      <c r="E334" s="101"/>
    </row>
    <row r="335" spans="2:5">
      <c r="B335" s="99">
        <f ca="1"/>
        <v>53471</v>
      </c>
      <c r="C335" s="100">
        <f ca="1"/>
        <v>2.3215405741805587E-2</v>
      </c>
      <c r="D335" s="100">
        <f ca="1"/>
        <v>2.805170434557834E-2</v>
      </c>
      <c r="E335" s="101"/>
    </row>
    <row r="336" spans="2:5">
      <c r="B336" s="99">
        <f ca="1"/>
        <v>53503</v>
      </c>
      <c r="C336" s="100">
        <f ca="1"/>
        <v>2.3213559255162001E-2</v>
      </c>
      <c r="D336" s="100">
        <f ca="1"/>
        <v>2.8052749890497497E-2</v>
      </c>
      <c r="E336" s="101"/>
    </row>
    <row r="337" spans="2:5">
      <c r="B337" s="99">
        <f ca="1"/>
        <v>53532</v>
      </c>
      <c r="C337" s="100">
        <f ca="1"/>
        <v>2.3212977316904419E-2</v>
      </c>
      <c r="D337" s="100">
        <f ca="1"/>
        <v>2.8054541766703359E-2</v>
      </c>
      <c r="E337" s="101"/>
    </row>
    <row r="338" spans="2:5">
      <c r="B338" s="99">
        <f ca="1"/>
        <v>53563</v>
      </c>
      <c r="C338" s="100">
        <f ca="1"/>
        <v>2.3215032940619093E-2</v>
      </c>
      <c r="D338" s="100">
        <f ca="1"/>
        <v>2.8057524212075073E-2</v>
      </c>
      <c r="E338" s="101"/>
    </row>
    <row r="339" spans="2:5">
      <c r="B339" s="99">
        <f ca="1"/>
        <v>53594</v>
      </c>
      <c r="C339" s="100">
        <f ca="1"/>
        <v>2.3215197712661961E-2</v>
      </c>
      <c r="D339" s="100">
        <f ca="1"/>
        <v>2.8061156195091225E-2</v>
      </c>
      <c r="E339" s="101"/>
    </row>
    <row r="340" spans="2:5">
      <c r="B340" s="99">
        <f ca="1"/>
        <v>53624</v>
      </c>
      <c r="C340" s="100">
        <f ca="1"/>
        <v>2.3217970542097736E-2</v>
      </c>
      <c r="D340" s="100">
        <f ca="1"/>
        <v>2.8064681456954781E-2</v>
      </c>
      <c r="E340" s="101"/>
    </row>
    <row r="341" spans="2:5">
      <c r="B341" s="99">
        <f ca="1"/>
        <v>53657</v>
      </c>
      <c r="C341" s="100">
        <f ca="1"/>
        <v>2.3222299033713149E-2</v>
      </c>
      <c r="D341" s="100">
        <f ca="1"/>
        <v>2.8068083617295521E-2</v>
      </c>
      <c r="E341" s="101"/>
    </row>
    <row r="342" spans="2:5">
      <c r="B342" s="99">
        <f ca="1"/>
        <v>53685</v>
      </c>
      <c r="C342" s="100">
        <f ca="1"/>
        <v>2.3227016797922172E-2</v>
      </c>
      <c r="D342" s="100">
        <f ca="1"/>
        <v>2.8070940345028921E-2</v>
      </c>
      <c r="E342" s="101"/>
    </row>
    <row r="343" spans="2:5">
      <c r="B343" s="99">
        <f ca="1"/>
        <v>53716</v>
      </c>
      <c r="C343" s="100">
        <f ca="1"/>
        <v>2.3233368103163912E-2</v>
      </c>
      <c r="D343" s="100">
        <f ca="1"/>
        <v>2.8074696392708029E-2</v>
      </c>
      <c r="E343" s="101"/>
    </row>
    <row r="344" spans="2:5">
      <c r="B344" s="99">
        <f ca="1"/>
        <v>53748</v>
      </c>
      <c r="C344" s="100">
        <f ca="1"/>
        <v>2.3241165702130435E-2</v>
      </c>
      <c r="D344" s="100">
        <f ca="1"/>
        <v>2.8079833196819635E-2</v>
      </c>
      <c r="E344" s="101"/>
    </row>
    <row r="345" spans="2:5">
      <c r="B345" s="99">
        <f ca="1"/>
        <v>53776</v>
      </c>
      <c r="C345" s="100">
        <f ca="1"/>
        <v>2.3249016805148386E-2</v>
      </c>
      <c r="D345" s="100">
        <f ca="1"/>
        <v>2.808554294178852E-2</v>
      </c>
      <c r="E345" s="101"/>
    </row>
    <row r="346" spans="2:5">
      <c r="B346" s="99">
        <f ca="1"/>
        <v>53806</v>
      </c>
      <c r="C346" s="100">
        <f ca="1"/>
        <v>2.3258501744332218E-2</v>
      </c>
      <c r="D346" s="100">
        <f ca="1"/>
        <v>2.8092958149040531E-2</v>
      </c>
      <c r="E346" s="101"/>
    </row>
    <row r="347" spans="2:5">
      <c r="B347" s="99">
        <f ca="1"/>
        <v>53836</v>
      </c>
      <c r="C347" s="100">
        <f ca="1"/>
        <v>2.3270970321373142E-2</v>
      </c>
      <c r="D347" s="100">
        <f ca="1"/>
        <v>2.8101656144604713E-2</v>
      </c>
      <c r="E347" s="101"/>
    </row>
    <row r="348" spans="2:5">
      <c r="B348" s="99">
        <f ca="1"/>
        <v>53867</v>
      </c>
      <c r="C348" s="100">
        <f ca="1"/>
        <v>2.3281196635018965E-2</v>
      </c>
      <c r="D348" s="100">
        <f ca="1"/>
        <v>2.8111413536852686E-2</v>
      </c>
      <c r="E348" s="101"/>
    </row>
    <row r="349" spans="2:5">
      <c r="B349" s="99">
        <f ca="1"/>
        <v>53897</v>
      </c>
      <c r="C349" s="100">
        <f ca="1"/>
        <v>2.3294038138879244E-2</v>
      </c>
      <c r="D349" s="100">
        <f ca="1"/>
        <v>2.8120891171459505E-2</v>
      </c>
      <c r="E349" s="101"/>
    </row>
    <row r="350" spans="2:5">
      <c r="B350" s="99">
        <f ca="1"/>
        <v>53930</v>
      </c>
      <c r="C350" s="100">
        <f ca="1"/>
        <v>2.3309442200955311E-2</v>
      </c>
      <c r="D350" s="100">
        <f ca="1"/>
        <v>2.8130756654919604E-2</v>
      </c>
      <c r="E350" s="101"/>
    </row>
    <row r="351" spans="2:5">
      <c r="B351" s="99">
        <f ca="1"/>
        <v>53959</v>
      </c>
      <c r="C351" s="100">
        <f ca="1"/>
        <v>2.33240795511672E-2</v>
      </c>
      <c r="D351" s="100">
        <f ca="1"/>
        <v>2.8139287934841023E-2</v>
      </c>
      <c r="E351" s="101"/>
    </row>
    <row r="352" spans="2:5">
      <c r="B352" s="99">
        <f ca="1"/>
        <v>53989</v>
      </c>
      <c r="C352" s="100">
        <f ca="1"/>
        <v>2.3340313442867973E-2</v>
      </c>
      <c r="D352" s="100">
        <f ca="1"/>
        <v>2.8148557573587064E-2</v>
      </c>
      <c r="E352" s="101"/>
    </row>
    <row r="353" spans="2:5">
      <c r="B353" s="99">
        <f ca="1"/>
        <v>54021</v>
      </c>
      <c r="C353" s="100">
        <f ca="1"/>
        <v>2.3358851073978133E-2</v>
      </c>
      <c r="D353" s="100">
        <f ca="1"/>
        <v>2.8159486826171372E-2</v>
      </c>
      <c r="E353" s="101"/>
    </row>
    <row r="354" spans="2:5">
      <c r="B354" s="99">
        <f ca="1"/>
        <v>54050</v>
      </c>
      <c r="C354" s="100">
        <f ca="1"/>
        <v>2.3376733264186739E-2</v>
      </c>
      <c r="D354" s="100">
        <f ca="1"/>
        <v>2.8170331266129174E-2</v>
      </c>
      <c r="E354" s="101"/>
    </row>
    <row r="355" spans="2:5">
      <c r="B355" s="99">
        <f ca="1"/>
        <v>54081</v>
      </c>
      <c r="C355" s="100">
        <f ca="1"/>
        <v>2.3399190210043011E-2</v>
      </c>
      <c r="D355" s="100">
        <f ca="1"/>
        <v>2.8182743943784023E-2</v>
      </c>
      <c r="E355" s="101"/>
    </row>
    <row r="356" spans="2:5">
      <c r="B356" s="99">
        <f ca="1"/>
        <v>54112</v>
      </c>
      <c r="C356" s="100">
        <f ca="1"/>
        <v>2.3418440737711613E-2</v>
      </c>
      <c r="D356" s="100">
        <f ca="1"/>
        <v>2.8195864256746785E-2</v>
      </c>
      <c r="E356" s="101"/>
    </row>
    <row r="357" spans="2:5">
      <c r="B357" s="99">
        <f ca="1"/>
        <v>54141</v>
      </c>
      <c r="C357" s="100">
        <f ca="1"/>
        <v>2.3439567178658249E-2</v>
      </c>
      <c r="D357" s="100">
        <f ca="1"/>
        <v>2.8208800806951224E-2</v>
      </c>
      <c r="E357" s="101"/>
    </row>
    <row r="358" spans="2:5">
      <c r="B358" s="99">
        <f ca="1"/>
        <v>54172</v>
      </c>
      <c r="C358" s="100">
        <f ca="1"/>
        <v>2.3465612764709487E-2</v>
      </c>
      <c r="D358" s="100">
        <f ca="1"/>
        <v>2.8223416396117119E-2</v>
      </c>
      <c r="E358" s="101"/>
    </row>
    <row r="359" spans="2:5">
      <c r="B359" s="99">
        <f ca="1"/>
        <v>54203</v>
      </c>
      <c r="C359" s="100">
        <f ca="1"/>
        <v>2.3488210960460856E-2</v>
      </c>
      <c r="D359" s="100">
        <f ca="1"/>
        <v>2.8238899764887321E-2</v>
      </c>
      <c r="E359" s="101"/>
    </row>
    <row r="360" spans="2:5">
      <c r="B360" s="99">
        <f ca="1"/>
        <v>54233</v>
      </c>
      <c r="C360" s="100">
        <f ca="1"/>
        <v>2.3513440669023205E-2</v>
      </c>
      <c r="D360" s="100">
        <f ca="1"/>
        <v>2.8254630317127293E-2</v>
      </c>
      <c r="E360" s="101"/>
    </row>
    <row r="361" spans="2:5">
      <c r="B361" s="99">
        <f ca="1"/>
        <v>54263</v>
      </c>
      <c r="C361" s="100">
        <f ca="1"/>
        <v>2.354221748764785E-2</v>
      </c>
      <c r="D361" s="100">
        <f ca="1"/>
        <v>2.8270974143446828E-2</v>
      </c>
      <c r="E361" s="101"/>
    </row>
    <row r="362" spans="2:5">
      <c r="B362" s="99">
        <f ca="1"/>
        <v>54294</v>
      </c>
      <c r="C362" s="100">
        <f ca="1"/>
        <v>2.3568161936780303E-2</v>
      </c>
      <c r="D362" s="100">
        <f ca="1"/>
        <v>2.8288371217682143E-2</v>
      </c>
      <c r="E362" s="101"/>
    </row>
    <row r="363" spans="2:5">
      <c r="B363" s="99">
        <f ca="1"/>
        <v>54325</v>
      </c>
      <c r="C363" s="100">
        <f ca="1"/>
        <v>2.3597719735468946E-2</v>
      </c>
      <c r="D363" s="100">
        <f ca="1"/>
        <v>2.8306100172635098E-2</v>
      </c>
      <c r="E363" s="101"/>
    </row>
    <row r="364" spans="2:5">
      <c r="B364" s="99">
        <f ca="1"/>
        <v>54357</v>
      </c>
      <c r="C364" s="100">
        <f ca="1"/>
        <v>2.3629474635138741E-2</v>
      </c>
      <c r="D364" s="100">
        <f ca="1"/>
        <v>2.8324535290763751E-2</v>
      </c>
      <c r="E364" s="101"/>
    </row>
    <row r="365" spans="2:5">
      <c r="B365" s="99">
        <f ca="1"/>
        <v>54386</v>
      </c>
      <c r="C365" s="100">
        <f ca="1"/>
        <v>2.3659340121302882E-2</v>
      </c>
      <c r="D365" s="100">
        <f ca="1"/>
        <v>2.8341282007849116E-2</v>
      </c>
      <c r="E365" s="101"/>
    </row>
    <row r="366" spans="2:5">
      <c r="B366" s="99">
        <f ca="1"/>
        <v>54416</v>
      </c>
      <c r="C366" s="100">
        <f ca="1"/>
        <v>2.3691319453365344E-2</v>
      </c>
      <c r="D366" s="100">
        <f ca="1"/>
        <v>2.8359033879643628E-2</v>
      </c>
      <c r="E366" s="101"/>
    </row>
    <row r="367" spans="2:5">
      <c r="B367" s="99">
        <f ca="1"/>
        <v>54448</v>
      </c>
      <c r="C367" s="100">
        <f ca="1"/>
        <v>2.3726655191301044E-2</v>
      </c>
      <c r="D367" s="100">
        <f ca="1"/>
        <v>2.8379027655395458E-2</v>
      </c>
      <c r="E367" s="101"/>
    </row>
    <row r="368" spans="2:5">
      <c r="B368" s="99">
        <f ca="1"/>
        <v>54478</v>
      </c>
      <c r="C368" s="100">
        <f ca="1"/>
        <v>2.3760925771004714E-2</v>
      </c>
      <c r="D368" s="100">
        <f ca="1"/>
        <v>2.8399135529887393E-2</v>
      </c>
      <c r="E368" s="101"/>
    </row>
    <row r="369" spans="2:5">
      <c r="B369" s="99">
        <f ca="1"/>
        <v>54506</v>
      </c>
      <c r="C369" s="100">
        <f ca="1"/>
        <v>2.379390403699317E-2</v>
      </c>
      <c r="D369" s="100">
        <f ca="1"/>
        <v>2.8418713084066165E-2</v>
      </c>
      <c r="E369" s="101"/>
    </row>
    <row r="370" spans="2:5">
      <c r="B370" s="99">
        <f ca="1"/>
        <v>54539</v>
      </c>
      <c r="C370" s="100">
        <f ca="1"/>
        <v>2.3834010611983775E-2</v>
      </c>
      <c r="D370" s="100">
        <f ca="1"/>
        <v>2.8442045899991403E-2</v>
      </c>
      <c r="E370" s="101"/>
    </row>
    <row r="371" spans="2:5">
      <c r="B371" s="99" t="e">
        <f ca="1"/>
        <v>#N/A</v>
      </c>
      <c r="C371" s="100" t="e">
        <f ca="1"/>
        <v>#N/A</v>
      </c>
      <c r="D371" s="100" t="e">
        <f ca="1"/>
        <v>#N/A</v>
      </c>
      <c r="E371" s="101"/>
    </row>
    <row r="372" spans="2:5">
      <c r="B372" s="99" t="e">
        <f ca="1"/>
        <v>#N/A</v>
      </c>
      <c r="C372" s="100" t="e">
        <f ca="1"/>
        <v>#N/A</v>
      </c>
      <c r="D372" s="100" t="e">
        <f ca="1"/>
        <v>#N/A</v>
      </c>
      <c r="E372" s="101"/>
    </row>
    <row r="373" spans="2:5">
      <c r="B373" s="99" t="e">
        <f ca="1"/>
        <v>#N/A</v>
      </c>
      <c r="C373" s="100" t="e">
        <f ca="1"/>
        <v>#N/A</v>
      </c>
      <c r="D373" s="100" t="e">
        <f ca="1"/>
        <v>#N/A</v>
      </c>
      <c r="E373" s="101"/>
    </row>
    <row r="374" spans="2:5">
      <c r="B374" s="99" t="e">
        <f ca="1"/>
        <v>#N/A</v>
      </c>
      <c r="C374" s="100" t="e">
        <f ca="1"/>
        <v>#N/A</v>
      </c>
      <c r="D374" s="100" t="e">
        <f ca="1"/>
        <v>#N/A</v>
      </c>
      <c r="E374" s="101"/>
    </row>
    <row r="375" spans="2:5">
      <c r="B375" s="99" t="e">
        <f ca="1"/>
        <v>#N/A</v>
      </c>
      <c r="C375" s="100" t="e">
        <f ca="1"/>
        <v>#N/A</v>
      </c>
      <c r="D375" s="100" t="e">
        <f ca="1"/>
        <v>#N/A</v>
      </c>
      <c r="E375" s="101"/>
    </row>
    <row r="376" spans="2:5">
      <c r="B376" s="99" t="e">
        <f ca="1"/>
        <v>#N/A</v>
      </c>
      <c r="C376" s="100" t="e">
        <f ca="1"/>
        <v>#N/A</v>
      </c>
      <c r="D376" s="100" t="e">
        <f ca="1"/>
        <v>#N/A</v>
      </c>
      <c r="E376" s="101"/>
    </row>
    <row r="377" spans="2:5">
      <c r="B377" s="99" t="e">
        <f ca="1"/>
        <v>#N/A</v>
      </c>
      <c r="C377" s="100" t="e">
        <f ca="1"/>
        <v>#N/A</v>
      </c>
      <c r="D377" s="100" t="e">
        <f ca="1"/>
        <v>#N/A</v>
      </c>
      <c r="E377" s="101"/>
    </row>
    <row r="378" spans="2:5">
      <c r="B378" s="99" t="e">
        <f ca="1"/>
        <v>#N/A</v>
      </c>
      <c r="C378" s="100" t="e">
        <f ca="1"/>
        <v>#N/A</v>
      </c>
      <c r="D378" s="100" t="e">
        <f ca="1"/>
        <v>#N/A</v>
      </c>
      <c r="E378" s="101"/>
    </row>
    <row r="379" spans="2:5">
      <c r="B379" s="99" t="e">
        <f ca="1"/>
        <v>#N/A</v>
      </c>
      <c r="C379" s="100" t="e">
        <f ca="1"/>
        <v>#N/A</v>
      </c>
      <c r="D379" s="100" t="e">
        <f ca="1"/>
        <v>#N/A</v>
      </c>
      <c r="E379" s="101"/>
    </row>
    <row r="380" spans="2:5">
      <c r="B380" s="99" t="e">
        <f ca="1"/>
        <v>#N/A</v>
      </c>
      <c r="C380" s="100" t="e">
        <f ca="1"/>
        <v>#N/A</v>
      </c>
      <c r="D380" s="100" t="e">
        <f ca="1"/>
        <v>#N/A</v>
      </c>
      <c r="E380" s="101"/>
    </row>
    <row r="381" spans="2:5">
      <c r="B381" s="99" t="e">
        <f ca="1"/>
        <v>#N/A</v>
      </c>
      <c r="C381" s="100" t="e">
        <f ca="1"/>
        <v>#N/A</v>
      </c>
      <c r="D381" s="100" t="e">
        <f ca="1"/>
        <v>#N/A</v>
      </c>
      <c r="E381" s="101"/>
    </row>
    <row r="382" spans="2:5">
      <c r="B382" s="99" t="e">
        <f ca="1"/>
        <v>#N/A</v>
      </c>
      <c r="C382" s="100" t="e">
        <f ca="1"/>
        <v>#N/A</v>
      </c>
      <c r="D382" s="100" t="e">
        <f ca="1"/>
        <v>#N/A</v>
      </c>
      <c r="E382" s="101"/>
    </row>
    <row r="383" spans="2:5">
      <c r="B383" s="99" t="e">
        <f ca="1"/>
        <v>#N/A</v>
      </c>
      <c r="C383" s="100" t="e">
        <f ca="1"/>
        <v>#N/A</v>
      </c>
      <c r="D383" s="100" t="e">
        <f ca="1"/>
        <v>#N/A</v>
      </c>
      <c r="E383" s="101"/>
    </row>
    <row r="384" spans="2:5">
      <c r="B384" s="99" t="e">
        <f ca="1"/>
        <v>#N/A</v>
      </c>
      <c r="C384" s="100" t="e">
        <f ca="1"/>
        <v>#N/A</v>
      </c>
      <c r="D384" s="100" t="e">
        <f ca="1"/>
        <v>#N/A</v>
      </c>
      <c r="E384" s="101"/>
    </row>
    <row r="385" spans="2:5">
      <c r="B385" s="99" t="e">
        <f ca="1"/>
        <v>#N/A</v>
      </c>
      <c r="C385" s="100" t="e">
        <f ca="1"/>
        <v>#N/A</v>
      </c>
      <c r="D385" s="100" t="e">
        <f ca="1"/>
        <v>#N/A</v>
      </c>
      <c r="E385" s="101"/>
    </row>
    <row r="386" spans="2:5">
      <c r="B386" s="99" t="e">
        <f ca="1"/>
        <v>#N/A</v>
      </c>
      <c r="C386" s="100" t="e">
        <f ca="1"/>
        <v>#N/A</v>
      </c>
      <c r="D386" s="100" t="e">
        <f ca="1"/>
        <v>#N/A</v>
      </c>
      <c r="E386" s="101"/>
    </row>
    <row r="387" spans="2:5">
      <c r="B387" s="99" t="e">
        <f ca="1"/>
        <v>#N/A</v>
      </c>
      <c r="C387" s="100" t="e">
        <f ca="1"/>
        <v>#N/A</v>
      </c>
      <c r="D387" s="100" t="e">
        <f ca="1"/>
        <v>#N/A</v>
      </c>
      <c r="E387" s="101"/>
    </row>
    <row r="388" spans="2:5">
      <c r="B388" s="99" t="e">
        <f ca="1"/>
        <v>#N/A</v>
      </c>
      <c r="C388" s="100" t="e">
        <f ca="1"/>
        <v>#N/A</v>
      </c>
      <c r="D388" s="100" t="e">
        <f ca="1"/>
        <v>#N/A</v>
      </c>
      <c r="E388" s="101"/>
    </row>
    <row r="389" spans="2:5">
      <c r="B389" s="99" t="e">
        <f ca="1"/>
        <v>#N/A</v>
      </c>
      <c r="C389" s="100" t="e">
        <f ca="1"/>
        <v>#N/A</v>
      </c>
      <c r="D389" s="100" t="e">
        <f ca="1"/>
        <v>#N/A</v>
      </c>
      <c r="E389" s="101"/>
    </row>
    <row r="390" spans="2:5">
      <c r="B390" s="99" t="e">
        <f ca="1"/>
        <v>#N/A</v>
      </c>
      <c r="C390" s="100" t="e">
        <f ca="1"/>
        <v>#N/A</v>
      </c>
      <c r="D390" s="100" t="e">
        <f ca="1"/>
        <v>#N/A</v>
      </c>
      <c r="E390" s="101"/>
    </row>
    <row r="391" spans="2:5">
      <c r="B391" s="99" t="e">
        <f ca="1"/>
        <v>#N/A</v>
      </c>
      <c r="C391" s="100" t="e">
        <f ca="1"/>
        <v>#N/A</v>
      </c>
      <c r="D391" s="100" t="e">
        <f ca="1"/>
        <v>#N/A</v>
      </c>
      <c r="E391" s="101"/>
    </row>
    <row r="392" spans="2:5">
      <c r="B392" s="99" t="e">
        <f ca="1"/>
        <v>#N/A</v>
      </c>
      <c r="C392" s="100" t="e">
        <f ca="1"/>
        <v>#N/A</v>
      </c>
      <c r="D392" s="100" t="e">
        <f ca="1"/>
        <v>#N/A</v>
      </c>
      <c r="E392" s="101"/>
    </row>
    <row r="393" spans="2:5">
      <c r="B393" s="99" t="e">
        <f ca="1"/>
        <v>#N/A</v>
      </c>
      <c r="C393" s="100" t="e">
        <f ca="1"/>
        <v>#N/A</v>
      </c>
      <c r="D393" s="100" t="e">
        <f ca="1"/>
        <v>#N/A</v>
      </c>
      <c r="E393" s="101"/>
    </row>
    <row r="394" spans="2:5">
      <c r="B394" s="99" t="e">
        <f ca="1"/>
        <v>#N/A</v>
      </c>
      <c r="C394" s="100" t="e">
        <f ca="1"/>
        <v>#N/A</v>
      </c>
      <c r="D394" s="100" t="e">
        <f ca="1"/>
        <v>#N/A</v>
      </c>
      <c r="E394" s="101"/>
    </row>
    <row r="395" spans="2:5">
      <c r="B395" s="99" t="e">
        <f ca="1"/>
        <v>#N/A</v>
      </c>
      <c r="C395" s="100" t="e">
        <f ca="1"/>
        <v>#N/A</v>
      </c>
      <c r="D395" s="100" t="e">
        <f ca="1"/>
        <v>#N/A</v>
      </c>
      <c r="E395" s="101"/>
    </row>
    <row r="396" spans="2:5">
      <c r="B396" s="99" t="e">
        <f ca="1"/>
        <v>#N/A</v>
      </c>
      <c r="C396" s="100" t="e">
        <f ca="1"/>
        <v>#N/A</v>
      </c>
      <c r="D396" s="100" t="e">
        <f ca="1"/>
        <v>#N/A</v>
      </c>
      <c r="E396" s="101"/>
    </row>
    <row r="397" spans="2:5">
      <c r="B397" s="99" t="e">
        <f ca="1"/>
        <v>#N/A</v>
      </c>
      <c r="C397" s="100" t="e">
        <f ca="1"/>
        <v>#N/A</v>
      </c>
      <c r="D397" s="100" t="e">
        <f ca="1"/>
        <v>#N/A</v>
      </c>
      <c r="E397" s="101"/>
    </row>
    <row r="398" spans="2:5">
      <c r="B398" s="99" t="e">
        <f ca="1"/>
        <v>#N/A</v>
      </c>
      <c r="C398" s="100" t="e">
        <f ca="1"/>
        <v>#N/A</v>
      </c>
      <c r="D398" s="100" t="e">
        <f ca="1"/>
        <v>#N/A</v>
      </c>
      <c r="E398" s="101"/>
    </row>
    <row r="399" spans="2:5">
      <c r="B399" s="99" t="e">
        <f ca="1"/>
        <v>#N/A</v>
      </c>
      <c r="C399" s="100" t="e">
        <f ca="1"/>
        <v>#N/A</v>
      </c>
      <c r="D399" s="100" t="e">
        <f ca="1"/>
        <v>#N/A</v>
      </c>
      <c r="E399" s="101"/>
    </row>
    <row r="400" spans="2:5">
      <c r="B400" s="99" t="e">
        <f ca="1"/>
        <v>#N/A</v>
      </c>
      <c r="C400" s="100" t="e">
        <f ca="1"/>
        <v>#N/A</v>
      </c>
      <c r="D400" s="100" t="e">
        <f ca="1"/>
        <v>#N/A</v>
      </c>
      <c r="E400" s="101"/>
    </row>
    <row r="401" spans="2:5">
      <c r="B401" s="99" t="e">
        <f ca="1"/>
        <v>#N/A</v>
      </c>
      <c r="C401" s="100" t="e">
        <f ca="1"/>
        <v>#N/A</v>
      </c>
      <c r="D401" s="100" t="e">
        <f ca="1"/>
        <v>#N/A</v>
      </c>
      <c r="E401" s="101"/>
    </row>
    <row r="402" spans="2:5">
      <c r="B402" s="99" t="e">
        <f ca="1"/>
        <v>#N/A</v>
      </c>
      <c r="C402" s="100" t="e">
        <f ca="1"/>
        <v>#N/A</v>
      </c>
      <c r="D402" s="100" t="e">
        <f ca="1"/>
        <v>#N/A</v>
      </c>
      <c r="E402" s="101"/>
    </row>
    <row r="403" spans="2:5">
      <c r="B403" s="99" t="e">
        <f ca="1"/>
        <v>#N/A</v>
      </c>
      <c r="C403" s="100" t="e">
        <f ca="1"/>
        <v>#N/A</v>
      </c>
      <c r="D403" s="100" t="e">
        <f ca="1"/>
        <v>#N/A</v>
      </c>
      <c r="E403" s="101"/>
    </row>
    <row r="404" spans="2:5">
      <c r="B404" s="99" t="e">
        <f ca="1"/>
        <v>#N/A</v>
      </c>
      <c r="C404" s="100" t="e">
        <f ca="1"/>
        <v>#N/A</v>
      </c>
      <c r="D404" s="100" t="e">
        <f ca="1"/>
        <v>#N/A</v>
      </c>
      <c r="E404" s="101"/>
    </row>
    <row r="405" spans="2:5">
      <c r="B405" s="99" t="e">
        <f ca="1"/>
        <v>#N/A</v>
      </c>
      <c r="C405" s="100" t="e">
        <f ca="1"/>
        <v>#N/A</v>
      </c>
      <c r="D405" s="100" t="e">
        <f ca="1"/>
        <v>#N/A</v>
      </c>
      <c r="E405" s="101"/>
    </row>
    <row r="406" spans="2:5">
      <c r="B406" s="99" t="e">
        <f ca="1"/>
        <v>#N/A</v>
      </c>
      <c r="C406" s="100" t="e">
        <f ca="1"/>
        <v>#N/A</v>
      </c>
      <c r="D406" s="100" t="e">
        <f ca="1"/>
        <v>#N/A</v>
      </c>
      <c r="E406" s="101"/>
    </row>
    <row r="407" spans="2:5">
      <c r="B407" s="99" t="e">
        <f ca="1"/>
        <v>#N/A</v>
      </c>
      <c r="C407" s="100" t="e">
        <f ca="1"/>
        <v>#N/A</v>
      </c>
      <c r="D407" s="100" t="e">
        <f ca="1"/>
        <v>#N/A</v>
      </c>
      <c r="E407" s="101"/>
    </row>
    <row r="408" spans="2:5">
      <c r="B408" s="99" t="e">
        <f ca="1"/>
        <v>#N/A</v>
      </c>
      <c r="C408" s="100" t="e">
        <f ca="1"/>
        <v>#N/A</v>
      </c>
      <c r="D408" s="100" t="e">
        <f ca="1"/>
        <v>#N/A</v>
      </c>
      <c r="E408" s="101"/>
    </row>
    <row r="409" spans="2:5">
      <c r="B409" s="99" t="e">
        <f ca="1"/>
        <v>#N/A</v>
      </c>
      <c r="C409" s="100" t="e">
        <f ca="1"/>
        <v>#N/A</v>
      </c>
      <c r="D409" s="100" t="e">
        <f ca="1"/>
        <v>#N/A</v>
      </c>
      <c r="E409" s="101"/>
    </row>
    <row r="410" spans="2:5">
      <c r="B410" s="99" t="e">
        <f ca="1"/>
        <v>#N/A</v>
      </c>
      <c r="C410" s="100" t="e">
        <f ca="1"/>
        <v>#N/A</v>
      </c>
      <c r="D410" s="100" t="e">
        <f ca="1"/>
        <v>#N/A</v>
      </c>
      <c r="E410" s="101"/>
    </row>
    <row r="411" spans="2:5">
      <c r="B411" s="99" t="e">
        <f ca="1"/>
        <v>#N/A</v>
      </c>
      <c r="C411" s="100" t="e">
        <f ca="1"/>
        <v>#N/A</v>
      </c>
      <c r="D411" s="100" t="e">
        <f ca="1"/>
        <v>#N/A</v>
      </c>
      <c r="E411" s="101"/>
    </row>
    <row r="412" spans="2:5">
      <c r="B412" s="99" t="e">
        <f ca="1"/>
        <v>#N/A</v>
      </c>
      <c r="C412" s="100" t="e">
        <f ca="1"/>
        <v>#N/A</v>
      </c>
      <c r="D412" s="100" t="e">
        <f ca="1"/>
        <v>#N/A</v>
      </c>
      <c r="E412" s="101"/>
    </row>
    <row r="413" spans="2:5">
      <c r="B413" s="99" t="e">
        <f ca="1"/>
        <v>#N/A</v>
      </c>
      <c r="C413" s="100" t="e">
        <f ca="1"/>
        <v>#N/A</v>
      </c>
      <c r="D413" s="100" t="e">
        <f ca="1"/>
        <v>#N/A</v>
      </c>
      <c r="E413" s="101"/>
    </row>
    <row r="414" spans="2:5">
      <c r="B414" s="99" t="e">
        <f ca="1"/>
        <v>#N/A</v>
      </c>
      <c r="C414" s="100" t="e">
        <f ca="1"/>
        <v>#N/A</v>
      </c>
      <c r="D414" s="100" t="e">
        <f ca="1"/>
        <v>#N/A</v>
      </c>
      <c r="E414" s="101"/>
    </row>
    <row r="415" spans="2:5">
      <c r="B415" s="99" t="e">
        <f ca="1"/>
        <v>#N/A</v>
      </c>
      <c r="C415" s="100" t="e">
        <f ca="1"/>
        <v>#N/A</v>
      </c>
      <c r="D415" s="100" t="e">
        <f ca="1"/>
        <v>#N/A</v>
      </c>
      <c r="E415" s="101"/>
    </row>
    <row r="416" spans="2:5">
      <c r="B416" s="99" t="e">
        <f ca="1"/>
        <v>#N/A</v>
      </c>
      <c r="C416" s="100" t="e">
        <f ca="1"/>
        <v>#N/A</v>
      </c>
      <c r="D416" s="100" t="e">
        <f ca="1"/>
        <v>#N/A</v>
      </c>
      <c r="E416" s="101"/>
    </row>
    <row r="417" spans="2:5">
      <c r="B417" s="99" t="e">
        <f ca="1"/>
        <v>#N/A</v>
      </c>
      <c r="C417" s="100" t="e">
        <f ca="1"/>
        <v>#N/A</v>
      </c>
      <c r="D417" s="100" t="e">
        <f ca="1"/>
        <v>#N/A</v>
      </c>
      <c r="E417" s="101"/>
    </row>
    <row r="418" spans="2:5">
      <c r="B418" s="99" t="e">
        <f ca="1"/>
        <v>#N/A</v>
      </c>
      <c r="C418" s="100" t="e">
        <f ca="1"/>
        <v>#N/A</v>
      </c>
      <c r="D418" s="100" t="e">
        <f ca="1"/>
        <v>#N/A</v>
      </c>
      <c r="E418" s="101"/>
    </row>
    <row r="419" spans="2:5">
      <c r="B419" s="99" t="e">
        <f ca="1"/>
        <v>#N/A</v>
      </c>
      <c r="C419" s="100" t="e">
        <f ca="1"/>
        <v>#N/A</v>
      </c>
      <c r="D419" s="100" t="e">
        <f ca="1"/>
        <v>#N/A</v>
      </c>
      <c r="E419" s="101"/>
    </row>
    <row r="420" spans="2:5">
      <c r="B420" s="99" t="e">
        <f ca="1"/>
        <v>#N/A</v>
      </c>
      <c r="C420" s="100" t="e">
        <f ca="1"/>
        <v>#N/A</v>
      </c>
      <c r="D420" s="100" t="e">
        <f ca="1"/>
        <v>#N/A</v>
      </c>
      <c r="E420" s="101"/>
    </row>
    <row r="421" spans="2:5">
      <c r="B421" s="99" t="e">
        <f ca="1"/>
        <v>#N/A</v>
      </c>
      <c r="C421" s="100" t="e">
        <f ca="1"/>
        <v>#N/A</v>
      </c>
      <c r="D421" s="100" t="e">
        <f ca="1"/>
        <v>#N/A</v>
      </c>
      <c r="E421" s="101"/>
    </row>
    <row r="422" spans="2:5">
      <c r="B422" s="99" t="e">
        <f ca="1"/>
        <v>#N/A</v>
      </c>
      <c r="C422" s="100" t="e">
        <f ca="1"/>
        <v>#N/A</v>
      </c>
      <c r="D422" s="100" t="e">
        <f ca="1"/>
        <v>#N/A</v>
      </c>
      <c r="E422" s="101"/>
    </row>
    <row r="423" spans="2:5">
      <c r="B423" s="99" t="e">
        <f ca="1"/>
        <v>#N/A</v>
      </c>
      <c r="C423" s="100" t="e">
        <f ca="1"/>
        <v>#N/A</v>
      </c>
      <c r="D423" s="100" t="e">
        <f ca="1"/>
        <v>#N/A</v>
      </c>
      <c r="E423" s="101"/>
    </row>
    <row r="424" spans="2:5">
      <c r="B424" s="99" t="e">
        <f ca="1"/>
        <v>#N/A</v>
      </c>
      <c r="C424" s="100" t="e">
        <f ca="1"/>
        <v>#N/A</v>
      </c>
      <c r="D424" s="100" t="e">
        <f ca="1"/>
        <v>#N/A</v>
      </c>
      <c r="E424" s="101"/>
    </row>
    <row r="425" spans="2:5">
      <c r="B425" s="99" t="e">
        <f ca="1"/>
        <v>#N/A</v>
      </c>
      <c r="C425" s="100" t="e">
        <f ca="1"/>
        <v>#N/A</v>
      </c>
      <c r="D425" s="100" t="e">
        <f ca="1"/>
        <v>#N/A</v>
      </c>
      <c r="E425" s="101"/>
    </row>
    <row r="426" spans="2:5">
      <c r="B426" s="99" t="e">
        <f ca="1"/>
        <v>#N/A</v>
      </c>
      <c r="C426" s="100" t="e">
        <f ca="1"/>
        <v>#N/A</v>
      </c>
      <c r="D426" s="100" t="e">
        <f ca="1"/>
        <v>#N/A</v>
      </c>
      <c r="E426" s="101"/>
    </row>
    <row r="427" spans="2:5">
      <c r="B427" s="99" t="e">
        <f ca="1"/>
        <v>#N/A</v>
      </c>
      <c r="C427" s="100" t="e">
        <f ca="1"/>
        <v>#N/A</v>
      </c>
      <c r="D427" s="100" t="e">
        <f ca="1"/>
        <v>#N/A</v>
      </c>
      <c r="E427" s="101"/>
    </row>
    <row r="428" spans="2:5">
      <c r="B428" s="99" t="e">
        <f ca="1"/>
        <v>#N/A</v>
      </c>
      <c r="C428" s="100" t="e">
        <f ca="1"/>
        <v>#N/A</v>
      </c>
      <c r="D428" s="100" t="e">
        <f ca="1"/>
        <v>#N/A</v>
      </c>
      <c r="E428" s="101"/>
    </row>
    <row r="429" spans="2:5">
      <c r="B429" s="99" t="e">
        <f ca="1"/>
        <v>#N/A</v>
      </c>
      <c r="C429" s="100" t="e">
        <f ca="1"/>
        <v>#N/A</v>
      </c>
      <c r="D429" s="100" t="e">
        <f ca="1"/>
        <v>#N/A</v>
      </c>
      <c r="E429" s="101"/>
    </row>
    <row r="430" spans="2:5">
      <c r="B430" s="99" t="e">
        <f ca="1"/>
        <v>#N/A</v>
      </c>
      <c r="C430" s="100" t="e">
        <f ca="1"/>
        <v>#N/A</v>
      </c>
      <c r="D430" s="100" t="e">
        <f ca="1"/>
        <v>#N/A</v>
      </c>
      <c r="E430" s="101"/>
    </row>
    <row r="431" spans="2:5">
      <c r="B431" s="99" t="e">
        <f ca="1"/>
        <v>#N/A</v>
      </c>
      <c r="C431" s="100" t="e">
        <f ca="1"/>
        <v>#N/A</v>
      </c>
      <c r="D431" s="100" t="e">
        <f ca="1"/>
        <v>#N/A</v>
      </c>
      <c r="E431" s="101"/>
    </row>
    <row r="432" spans="2:5">
      <c r="B432" s="99" t="e">
        <f ca="1"/>
        <v>#N/A</v>
      </c>
      <c r="C432" s="100" t="e">
        <f ca="1"/>
        <v>#N/A</v>
      </c>
      <c r="D432" s="100" t="e">
        <f ca="1"/>
        <v>#N/A</v>
      </c>
      <c r="E432" s="101"/>
    </row>
    <row r="433" spans="2:5">
      <c r="B433" s="99" t="e">
        <f ca="1"/>
        <v>#N/A</v>
      </c>
      <c r="C433" s="100" t="e">
        <f ca="1"/>
        <v>#N/A</v>
      </c>
      <c r="D433" s="100" t="e">
        <f ca="1"/>
        <v>#N/A</v>
      </c>
      <c r="E433" s="101"/>
    </row>
    <row r="434" spans="2:5">
      <c r="B434" s="99" t="e">
        <f ca="1"/>
        <v>#N/A</v>
      </c>
      <c r="C434" s="100" t="e">
        <f ca="1"/>
        <v>#N/A</v>
      </c>
      <c r="D434" s="100" t="e">
        <f ca="1"/>
        <v>#N/A</v>
      </c>
      <c r="E434" s="101"/>
    </row>
    <row r="435" spans="2:5">
      <c r="B435" s="99" t="e">
        <f ca="1"/>
        <v>#N/A</v>
      </c>
      <c r="C435" s="100" t="e">
        <f ca="1"/>
        <v>#N/A</v>
      </c>
      <c r="D435" s="100" t="e">
        <f ca="1"/>
        <v>#N/A</v>
      </c>
      <c r="E435" s="101"/>
    </row>
    <row r="436" spans="2:5">
      <c r="B436" s="99" t="e">
        <f ca="1"/>
        <v>#N/A</v>
      </c>
      <c r="C436" s="100" t="e">
        <f ca="1"/>
        <v>#N/A</v>
      </c>
      <c r="D436" s="100" t="e">
        <f ca="1"/>
        <v>#N/A</v>
      </c>
      <c r="E436" s="101"/>
    </row>
    <row r="437" spans="2:5">
      <c r="B437" s="99" t="e">
        <f ca="1"/>
        <v>#N/A</v>
      </c>
      <c r="C437" s="100" t="e">
        <f ca="1"/>
        <v>#N/A</v>
      </c>
      <c r="D437" s="100" t="e">
        <f ca="1"/>
        <v>#N/A</v>
      </c>
      <c r="E437" s="101"/>
    </row>
    <row r="438" spans="2:5">
      <c r="B438" s="99" t="e">
        <f ca="1"/>
        <v>#N/A</v>
      </c>
      <c r="C438" s="100" t="e">
        <f ca="1"/>
        <v>#N/A</v>
      </c>
      <c r="D438" s="100" t="e">
        <f ca="1"/>
        <v>#N/A</v>
      </c>
      <c r="E438" s="101"/>
    </row>
    <row r="439" spans="2:5">
      <c r="B439" s="99" t="e">
        <f ca="1"/>
        <v>#N/A</v>
      </c>
      <c r="C439" s="100" t="e">
        <f ca="1"/>
        <v>#N/A</v>
      </c>
      <c r="D439" s="100" t="e">
        <f ca="1"/>
        <v>#N/A</v>
      </c>
      <c r="E439" s="101"/>
    </row>
    <row r="440" spans="2:5">
      <c r="B440" s="99" t="e">
        <f ca="1"/>
        <v>#N/A</v>
      </c>
      <c r="C440" s="100" t="e">
        <f ca="1"/>
        <v>#N/A</v>
      </c>
      <c r="D440" s="100" t="e">
        <f ca="1"/>
        <v>#N/A</v>
      </c>
      <c r="E440" s="101"/>
    </row>
    <row r="441" spans="2:5">
      <c r="B441" s="99" t="e">
        <f ca="1"/>
        <v>#N/A</v>
      </c>
      <c r="C441" s="100" t="e">
        <f ca="1"/>
        <v>#N/A</v>
      </c>
      <c r="D441" s="100" t="e">
        <f ca="1"/>
        <v>#N/A</v>
      </c>
      <c r="E441" s="101"/>
    </row>
    <row r="442" spans="2:5">
      <c r="B442" s="99" t="e">
        <f ca="1"/>
        <v>#N/A</v>
      </c>
      <c r="C442" s="100" t="e">
        <f ca="1"/>
        <v>#N/A</v>
      </c>
      <c r="D442" s="100" t="e">
        <f ca="1"/>
        <v>#N/A</v>
      </c>
      <c r="E442" s="101"/>
    </row>
    <row r="443" spans="2:5">
      <c r="B443" s="99" t="e">
        <f ca="1"/>
        <v>#N/A</v>
      </c>
      <c r="C443" s="100" t="e">
        <f ca="1"/>
        <v>#N/A</v>
      </c>
      <c r="D443" s="100" t="e">
        <f ca="1"/>
        <v>#N/A</v>
      </c>
      <c r="E443" s="101"/>
    </row>
    <row r="444" spans="2:5">
      <c r="B444" s="99" t="e">
        <f ca="1"/>
        <v>#N/A</v>
      </c>
      <c r="C444" s="100" t="e">
        <f ca="1"/>
        <v>#N/A</v>
      </c>
      <c r="D444" s="100" t="e">
        <f ca="1"/>
        <v>#N/A</v>
      </c>
      <c r="E444" s="101"/>
    </row>
    <row r="445" spans="2:5">
      <c r="B445" s="99" t="e">
        <f ca="1"/>
        <v>#N/A</v>
      </c>
      <c r="C445" s="100" t="e">
        <f ca="1"/>
        <v>#N/A</v>
      </c>
      <c r="D445" s="100" t="e">
        <f ca="1"/>
        <v>#N/A</v>
      </c>
      <c r="E445" s="101"/>
    </row>
    <row r="446" spans="2:5">
      <c r="B446" s="99" t="e">
        <f ca="1"/>
        <v>#N/A</v>
      </c>
      <c r="C446" s="100" t="e">
        <f ca="1"/>
        <v>#N/A</v>
      </c>
      <c r="D446" s="100" t="e">
        <f ca="1"/>
        <v>#N/A</v>
      </c>
      <c r="E446" s="101"/>
    </row>
    <row r="447" spans="2:5">
      <c r="B447" s="99" t="e">
        <f ca="1"/>
        <v>#N/A</v>
      </c>
      <c r="C447" s="100" t="e">
        <f ca="1"/>
        <v>#N/A</v>
      </c>
      <c r="D447" s="100" t="e">
        <f ca="1"/>
        <v>#N/A</v>
      </c>
      <c r="E447" s="101"/>
    </row>
    <row r="448" spans="2:5">
      <c r="B448" s="99" t="e">
        <f ca="1"/>
        <v>#N/A</v>
      </c>
      <c r="C448" s="100" t="e">
        <f ca="1"/>
        <v>#N/A</v>
      </c>
      <c r="D448" s="100" t="e">
        <f ca="1"/>
        <v>#N/A</v>
      </c>
      <c r="E448" s="101"/>
    </row>
    <row r="449" spans="2:5">
      <c r="B449" s="99" t="e">
        <f ca="1"/>
        <v>#N/A</v>
      </c>
      <c r="C449" s="100" t="e">
        <f ca="1"/>
        <v>#N/A</v>
      </c>
      <c r="D449" s="100" t="e">
        <f ca="1"/>
        <v>#N/A</v>
      </c>
      <c r="E449" s="101"/>
    </row>
    <row r="450" spans="2:5">
      <c r="B450" s="99" t="e">
        <f ca="1"/>
        <v>#N/A</v>
      </c>
      <c r="C450" s="100" t="e">
        <f ca="1"/>
        <v>#N/A</v>
      </c>
      <c r="D450" s="100" t="e">
        <f ca="1"/>
        <v>#N/A</v>
      </c>
      <c r="E450" s="101"/>
    </row>
    <row r="451" spans="2:5">
      <c r="B451" s="99" t="e">
        <f ca="1"/>
        <v>#N/A</v>
      </c>
      <c r="C451" s="100" t="e">
        <f ca="1"/>
        <v>#N/A</v>
      </c>
      <c r="D451" s="100" t="e">
        <f ca="1"/>
        <v>#N/A</v>
      </c>
      <c r="E451" s="101"/>
    </row>
    <row r="452" spans="2:5">
      <c r="B452" s="99" t="e">
        <f ca="1"/>
        <v>#N/A</v>
      </c>
      <c r="C452" s="100" t="e">
        <f ca="1"/>
        <v>#N/A</v>
      </c>
      <c r="D452" s="100" t="e">
        <f ca="1"/>
        <v>#N/A</v>
      </c>
      <c r="E452" s="101"/>
    </row>
    <row r="453" spans="2:5">
      <c r="B453" s="99" t="e">
        <f ca="1"/>
        <v>#N/A</v>
      </c>
      <c r="C453" s="100" t="e">
        <f ca="1"/>
        <v>#N/A</v>
      </c>
      <c r="D453" s="100" t="e">
        <f ca="1"/>
        <v>#N/A</v>
      </c>
      <c r="E453" s="101"/>
    </row>
    <row r="454" spans="2:5">
      <c r="B454" s="99" t="e">
        <f ca="1"/>
        <v>#N/A</v>
      </c>
      <c r="C454" s="100" t="e">
        <f ca="1"/>
        <v>#N/A</v>
      </c>
      <c r="D454" s="100" t="e">
        <f ca="1"/>
        <v>#N/A</v>
      </c>
      <c r="E454" s="101"/>
    </row>
    <row r="455" spans="2:5">
      <c r="B455" s="99" t="e">
        <f ca="1"/>
        <v>#N/A</v>
      </c>
      <c r="C455" s="100" t="e">
        <f ca="1"/>
        <v>#N/A</v>
      </c>
      <c r="D455" s="100" t="e">
        <f ca="1"/>
        <v>#N/A</v>
      </c>
      <c r="E455" s="101"/>
    </row>
    <row r="456" spans="2:5">
      <c r="B456" s="99" t="e">
        <f ca="1"/>
        <v>#N/A</v>
      </c>
      <c r="C456" s="100" t="e">
        <f ca="1"/>
        <v>#N/A</v>
      </c>
      <c r="D456" s="100" t="e">
        <f ca="1"/>
        <v>#N/A</v>
      </c>
      <c r="E456" s="101"/>
    </row>
    <row r="457" spans="2:5">
      <c r="B457" s="99" t="e">
        <f ca="1"/>
        <v>#N/A</v>
      </c>
      <c r="C457" s="100" t="e">
        <f ca="1"/>
        <v>#N/A</v>
      </c>
      <c r="D457" s="100" t="e">
        <f ca="1"/>
        <v>#N/A</v>
      </c>
      <c r="E457" s="101"/>
    </row>
    <row r="458" spans="2:5">
      <c r="B458" s="99" t="e">
        <f ca="1"/>
        <v>#N/A</v>
      </c>
      <c r="C458" s="100" t="e">
        <f ca="1"/>
        <v>#N/A</v>
      </c>
      <c r="D458" s="100" t="e">
        <f ca="1"/>
        <v>#N/A</v>
      </c>
      <c r="E458" s="101"/>
    </row>
    <row r="459" spans="2:5">
      <c r="B459" s="99" t="e">
        <f ca="1"/>
        <v>#N/A</v>
      </c>
      <c r="C459" s="100" t="e">
        <f ca="1"/>
        <v>#N/A</v>
      </c>
      <c r="D459" s="100" t="e">
        <f ca="1"/>
        <v>#N/A</v>
      </c>
      <c r="E459" s="101"/>
    </row>
    <row r="460" spans="2:5">
      <c r="B460" s="99" t="e">
        <f ca="1"/>
        <v>#N/A</v>
      </c>
      <c r="C460" s="100" t="e">
        <f ca="1"/>
        <v>#N/A</v>
      </c>
      <c r="D460" s="100" t="e">
        <f ca="1"/>
        <v>#N/A</v>
      </c>
      <c r="E460" s="101"/>
    </row>
    <row r="461" spans="2:5">
      <c r="B461" s="99" t="e">
        <f ca="1"/>
        <v>#N/A</v>
      </c>
      <c r="C461" s="100" t="e">
        <f ca="1"/>
        <v>#N/A</v>
      </c>
      <c r="D461" s="100" t="e">
        <f ca="1"/>
        <v>#N/A</v>
      </c>
      <c r="E461" s="101"/>
    </row>
    <row r="462" spans="2:5">
      <c r="B462" s="99" t="e">
        <f ca="1"/>
        <v>#N/A</v>
      </c>
      <c r="C462" s="100" t="e">
        <f ca="1"/>
        <v>#N/A</v>
      </c>
      <c r="D462" s="100" t="e">
        <f ca="1"/>
        <v>#N/A</v>
      </c>
      <c r="E462" s="101"/>
    </row>
    <row r="463" spans="2:5">
      <c r="B463" s="99" t="e">
        <f ca="1"/>
        <v>#N/A</v>
      </c>
      <c r="C463" s="100" t="e">
        <f ca="1"/>
        <v>#N/A</v>
      </c>
      <c r="D463" s="100" t="e">
        <f ca="1"/>
        <v>#N/A</v>
      </c>
      <c r="E463" s="101"/>
    </row>
    <row r="464" spans="2:5">
      <c r="B464" s="99" t="e">
        <f ca="1"/>
        <v>#N/A</v>
      </c>
      <c r="C464" s="100" t="e">
        <f ca="1"/>
        <v>#N/A</v>
      </c>
      <c r="D464" s="100" t="e">
        <f ca="1"/>
        <v>#N/A</v>
      </c>
      <c r="E464" s="101"/>
    </row>
    <row r="465" spans="2:5">
      <c r="B465" s="99" t="e">
        <f ca="1"/>
        <v>#N/A</v>
      </c>
      <c r="C465" s="100" t="e">
        <f ca="1"/>
        <v>#N/A</v>
      </c>
      <c r="D465" s="100" t="e">
        <f ca="1"/>
        <v>#N/A</v>
      </c>
      <c r="E465" s="101"/>
    </row>
    <row r="466" spans="2:5">
      <c r="B466" s="99" t="e">
        <f ca="1"/>
        <v>#N/A</v>
      </c>
      <c r="C466" s="100" t="e">
        <f ca="1"/>
        <v>#N/A</v>
      </c>
      <c r="D466" s="100" t="e">
        <f ca="1"/>
        <v>#N/A</v>
      </c>
      <c r="E466" s="101"/>
    </row>
    <row r="467" spans="2:5">
      <c r="B467" s="99" t="e">
        <f ca="1"/>
        <v>#N/A</v>
      </c>
      <c r="C467" s="100" t="e">
        <f ca="1"/>
        <v>#N/A</v>
      </c>
      <c r="D467" s="100" t="e">
        <f ca="1"/>
        <v>#N/A</v>
      </c>
      <c r="E467" s="101"/>
    </row>
    <row r="468" spans="2:5">
      <c r="B468" s="99" t="e">
        <f ca="1"/>
        <v>#N/A</v>
      </c>
      <c r="C468" s="100" t="e">
        <f ca="1"/>
        <v>#N/A</v>
      </c>
      <c r="D468" s="100" t="e">
        <f ca="1"/>
        <v>#N/A</v>
      </c>
      <c r="E468" s="101"/>
    </row>
    <row r="469" spans="2:5">
      <c r="B469" s="99" t="e">
        <f ca="1"/>
        <v>#N/A</v>
      </c>
      <c r="C469" s="100" t="e">
        <f ca="1"/>
        <v>#N/A</v>
      </c>
      <c r="D469" s="100" t="e">
        <f ca="1"/>
        <v>#N/A</v>
      </c>
      <c r="E469" s="101"/>
    </row>
    <row r="470" spans="2:5">
      <c r="B470" s="99" t="e">
        <f ca="1"/>
        <v>#N/A</v>
      </c>
      <c r="C470" s="100" t="e">
        <f ca="1"/>
        <v>#N/A</v>
      </c>
      <c r="D470" s="100" t="e">
        <f ca="1"/>
        <v>#N/A</v>
      </c>
      <c r="E470" s="101"/>
    </row>
    <row r="471" spans="2:5">
      <c r="B471" s="99" t="e">
        <f ca="1"/>
        <v>#N/A</v>
      </c>
      <c r="C471" s="100" t="e">
        <f ca="1"/>
        <v>#N/A</v>
      </c>
      <c r="D471" s="100" t="e">
        <f ca="1"/>
        <v>#N/A</v>
      </c>
      <c r="E471" s="101"/>
    </row>
    <row r="472" spans="2:5">
      <c r="B472" s="99" t="e">
        <f ca="1"/>
        <v>#N/A</v>
      </c>
      <c r="C472" s="100" t="e">
        <f ca="1"/>
        <v>#N/A</v>
      </c>
      <c r="D472" s="100" t="e">
        <f ca="1"/>
        <v>#N/A</v>
      </c>
      <c r="E472" s="101"/>
    </row>
    <row r="473" spans="2:5">
      <c r="B473" s="99" t="e">
        <f ca="1"/>
        <v>#N/A</v>
      </c>
      <c r="C473" s="100" t="e">
        <f ca="1"/>
        <v>#N/A</v>
      </c>
      <c r="D473" s="100" t="e">
        <f ca="1"/>
        <v>#N/A</v>
      </c>
      <c r="E473" s="101"/>
    </row>
    <row r="474" spans="2:5">
      <c r="B474" s="99" t="e">
        <f ca="1"/>
        <v>#N/A</v>
      </c>
      <c r="C474" s="100" t="e">
        <f ca="1"/>
        <v>#N/A</v>
      </c>
      <c r="D474" s="100" t="e">
        <f ca="1"/>
        <v>#N/A</v>
      </c>
      <c r="E474" s="101"/>
    </row>
    <row r="475" spans="2:5">
      <c r="B475" s="99" t="e">
        <f ca="1"/>
        <v>#N/A</v>
      </c>
      <c r="C475" s="100" t="e">
        <f ca="1"/>
        <v>#N/A</v>
      </c>
      <c r="D475" s="100" t="e">
        <f ca="1"/>
        <v>#N/A</v>
      </c>
      <c r="E475" s="101"/>
    </row>
    <row r="476" spans="2:5">
      <c r="B476" s="99" t="e">
        <f ca="1"/>
        <v>#N/A</v>
      </c>
      <c r="C476" s="100" t="e">
        <f ca="1"/>
        <v>#N/A</v>
      </c>
      <c r="D476" s="100" t="e">
        <f ca="1"/>
        <v>#N/A</v>
      </c>
      <c r="E476" s="101"/>
    </row>
    <row r="477" spans="2:5">
      <c r="B477" s="99" t="e">
        <f ca="1"/>
        <v>#N/A</v>
      </c>
      <c r="C477" s="100" t="e">
        <f ca="1"/>
        <v>#N/A</v>
      </c>
      <c r="D477" s="100" t="e">
        <f ca="1"/>
        <v>#N/A</v>
      </c>
      <c r="E477" s="101"/>
    </row>
    <row r="478" spans="2:5">
      <c r="B478" s="99" t="e">
        <f ca="1"/>
        <v>#N/A</v>
      </c>
      <c r="C478" s="100" t="e">
        <f ca="1"/>
        <v>#N/A</v>
      </c>
      <c r="D478" s="100" t="e">
        <f ca="1"/>
        <v>#N/A</v>
      </c>
      <c r="E478" s="101"/>
    </row>
    <row r="479" spans="2:5">
      <c r="B479" s="99" t="e">
        <f ca="1"/>
        <v>#N/A</v>
      </c>
      <c r="C479" s="100" t="e">
        <f ca="1"/>
        <v>#N/A</v>
      </c>
      <c r="D479" s="100" t="e">
        <f ca="1"/>
        <v>#N/A</v>
      </c>
      <c r="E479" s="101"/>
    </row>
    <row r="480" spans="2:5">
      <c r="B480" s="99" t="e">
        <f ca="1"/>
        <v>#N/A</v>
      </c>
      <c r="C480" s="100" t="e">
        <f ca="1"/>
        <v>#N/A</v>
      </c>
      <c r="D480" s="100" t="e">
        <f ca="1"/>
        <v>#N/A</v>
      </c>
      <c r="E480" s="101"/>
    </row>
    <row r="481" spans="2:5">
      <c r="B481" s="99" t="e">
        <f ca="1"/>
        <v>#N/A</v>
      </c>
      <c r="C481" s="100" t="e">
        <f ca="1"/>
        <v>#N/A</v>
      </c>
      <c r="D481" s="100" t="e">
        <f ca="1"/>
        <v>#N/A</v>
      </c>
      <c r="E481" s="101"/>
    </row>
    <row r="482" spans="2:5">
      <c r="B482" s="99" t="e">
        <f ca="1"/>
        <v>#N/A</v>
      </c>
      <c r="C482" s="100" t="e">
        <f ca="1"/>
        <v>#N/A</v>
      </c>
      <c r="D482" s="100" t="e">
        <f ca="1"/>
        <v>#N/A</v>
      </c>
      <c r="E482" s="101"/>
    </row>
    <row r="483" spans="2:5">
      <c r="B483" s="99" t="e">
        <f ca="1"/>
        <v>#N/A</v>
      </c>
      <c r="C483" s="100" t="e">
        <f ca="1"/>
        <v>#N/A</v>
      </c>
      <c r="D483" s="100" t="e">
        <f ca="1"/>
        <v>#N/A</v>
      </c>
      <c r="E483" s="101"/>
    </row>
    <row r="484" spans="2:5">
      <c r="B484" s="99" t="e">
        <f ca="1"/>
        <v>#N/A</v>
      </c>
      <c r="C484" s="100" t="e">
        <f ca="1"/>
        <v>#N/A</v>
      </c>
      <c r="D484" s="100" t="e">
        <f ca="1"/>
        <v>#N/A</v>
      </c>
      <c r="E484" s="101"/>
    </row>
    <row r="485" spans="2:5">
      <c r="B485" s="99" t="e">
        <f ca="1"/>
        <v>#N/A</v>
      </c>
      <c r="C485" s="100" t="e">
        <f ca="1"/>
        <v>#N/A</v>
      </c>
      <c r="D485" s="100" t="e">
        <f ca="1"/>
        <v>#N/A</v>
      </c>
      <c r="E485" s="101"/>
    </row>
    <row r="486" spans="2:5">
      <c r="B486" s="99" t="e">
        <f ca="1"/>
        <v>#N/A</v>
      </c>
      <c r="C486" s="100" t="e">
        <f ca="1"/>
        <v>#N/A</v>
      </c>
      <c r="D486" s="100" t="e">
        <f ca="1"/>
        <v>#N/A</v>
      </c>
      <c r="E486" s="101"/>
    </row>
    <row r="487" spans="2:5">
      <c r="B487" s="99" t="e">
        <f ca="1"/>
        <v>#N/A</v>
      </c>
      <c r="C487" s="100" t="e">
        <f ca="1"/>
        <v>#N/A</v>
      </c>
      <c r="D487" s="100" t="e">
        <f ca="1"/>
        <v>#N/A</v>
      </c>
      <c r="E487" s="101"/>
    </row>
    <row r="488" spans="2:5">
      <c r="B488" s="99" t="e">
        <f ca="1"/>
        <v>#N/A</v>
      </c>
      <c r="C488" s="100" t="e">
        <f ca="1"/>
        <v>#N/A</v>
      </c>
      <c r="D488" s="100" t="e">
        <f ca="1"/>
        <v>#N/A</v>
      </c>
      <c r="E488" s="101"/>
    </row>
    <row r="489" spans="2:5">
      <c r="B489" s="99" t="e">
        <f ca="1"/>
        <v>#N/A</v>
      </c>
      <c r="C489" s="100" t="e">
        <f ca="1"/>
        <v>#N/A</v>
      </c>
      <c r="D489" s="100" t="e">
        <f ca="1"/>
        <v>#N/A</v>
      </c>
      <c r="E489" s="101"/>
    </row>
    <row r="490" spans="2:5">
      <c r="B490" s="99" t="e">
        <f ca="1"/>
        <v>#N/A</v>
      </c>
      <c r="C490" s="100" t="e">
        <f ca="1"/>
        <v>#N/A</v>
      </c>
      <c r="D490" s="100" t="e">
        <f ca="1"/>
        <v>#N/A</v>
      </c>
      <c r="E490" s="101"/>
    </row>
    <row r="491" spans="2:5">
      <c r="B491" s="99" t="e">
        <f ca="1"/>
        <v>#N/A</v>
      </c>
      <c r="C491" s="100" t="e">
        <f ca="1"/>
        <v>#N/A</v>
      </c>
      <c r="D491" s="100" t="e">
        <f ca="1"/>
        <v>#N/A</v>
      </c>
      <c r="E491" s="101"/>
    </row>
    <row r="492" spans="2:5">
      <c r="B492" s="99" t="e">
        <f ca="1"/>
        <v>#N/A</v>
      </c>
      <c r="C492" s="100" t="e">
        <f ca="1"/>
        <v>#N/A</v>
      </c>
      <c r="D492" s="100" t="e">
        <f ca="1"/>
        <v>#N/A</v>
      </c>
      <c r="E492" s="101"/>
    </row>
    <row r="493" spans="2:5">
      <c r="B493" s="99" t="e">
        <f ca="1"/>
        <v>#N/A</v>
      </c>
      <c r="C493" s="100" t="e">
        <f ca="1"/>
        <v>#N/A</v>
      </c>
      <c r="D493" s="100" t="e">
        <f ca="1"/>
        <v>#N/A</v>
      </c>
      <c r="E493" s="101"/>
    </row>
    <row r="494" spans="2:5">
      <c r="B494" s="99" t="e">
        <f ca="1"/>
        <v>#N/A</v>
      </c>
      <c r="C494" s="100" t="e">
        <f ca="1"/>
        <v>#N/A</v>
      </c>
      <c r="D494" s="100" t="e">
        <f ca="1"/>
        <v>#N/A</v>
      </c>
      <c r="E494" s="101"/>
    </row>
    <row r="495" spans="2:5">
      <c r="B495" s="99" t="e">
        <f ca="1"/>
        <v>#N/A</v>
      </c>
      <c r="C495" s="100" t="e">
        <f ca="1"/>
        <v>#N/A</v>
      </c>
      <c r="D495" s="100" t="e">
        <f ca="1"/>
        <v>#N/A</v>
      </c>
      <c r="E495" s="101"/>
    </row>
    <row r="496" spans="2:5">
      <c r="B496" s="99" t="e">
        <f ca="1"/>
        <v>#N/A</v>
      </c>
      <c r="C496" s="100" t="e">
        <f ca="1"/>
        <v>#N/A</v>
      </c>
      <c r="D496" s="100" t="e">
        <f ca="1"/>
        <v>#N/A</v>
      </c>
      <c r="E496" s="101"/>
    </row>
    <row r="497" spans="2:5">
      <c r="B497" s="99" t="e">
        <f ca="1"/>
        <v>#N/A</v>
      </c>
      <c r="C497" s="100" t="e">
        <f ca="1"/>
        <v>#N/A</v>
      </c>
      <c r="D497" s="100" t="e">
        <f ca="1"/>
        <v>#N/A</v>
      </c>
      <c r="E497" s="101"/>
    </row>
    <row r="498" spans="2:5">
      <c r="B498" s="99" t="e">
        <f ca="1"/>
        <v>#N/A</v>
      </c>
      <c r="C498" s="100" t="e">
        <f ca="1"/>
        <v>#N/A</v>
      </c>
      <c r="D498" s="100" t="e">
        <f ca="1"/>
        <v>#N/A</v>
      </c>
      <c r="E498" s="101"/>
    </row>
    <row r="499" spans="2:5">
      <c r="B499" s="99" t="e">
        <f ca="1"/>
        <v>#N/A</v>
      </c>
      <c r="C499" s="100" t="e">
        <f ca="1"/>
        <v>#N/A</v>
      </c>
      <c r="D499" s="100" t="e">
        <f ca="1"/>
        <v>#N/A</v>
      </c>
      <c r="E499" s="101"/>
    </row>
    <row r="500" spans="2:5">
      <c r="B500" s="99" t="e">
        <f ca="1"/>
        <v>#N/A</v>
      </c>
      <c r="C500" s="100" t="e">
        <f ca="1"/>
        <v>#N/A</v>
      </c>
      <c r="D500" s="100" t="e">
        <f ca="1"/>
        <v>#N/A</v>
      </c>
      <c r="E500" s="101"/>
    </row>
    <row r="501" spans="2:5">
      <c r="B501" s="102" t="e">
        <f ca="1"/>
        <v>#N/A</v>
      </c>
      <c r="C501" s="103" t="e">
        <f ca="1"/>
        <v>#N/A</v>
      </c>
      <c r="D501" s="103" t="e">
        <f ca="1"/>
        <v>#N/A</v>
      </c>
      <c r="E501" s="104"/>
    </row>
  </sheetData>
  <dataValidations count="1">
    <dataValidation type="list" allowBlank="1" showInputMessage="1" showErrorMessage="1" sqref="C6">
      <formula1>"SEMI-ANNUAL,QUARTERLY,MONTHLY,WEEKLY,BUSINESS_DAYS"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B2:E501"/>
  <sheetViews>
    <sheetView showGridLines="0" workbookViewId="0"/>
  </sheetViews>
  <sheetFormatPr defaultRowHeight="15"/>
  <cols>
    <col min="2" max="2" width="15.28515625" bestFit="1" customWidth="1"/>
    <col min="3" max="3" width="15.140625" customWidth="1"/>
    <col min="4" max="5" width="12.7109375" customWidth="1"/>
  </cols>
  <sheetData>
    <row r="2" spans="2:5">
      <c r="B2" s="2" t="s">
        <v>91</v>
      </c>
      <c r="E2" s="2" t="s">
        <v>84</v>
      </c>
    </row>
    <row r="3" spans="2:5">
      <c r="B3" s="28" t="s">
        <v>8</v>
      </c>
      <c r="C3" s="83" t="s">
        <v>117</v>
      </c>
      <c r="E3" s="83" t="s">
        <v>121</v>
      </c>
    </row>
    <row r="4" spans="2:5">
      <c r="B4" s="31" t="s">
        <v>85</v>
      </c>
      <c r="C4" s="84" t="s">
        <v>88</v>
      </c>
      <c r="E4" s="84" t="s">
        <v>122</v>
      </c>
    </row>
    <row r="5" spans="2:5">
      <c r="B5" s="31" t="s">
        <v>86</v>
      </c>
      <c r="C5" s="84" t="s">
        <v>54</v>
      </c>
      <c r="E5" s="84"/>
    </row>
    <row r="6" spans="2:5">
      <c r="B6" s="32" t="s">
        <v>87</v>
      </c>
      <c r="C6" s="85" t="s">
        <v>106</v>
      </c>
      <c r="E6" s="85"/>
    </row>
    <row r="9" spans="2:5">
      <c r="B9" s="3" t="str">
        <f t="array" aca="1" ref="B9:D501" ca="1">_xll.meLWOCurveForwardRatesTable($C$3,$E$3:$E$4,C4,C5,,,,C6)</f>
        <v>Fixing Dates</v>
      </c>
      <c r="C9" s="3" t="str">
        <f ca="1"/>
        <v>EUROIS</v>
      </c>
      <c r="D9" s="3" t="str">
        <f ca="1"/>
        <v>EUR3ML</v>
      </c>
    </row>
    <row r="10" spans="2:5">
      <c r="B10" s="96">
        <f ca="1"/>
        <v>43579</v>
      </c>
      <c r="C10" s="97">
        <f ca="1"/>
        <v>-3.6899999999961963E-3</v>
      </c>
      <c r="D10" s="97">
        <f ca="1"/>
        <v>-3.4895967005401513E-3</v>
      </c>
      <c r="E10" s="98"/>
    </row>
    <row r="11" spans="2:5">
      <c r="B11" s="99">
        <f ca="1"/>
        <v>43609</v>
      </c>
      <c r="C11" s="100">
        <f ca="1"/>
        <v>-3.6499999999906061E-3</v>
      </c>
      <c r="D11" s="100">
        <f ca="1"/>
        <v>-3.2811461924342777E-3</v>
      </c>
      <c r="E11" s="101"/>
    </row>
    <row r="12" spans="2:5">
      <c r="B12" s="99">
        <f ca="1"/>
        <v>43640</v>
      </c>
      <c r="C12" s="100">
        <f ca="1"/>
        <v>-3.6500000000838769E-3</v>
      </c>
      <c r="D12" s="100">
        <f ca="1"/>
        <v>-3.1005359388952452E-3</v>
      </c>
      <c r="E12" s="101"/>
    </row>
    <row r="13" spans="2:5">
      <c r="B13" s="99">
        <f ca="1"/>
        <v>43670</v>
      </c>
      <c r="C13" s="100">
        <f ca="1"/>
        <v>-3.6500000000838769E-3</v>
      </c>
      <c r="D13" s="100">
        <f ca="1"/>
        <v>-3.1008170598115932E-3</v>
      </c>
      <c r="E13" s="101"/>
    </row>
    <row r="14" spans="2:5">
      <c r="B14" s="99">
        <f ca="1"/>
        <v>43703</v>
      </c>
      <c r="C14" s="100">
        <f ca="1"/>
        <v>-3.659999999952048E-3</v>
      </c>
      <c r="D14" s="100">
        <f ca="1"/>
        <v>-3.1015414401933182E-3</v>
      </c>
      <c r="E14" s="101"/>
    </row>
    <row r="15" spans="2:5">
      <c r="B15" s="99">
        <f ca="1"/>
        <v>43732</v>
      </c>
      <c r="C15" s="100">
        <f ca="1"/>
        <v>-3.6900000000361774E-3</v>
      </c>
      <c r="D15" s="100">
        <f ca="1"/>
        <v>-3.0988893522590506E-3</v>
      </c>
      <c r="E15" s="101"/>
    </row>
    <row r="16" spans="2:5">
      <c r="B16" s="99">
        <f ca="1"/>
        <v>43762</v>
      </c>
      <c r="C16" s="100">
        <f ca="1"/>
        <v>-3.6900000000361774E-3</v>
      </c>
      <c r="D16" s="100">
        <f ca="1"/>
        <v>-3.0830112195703039E-3</v>
      </c>
      <c r="E16" s="101"/>
    </row>
    <row r="17" spans="2:5">
      <c r="B17" s="99">
        <f ca="1"/>
        <v>43794</v>
      </c>
      <c r="C17" s="100">
        <f ca="1"/>
        <v>-3.7200000000004027E-3</v>
      </c>
      <c r="D17" s="100">
        <f ca="1"/>
        <v>-3.0664521566751159E-3</v>
      </c>
      <c r="E17" s="101"/>
    </row>
    <row r="18" spans="2:5">
      <c r="B18" s="99">
        <f ca="1"/>
        <v>43823</v>
      </c>
      <c r="C18" s="100">
        <f ca="1"/>
        <v>-3.7624210893616584E-3</v>
      </c>
      <c r="D18" s="100">
        <f ca="1"/>
        <v>-3.0515199505235283E-3</v>
      </c>
      <c r="E18" s="101"/>
    </row>
    <row r="19" spans="2:5">
      <c r="B19" s="99">
        <f ca="1"/>
        <v>43854</v>
      </c>
      <c r="C19" s="100">
        <f ca="1"/>
        <v>-3.8921557722914786E-3</v>
      </c>
      <c r="D19" s="100">
        <f ca="1"/>
        <v>-3.0356626633632959E-3</v>
      </c>
      <c r="E19" s="101"/>
    </row>
    <row r="20" spans="2:5">
      <c r="B20" s="99">
        <f ca="1"/>
        <v>43885</v>
      </c>
      <c r="C20" s="100">
        <f ca="1"/>
        <v>-3.9494788992033986E-3</v>
      </c>
      <c r="D20" s="100">
        <f ca="1"/>
        <v>-3.0198052918740349E-3</v>
      </c>
      <c r="E20" s="101"/>
    </row>
    <row r="21" spans="2:5">
      <c r="B21" s="99">
        <f ca="1"/>
        <v>43914</v>
      </c>
      <c r="C21" s="100">
        <f ca="1"/>
        <v>-3.9455067037908048E-3</v>
      </c>
      <c r="D21" s="100">
        <f ca="1"/>
        <v>-3.0083274133130351E-3</v>
      </c>
      <c r="E21" s="101"/>
    </row>
    <row r="22" spans="2:5">
      <c r="B22" s="99">
        <f ca="1"/>
        <v>43945</v>
      </c>
      <c r="C22" s="100">
        <f ca="1"/>
        <v>-3.8734709695997932E-3</v>
      </c>
      <c r="D22" s="100">
        <f ca="1"/>
        <v>-3.0098116660918408E-3</v>
      </c>
      <c r="E22" s="101"/>
    </row>
    <row r="23" spans="2:5">
      <c r="B23" s="99">
        <f ca="1"/>
        <v>43976</v>
      </c>
      <c r="C23" s="100">
        <f ca="1"/>
        <v>-3.7772040697614663E-3</v>
      </c>
      <c r="D23" s="100">
        <f ca="1"/>
        <v>-3.0112959181318759E-3</v>
      </c>
      <c r="E23" s="101"/>
    </row>
    <row r="24" spans="2:5">
      <c r="B24" s="99">
        <f ca="1"/>
        <v>44006</v>
      </c>
      <c r="C24" s="100">
        <f ca="1"/>
        <v>-3.6971162567400869E-3</v>
      </c>
      <c r="D24" s="100">
        <f ca="1"/>
        <v>-3.0128037763700885E-3</v>
      </c>
      <c r="E24" s="101"/>
    </row>
    <row r="25" spans="2:5">
      <c r="B25" s="99">
        <f ca="1"/>
        <v>44036</v>
      </c>
      <c r="C25" s="100">
        <f ca="1"/>
        <v>-3.6314770711731855E-3</v>
      </c>
      <c r="D25" s="100">
        <f ca="1"/>
        <v>-3.0145465151190753E-3</v>
      </c>
      <c r="E25" s="101"/>
    </row>
    <row r="26" spans="2:5">
      <c r="B26" s="99">
        <f ca="1"/>
        <v>44067</v>
      </c>
      <c r="C26" s="100">
        <f ca="1"/>
        <v>-3.5846284262497489E-3</v>
      </c>
      <c r="D26" s="100">
        <f ca="1"/>
        <v>-3.0163232268671462E-3</v>
      </c>
      <c r="E26" s="101"/>
    </row>
    <row r="27" spans="2:5">
      <c r="B27" s="99">
        <f ca="1"/>
        <v>44098</v>
      </c>
      <c r="C27" s="100">
        <f ca="1"/>
        <v>-3.5533816865740545E-3</v>
      </c>
      <c r="D27" s="100">
        <f ca="1"/>
        <v>-3.0181813476121743E-3</v>
      </c>
      <c r="E27" s="101"/>
    </row>
    <row r="28" spans="2:5">
      <c r="B28" s="99">
        <f ca="1"/>
        <v>44130</v>
      </c>
      <c r="C28" s="100">
        <f ca="1"/>
        <v>-3.5394361281856986E-3</v>
      </c>
      <c r="D28" s="100">
        <f ca="1"/>
        <v>-3.0203486775804353E-3</v>
      </c>
      <c r="E28" s="101"/>
    </row>
    <row r="29" spans="2:5">
      <c r="B29" s="99">
        <f ca="1"/>
        <v>44159</v>
      </c>
      <c r="C29" s="100">
        <f ca="1"/>
        <v>-3.5428678869031797E-3</v>
      </c>
      <c r="D29" s="100">
        <f ca="1"/>
        <v>-3.0222810835673288E-3</v>
      </c>
      <c r="E29" s="101"/>
    </row>
    <row r="30" spans="2:5">
      <c r="B30" s="99">
        <f ca="1"/>
        <v>44189</v>
      </c>
      <c r="C30" s="100">
        <f ca="1"/>
        <v>-3.5625020669050171E-3</v>
      </c>
      <c r="D30" s="100">
        <f ca="1"/>
        <v>-3.0243524845166869E-3</v>
      </c>
      <c r="E30" s="101"/>
    </row>
    <row r="31" spans="2:5">
      <c r="B31" s="99">
        <f ca="1"/>
        <v>44221</v>
      </c>
      <c r="C31" s="100">
        <f ca="1"/>
        <v>-3.6014521831173726E-3</v>
      </c>
      <c r="D31" s="100">
        <f ca="1"/>
        <v>-3.0267742356642363E-3</v>
      </c>
      <c r="E31" s="101"/>
    </row>
    <row r="32" spans="2:5">
      <c r="B32" s="99">
        <f ca="1"/>
        <v>44251</v>
      </c>
      <c r="C32" s="100">
        <f ca="1"/>
        <v>-3.6548668288638583E-3</v>
      </c>
      <c r="D32" s="100">
        <f ca="1"/>
        <v>-3.0290828832513668E-3</v>
      </c>
      <c r="E32" s="101"/>
    </row>
    <row r="33" spans="2:5">
      <c r="B33" s="99">
        <f ca="1"/>
        <v>44279</v>
      </c>
      <c r="C33" s="100">
        <f ca="1"/>
        <v>-3.7194947862495683E-3</v>
      </c>
      <c r="D33" s="100">
        <f ca="1"/>
        <v>-3.0120677622157157E-3</v>
      </c>
      <c r="E33" s="101"/>
    </row>
    <row r="34" spans="2:5">
      <c r="B34" s="99">
        <f ca="1"/>
        <v>44312</v>
      </c>
      <c r="C34" s="100">
        <f ca="1"/>
        <v>-3.813941181634042E-3</v>
      </c>
      <c r="D34" s="100">
        <f ca="1"/>
        <v>-2.9242307298969444E-3</v>
      </c>
      <c r="E34" s="101"/>
    </row>
    <row r="35" spans="2:5">
      <c r="B35" s="99">
        <f ca="1"/>
        <v>44340</v>
      </c>
      <c r="C35" s="100">
        <f ca="1"/>
        <v>-3.8820987734444895E-3</v>
      </c>
      <c r="D35" s="100">
        <f ca="1"/>
        <v>-2.849700055503071E-3</v>
      </c>
      <c r="E35" s="101"/>
    </row>
    <row r="36" spans="2:5">
      <c r="B36" s="99">
        <f ca="1"/>
        <v>44371</v>
      </c>
      <c r="C36" s="100">
        <f ca="1"/>
        <v>-3.9122741554376145E-3</v>
      </c>
      <c r="D36" s="100">
        <f ca="1"/>
        <v>-2.766959386350222E-3</v>
      </c>
      <c r="E36" s="101"/>
    </row>
    <row r="37" spans="2:5">
      <c r="B37" s="99">
        <f ca="1"/>
        <v>44403</v>
      </c>
      <c r="C37" s="100">
        <f ca="1"/>
        <v>-3.8935732673195528E-3</v>
      </c>
      <c r="D37" s="100">
        <f ca="1"/>
        <v>-2.6808832113186958E-3</v>
      </c>
      <c r="E37" s="101"/>
    </row>
    <row r="38" spans="2:5">
      <c r="B38" s="99">
        <f ca="1"/>
        <v>44432</v>
      </c>
      <c r="C38" s="100">
        <f ca="1"/>
        <v>-3.8328496199691166E-3</v>
      </c>
      <c r="D38" s="100">
        <f ca="1"/>
        <v>-2.6047896921810353E-3</v>
      </c>
      <c r="E38" s="101"/>
    </row>
    <row r="39" spans="2:5">
      <c r="B39" s="99">
        <f ca="1"/>
        <v>44463</v>
      </c>
      <c r="C39" s="100">
        <f ca="1"/>
        <v>-3.7174430552644596E-3</v>
      </c>
      <c r="D39" s="100">
        <f ca="1"/>
        <v>-2.4778561530828594E-3</v>
      </c>
      <c r="E39" s="101"/>
    </row>
    <row r="40" spans="2:5">
      <c r="B40" s="99">
        <f ca="1"/>
        <v>44494</v>
      </c>
      <c r="C40" s="100">
        <f ca="1"/>
        <v>-3.5633434536253132E-3</v>
      </c>
      <c r="D40" s="100">
        <f ca="1"/>
        <v>-2.239475035851533E-3</v>
      </c>
      <c r="E40" s="101"/>
    </row>
    <row r="41" spans="2:5">
      <c r="B41" s="99">
        <f ca="1"/>
        <v>44524</v>
      </c>
      <c r="C41" s="100">
        <f ca="1"/>
        <v>-3.364645534746925E-3</v>
      </c>
      <c r="D41" s="100">
        <f ca="1"/>
        <v>-2.0140829739710934E-3</v>
      </c>
      <c r="E41" s="101"/>
    </row>
    <row r="42" spans="2:5">
      <c r="B42" s="99">
        <f ca="1"/>
        <v>44554</v>
      </c>
      <c r="C42" s="100">
        <f ca="1"/>
        <v>-3.1124571543017618E-3</v>
      </c>
      <c r="D42" s="100">
        <f ca="1"/>
        <v>-1.824124602944866E-3</v>
      </c>
      <c r="E42" s="101"/>
    </row>
    <row r="43" spans="2:5">
      <c r="B43" s="99">
        <f ca="1"/>
        <v>44585</v>
      </c>
      <c r="C43" s="100">
        <f ca="1"/>
        <v>-2.8232099473424299E-3</v>
      </c>
      <c r="D43" s="100">
        <f ca="1"/>
        <v>-1.7128282553193074E-3</v>
      </c>
      <c r="E43" s="101"/>
    </row>
    <row r="44" spans="2:5">
      <c r="B44" s="99">
        <f ca="1"/>
        <v>44616</v>
      </c>
      <c r="C44" s="100">
        <f ca="1"/>
        <v>-2.4774841839248028E-3</v>
      </c>
      <c r="D44" s="100">
        <f ca="1"/>
        <v>-1.5937496789507316E-3</v>
      </c>
      <c r="E44" s="101"/>
    </row>
    <row r="45" spans="2:5">
      <c r="B45" s="99">
        <f ca="1"/>
        <v>44644</v>
      </c>
      <c r="C45" s="100">
        <f ca="1"/>
        <v>-2.1243191773656707E-3</v>
      </c>
      <c r="D45" s="100">
        <f ca="1"/>
        <v>-1.3973213746075787E-3</v>
      </c>
      <c r="E45" s="101"/>
    </row>
    <row r="46" spans="2:5">
      <c r="B46" s="99">
        <f ca="1"/>
        <v>44676</v>
      </c>
      <c r="C46" s="100">
        <f ca="1"/>
        <v>-1.6731687377991081E-3</v>
      </c>
      <c r="D46" s="100">
        <f ca="1"/>
        <v>-9.2029275542626599E-4</v>
      </c>
      <c r="E46" s="101"/>
    </row>
    <row r="47" spans="2:5">
      <c r="B47" s="99">
        <f ca="1"/>
        <v>44705</v>
      </c>
      <c r="C47" s="100">
        <f ca="1"/>
        <v>-1.2526713997296258E-3</v>
      </c>
      <c r="D47" s="100">
        <f ca="1"/>
        <v>-2.4049190382230618E-4</v>
      </c>
      <c r="E47" s="101"/>
    </row>
    <row r="48" spans="2:5">
      <c r="B48" s="99">
        <f ca="1"/>
        <v>44736</v>
      </c>
      <c r="C48" s="100">
        <f ca="1"/>
        <v>-8.1757357582646088E-4</v>
      </c>
      <c r="D48" s="100">
        <f ca="1"/>
        <v>5.3041423233989222E-4</v>
      </c>
      <c r="E48" s="101"/>
    </row>
    <row r="49" spans="2:5">
      <c r="B49" s="99">
        <f ca="1"/>
        <v>44767</v>
      </c>
      <c r="C49" s="100">
        <f ca="1"/>
        <v>-4.3714440427500436E-4</v>
      </c>
      <c r="D49" s="100">
        <f ca="1"/>
        <v>1.3033706622651462E-3</v>
      </c>
      <c r="E49" s="101"/>
    </row>
    <row r="50" spans="2:5">
      <c r="B50" s="99">
        <f ca="1"/>
        <v>44797</v>
      </c>
      <c r="C50" s="100">
        <f ca="1"/>
        <v>-8.3344820045461475E-5</v>
      </c>
      <c r="D50" s="100">
        <f ca="1"/>
        <v>1.905262259925748E-3</v>
      </c>
      <c r="E50" s="101"/>
    </row>
    <row r="51" spans="2:5">
      <c r="B51" s="99">
        <f ca="1"/>
        <v>44830</v>
      </c>
      <c r="C51" s="100">
        <f ca="1"/>
        <v>2.7505185553167264E-4</v>
      </c>
      <c r="D51" s="100">
        <f ca="1"/>
        <v>2.4118576279427511E-3</v>
      </c>
      <c r="E51" s="101"/>
    </row>
    <row r="52" spans="2:5">
      <c r="B52" s="99">
        <f ca="1"/>
        <v>44858</v>
      </c>
      <c r="C52" s="100">
        <f ca="1"/>
        <v>5.5388108715526325E-4</v>
      </c>
      <c r="D52" s="100">
        <f ca="1"/>
        <v>2.7496179259087865E-3</v>
      </c>
      <c r="E52" s="101"/>
    </row>
    <row r="53" spans="2:5">
      <c r="B53" s="99">
        <f ca="1"/>
        <v>44889</v>
      </c>
      <c r="C53" s="100">
        <f ca="1"/>
        <v>8.3552791845243073E-4</v>
      </c>
      <c r="D53" s="100">
        <f ca="1"/>
        <v>3.0565947036711384E-3</v>
      </c>
      <c r="E53" s="101"/>
    </row>
    <row r="54" spans="2:5">
      <c r="B54" s="99">
        <f ca="1"/>
        <v>44921</v>
      </c>
      <c r="C54" s="100">
        <f ca="1"/>
        <v>1.0964243896793885E-3</v>
      </c>
      <c r="D54" s="100">
        <f ca="1"/>
        <v>3.2986750495414188E-3</v>
      </c>
      <c r="E54" s="101"/>
    </row>
    <row r="55" spans="2:5">
      <c r="B55" s="99">
        <f ca="1"/>
        <v>44950</v>
      </c>
      <c r="C55" s="100">
        <f ca="1"/>
        <v>1.3066879739831495E-3</v>
      </c>
      <c r="D55" s="100">
        <f ca="1"/>
        <v>3.4432023355954115E-3</v>
      </c>
      <c r="E55" s="101"/>
    </row>
    <row r="56" spans="2:5">
      <c r="B56" s="99">
        <f ca="1"/>
        <v>44981</v>
      </c>
      <c r="C56" s="100">
        <f ca="1"/>
        <v>1.5098227075505176E-3</v>
      </c>
      <c r="D56" s="100">
        <f ca="1"/>
        <v>3.515623256673902E-3</v>
      </c>
      <c r="E56" s="101"/>
    </row>
    <row r="57" spans="2:5">
      <c r="B57" s="99">
        <f ca="1"/>
        <v>45009</v>
      </c>
      <c r="C57" s="100">
        <f ca="1"/>
        <v>1.6627172297933926E-3</v>
      </c>
      <c r="D57" s="100">
        <f ca="1"/>
        <v>3.5303202518685533E-3</v>
      </c>
      <c r="E57" s="101"/>
    </row>
    <row r="58" spans="2:5">
      <c r="B58" s="99">
        <f ca="1"/>
        <v>45040</v>
      </c>
      <c r="C58" s="100">
        <f ca="1"/>
        <v>1.8007860637062223E-3</v>
      </c>
      <c r="D58" s="100">
        <f ca="1"/>
        <v>3.5238679503451849E-3</v>
      </c>
      <c r="E58" s="101"/>
    </row>
    <row r="59" spans="2:5">
      <c r="B59" s="99">
        <f ca="1"/>
        <v>45070</v>
      </c>
      <c r="C59" s="100">
        <f ca="1"/>
        <v>1.9239855687033559E-3</v>
      </c>
      <c r="D59" s="100">
        <f ca="1"/>
        <v>3.5234256903309458E-3</v>
      </c>
      <c r="E59" s="101"/>
    </row>
    <row r="60" spans="2:5">
      <c r="B60" s="99">
        <f ca="1"/>
        <v>45103</v>
      </c>
      <c r="C60" s="100">
        <f ca="1"/>
        <v>2.0588343573994007E-3</v>
      </c>
      <c r="D60" s="100">
        <f ca="1"/>
        <v>3.5369948870749507E-3</v>
      </c>
      <c r="E60" s="101"/>
    </row>
    <row r="61" spans="2:5">
      <c r="B61" s="99">
        <f ca="1"/>
        <v>45131</v>
      </c>
      <c r="C61" s="100">
        <f ca="1"/>
        <v>2.1727343314111793E-3</v>
      </c>
      <c r="D61" s="100">
        <f ca="1"/>
        <v>3.5595054015399993E-3</v>
      </c>
      <c r="E61" s="101"/>
    </row>
    <row r="62" spans="2:5">
      <c r="B62" s="99">
        <f ca="1"/>
        <v>45162</v>
      </c>
      <c r="C62" s="100">
        <f ca="1"/>
        <v>2.2982813114232632E-3</v>
      </c>
      <c r="D62" s="100">
        <f ca="1"/>
        <v>3.595702617489194E-3</v>
      </c>
      <c r="E62" s="101"/>
    </row>
    <row r="63" spans="2:5">
      <c r="B63" s="99">
        <f ca="1"/>
        <v>45194</v>
      </c>
      <c r="C63" s="100">
        <f ca="1"/>
        <v>2.4272609139415848E-3</v>
      </c>
      <c r="D63" s="100">
        <f ca="1"/>
        <v>3.6454350372907901E-3</v>
      </c>
      <c r="E63" s="101"/>
    </row>
    <row r="64" spans="2:5">
      <c r="B64" s="99">
        <f ca="1"/>
        <v>45223</v>
      </c>
      <c r="C64" s="100">
        <f ca="1"/>
        <v>2.5436102219696297E-3</v>
      </c>
      <c r="D64" s="100">
        <f ca="1"/>
        <v>3.7014186859734223E-3</v>
      </c>
      <c r="E64" s="101"/>
    </row>
    <row r="65" spans="2:5">
      <c r="B65" s="99">
        <f ca="1"/>
        <v>45254</v>
      </c>
      <c r="C65" s="100">
        <f ca="1"/>
        <v>2.6714199844767089E-3</v>
      </c>
      <c r="D65" s="100">
        <f ca="1"/>
        <v>3.772788225171954E-3</v>
      </c>
      <c r="E65" s="101"/>
    </row>
    <row r="66" spans="2:5">
      <c r="B66" s="99">
        <f ca="1"/>
        <v>45285</v>
      </c>
      <c r="C66" s="100">
        <f ca="1"/>
        <v>2.7906347327371194E-3</v>
      </c>
      <c r="D66" s="100">
        <f ca="1"/>
        <v>3.8560475067543286E-3</v>
      </c>
      <c r="E66" s="101"/>
    </row>
    <row r="67" spans="2:5">
      <c r="B67" s="99">
        <f ca="1"/>
        <v>45315</v>
      </c>
      <c r="C67" s="100">
        <f ca="1"/>
        <v>2.9093216344828646E-3</v>
      </c>
      <c r="D67" s="100">
        <f ca="1"/>
        <v>3.9479039595062713E-3</v>
      </c>
      <c r="E67" s="101"/>
    </row>
    <row r="68" spans="2:5">
      <c r="B68" s="99">
        <f ca="1"/>
        <v>45348</v>
      </c>
      <c r="C68" s="100">
        <f ca="1"/>
        <v>3.0392438446731032E-3</v>
      </c>
      <c r="D68" s="100">
        <f ca="1"/>
        <v>4.0615246951813174E-3</v>
      </c>
      <c r="E68" s="101"/>
    </row>
    <row r="69" spans="2:5">
      <c r="B69" s="99">
        <f ca="1"/>
        <v>45376</v>
      </c>
      <c r="C69" s="100">
        <f ca="1"/>
        <v>3.1489591781314681E-3</v>
      </c>
      <c r="D69" s="100">
        <f ca="1"/>
        <v>4.1674022458895957E-3</v>
      </c>
      <c r="E69" s="101"/>
    </row>
    <row r="70" spans="2:5">
      <c r="B70" s="99">
        <f ca="1"/>
        <v>45406</v>
      </c>
      <c r="C70" s="100">
        <f ca="1"/>
        <v>3.2659826234665355E-3</v>
      </c>
      <c r="D70" s="100">
        <f ca="1"/>
        <v>4.2894158801939737E-3</v>
      </c>
      <c r="E70" s="101"/>
    </row>
    <row r="71" spans="2:5">
      <c r="B71" s="99">
        <f ca="1"/>
        <v>45436</v>
      </c>
      <c r="C71" s="100">
        <f ca="1"/>
        <v>3.3881043287207735E-3</v>
      </c>
      <c r="D71" s="100">
        <f ca="1"/>
        <v>4.4191695152212907E-3</v>
      </c>
      <c r="E71" s="101"/>
    </row>
    <row r="72" spans="2:5">
      <c r="B72" s="99">
        <f ca="1"/>
        <v>45467</v>
      </c>
      <c r="C72" s="100">
        <f ca="1"/>
        <v>3.5093199543118252E-3</v>
      </c>
      <c r="D72" s="100">
        <f ca="1"/>
        <v>4.5598810782263681E-3</v>
      </c>
      <c r="E72" s="101"/>
    </row>
    <row r="73" spans="2:5">
      <c r="B73" s="99">
        <f ca="1"/>
        <v>45497</v>
      </c>
      <c r="C73" s="100">
        <f ca="1"/>
        <v>3.6336277402154596E-3</v>
      </c>
      <c r="D73" s="100">
        <f ca="1"/>
        <v>4.7009427392544385E-3</v>
      </c>
      <c r="E73" s="101"/>
    </row>
    <row r="74" spans="2:5">
      <c r="B74" s="99">
        <f ca="1"/>
        <v>45530</v>
      </c>
      <c r="C74" s="100">
        <f ca="1"/>
        <v>3.7738950790794021E-3</v>
      </c>
      <c r="D74" s="100">
        <f ca="1"/>
        <v>4.8603502051590601E-3</v>
      </c>
      <c r="E74" s="101"/>
    </row>
    <row r="75" spans="2:5">
      <c r="B75" s="99">
        <f ca="1"/>
        <v>45559</v>
      </c>
      <c r="C75" s="100">
        <f ca="1"/>
        <v>3.900207370585663E-3</v>
      </c>
      <c r="D75" s="100">
        <f ca="1"/>
        <v>5.0047474576932639E-3</v>
      </c>
      <c r="E75" s="101"/>
    </row>
    <row r="76" spans="2:5">
      <c r="B76" s="99">
        <f ca="1"/>
        <v>45589</v>
      </c>
      <c r="C76" s="100">
        <f ca="1"/>
        <v>4.0338829671775845E-3</v>
      </c>
      <c r="D76" s="100">
        <f ca="1"/>
        <v>5.1594982521212321E-3</v>
      </c>
      <c r="E76" s="101"/>
    </row>
    <row r="77" spans="2:5">
      <c r="B77" s="99">
        <f ca="1"/>
        <v>45621</v>
      </c>
      <c r="C77" s="100">
        <f ca="1"/>
        <v>4.1798390830922912E-3</v>
      </c>
      <c r="D77" s="100">
        <f ca="1"/>
        <v>5.3316517582690723E-3</v>
      </c>
      <c r="E77" s="101"/>
    </row>
    <row r="78" spans="2:5">
      <c r="B78" s="99">
        <f ca="1"/>
        <v>45650</v>
      </c>
      <c r="C78" s="100">
        <f ca="1"/>
        <v>4.3151090704636576E-3</v>
      </c>
      <c r="D78" s="100">
        <f ca="1"/>
        <v>5.4940259966565321E-3</v>
      </c>
      <c r="E78" s="101"/>
    </row>
    <row r="79" spans="2:5">
      <c r="B79" s="99">
        <f ca="1"/>
        <v>45681</v>
      </c>
      <c r="C79" s="100">
        <f ca="1"/>
        <v>4.46774644224468E-3</v>
      </c>
      <c r="D79" s="100">
        <f ca="1"/>
        <v>5.6739875400595623E-3</v>
      </c>
      <c r="E79" s="101"/>
    </row>
    <row r="80" spans="2:5">
      <c r="B80" s="99">
        <f ca="1"/>
        <v>45712</v>
      </c>
      <c r="C80" s="100">
        <f ca="1"/>
        <v>4.6138920475417566E-3</v>
      </c>
      <c r="D80" s="100">
        <f ca="1"/>
        <v>5.8600887315513493E-3</v>
      </c>
      <c r="E80" s="101"/>
    </row>
    <row r="81" spans="2:5">
      <c r="B81" s="99">
        <f ca="1"/>
        <v>45740</v>
      </c>
      <c r="C81" s="100">
        <f ca="1"/>
        <v>4.7530984808837884E-3</v>
      </c>
      <c r="D81" s="100">
        <f ca="1"/>
        <v>6.032375184244129E-3</v>
      </c>
      <c r="E81" s="101"/>
    </row>
    <row r="82" spans="2:5">
      <c r="B82" s="99">
        <f ca="1"/>
        <v>45771</v>
      </c>
      <c r="C82" s="100">
        <f ca="1"/>
        <v>4.9103284279442645E-3</v>
      </c>
      <c r="D82" s="100">
        <f ca="1"/>
        <v>6.226300540806585E-3</v>
      </c>
      <c r="E82" s="101"/>
    </row>
    <row r="83" spans="2:5">
      <c r="B83" s="99">
        <f ca="1"/>
        <v>45803</v>
      </c>
      <c r="C83" s="100">
        <f ca="1"/>
        <v>5.0760538896996131E-3</v>
      </c>
      <c r="D83" s="100">
        <f ca="1"/>
        <v>6.428495337481843E-3</v>
      </c>
      <c r="E83" s="101"/>
    </row>
    <row r="84" spans="2:5">
      <c r="B84" s="99">
        <f ca="1"/>
        <v>45832</v>
      </c>
      <c r="C84" s="100">
        <f ca="1"/>
        <v>5.2292387134853175E-3</v>
      </c>
      <c r="D84" s="100">
        <f ca="1"/>
        <v>6.6128548007368315E-3</v>
      </c>
      <c r="E84" s="101"/>
    </row>
    <row r="85" spans="2:5">
      <c r="B85" s="99">
        <f ca="1"/>
        <v>45862</v>
      </c>
      <c r="C85" s="100">
        <f ca="1"/>
        <v>5.3907146684126703E-3</v>
      </c>
      <c r="D85" s="100">
        <f ca="1"/>
        <v>6.804299495185448E-3</v>
      </c>
      <c r="E85" s="101"/>
    </row>
    <row r="86" spans="2:5">
      <c r="B86" s="99">
        <f ca="1"/>
        <v>45894</v>
      </c>
      <c r="C86" s="100">
        <f ca="1"/>
        <v>5.5663249882966963E-3</v>
      </c>
      <c r="D86" s="100">
        <f ca="1"/>
        <v>7.0089361672342207E-3</v>
      </c>
      <c r="E86" s="101"/>
    </row>
    <row r="87" spans="2:5">
      <c r="B87" s="99">
        <f ca="1"/>
        <v>45924</v>
      </c>
      <c r="C87" s="100">
        <f ca="1"/>
        <v>5.7341091472649583E-3</v>
      </c>
      <c r="D87" s="100">
        <f ca="1"/>
        <v>7.2010875043885631E-3</v>
      </c>
      <c r="E87" s="101"/>
    </row>
    <row r="88" spans="2:5">
      <c r="B88" s="99">
        <f ca="1"/>
        <v>45954</v>
      </c>
      <c r="C88" s="100">
        <f ca="1"/>
        <v>5.9107996772048725E-3</v>
      </c>
      <c r="D88" s="100">
        <f ca="1"/>
        <v>7.3935303808142679E-3</v>
      </c>
      <c r="E88" s="101"/>
    </row>
    <row r="89" spans="2:5">
      <c r="B89" s="99">
        <f ca="1"/>
        <v>45985</v>
      </c>
      <c r="C89" s="100">
        <f ca="1"/>
        <v>6.0847045750743681E-3</v>
      </c>
      <c r="D89" s="100">
        <f ca="1"/>
        <v>7.5927420698141453E-3</v>
      </c>
      <c r="E89" s="101"/>
    </row>
    <row r="90" spans="2:5">
      <c r="B90" s="99">
        <f ca="1"/>
        <v>46015</v>
      </c>
      <c r="C90" s="100">
        <f ca="1"/>
        <v>6.2617556976353383E-3</v>
      </c>
      <c r="D90" s="100">
        <f ca="1"/>
        <v>7.7861698852794391E-3</v>
      </c>
      <c r="E90" s="101"/>
    </row>
    <row r="91" spans="2:5">
      <c r="B91" s="99">
        <f ca="1"/>
        <v>46048</v>
      </c>
      <c r="C91" s="100">
        <f ca="1"/>
        <v>6.4600488916621299E-3</v>
      </c>
      <c r="D91" s="100">
        <f ca="1"/>
        <v>8.0001192628375521E-3</v>
      </c>
      <c r="E91" s="101"/>
    </row>
    <row r="92" spans="2:5">
      <c r="B92" s="99">
        <f ca="1"/>
        <v>46077</v>
      </c>
      <c r="C92" s="100">
        <f ca="1"/>
        <v>6.6373574108091497E-3</v>
      </c>
      <c r="D92" s="100">
        <f ca="1"/>
        <v>8.1891164479539775E-3</v>
      </c>
      <c r="E92" s="101"/>
    </row>
    <row r="93" spans="2:5">
      <c r="B93" s="99">
        <f ca="1"/>
        <v>46105</v>
      </c>
      <c r="C93" s="100">
        <f ca="1"/>
        <v>6.8112515325491792E-3</v>
      </c>
      <c r="D93" s="100">
        <f ca="1"/>
        <v>8.3708134227272937E-3</v>
      </c>
      <c r="E93" s="101"/>
    </row>
    <row r="94" spans="2:5">
      <c r="B94" s="99">
        <f ca="1"/>
        <v>46136</v>
      </c>
      <c r="C94" s="100">
        <f ca="1"/>
        <v>7.0133892046979167E-3</v>
      </c>
      <c r="D94" s="100">
        <f ca="1"/>
        <v>8.5686882150700725E-3</v>
      </c>
      <c r="E94" s="101"/>
    </row>
    <row r="95" spans="2:5">
      <c r="B95" s="99">
        <f ca="1"/>
        <v>46167</v>
      </c>
      <c r="C95" s="100">
        <f ca="1"/>
        <v>7.2032284099877277E-3</v>
      </c>
      <c r="D95" s="100">
        <f ca="1"/>
        <v>8.7608259965124731E-3</v>
      </c>
      <c r="E95" s="101"/>
    </row>
    <row r="96" spans="2:5">
      <c r="B96" s="99">
        <f ca="1"/>
        <v>46197</v>
      </c>
      <c r="C96" s="100">
        <f ca="1"/>
        <v>7.390588076486803E-3</v>
      </c>
      <c r="D96" s="100">
        <f ca="1"/>
        <v>8.9405382283327273E-3</v>
      </c>
      <c r="E96" s="101"/>
    </row>
    <row r="97" spans="2:5">
      <c r="B97" s="99">
        <f ca="1"/>
        <v>46227</v>
      </c>
      <c r="C97" s="100">
        <f ca="1"/>
        <v>7.5815964608235255E-3</v>
      </c>
      <c r="D97" s="100">
        <f ca="1"/>
        <v>9.1138620100489759E-3</v>
      </c>
      <c r="E97" s="101"/>
    </row>
    <row r="98" spans="2:5">
      <c r="B98" s="99">
        <f ca="1"/>
        <v>46258</v>
      </c>
      <c r="C98" s="100">
        <f ca="1"/>
        <v>7.7634655513835272E-3</v>
      </c>
      <c r="D98" s="100">
        <f ca="1"/>
        <v>9.2859820994147402E-3</v>
      </c>
      <c r="E98" s="101"/>
    </row>
    <row r="99" spans="2:5">
      <c r="B99" s="99">
        <f ca="1"/>
        <v>46289</v>
      </c>
      <c r="C99" s="100">
        <f ca="1"/>
        <v>7.9488069871823455E-3</v>
      </c>
      <c r="D99" s="100">
        <f ca="1"/>
        <v>9.4507623176753076E-3</v>
      </c>
      <c r="E99" s="101"/>
    </row>
    <row r="100" spans="2:5">
      <c r="B100" s="99">
        <f ca="1"/>
        <v>46321</v>
      </c>
      <c r="C100" s="100">
        <f ca="1"/>
        <v>8.1371920160387464E-3</v>
      </c>
      <c r="D100" s="100">
        <f ca="1"/>
        <v>9.6129087672068032E-3</v>
      </c>
      <c r="E100" s="101"/>
    </row>
    <row r="101" spans="2:5">
      <c r="B101" s="99">
        <f ca="1"/>
        <v>46350</v>
      </c>
      <c r="C101" s="100">
        <f ca="1"/>
        <v>8.3053402508146759E-3</v>
      </c>
      <c r="D101" s="100">
        <f ca="1"/>
        <v>9.7528204919255027E-3</v>
      </c>
      <c r="E101" s="101"/>
    </row>
    <row r="102" spans="2:5">
      <c r="B102" s="99">
        <f ca="1"/>
        <v>46380</v>
      </c>
      <c r="C102" s="100">
        <f ca="1"/>
        <v>8.4767089753082208E-3</v>
      </c>
      <c r="D102" s="100">
        <f ca="1"/>
        <v>9.8911513654075574E-3</v>
      </c>
      <c r="E102" s="101"/>
    </row>
    <row r="103" spans="2:5">
      <c r="B103" s="99">
        <f ca="1"/>
        <v>46412</v>
      </c>
      <c r="C103" s="100">
        <f ca="1"/>
        <v>8.6566123375156623E-3</v>
      </c>
      <c r="D103" s="100">
        <f ca="1"/>
        <v>1.0032447189266812E-2</v>
      </c>
      <c r="E103" s="101"/>
    </row>
    <row r="104" spans="2:5">
      <c r="B104" s="99">
        <f ca="1"/>
        <v>46442</v>
      </c>
      <c r="C104" s="100">
        <f ca="1"/>
        <v>8.8225631565194782E-3</v>
      </c>
      <c r="D104" s="100">
        <f ca="1"/>
        <v>1.0160067041047946E-2</v>
      </c>
      <c r="E104" s="101"/>
    </row>
    <row r="105" spans="2:5">
      <c r="B105" s="99">
        <f ca="1"/>
        <v>46470</v>
      </c>
      <c r="C105" s="100">
        <f ca="1"/>
        <v>8.9750862010337506E-3</v>
      </c>
      <c r="D105" s="100">
        <f ca="1"/>
        <v>1.0276396910091247E-2</v>
      </c>
      <c r="E105" s="101"/>
    </row>
    <row r="106" spans="2:5">
      <c r="B106" s="99">
        <f ca="1"/>
        <v>46503</v>
      </c>
      <c r="C106" s="100">
        <f ca="1"/>
        <v>9.1519129094294171E-3</v>
      </c>
      <c r="D106" s="100">
        <f ca="1"/>
        <v>1.0412088124010834E-2</v>
      </c>
      <c r="E106" s="101"/>
    </row>
    <row r="107" spans="2:5">
      <c r="B107" s="99">
        <f ca="1"/>
        <v>46531</v>
      </c>
      <c r="C107" s="100">
        <f ca="1"/>
        <v>9.2994605049309016E-3</v>
      </c>
      <c r="D107" s="100">
        <f ca="1"/>
        <v>1.0527475103118664E-2</v>
      </c>
      <c r="E107" s="101"/>
    </row>
    <row r="108" spans="2:5">
      <c r="B108" s="99">
        <f ca="1"/>
        <v>46562</v>
      </c>
      <c r="C108" s="100">
        <f ca="1"/>
        <v>9.4601544325353046E-3</v>
      </c>
      <c r="D108" s="100">
        <f ca="1"/>
        <v>1.0655904538447726E-2</v>
      </c>
      <c r="E108" s="101"/>
    </row>
    <row r="109" spans="2:5">
      <c r="B109" s="99">
        <f ca="1"/>
        <v>46594</v>
      </c>
      <c r="C109" s="100">
        <f ca="1"/>
        <v>9.6230944034910119E-3</v>
      </c>
      <c r="D109" s="100">
        <f ca="1"/>
        <v>1.0789284680171549E-2</v>
      </c>
      <c r="E109" s="101"/>
    </row>
    <row r="110" spans="2:5">
      <c r="B110" s="99">
        <f ca="1"/>
        <v>46623</v>
      </c>
      <c r="C110" s="100">
        <f ca="1"/>
        <v>9.7681827509872587E-3</v>
      </c>
      <c r="D110" s="100">
        <f ca="1"/>
        <v>1.0910900247748732E-2</v>
      </c>
      <c r="E110" s="101"/>
    </row>
    <row r="111" spans="2:5">
      <c r="B111" s="99">
        <f ca="1"/>
        <v>46654</v>
      </c>
      <c r="C111" s="100">
        <f ca="1"/>
        <v>9.9257120902136488E-3</v>
      </c>
      <c r="D111" s="100">
        <f ca="1"/>
        <v>1.1041614332860506E-2</v>
      </c>
      <c r="E111" s="101"/>
    </row>
    <row r="112" spans="2:5">
      <c r="B112" s="99">
        <f ca="1"/>
        <v>46685</v>
      </c>
      <c r="C112" s="100">
        <f ca="1"/>
        <v>1.0070156651512211E-2</v>
      </c>
      <c r="D112" s="100">
        <f ca="1"/>
        <v>1.1172967548461627E-2</v>
      </c>
      <c r="E112" s="101"/>
    </row>
    <row r="113" spans="2:5">
      <c r="B113" s="99">
        <f ca="1"/>
        <v>46715</v>
      </c>
      <c r="C113" s="100">
        <f ca="1"/>
        <v>1.0212252611071018E-2</v>
      </c>
      <c r="D113" s="100">
        <f ca="1"/>
        <v>1.1300654517579226E-2</v>
      </c>
      <c r="E113" s="101"/>
    </row>
    <row r="114" spans="2:5">
      <c r="B114" s="99">
        <f ca="1"/>
        <v>46745</v>
      </c>
      <c r="C114" s="100">
        <f ca="1"/>
        <v>1.0356630674977529E-2</v>
      </c>
      <c r="D114" s="100">
        <f ca="1"/>
        <v>1.1429110485218453E-2</v>
      </c>
      <c r="E114" s="101"/>
    </row>
    <row r="115" spans="2:5">
      <c r="B115" s="99">
        <f ca="1"/>
        <v>46776</v>
      </c>
      <c r="C115" s="100">
        <f ca="1"/>
        <v>1.0493099547824255E-2</v>
      </c>
      <c r="D115" s="100">
        <f ca="1"/>
        <v>1.15629474963881E-2</v>
      </c>
      <c r="E115" s="101"/>
    </row>
    <row r="116" spans="2:5">
      <c r="B116" s="99">
        <f ca="1"/>
        <v>46807</v>
      </c>
      <c r="C116" s="100">
        <f ca="1"/>
        <v>1.0631670081025505E-2</v>
      </c>
      <c r="D116" s="100">
        <f ca="1"/>
        <v>1.1697985569794157E-2</v>
      </c>
      <c r="E116" s="101"/>
    </row>
    <row r="117" spans="2:5">
      <c r="B117" s="99">
        <f ca="1"/>
        <v>46836</v>
      </c>
      <c r="C117" s="100">
        <f ca="1"/>
        <v>1.0763429315084396E-2</v>
      </c>
      <c r="D117" s="100">
        <f ca="1"/>
        <v>1.1824555234454E-2</v>
      </c>
      <c r="E117" s="101"/>
    </row>
    <row r="118" spans="2:5">
      <c r="B118" s="99">
        <f ca="1"/>
        <v>46867</v>
      </c>
      <c r="C118" s="100">
        <f ca="1"/>
        <v>1.0891922753398195E-2</v>
      </c>
      <c r="D118" s="100">
        <f ca="1"/>
        <v>1.1958905618788911E-2</v>
      </c>
      <c r="E118" s="101"/>
    </row>
    <row r="119" spans="2:5">
      <c r="B119" s="99">
        <f ca="1"/>
        <v>46897</v>
      </c>
      <c r="C119" s="100">
        <f ca="1"/>
        <v>1.1018115218515643E-2</v>
      </c>
      <c r="D119" s="100">
        <f ca="1"/>
        <v>1.208694557521604E-2</v>
      </c>
      <c r="E119" s="101"/>
    </row>
    <row r="120" spans="2:5">
      <c r="B120" s="99">
        <f ca="1"/>
        <v>46930</v>
      </c>
      <c r="C120" s="100">
        <f ca="1"/>
        <v>1.11539029801904E-2</v>
      </c>
      <c r="D120" s="100">
        <f ca="1"/>
        <v>1.2225090624601304E-2</v>
      </c>
      <c r="E120" s="101"/>
    </row>
    <row r="121" spans="2:5">
      <c r="B121" s="99">
        <f ca="1"/>
        <v>46958</v>
      </c>
      <c r="C121" s="100">
        <f ca="1"/>
        <v>1.1266626302626663E-2</v>
      </c>
      <c r="D121" s="100">
        <f ca="1"/>
        <v>1.2339916411340931E-2</v>
      </c>
      <c r="E121" s="101"/>
    </row>
    <row r="122" spans="2:5">
      <c r="B122" s="99">
        <f ca="1"/>
        <v>46989</v>
      </c>
      <c r="C122" s="100">
        <f ca="1"/>
        <v>1.1388763321525271E-2</v>
      </c>
      <c r="D122" s="100">
        <f ca="1"/>
        <v>1.2464295472296032E-2</v>
      </c>
      <c r="E122" s="101"/>
    </row>
    <row r="123" spans="2:5">
      <c r="B123" s="99">
        <f ca="1"/>
        <v>47021</v>
      </c>
      <c r="C123" s="100">
        <f ca="1"/>
        <v>1.1511908510458701E-2</v>
      </c>
      <c r="D123" s="100">
        <f ca="1"/>
        <v>1.2589410526227399E-2</v>
      </c>
      <c r="E123" s="101"/>
    </row>
    <row r="124" spans="2:5">
      <c r="B124" s="99">
        <f ca="1"/>
        <v>47050</v>
      </c>
      <c r="C124" s="100">
        <f ca="1"/>
        <v>1.1620928999415201E-2</v>
      </c>
      <c r="D124" s="100">
        <f ca="1"/>
        <v>1.2699694780371959E-2</v>
      </c>
      <c r="E124" s="101"/>
    </row>
    <row r="125" spans="2:5">
      <c r="B125" s="99">
        <f ca="1"/>
        <v>47081</v>
      </c>
      <c r="C125" s="100">
        <f ca="1"/>
        <v>1.1738766148355452E-2</v>
      </c>
      <c r="D125" s="100">
        <f ca="1"/>
        <v>1.2814231580692647E-2</v>
      </c>
      <c r="E125" s="101"/>
    </row>
    <row r="126" spans="2:5">
      <c r="B126" s="99">
        <f ca="1"/>
        <v>47112</v>
      </c>
      <c r="C126" s="100">
        <f ca="1"/>
        <v>1.1845794155982784E-2</v>
      </c>
      <c r="D126" s="100">
        <f ca="1"/>
        <v>1.292590793180411E-2</v>
      </c>
      <c r="E126" s="101"/>
    </row>
    <row r="127" spans="2:5">
      <c r="B127" s="99">
        <f ca="1"/>
        <v>47142</v>
      </c>
      <c r="C127" s="100">
        <f ca="1"/>
        <v>1.1950578399664643E-2</v>
      </c>
      <c r="D127" s="100">
        <f ca="1"/>
        <v>1.3032029202257734E-2</v>
      </c>
      <c r="E127" s="101"/>
    </row>
    <row r="128" spans="2:5">
      <c r="B128" s="99">
        <f ca="1"/>
        <v>47175</v>
      </c>
      <c r="C128" s="100">
        <f ca="1"/>
        <v>1.2062813213587266E-2</v>
      </c>
      <c r="D128" s="100">
        <f ca="1"/>
        <v>1.3147223610276374E-2</v>
      </c>
      <c r="E128" s="101"/>
    </row>
    <row r="129" spans="2:5">
      <c r="B129" s="99">
        <f ca="1"/>
        <v>47203</v>
      </c>
      <c r="C129" s="100">
        <f ca="1"/>
        <v>1.215556014772E-2</v>
      </c>
      <c r="D129" s="100">
        <f ca="1"/>
        <v>1.3243501079999352E-2</v>
      </c>
      <c r="E129" s="101"/>
    </row>
    <row r="130" spans="2:5">
      <c r="B130" s="99">
        <f ca="1"/>
        <v>47232</v>
      </c>
      <c r="C130" s="100">
        <f ca="1"/>
        <v>1.2249208850832222E-2</v>
      </c>
      <c r="D130" s="100">
        <f ca="1"/>
        <v>1.3341405619428618E-2</v>
      </c>
      <c r="E130" s="101"/>
    </row>
    <row r="131" spans="2:5">
      <c r="B131" s="99">
        <f ca="1"/>
        <v>47262</v>
      </c>
      <c r="C131" s="100">
        <f ca="1"/>
        <v>1.2344045834386388E-2</v>
      </c>
      <c r="D131" s="100">
        <f ca="1"/>
        <v>1.3440459343581184E-2</v>
      </c>
      <c r="E131" s="101"/>
    </row>
    <row r="132" spans="2:5">
      <c r="B132" s="99">
        <f ca="1"/>
        <v>47294</v>
      </c>
      <c r="C132" s="100">
        <f ca="1"/>
        <v>1.2443634424632864E-2</v>
      </c>
      <c r="D132" s="100">
        <f ca="1"/>
        <v>1.3543952353986661E-2</v>
      </c>
      <c r="E132" s="101"/>
    </row>
    <row r="133" spans="2:5">
      <c r="B133" s="99">
        <f ca="1"/>
        <v>47323</v>
      </c>
      <c r="C133" s="100">
        <f ca="1"/>
        <v>1.2532483183862726E-2</v>
      </c>
      <c r="D133" s="100">
        <f ca="1"/>
        <v>1.3636279957105424E-2</v>
      </c>
      <c r="E133" s="101"/>
    </row>
    <row r="134" spans="2:5">
      <c r="B134" s="99">
        <f ca="1"/>
        <v>47354</v>
      </c>
      <c r="C134" s="100">
        <f ca="1"/>
        <v>1.2629418698866964E-2</v>
      </c>
      <c r="D134" s="100">
        <f ca="1"/>
        <v>1.3733732127140869E-2</v>
      </c>
      <c r="E134" s="101"/>
    </row>
    <row r="135" spans="2:5">
      <c r="B135" s="99">
        <f ca="1"/>
        <v>47385</v>
      </c>
      <c r="C135" s="100">
        <f ca="1"/>
        <v>1.2717966394421614E-2</v>
      </c>
      <c r="D135" s="100">
        <f ca="1"/>
        <v>1.3829237198178615E-2</v>
      </c>
      <c r="E135" s="101"/>
    </row>
    <row r="136" spans="2:5">
      <c r="B136" s="99">
        <f ca="1"/>
        <v>47415</v>
      </c>
      <c r="C136" s="100">
        <f ca="1"/>
        <v>1.2805527375838951E-2</v>
      </c>
      <c r="D136" s="100">
        <f ca="1"/>
        <v>1.3918908829873358E-2</v>
      </c>
      <c r="E136" s="101"/>
    </row>
    <row r="137" spans="2:5">
      <c r="B137" s="99">
        <f ca="1"/>
        <v>47448</v>
      </c>
      <c r="C137" s="100">
        <f ca="1"/>
        <v>1.2900196447940476E-2</v>
      </c>
      <c r="D137" s="100">
        <f ca="1"/>
        <v>1.4013705209641167E-2</v>
      </c>
      <c r="E137" s="101"/>
    </row>
    <row r="138" spans="2:5">
      <c r="B138" s="99">
        <f ca="1"/>
        <v>47476</v>
      </c>
      <c r="C138" s="100">
        <f ca="1"/>
        <v>1.2979170720262192E-2</v>
      </c>
      <c r="D138" s="100">
        <f ca="1"/>
        <v>1.4091537650165336E-2</v>
      </c>
      <c r="E138" s="101"/>
    </row>
    <row r="139" spans="2:5">
      <c r="B139" s="99">
        <f ca="1"/>
        <v>47507</v>
      </c>
      <c r="C139" s="100">
        <f ca="1"/>
        <v>1.3065154704035199E-2</v>
      </c>
      <c r="D139" s="100">
        <f ca="1"/>
        <v>1.4175878668211832E-2</v>
      </c>
      <c r="E139" s="101"/>
    </row>
    <row r="140" spans="2:5">
      <c r="B140" s="99">
        <f ca="1"/>
        <v>47539</v>
      </c>
      <c r="C140" s="100">
        <f ca="1"/>
        <v>1.3152313329711949E-2</v>
      </c>
      <c r="D140" s="100">
        <f ca="1"/>
        <v>1.4261829078858847E-2</v>
      </c>
      <c r="E140" s="101"/>
    </row>
    <row r="141" spans="2:5">
      <c r="B141" s="99">
        <f ca="1"/>
        <v>47567</v>
      </c>
      <c r="C141" s="100">
        <f ca="1"/>
        <v>1.3227248238549968E-2</v>
      </c>
      <c r="D141" s="100">
        <f ca="1"/>
        <v>1.4336266542128589E-2</v>
      </c>
      <c r="E141" s="101"/>
    </row>
    <row r="142" spans="2:5">
      <c r="B142" s="99">
        <f ca="1"/>
        <v>47597</v>
      </c>
      <c r="C142" s="100">
        <f ca="1"/>
        <v>1.3306154338204175E-2</v>
      </c>
      <c r="D142" s="100">
        <f ca="1"/>
        <v>1.4415155454542892E-2</v>
      </c>
      <c r="E142" s="101"/>
    </row>
    <row r="143" spans="2:5">
      <c r="B143" s="99">
        <f ca="1"/>
        <v>47627</v>
      </c>
      <c r="C143" s="100">
        <f ca="1"/>
        <v>1.3386688792269692E-2</v>
      </c>
      <c r="D143" s="100">
        <f ca="1"/>
        <v>1.4492980697356555E-2</v>
      </c>
      <c r="E143" s="101"/>
    </row>
    <row r="144" spans="2:5">
      <c r="B144" s="99">
        <f ca="1"/>
        <v>47658</v>
      </c>
      <c r="C144" s="100">
        <f ca="1"/>
        <v>1.3462199318581397E-2</v>
      </c>
      <c r="D144" s="100">
        <f ca="1"/>
        <v>1.4571590266922587E-2</v>
      </c>
      <c r="E144" s="101"/>
    </row>
    <row r="145" spans="2:5">
      <c r="B145" s="99">
        <f ca="1"/>
        <v>47688</v>
      </c>
      <c r="C145" s="100">
        <f ca="1"/>
        <v>1.353677764882143E-2</v>
      </c>
      <c r="D145" s="100">
        <f ca="1"/>
        <v>1.464509352943005E-2</v>
      </c>
      <c r="E145" s="101"/>
    </row>
    <row r="146" spans="2:5">
      <c r="B146" s="99">
        <f ca="1"/>
        <v>47721</v>
      </c>
      <c r="C146" s="100">
        <f ca="1"/>
        <v>1.3617165796320137E-2</v>
      </c>
      <c r="D146" s="100">
        <f ca="1"/>
        <v>1.4722340976765377E-2</v>
      </c>
      <c r="E146" s="101"/>
    </row>
    <row r="147" spans="2:5">
      <c r="B147" s="99">
        <f ca="1"/>
        <v>47750</v>
      </c>
      <c r="C147" s="100">
        <f ca="1"/>
        <v>1.3686388002518505E-2</v>
      </c>
      <c r="D147" s="100">
        <f ca="1"/>
        <v>1.4787533696435698E-2</v>
      </c>
      <c r="E147" s="101"/>
    </row>
    <row r="148" spans="2:5">
      <c r="B148" s="99">
        <f ca="1"/>
        <v>47780</v>
      </c>
      <c r="C148" s="100">
        <f ca="1"/>
        <v>1.375659164797545E-2</v>
      </c>
      <c r="D148" s="100">
        <f ca="1"/>
        <v>1.4853028996682295E-2</v>
      </c>
      <c r="E148" s="101"/>
    </row>
    <row r="149" spans="2:5">
      <c r="B149" s="99">
        <f ca="1"/>
        <v>47812</v>
      </c>
      <c r="C149" s="100">
        <f ca="1"/>
        <v>1.3829901800723802E-2</v>
      </c>
      <c r="D149" s="100">
        <f ca="1"/>
        <v>1.492136733380134E-2</v>
      </c>
      <c r="E149" s="101"/>
    </row>
    <row r="150" spans="2:5">
      <c r="B150" s="99">
        <f ca="1"/>
        <v>47841</v>
      </c>
      <c r="C150" s="100">
        <f ca="1"/>
        <v>1.3894940566057161E-2</v>
      </c>
      <c r="D150" s="100">
        <f ca="1"/>
        <v>1.4981941454700687E-2</v>
      </c>
      <c r="E150" s="101"/>
    </row>
    <row r="151" spans="2:5">
      <c r="B151" s="99">
        <f ca="1"/>
        <v>47872</v>
      </c>
      <c r="C151" s="100">
        <f ca="1"/>
        <v>1.3965698881906703E-2</v>
      </c>
      <c r="D151" s="100">
        <f ca="1"/>
        <v>1.5045044732001061E-2</v>
      </c>
      <c r="E151" s="101"/>
    </row>
    <row r="152" spans="2:5">
      <c r="B152" s="99">
        <f ca="1"/>
        <v>47903</v>
      </c>
      <c r="C152" s="100">
        <f ca="1"/>
        <v>1.4029511193818262E-2</v>
      </c>
      <c r="D152" s="100">
        <f ca="1"/>
        <v>1.5106257166473401E-2</v>
      </c>
      <c r="E152" s="101"/>
    </row>
    <row r="153" spans="2:5">
      <c r="B153" s="99">
        <f ca="1"/>
        <v>47931</v>
      </c>
      <c r="C153" s="100">
        <f ca="1"/>
        <v>1.4088290209473015E-2</v>
      </c>
      <c r="D153" s="100">
        <f ca="1"/>
        <v>1.5159931177795318E-2</v>
      </c>
      <c r="E153" s="101"/>
    </row>
    <row r="154" spans="2:5">
      <c r="B154" s="99">
        <f ca="1"/>
        <v>47962</v>
      </c>
      <c r="C154" s="100">
        <f ca="1"/>
        <v>1.4151914390605657E-2</v>
      </c>
      <c r="D154" s="100">
        <f ca="1"/>
        <v>1.5217645887252346E-2</v>
      </c>
      <c r="E154" s="101"/>
    </row>
    <row r="155" spans="2:5">
      <c r="B155" s="99">
        <f ca="1"/>
        <v>47994</v>
      </c>
      <c r="C155" s="100">
        <f ca="1"/>
        <v>1.4215781879973742E-2</v>
      </c>
      <c r="D155" s="100">
        <f ca="1"/>
        <v>1.5275393038317431E-2</v>
      </c>
      <c r="E155" s="101"/>
    </row>
    <row r="156" spans="2:5">
      <c r="B156" s="99">
        <f ca="1"/>
        <v>48023</v>
      </c>
      <c r="C156" s="100">
        <f ca="1"/>
        <v>1.4271808293651279E-2</v>
      </c>
      <c r="D156" s="100">
        <f ca="1"/>
        <v>1.5326023417194251E-2</v>
      </c>
      <c r="E156" s="101"/>
    </row>
    <row r="157" spans="2:5">
      <c r="B157" s="99">
        <f ca="1"/>
        <v>48053</v>
      </c>
      <c r="C157" s="100">
        <f ca="1"/>
        <v>1.4327900781176942E-2</v>
      </c>
      <c r="D157" s="100">
        <f ca="1"/>
        <v>1.5376545228027392E-2</v>
      </c>
      <c r="E157" s="101"/>
    </row>
    <row r="158" spans="2:5">
      <c r="B158" s="99">
        <f ca="1"/>
        <v>48085</v>
      </c>
      <c r="C158" s="100">
        <f ca="1"/>
        <v>1.43856437504722E-2</v>
      </c>
      <c r="D158" s="100">
        <f ca="1"/>
        <v>1.5428211626347227E-2</v>
      </c>
      <c r="E158" s="101"/>
    </row>
    <row r="159" spans="2:5">
      <c r="B159" s="99">
        <f ca="1"/>
        <v>48115</v>
      </c>
      <c r="C159" s="100">
        <f ca="1"/>
        <v>1.4437826358937275E-2</v>
      </c>
      <c r="D159" s="100">
        <f ca="1"/>
        <v>1.5474548111845697E-2</v>
      </c>
      <c r="E159" s="101"/>
    </row>
    <row r="160" spans="2:5">
      <c r="B160" s="99">
        <f ca="1"/>
        <v>48145</v>
      </c>
      <c r="C160" s="100">
        <f ca="1"/>
        <v>1.4490337523743449E-2</v>
      </c>
      <c r="D160" s="100">
        <f ca="1"/>
        <v>1.5518877096585332E-2</v>
      </c>
      <c r="E160" s="101"/>
    </row>
    <row r="161" spans="2:5">
      <c r="B161" s="99">
        <f ca="1"/>
        <v>48176</v>
      </c>
      <c r="C161" s="100">
        <f ca="1"/>
        <v>1.453808250608141E-2</v>
      </c>
      <c r="D161" s="100">
        <f ca="1"/>
        <v>1.5562612393983174E-2</v>
      </c>
      <c r="E161" s="101"/>
    </row>
    <row r="162" spans="2:5">
      <c r="B162" s="99">
        <f ca="1"/>
        <v>48206</v>
      </c>
      <c r="C162" s="100">
        <f ca="1"/>
        <v>1.4584521448053275E-2</v>
      </c>
      <c r="D162" s="100">
        <f ca="1"/>
        <v>1.5603024218591917E-2</v>
      </c>
      <c r="E162" s="101"/>
    </row>
    <row r="163" spans="2:5">
      <c r="B163" s="99">
        <f ca="1"/>
        <v>48239</v>
      </c>
      <c r="C163" s="100">
        <f ca="1"/>
        <v>1.463341227559971E-2</v>
      </c>
      <c r="D163" s="100">
        <f ca="1"/>
        <v>1.564543339095829E-2</v>
      </c>
      <c r="E163" s="101"/>
    </row>
    <row r="164" spans="2:5">
      <c r="B164" s="99">
        <f ca="1"/>
        <v>48268</v>
      </c>
      <c r="C164" s="100">
        <f ca="1"/>
        <v>1.4674485287071642E-2</v>
      </c>
      <c r="D164" s="100">
        <f ca="1"/>
        <v>1.5681024017992894E-2</v>
      </c>
      <c r="E164" s="101"/>
    </row>
    <row r="165" spans="2:5">
      <c r="B165" s="99">
        <f ca="1"/>
        <v>48297</v>
      </c>
      <c r="C165" s="100">
        <f ca="1"/>
        <v>1.4713793434937731E-2</v>
      </c>
      <c r="D165" s="100">
        <f ca="1"/>
        <v>1.5715046128803197E-2</v>
      </c>
      <c r="E165" s="101"/>
    </row>
    <row r="166" spans="2:5">
      <c r="B166" s="99">
        <f ca="1"/>
        <v>48330</v>
      </c>
      <c r="C166" s="100">
        <f ca="1"/>
        <v>1.4756366030546555E-2</v>
      </c>
      <c r="D166" s="100">
        <f ca="1"/>
        <v>1.5751825475797964E-2</v>
      </c>
      <c r="E166" s="101"/>
    </row>
    <row r="167" spans="2:5">
      <c r="B167" s="99">
        <f ca="1"/>
        <v>48358</v>
      </c>
      <c r="C167" s="100">
        <f ca="1"/>
        <v>1.4790691126182939E-2</v>
      </c>
      <c r="D167" s="100">
        <f ca="1"/>
        <v>1.5781387727634408E-2</v>
      </c>
      <c r="E167" s="101"/>
    </row>
    <row r="168" spans="2:5">
      <c r="B168" s="99">
        <f ca="1"/>
        <v>48389</v>
      </c>
      <c r="C168" s="100">
        <f ca="1"/>
        <v>1.482677483612295E-2</v>
      </c>
      <c r="D168" s="100">
        <f ca="1"/>
        <v>1.5812294317920722E-2</v>
      </c>
      <c r="E168" s="101"/>
    </row>
    <row r="169" spans="2:5">
      <c r="B169" s="99">
        <f ca="1"/>
        <v>48421</v>
      </c>
      <c r="C169" s="100">
        <f ca="1"/>
        <v>1.4861896687230378E-2</v>
      </c>
      <c r="D169" s="100">
        <f ca="1"/>
        <v>1.5842111005763441E-2</v>
      </c>
      <c r="E169" s="101"/>
    </row>
    <row r="170" spans="2:5">
      <c r="B170" s="99">
        <f ca="1"/>
        <v>48450</v>
      </c>
      <c r="C170" s="100">
        <f ca="1"/>
        <v>1.4891864859334251E-2</v>
      </c>
      <c r="D170" s="100">
        <f ca="1"/>
        <v>1.5867234619728863E-2</v>
      </c>
      <c r="E170" s="101"/>
    </row>
    <row r="171" spans="2:5">
      <c r="B171" s="99">
        <f ca="1"/>
        <v>48481</v>
      </c>
      <c r="C171" s="100">
        <f ca="1"/>
        <v>1.4923502822733208E-2</v>
      </c>
      <c r="D171" s="100">
        <f ca="1"/>
        <v>1.5892035626242678E-2</v>
      </c>
      <c r="E171" s="101"/>
    </row>
    <row r="172" spans="2:5">
      <c r="B172" s="99">
        <f ca="1"/>
        <v>48512</v>
      </c>
      <c r="C172" s="100">
        <f ca="1"/>
        <v>1.4950004655591593E-2</v>
      </c>
      <c r="D172" s="100">
        <f ca="1"/>
        <v>1.5914654461006417E-2</v>
      </c>
      <c r="E172" s="101"/>
    </row>
    <row r="173" spans="2:5">
      <c r="B173" s="99">
        <f ca="1"/>
        <v>48542</v>
      </c>
      <c r="C173" s="100">
        <f ca="1"/>
        <v>1.4975230493570071E-2</v>
      </c>
      <c r="D173" s="100">
        <f ca="1"/>
        <v>1.5934450743842626E-2</v>
      </c>
      <c r="E173" s="101"/>
    </row>
    <row r="174" spans="2:5">
      <c r="B174" s="99">
        <f ca="1"/>
        <v>48572</v>
      </c>
      <c r="C174" s="100">
        <f ca="1"/>
        <v>1.4999937587674025E-2</v>
      </c>
      <c r="D174" s="100">
        <f ca="1"/>
        <v>1.5952356748010176E-2</v>
      </c>
      <c r="E174" s="101"/>
    </row>
    <row r="175" spans="2:5">
      <c r="B175" s="99">
        <f ca="1"/>
        <v>48603</v>
      </c>
      <c r="C175" s="100">
        <f ca="1"/>
        <v>1.5020689689018023E-2</v>
      </c>
      <c r="D175" s="100">
        <f ca="1"/>
        <v>1.5969105707273955E-2</v>
      </c>
      <c r="E175" s="101"/>
    </row>
    <row r="176" spans="2:5">
      <c r="B176" s="99">
        <f ca="1"/>
        <v>48634</v>
      </c>
      <c r="C176" s="100">
        <f ca="1"/>
        <v>1.5040788345597059E-2</v>
      </c>
      <c r="D176" s="100">
        <f ca="1"/>
        <v>1.5984250903192065E-2</v>
      </c>
      <c r="E176" s="101"/>
    </row>
    <row r="177" spans="2:5">
      <c r="B177" s="99">
        <f ca="1"/>
        <v>48662</v>
      </c>
      <c r="C177" s="100">
        <f ca="1"/>
        <v>1.5057208916020448E-2</v>
      </c>
      <c r="D177" s="100">
        <f ca="1"/>
        <v>1.5996465305785579E-2</v>
      </c>
      <c r="E177" s="101"/>
    </row>
    <row r="178" spans="2:5">
      <c r="B178" s="99">
        <f ca="1"/>
        <v>48694</v>
      </c>
      <c r="C178" s="100">
        <f ca="1"/>
        <v>1.5073950811579985E-2</v>
      </c>
      <c r="D178" s="100">
        <f ca="1"/>
        <v>1.6008531609485226E-2</v>
      </c>
      <c r="E178" s="101"/>
    </row>
    <row r="179" spans="2:5">
      <c r="B179" s="99">
        <f ca="1"/>
        <v>48723</v>
      </c>
      <c r="C179" s="100">
        <f ca="1"/>
        <v>1.5087261540978687E-2</v>
      </c>
      <c r="D179" s="100">
        <f ca="1"/>
        <v>1.6017579614895066E-2</v>
      </c>
      <c r="E179" s="101"/>
    </row>
    <row r="180" spans="2:5">
      <c r="B180" s="99">
        <f ca="1"/>
        <v>48754</v>
      </c>
      <c r="C180" s="100">
        <f ca="1"/>
        <v>1.5100533844548429E-2</v>
      </c>
      <c r="D180" s="100">
        <f ca="1"/>
        <v>1.6025258635964559E-2</v>
      </c>
      <c r="E180" s="101"/>
    </row>
    <row r="181" spans="2:5">
      <c r="B181" s="99">
        <f ca="1"/>
        <v>48785</v>
      </c>
      <c r="C181" s="100">
        <f ca="1"/>
        <v>1.510978932748527E-2</v>
      </c>
      <c r="D181" s="100">
        <f ca="1"/>
        <v>1.6030914590525108E-2</v>
      </c>
      <c r="E181" s="101"/>
    </row>
    <row r="182" spans="2:5">
      <c r="B182" s="99">
        <f ca="1"/>
        <v>48815</v>
      </c>
      <c r="C182" s="100">
        <f ca="1"/>
        <v>1.511778359025703E-2</v>
      </c>
      <c r="D182" s="100">
        <f ca="1"/>
        <v>1.6034487544908087E-2</v>
      </c>
      <c r="E182" s="101"/>
    </row>
    <row r="183" spans="2:5">
      <c r="B183" s="99">
        <f ca="1"/>
        <v>48848</v>
      </c>
      <c r="C183" s="100">
        <f ca="1"/>
        <v>1.5124395950916048E-2</v>
      </c>
      <c r="D183" s="100">
        <f ca="1"/>
        <v>1.6036238388389145E-2</v>
      </c>
      <c r="E183" s="101"/>
    </row>
    <row r="184" spans="2:5">
      <c r="B184" s="99">
        <f ca="1"/>
        <v>48876</v>
      </c>
      <c r="C184" s="100">
        <f ca="1"/>
        <v>1.5128205202630108E-2</v>
      </c>
      <c r="D184" s="100">
        <f ca="1"/>
        <v>1.6035906412189525E-2</v>
      </c>
      <c r="E184" s="101"/>
    </row>
    <row r="185" spans="2:5">
      <c r="B185" s="99">
        <f ca="1"/>
        <v>48907</v>
      </c>
      <c r="C185" s="100">
        <f ca="1"/>
        <v>1.5130497829687988E-2</v>
      </c>
      <c r="D185" s="100">
        <f ca="1"/>
        <v>1.6033581419608405E-2</v>
      </c>
      <c r="E185" s="101"/>
    </row>
    <row r="186" spans="2:5">
      <c r="B186" s="99">
        <f ca="1"/>
        <v>48939</v>
      </c>
      <c r="C186" s="100">
        <f ca="1"/>
        <v>1.5130749084215489E-2</v>
      </c>
      <c r="D186" s="100">
        <f ca="1"/>
        <v>1.6029103879385588E-2</v>
      </c>
      <c r="E186" s="101"/>
    </row>
    <row r="187" spans="2:5">
      <c r="B187" s="99">
        <f ca="1"/>
        <v>48968</v>
      </c>
      <c r="C187" s="100">
        <f ca="1"/>
        <v>1.5129111093282282E-2</v>
      </c>
      <c r="D187" s="100">
        <f ca="1"/>
        <v>1.6023315817275948E-2</v>
      </c>
      <c r="E187" s="101"/>
    </row>
    <row r="188" spans="2:5">
      <c r="B188" s="99">
        <f ca="1"/>
        <v>48999</v>
      </c>
      <c r="C188" s="100">
        <f ca="1"/>
        <v>1.5125884676275597E-2</v>
      </c>
      <c r="D188" s="100">
        <f ca="1"/>
        <v>1.6015447376455466E-2</v>
      </c>
      <c r="E188" s="101"/>
    </row>
    <row r="189" spans="2:5">
      <c r="B189" s="99">
        <f ca="1"/>
        <v>49027</v>
      </c>
      <c r="C189" s="100">
        <f ca="1"/>
        <v>1.5120744081069526E-2</v>
      </c>
      <c r="D189" s="100">
        <f ca="1"/>
        <v>1.6007125016623405E-2</v>
      </c>
      <c r="E189" s="101"/>
    </row>
    <row r="190" spans="2:5">
      <c r="B190" s="99">
        <f ca="1"/>
        <v>49058</v>
      </c>
      <c r="C190" s="100">
        <f ca="1"/>
        <v>1.5112768796406524E-2</v>
      </c>
      <c r="D190" s="100">
        <f ca="1"/>
        <v>1.599693321578172E-2</v>
      </c>
      <c r="E190" s="101"/>
    </row>
    <row r="191" spans="2:5">
      <c r="B191" s="99">
        <f ca="1"/>
        <v>49088</v>
      </c>
      <c r="C191" s="100">
        <f ca="1"/>
        <v>1.5104162066108399E-2</v>
      </c>
      <c r="D191" s="100">
        <f ca="1"/>
        <v>1.5986408885121577E-2</v>
      </c>
      <c r="E191" s="101"/>
    </row>
    <row r="192" spans="2:5">
      <c r="B192" s="99">
        <f ca="1"/>
        <v>49121</v>
      </c>
      <c r="C192" s="100">
        <f ca="1"/>
        <v>1.5094123990617575E-2</v>
      </c>
      <c r="D192" s="100">
        <f ca="1"/>
        <v>1.5974183902532101E-2</v>
      </c>
      <c r="E192" s="101"/>
    </row>
    <row r="193" spans="2:5">
      <c r="B193" s="99">
        <f ca="1"/>
        <v>49149</v>
      </c>
      <c r="C193" s="100">
        <f ca="1"/>
        <v>1.5085137409058676E-2</v>
      </c>
      <c r="D193" s="100">
        <f ca="1"/>
        <v>1.5963293438715036E-2</v>
      </c>
      <c r="E193" s="101"/>
    </row>
    <row r="194" spans="2:5">
      <c r="B194" s="99">
        <f ca="1"/>
        <v>49180</v>
      </c>
      <c r="C194" s="100">
        <f ca="1"/>
        <v>1.5074685647762241E-2</v>
      </c>
      <c r="D194" s="100">
        <f ca="1"/>
        <v>1.595069340488112E-2</v>
      </c>
      <c r="E194" s="101"/>
    </row>
    <row r="195" spans="2:5">
      <c r="B195" s="99">
        <f ca="1"/>
        <v>49212</v>
      </c>
      <c r="C195" s="100">
        <f ca="1"/>
        <v>1.5063343780396954E-2</v>
      </c>
      <c r="D195" s="100">
        <f ca="1"/>
        <v>1.5937079584917649E-2</v>
      </c>
      <c r="E195" s="101"/>
    </row>
    <row r="196" spans="2:5">
      <c r="B196" s="99">
        <f ca="1"/>
        <v>49241</v>
      </c>
      <c r="C196" s="100">
        <f ca="1"/>
        <v>1.5052577677347891E-2</v>
      </c>
      <c r="D196" s="100">
        <f ca="1"/>
        <v>1.5924195907097944E-2</v>
      </c>
      <c r="E196" s="101"/>
    </row>
    <row r="197" spans="2:5">
      <c r="B197" s="99">
        <f ca="1"/>
        <v>49272</v>
      </c>
      <c r="C197" s="100">
        <f ca="1"/>
        <v>1.5040789310798311E-2</v>
      </c>
      <c r="D197" s="100">
        <f ca="1"/>
        <v>1.5909843041625217E-2</v>
      </c>
      <c r="E197" s="101"/>
    </row>
    <row r="198" spans="2:5">
      <c r="B198" s="99">
        <f ca="1"/>
        <v>49303</v>
      </c>
      <c r="C198" s="100">
        <f ca="1"/>
        <v>1.5028010848216904E-2</v>
      </c>
      <c r="D198" s="100">
        <f ca="1"/>
        <v>1.5894919631768263E-2</v>
      </c>
      <c r="E198" s="101"/>
    </row>
    <row r="199" spans="2:5">
      <c r="B199" s="99">
        <f ca="1"/>
        <v>49333</v>
      </c>
      <c r="C199" s="100">
        <f ca="1"/>
        <v>1.501536489241438E-2</v>
      </c>
      <c r="D199" s="100">
        <f ca="1"/>
        <v>1.5879972489382405E-2</v>
      </c>
      <c r="E199" s="101"/>
    </row>
    <row r="200" spans="2:5">
      <c r="B200" s="99">
        <f ca="1"/>
        <v>49366</v>
      </c>
      <c r="C200" s="100">
        <f ca="1"/>
        <v>1.5000882862029882E-2</v>
      </c>
      <c r="D200" s="100">
        <f ca="1"/>
        <v>1.5862988549582045E-2</v>
      </c>
      <c r="E200" s="101"/>
    </row>
    <row r="201" spans="2:5">
      <c r="B201" s="99">
        <f ca="1"/>
        <v>49394</v>
      </c>
      <c r="C201" s="100">
        <f ca="1"/>
        <v>1.4988126772984027E-2</v>
      </c>
      <c r="D201" s="100">
        <f ca="1"/>
        <v>1.5848115180981091E-2</v>
      </c>
      <c r="E201" s="101"/>
    </row>
    <row r="202" spans="2:5">
      <c r="B202" s="99">
        <f ca="1"/>
        <v>49423</v>
      </c>
      <c r="C202" s="100">
        <f ca="1"/>
        <v>1.4974459807984305E-2</v>
      </c>
      <c r="D202" s="100">
        <f ca="1"/>
        <v>1.5832234276350277E-2</v>
      </c>
      <c r="E202" s="101"/>
    </row>
    <row r="203" spans="2:5">
      <c r="B203" s="99">
        <f ca="1"/>
        <v>49453</v>
      </c>
      <c r="C203" s="100">
        <f ca="1"/>
        <v>1.4959834957453689E-2</v>
      </c>
      <c r="D203" s="100">
        <f ca="1"/>
        <v>1.5815271460040463E-2</v>
      </c>
      <c r="E203" s="101"/>
    </row>
    <row r="204" spans="2:5">
      <c r="B204" s="99">
        <f ca="1"/>
        <v>49485</v>
      </c>
      <c r="C204" s="100">
        <f ca="1"/>
        <v>1.4943691220047671E-2</v>
      </c>
      <c r="D204" s="100">
        <f ca="1"/>
        <v>1.5796579312133387E-2</v>
      </c>
      <c r="E204" s="101"/>
    </row>
    <row r="205" spans="2:5">
      <c r="B205" s="99">
        <f ca="1"/>
        <v>49514</v>
      </c>
      <c r="C205" s="100">
        <f ca="1"/>
        <v>1.4928573786681661E-2</v>
      </c>
      <c r="D205" s="100">
        <f ca="1"/>
        <v>1.5779113675619304E-2</v>
      </c>
      <c r="E205" s="101"/>
    </row>
    <row r="206" spans="2:5">
      <c r="B206" s="99">
        <f ca="1"/>
        <v>49545</v>
      </c>
      <c r="C206" s="100">
        <f ca="1"/>
        <v>1.4911973362706514E-2</v>
      </c>
      <c r="D206" s="100">
        <f ca="1"/>
        <v>1.5759897721093596E-2</v>
      </c>
      <c r="E206" s="101"/>
    </row>
    <row r="207" spans="2:5">
      <c r="B207" s="99">
        <f ca="1"/>
        <v>49576</v>
      </c>
      <c r="C207" s="100">
        <f ca="1"/>
        <v>1.4894704182680222E-2</v>
      </c>
      <c r="D207" s="100">
        <f ca="1"/>
        <v>1.5740119814424473E-2</v>
      </c>
      <c r="E207" s="101"/>
    </row>
    <row r="208" spans="2:5">
      <c r="B208" s="99">
        <f ca="1"/>
        <v>49606</v>
      </c>
      <c r="C208" s="100">
        <f ca="1"/>
        <v>1.487755671435495E-2</v>
      </c>
      <c r="D208" s="100">
        <f ca="1"/>
        <v>1.5720445385210974E-2</v>
      </c>
      <c r="E208" s="101"/>
    </row>
    <row r="209" spans="2:5">
      <c r="B209" s="99">
        <f ca="1"/>
        <v>49639</v>
      </c>
      <c r="C209" s="100">
        <f ca="1"/>
        <v>1.4858123043023752E-2</v>
      </c>
      <c r="D209" s="100">
        <f ca="1"/>
        <v>1.5698197223632929E-2</v>
      </c>
      <c r="E209" s="101"/>
    </row>
    <row r="210" spans="2:5">
      <c r="B210" s="99">
        <f ca="1"/>
        <v>49667</v>
      </c>
      <c r="C210" s="100">
        <f ca="1"/>
        <v>1.4841165674013789E-2</v>
      </c>
      <c r="D210" s="100">
        <f ca="1"/>
        <v>1.5678823830503799E-2</v>
      </c>
      <c r="E210" s="101"/>
    </row>
    <row r="211" spans="2:5">
      <c r="B211" s="99">
        <f ca="1"/>
        <v>49698</v>
      </c>
      <c r="C211" s="100">
        <f ca="1"/>
        <v>1.4821887836127756E-2</v>
      </c>
      <c r="D211" s="100">
        <f ca="1"/>
        <v>1.5656845858707837E-2</v>
      </c>
      <c r="E211" s="101"/>
    </row>
    <row r="212" spans="2:5">
      <c r="B212" s="99">
        <f ca="1"/>
        <v>49730</v>
      </c>
      <c r="C212" s="100">
        <f ca="1"/>
        <v>1.4801433586713533E-2</v>
      </c>
      <c r="D212" s="100">
        <f ca="1"/>
        <v>1.5633577286488884E-2</v>
      </c>
      <c r="E212" s="101"/>
    </row>
    <row r="213" spans="2:5">
      <c r="B213" s="99">
        <f ca="1"/>
        <v>49758</v>
      </c>
      <c r="C213" s="100">
        <f ca="1"/>
        <v>1.4783075643848734E-2</v>
      </c>
      <c r="D213" s="100">
        <f ca="1"/>
        <v>1.5612727504205467E-2</v>
      </c>
      <c r="E213" s="101"/>
    </row>
    <row r="214" spans="2:5">
      <c r="B214" s="99">
        <f ca="1"/>
        <v>49789</v>
      </c>
      <c r="C214" s="100">
        <f ca="1"/>
        <v>1.4762247315125904E-2</v>
      </c>
      <c r="D214" s="100">
        <f ca="1"/>
        <v>1.5589102543144771E-2</v>
      </c>
      <c r="E214" s="101"/>
    </row>
    <row r="215" spans="2:5">
      <c r="B215" s="99">
        <f ca="1"/>
        <v>49821</v>
      </c>
      <c r="C215" s="100">
        <f ca="1"/>
        <v>1.4740192636642408E-2</v>
      </c>
      <c r="D215" s="100">
        <f ca="1"/>
        <v>1.5564112112449551E-2</v>
      </c>
      <c r="E215" s="101"/>
    </row>
    <row r="216" spans="2:5">
      <c r="B216" s="99">
        <f ca="1"/>
        <v>49850</v>
      </c>
      <c r="C216" s="100">
        <f ca="1"/>
        <v>1.4719720639025276E-2</v>
      </c>
      <c r="D216" s="100">
        <f ca="1"/>
        <v>1.5540939194918746E-2</v>
      </c>
      <c r="E216" s="101"/>
    </row>
    <row r="217" spans="2:5">
      <c r="B217" s="99">
        <f ca="1"/>
        <v>49880</v>
      </c>
      <c r="C217" s="100">
        <f ca="1"/>
        <v>1.4698055445607166E-2</v>
      </c>
      <c r="D217" s="100">
        <f ca="1"/>
        <v>1.5516449332303619E-2</v>
      </c>
      <c r="E217" s="101"/>
    </row>
    <row r="218" spans="2:5">
      <c r="B218" s="99">
        <f ca="1"/>
        <v>49912</v>
      </c>
      <c r="C218" s="100">
        <f ca="1"/>
        <v>1.4674400247486875E-2</v>
      </c>
      <c r="D218" s="100">
        <f ca="1"/>
        <v>1.54897548195245E-2</v>
      </c>
      <c r="E218" s="101"/>
    </row>
    <row r="219" spans="2:5">
      <c r="B219" s="99">
        <f ca="1"/>
        <v>49942</v>
      </c>
      <c r="C219" s="100">
        <f ca="1"/>
        <v>1.4651713571208065E-2</v>
      </c>
      <c r="D219" s="100">
        <f ca="1"/>
        <v>1.546419950361278E-2</v>
      </c>
      <c r="E219" s="101"/>
    </row>
    <row r="220" spans="2:5">
      <c r="B220" s="99">
        <f ca="1"/>
        <v>49972</v>
      </c>
      <c r="C220" s="100">
        <f ca="1"/>
        <v>1.462834424038467E-2</v>
      </c>
      <c r="D220" s="100">
        <f ca="1"/>
        <v>1.543813850701016E-2</v>
      </c>
      <c r="E220" s="101"/>
    </row>
    <row r="221" spans="2:5">
      <c r="B221" s="99">
        <f ca="1"/>
        <v>50003</v>
      </c>
      <c r="C221" s="100">
        <f ca="1"/>
        <v>1.4604056405794048E-2</v>
      </c>
      <c r="D221" s="100">
        <f ca="1"/>
        <v>1.5410681553699108E-2</v>
      </c>
      <c r="E221" s="101"/>
    </row>
    <row r="222" spans="2:5">
      <c r="B222" s="99">
        <f ca="1"/>
        <v>50033</v>
      </c>
      <c r="C222" s="100">
        <f ca="1"/>
        <v>1.4579869241264141E-2</v>
      </c>
      <c r="D222" s="100">
        <f ca="1"/>
        <v>1.538359035353809E-2</v>
      </c>
      <c r="E222" s="101"/>
    </row>
    <row r="223" spans="2:5">
      <c r="B223" s="99">
        <f ca="1"/>
        <v>50066</v>
      </c>
      <c r="C223" s="100">
        <f ca="1"/>
        <v>1.4552690949185912E-2</v>
      </c>
      <c r="D223" s="100">
        <f ca="1"/>
        <v>1.5353182726370127E-2</v>
      </c>
      <c r="E223" s="101"/>
    </row>
    <row r="224" spans="2:5">
      <c r="B224" s="99">
        <f ca="1"/>
        <v>50095</v>
      </c>
      <c r="C224" s="100">
        <f ca="1"/>
        <v>1.4528312826625282E-2</v>
      </c>
      <c r="D224" s="100">
        <f ca="1"/>
        <v>1.5325922686027872E-2</v>
      </c>
      <c r="E224" s="101"/>
    </row>
    <row r="225" spans="2:5">
      <c r="B225" s="99">
        <f ca="1"/>
        <v>50123</v>
      </c>
      <c r="C225" s="100">
        <f ca="1"/>
        <v>1.4504337690889994E-2</v>
      </c>
      <c r="D225" s="100">
        <f ca="1"/>
        <v>1.529911790291871E-2</v>
      </c>
      <c r="E225" s="101"/>
    </row>
    <row r="226" spans="2:5">
      <c r="B226" s="99">
        <f ca="1"/>
        <v>50154</v>
      </c>
      <c r="C226" s="100">
        <f ca="1"/>
        <v>1.4476990921440103E-2</v>
      </c>
      <c r="D226" s="100">
        <f ca="1"/>
        <v>1.5268879207787885E-2</v>
      </c>
      <c r="E226" s="101"/>
    </row>
    <row r="227" spans="2:5">
      <c r="B227" s="99">
        <f ca="1"/>
        <v>50185</v>
      </c>
      <c r="C227" s="100">
        <f ca="1"/>
        <v>1.4449714387108391E-2</v>
      </c>
      <c r="D227" s="100">
        <f ca="1"/>
        <v>1.5238046663935145E-2</v>
      </c>
      <c r="E227" s="101"/>
    </row>
    <row r="228" spans="2:5">
      <c r="B228" s="99">
        <f ca="1"/>
        <v>50215</v>
      </c>
      <c r="C228" s="100">
        <f ca="1"/>
        <v>1.4422526243292074E-2</v>
      </c>
      <c r="D228" s="100">
        <f ca="1"/>
        <v>1.5207658255897791E-2</v>
      </c>
      <c r="E228" s="101"/>
    </row>
    <row r="229" spans="2:5">
      <c r="B229" s="99">
        <f ca="1"/>
        <v>50245</v>
      </c>
      <c r="C229" s="100">
        <f ca="1"/>
        <v>1.4394486604515075E-2</v>
      </c>
      <c r="D229" s="100">
        <f ca="1"/>
        <v>1.5176748983356558E-2</v>
      </c>
      <c r="E229" s="101"/>
    </row>
    <row r="230" spans="2:5">
      <c r="B230" s="99">
        <f ca="1"/>
        <v>50276</v>
      </c>
      <c r="C230" s="100">
        <f ca="1"/>
        <v>1.4365716222924098E-2</v>
      </c>
      <c r="D230" s="100">
        <f ca="1"/>
        <v>1.5144281941780038E-2</v>
      </c>
      <c r="E230" s="101"/>
    </row>
    <row r="231" spans="2:5">
      <c r="B231" s="99">
        <f ca="1"/>
        <v>50307</v>
      </c>
      <c r="C231" s="100">
        <f ca="1"/>
        <v>1.4336062771309875E-2</v>
      </c>
      <c r="D231" s="100">
        <f ca="1"/>
        <v>1.5111289081051077E-2</v>
      </c>
      <c r="E231" s="101"/>
    </row>
    <row r="232" spans="2:5">
      <c r="B232" s="99">
        <f ca="1"/>
        <v>50339</v>
      </c>
      <c r="C232" s="100">
        <f ca="1"/>
        <v>1.4304897729402716E-2</v>
      </c>
      <c r="D232" s="100">
        <f ca="1"/>
        <v>1.5076687967637982E-2</v>
      </c>
      <c r="E232" s="101"/>
    </row>
    <row r="233" spans="2:5">
      <c r="B233" s="99">
        <f ca="1"/>
        <v>50368</v>
      </c>
      <c r="C233" s="100">
        <f ca="1"/>
        <v>1.4276168248288604E-2</v>
      </c>
      <c r="D233" s="100">
        <f ca="1"/>
        <v>1.5044854866059091E-2</v>
      </c>
      <c r="E233" s="101"/>
    </row>
    <row r="234" spans="2:5">
      <c r="B234" s="99">
        <f ca="1"/>
        <v>50398</v>
      </c>
      <c r="C234" s="100">
        <f ca="1"/>
        <v>1.4245962662336131E-2</v>
      </c>
      <c r="D234" s="100">
        <f ca="1"/>
        <v>1.5011427351047029E-2</v>
      </c>
      <c r="E234" s="101"/>
    </row>
    <row r="235" spans="2:5">
      <c r="B235" s="99">
        <f ca="1"/>
        <v>50430</v>
      </c>
      <c r="C235" s="100">
        <f ca="1"/>
        <v>1.4213197193180052E-2</v>
      </c>
      <c r="D235" s="100">
        <f ca="1"/>
        <v>1.4975184603055566E-2</v>
      </c>
      <c r="E235" s="101"/>
    </row>
    <row r="236" spans="2:5">
      <c r="B236" s="99">
        <f ca="1"/>
        <v>50460</v>
      </c>
      <c r="C236" s="100">
        <f ca="1"/>
        <v>1.4181968283162132E-2</v>
      </c>
      <c r="D236" s="100">
        <f ca="1"/>
        <v>1.4940632034595083E-2</v>
      </c>
      <c r="E236" s="101"/>
    </row>
    <row r="237" spans="2:5">
      <c r="B237" s="99">
        <f ca="1"/>
        <v>50488</v>
      </c>
      <c r="C237" s="100">
        <f ca="1"/>
        <v>1.4152375932930016E-2</v>
      </c>
      <c r="D237" s="100">
        <f ca="1"/>
        <v>1.4907873253535976E-2</v>
      </c>
      <c r="E237" s="101"/>
    </row>
    <row r="238" spans="2:5">
      <c r="B238" s="99">
        <f ca="1"/>
        <v>50521</v>
      </c>
      <c r="C238" s="100">
        <f ca="1"/>
        <v>1.4116945157816189E-2</v>
      </c>
      <c r="D238" s="100">
        <f ca="1"/>
        <v>1.4868628484930492E-2</v>
      </c>
      <c r="E238" s="101"/>
    </row>
    <row r="239" spans="2:5">
      <c r="B239" s="99">
        <f ca="1"/>
        <v>50549</v>
      </c>
      <c r="C239" s="100">
        <f ca="1"/>
        <v>1.4086413112684026E-2</v>
      </c>
      <c r="D239" s="100">
        <f ca="1"/>
        <v>1.4834789504640334E-2</v>
      </c>
      <c r="E239" s="101"/>
    </row>
    <row r="240" spans="2:5">
      <c r="B240" s="99">
        <f ca="1"/>
        <v>50580</v>
      </c>
      <c r="C240" s="100">
        <f ca="1"/>
        <v>1.4052108117279655E-2</v>
      </c>
      <c r="D240" s="100">
        <f ca="1"/>
        <v>1.4796762875393828E-2</v>
      </c>
      <c r="E240" s="101"/>
    </row>
    <row r="241" spans="2:5">
      <c r="B241" s="99">
        <f ca="1"/>
        <v>50612</v>
      </c>
      <c r="C241" s="100">
        <f ca="1"/>
        <v>1.4016141583128694E-2</v>
      </c>
      <c r="D241" s="100">
        <f ca="1"/>
        <v>1.4756914269557086E-2</v>
      </c>
      <c r="E241" s="101"/>
    </row>
    <row r="242" spans="2:5">
      <c r="B242" s="99">
        <f ca="1"/>
        <v>50641</v>
      </c>
      <c r="C242" s="100">
        <f ca="1"/>
        <v>1.3983060768880768E-2</v>
      </c>
      <c r="D242" s="100">
        <f ca="1"/>
        <v>1.472030548470162E-2</v>
      </c>
      <c r="E242" s="101"/>
    </row>
    <row r="243" spans="2:5">
      <c r="B243" s="99">
        <f ca="1"/>
        <v>50672</v>
      </c>
      <c r="C243" s="100">
        <f ca="1"/>
        <v>1.3946562426153346E-2</v>
      </c>
      <c r="D243" s="100">
        <f ca="1"/>
        <v>1.4680701258569852E-2</v>
      </c>
      <c r="E243" s="101"/>
    </row>
    <row r="244" spans="2:5">
      <c r="B244" s="99">
        <f ca="1"/>
        <v>50703</v>
      </c>
      <c r="C244" s="100">
        <f ca="1"/>
        <v>1.3910786840021259E-2</v>
      </c>
      <c r="D244" s="100">
        <f ca="1"/>
        <v>1.4640669010885855E-2</v>
      </c>
      <c r="E244" s="101"/>
    </row>
    <row r="245" spans="2:5">
      <c r="B245" s="99">
        <f ca="1"/>
        <v>50733</v>
      </c>
      <c r="C245" s="100">
        <f ca="1"/>
        <v>1.3875056560823705E-2</v>
      </c>
      <c r="D245" s="100">
        <f ca="1"/>
        <v>1.460154794673011E-2</v>
      </c>
      <c r="E245" s="101"/>
    </row>
    <row r="246" spans="2:5">
      <c r="B246" s="99">
        <f ca="1"/>
        <v>50763</v>
      </c>
      <c r="C246" s="100">
        <f ca="1"/>
        <v>1.383814815645835E-2</v>
      </c>
      <c r="D246" s="100">
        <f ca="1"/>
        <v>1.4561950845652084E-2</v>
      </c>
      <c r="E246" s="101"/>
    </row>
    <row r="247" spans="2:5">
      <c r="B247" s="99">
        <f ca="1"/>
        <v>50794</v>
      </c>
      <c r="C247" s="100">
        <f ca="1"/>
        <v>1.3800880294334579E-2</v>
      </c>
      <c r="D247" s="100">
        <f ca="1"/>
        <v>1.452038775881633E-2</v>
      </c>
      <c r="E247" s="101"/>
    </row>
    <row r="248" spans="2:5">
      <c r="B248" s="99">
        <f ca="1"/>
        <v>50825</v>
      </c>
      <c r="C248" s="100">
        <f ca="1"/>
        <v>1.3762399913035555E-2</v>
      </c>
      <c r="D248" s="100">
        <f ca="1"/>
        <v>1.4478087447458352E-2</v>
      </c>
      <c r="E248" s="101"/>
    </row>
    <row r="249" spans="2:5">
      <c r="B249" s="99">
        <f ca="1"/>
        <v>50853</v>
      </c>
      <c r="C249" s="100">
        <f ca="1"/>
        <v>1.3727190666414894E-2</v>
      </c>
      <c r="D249" s="100">
        <f ca="1"/>
        <v>1.4439456423870241E-2</v>
      </c>
      <c r="E249" s="101"/>
    </row>
    <row r="250" spans="2:5">
      <c r="B250" s="99">
        <f ca="1"/>
        <v>50885</v>
      </c>
      <c r="C250" s="100">
        <f ca="1"/>
        <v>1.3686423593897108E-2</v>
      </c>
      <c r="D250" s="100">
        <f ca="1"/>
        <v>1.4395162873200126E-2</v>
      </c>
      <c r="E250" s="101"/>
    </row>
    <row r="251" spans="2:5">
      <c r="B251" s="99">
        <f ca="1"/>
        <v>50914</v>
      </c>
      <c r="C251" s="100">
        <f ca="1"/>
        <v>1.3649259949575155E-2</v>
      </c>
      <c r="D251" s="100">
        <f ca="1"/>
        <v>1.4355159331284485E-2</v>
      </c>
      <c r="E251" s="101"/>
    </row>
    <row r="252" spans="2:5">
      <c r="B252" s="99">
        <f ca="1"/>
        <v>50945</v>
      </c>
      <c r="C252" s="100">
        <f ca="1"/>
        <v>1.3608875407085882E-2</v>
      </c>
      <c r="D252" s="100">
        <f ca="1"/>
        <v>1.4312604269675766E-2</v>
      </c>
      <c r="E252" s="101"/>
    </row>
    <row r="253" spans="2:5">
      <c r="B253" s="99">
        <f ca="1"/>
        <v>50976</v>
      </c>
      <c r="C253" s="100">
        <f ca="1"/>
        <v>1.3570123474025168E-2</v>
      </c>
      <c r="D253" s="100">
        <f ca="1"/>
        <v>1.4270256214601078E-2</v>
      </c>
      <c r="E253" s="101"/>
    </row>
    <row r="254" spans="2:5">
      <c r="B254" s="99">
        <f ca="1"/>
        <v>51006</v>
      </c>
      <c r="C254" s="100">
        <f ca="1"/>
        <v>1.3531987160255598E-2</v>
      </c>
      <c r="D254" s="100">
        <f ca="1"/>
        <v>1.4229467389617421E-2</v>
      </c>
      <c r="E254" s="101"/>
    </row>
    <row r="255" spans="2:5">
      <c r="B255" s="99">
        <f ca="1"/>
        <v>51039</v>
      </c>
      <c r="C255" s="100">
        <f ca="1"/>
        <v>1.3490153022884066E-2</v>
      </c>
      <c r="D255" s="100">
        <f ca="1"/>
        <v>1.4184830941667876E-2</v>
      </c>
      <c r="E255" s="101"/>
    </row>
    <row r="256" spans="2:5">
      <c r="B256" s="99">
        <f ca="1"/>
        <v>51067</v>
      </c>
      <c r="C256" s="100">
        <f ca="1"/>
        <v>1.3454753610859634E-2</v>
      </c>
      <c r="D256" s="100">
        <f ca="1"/>
        <v>1.4147160557404063E-2</v>
      </c>
      <c r="E256" s="101"/>
    </row>
    <row r="257" spans="2:5">
      <c r="B257" s="99">
        <f ca="1"/>
        <v>51098</v>
      </c>
      <c r="C257" s="100">
        <f ca="1"/>
        <v>1.341566401585874E-2</v>
      </c>
      <c r="D257" s="100">
        <f ca="1"/>
        <v>1.410567578945842E-2</v>
      </c>
      <c r="E257" s="101"/>
    </row>
    <row r="258" spans="2:5">
      <c r="B258" s="99">
        <f ca="1"/>
        <v>51130</v>
      </c>
      <c r="C258" s="100">
        <f ca="1"/>
        <v>1.3375425900299187E-2</v>
      </c>
      <c r="D258" s="100">
        <f ca="1"/>
        <v>1.4063052882034108E-2</v>
      </c>
      <c r="E258" s="101"/>
    </row>
    <row r="259" spans="2:5">
      <c r="B259" s="99">
        <f ca="1"/>
        <v>51159</v>
      </c>
      <c r="C259" s="100">
        <f ca="1"/>
        <v>1.3339059874988074E-2</v>
      </c>
      <c r="D259" s="100">
        <f ca="1"/>
        <v>1.4024550552886574E-2</v>
      </c>
      <c r="E259" s="101"/>
    </row>
    <row r="260" spans="2:5">
      <c r="B260" s="99">
        <f ca="1"/>
        <v>51190</v>
      </c>
      <c r="C260" s="100">
        <f ca="1"/>
        <v>1.3299532754765454E-2</v>
      </c>
      <c r="D260" s="100">
        <f ca="1"/>
        <v>1.3983481972497045E-2</v>
      </c>
      <c r="E260" s="101"/>
    </row>
    <row r="261" spans="2:5">
      <c r="B261" s="99">
        <f ca="1"/>
        <v>51221</v>
      </c>
      <c r="C261" s="100">
        <f ca="1"/>
        <v>1.3261627844520531E-2</v>
      </c>
      <c r="D261" s="100">
        <f ca="1"/>
        <v>1.3942517677483049E-2</v>
      </c>
      <c r="E261" s="101"/>
    </row>
    <row r="262" spans="2:5">
      <c r="B262" s="99">
        <f ca="1"/>
        <v>51250</v>
      </c>
      <c r="C262" s="100">
        <f ca="1"/>
        <v>1.3225557845133191E-2</v>
      </c>
      <c r="D262" s="100">
        <f ca="1"/>
        <v>1.390431574999057E-2</v>
      </c>
      <c r="E262" s="101"/>
    </row>
    <row r="263" spans="2:5">
      <c r="B263" s="99">
        <f ca="1"/>
        <v>51280</v>
      </c>
      <c r="C263" s="100">
        <f ca="1"/>
        <v>1.3188343420294565E-2</v>
      </c>
      <c r="D263" s="100">
        <f ca="1"/>
        <v>1.3864932980733258E-2</v>
      </c>
      <c r="E263" s="101"/>
    </row>
    <row r="264" spans="2:5">
      <c r="B264" s="99">
        <f ca="1"/>
        <v>51312</v>
      </c>
      <c r="C264" s="100">
        <f ca="1"/>
        <v>1.3148758672894639E-2</v>
      </c>
      <c r="D264" s="100">
        <f ca="1"/>
        <v>1.3823037370947585E-2</v>
      </c>
      <c r="E264" s="101"/>
    </row>
    <row r="265" spans="2:5">
      <c r="B265" s="99">
        <f ca="1"/>
        <v>51341</v>
      </c>
      <c r="C265" s="100">
        <f ca="1"/>
        <v>1.3112984706865172E-2</v>
      </c>
      <c r="D265" s="100">
        <f ca="1"/>
        <v>1.3785119499114895E-2</v>
      </c>
      <c r="E265" s="101"/>
    </row>
    <row r="266" spans="2:5">
      <c r="B266" s="99">
        <f ca="1"/>
        <v>51372</v>
      </c>
      <c r="C266" s="100">
        <f ca="1"/>
        <v>1.3074094359134168E-2</v>
      </c>
      <c r="D266" s="100">
        <f ca="1"/>
        <v>1.3744620173104719E-2</v>
      </c>
      <c r="E266" s="101"/>
    </row>
    <row r="267" spans="2:5">
      <c r="B267" s="99">
        <f ca="1"/>
        <v>51403</v>
      </c>
      <c r="C267" s="100">
        <f ca="1"/>
        <v>1.3036818448141833E-2</v>
      </c>
      <c r="D267" s="100">
        <f ca="1"/>
        <v>1.3704302193624389E-2</v>
      </c>
      <c r="E267" s="101"/>
    </row>
    <row r="268" spans="2:5">
      <c r="B268" s="99">
        <f ca="1"/>
        <v>51433</v>
      </c>
      <c r="C268" s="100">
        <f ca="1"/>
        <v>1.3000118837911032E-2</v>
      </c>
      <c r="D268" s="100">
        <f ca="1"/>
        <v>1.366564352047963E-2</v>
      </c>
      <c r="E268" s="101"/>
    </row>
    <row r="269" spans="2:5">
      <c r="B269" s="99">
        <f ca="1"/>
        <v>51466</v>
      </c>
      <c r="C269" s="100">
        <f ca="1"/>
        <v>1.2959865926586867E-2</v>
      </c>
      <c r="D269" s="100">
        <f ca="1"/>
        <v>1.3623673273733051E-2</v>
      </c>
      <c r="E269" s="101"/>
    </row>
    <row r="270" spans="2:5">
      <c r="B270" s="99">
        <f ca="1"/>
        <v>51494</v>
      </c>
      <c r="C270" s="100">
        <f ca="1"/>
        <v>1.2925807160459463E-2</v>
      </c>
      <c r="D270" s="100">
        <f ca="1"/>
        <v>1.3588396899729373E-2</v>
      </c>
      <c r="E270" s="101"/>
    </row>
    <row r="271" spans="2:5">
      <c r="B271" s="99">
        <f ca="1"/>
        <v>51525</v>
      </c>
      <c r="C271" s="100">
        <f ca="1"/>
        <v>1.2888202281248883E-2</v>
      </c>
      <c r="D271" s="100">
        <f ca="1"/>
        <v>1.3549494343725285E-2</v>
      </c>
      <c r="E271" s="101"/>
    </row>
    <row r="272" spans="2:5">
      <c r="B272" s="99">
        <f ca="1"/>
        <v>51557</v>
      </c>
      <c r="C272" s="100">
        <f ca="1"/>
        <v>1.2849497677886559E-2</v>
      </c>
      <c r="D272" s="100">
        <f ca="1"/>
        <v>1.3509309145053241E-2</v>
      </c>
      <c r="E272" s="101"/>
    </row>
    <row r="273" spans="2:5">
      <c r="B273" s="99">
        <f ca="1"/>
        <v>51585</v>
      </c>
      <c r="C273" s="100">
        <f ca="1"/>
        <v>1.2815724840703273E-2</v>
      </c>
      <c r="D273" s="100">
        <f ca="1"/>
        <v>1.3474079071782169E-2</v>
      </c>
      <c r="E273" s="101"/>
    </row>
    <row r="274" spans="2:5">
      <c r="B274" s="99">
        <f ca="1"/>
        <v>51615</v>
      </c>
      <c r="C274" s="100">
        <f ca="1"/>
        <v>1.2779637664192612E-2</v>
      </c>
      <c r="D274" s="100">
        <f ca="1"/>
        <v>1.3436261796809901E-2</v>
      </c>
      <c r="E274" s="101"/>
    </row>
    <row r="275" spans="2:5">
      <c r="B275" s="99">
        <f ca="1"/>
        <v>51645</v>
      </c>
      <c r="C275" s="100">
        <f ca="1"/>
        <v>1.2742904782810541E-2</v>
      </c>
      <c r="D275" s="100">
        <f ca="1"/>
        <v>1.339839862439815E-2</v>
      </c>
      <c r="E275" s="101"/>
    </row>
    <row r="276" spans="2:5">
      <c r="B276" s="99">
        <f ca="1"/>
        <v>51676</v>
      </c>
      <c r="C276" s="100">
        <f ca="1"/>
        <v>1.2706571356868068E-2</v>
      </c>
      <c r="D276" s="100">
        <f ca="1"/>
        <v>1.3359397696331245E-2</v>
      </c>
      <c r="E276" s="101"/>
    </row>
    <row r="277" spans="2:5">
      <c r="B277" s="99">
        <f ca="1"/>
        <v>51706</v>
      </c>
      <c r="C277" s="100">
        <f ca="1"/>
        <v>1.267079045692889E-2</v>
      </c>
      <c r="D277" s="100">
        <f ca="1"/>
        <v>1.3321983982369659E-2</v>
      </c>
      <c r="E277" s="101"/>
    </row>
    <row r="278" spans="2:5">
      <c r="B278" s="99">
        <f ca="1"/>
        <v>51739</v>
      </c>
      <c r="C278" s="100">
        <f ca="1"/>
        <v>1.2631548128758104E-2</v>
      </c>
      <c r="D278" s="100">
        <f ca="1"/>
        <v>1.3281378553725298E-2</v>
      </c>
      <c r="E278" s="101"/>
    </row>
    <row r="279" spans="2:5">
      <c r="B279" s="99">
        <f ca="1"/>
        <v>51768</v>
      </c>
      <c r="C279" s="100">
        <f ca="1"/>
        <v>1.2597162732707593E-2</v>
      </c>
      <c r="D279" s="100">
        <f ca="1"/>
        <v>1.3246065585733867E-2</v>
      </c>
      <c r="E279" s="101"/>
    </row>
    <row r="280" spans="2:5">
      <c r="B280" s="99">
        <f ca="1"/>
        <v>51798</v>
      </c>
      <c r="C280" s="100">
        <f ca="1"/>
        <v>1.2561691350476098E-2</v>
      </c>
      <c r="D280" s="100">
        <f ca="1"/>
        <v>1.3209725322555226E-2</v>
      </c>
      <c r="E280" s="101"/>
    </row>
    <row r="281" spans="2:5">
      <c r="B281" s="99">
        <f ca="1"/>
        <v>51830</v>
      </c>
      <c r="C281" s="100">
        <f ca="1"/>
        <v>1.2523966712582546E-2</v>
      </c>
      <c r="D281" s="100">
        <f ca="1"/>
        <v>1.3171012690021536E-2</v>
      </c>
      <c r="E281" s="101"/>
    </row>
    <row r="282" spans="2:5">
      <c r="B282" s="99">
        <f ca="1"/>
        <v>51859</v>
      </c>
      <c r="C282" s="100">
        <f ca="1"/>
        <v>1.2489877406804335E-2</v>
      </c>
      <c r="D282" s="100">
        <f ca="1"/>
        <v>1.3135972678223728E-2</v>
      </c>
      <c r="E282" s="101"/>
    </row>
    <row r="283" spans="2:5">
      <c r="B283" s="99">
        <f ca="1"/>
        <v>51890</v>
      </c>
      <c r="C283" s="100">
        <f ca="1"/>
        <v>1.2452802315002384E-2</v>
      </c>
      <c r="D283" s="100">
        <f ca="1"/>
        <v>1.3098614526574497E-2</v>
      </c>
      <c r="E283" s="101"/>
    </row>
    <row r="284" spans="2:5">
      <c r="B284" s="99">
        <f ca="1"/>
        <v>51921</v>
      </c>
      <c r="C284" s="100">
        <f ca="1"/>
        <v>1.2417314242990751E-2</v>
      </c>
      <c r="D284" s="100">
        <f ca="1"/>
        <v>1.3061402269840644E-2</v>
      </c>
      <c r="E284" s="101"/>
    </row>
    <row r="285" spans="2:5">
      <c r="B285" s="99">
        <f ca="1"/>
        <v>51949</v>
      </c>
      <c r="C285" s="100">
        <f ca="1"/>
        <v>1.2384684673879974E-2</v>
      </c>
      <c r="D285" s="100">
        <f ca="1"/>
        <v>1.3027910626474397E-2</v>
      </c>
      <c r="E285" s="101"/>
    </row>
    <row r="286" spans="2:5">
      <c r="B286" s="99">
        <f ca="1"/>
        <v>51980</v>
      </c>
      <c r="C286" s="100">
        <f ca="1"/>
        <v>1.2348662054192798E-2</v>
      </c>
      <c r="D286" s="100">
        <f ca="1"/>
        <v>1.29909393387099E-2</v>
      </c>
      <c r="E286" s="101"/>
    </row>
    <row r="287" spans="2:5">
      <c r="B287" s="99">
        <f ca="1"/>
        <v>52012</v>
      </c>
      <c r="C287" s="100">
        <f ca="1"/>
        <v>1.2311590696049543E-2</v>
      </c>
      <c r="D287" s="100">
        <f ca="1"/>
        <v>1.2952878315168297E-2</v>
      </c>
      <c r="E287" s="101"/>
    </row>
    <row r="288" spans="2:5">
      <c r="B288" s="99">
        <f ca="1"/>
        <v>52041</v>
      </c>
      <c r="C288" s="100">
        <f ca="1"/>
        <v>1.2278093453309928E-2</v>
      </c>
      <c r="D288" s="100">
        <f ca="1"/>
        <v>1.2918504576503353E-2</v>
      </c>
      <c r="E288" s="101"/>
    </row>
    <row r="289" spans="2:5">
      <c r="B289" s="99">
        <f ca="1"/>
        <v>52071</v>
      </c>
      <c r="C289" s="100">
        <f ca="1"/>
        <v>1.2243540786422234E-2</v>
      </c>
      <c r="D289" s="100">
        <f ca="1"/>
        <v>1.2883109167439488E-2</v>
      </c>
      <c r="E289" s="101"/>
    </row>
    <row r="290" spans="2:5">
      <c r="B290" s="99">
        <f ca="1"/>
        <v>52103</v>
      </c>
      <c r="C290" s="100">
        <f ca="1"/>
        <v>1.2206796077531001E-2</v>
      </c>
      <c r="D290" s="100">
        <f ca="1"/>
        <v>1.284558096794617E-2</v>
      </c>
      <c r="E290" s="101"/>
    </row>
    <row r="291" spans="2:5">
      <c r="B291" s="99">
        <f ca="1"/>
        <v>52133</v>
      </c>
      <c r="C291" s="100">
        <f ca="1"/>
        <v>1.2172451685096616E-2</v>
      </c>
      <c r="D291" s="100">
        <f ca="1"/>
        <v>1.2810619711575167E-2</v>
      </c>
      <c r="E291" s="101"/>
    </row>
    <row r="292" spans="2:5">
      <c r="B292" s="99">
        <f ca="1"/>
        <v>52163</v>
      </c>
      <c r="C292" s="100">
        <f ca="1"/>
        <v>1.2137478205032772E-2</v>
      </c>
      <c r="D292" s="100">
        <f ca="1"/>
        <v>1.2775870118849722E-2</v>
      </c>
      <c r="E292" s="101"/>
    </row>
    <row r="293" spans="2:5">
      <c r="B293" s="99">
        <f ca="1"/>
        <v>52194</v>
      </c>
      <c r="C293" s="100">
        <f ca="1"/>
        <v>1.2102930385339569E-2</v>
      </c>
      <c r="D293" s="100">
        <f ca="1"/>
        <v>1.2740177155851103E-2</v>
      </c>
      <c r="E293" s="101"/>
    </row>
    <row r="294" spans="2:5">
      <c r="B294" s="99">
        <f ca="1"/>
        <v>52224</v>
      </c>
      <c r="C294" s="100">
        <f ca="1"/>
        <v>1.2068892236959675E-2</v>
      </c>
      <c r="D294" s="100">
        <f ca="1"/>
        <v>1.2705813136637326E-2</v>
      </c>
      <c r="E294" s="101"/>
    </row>
    <row r="295" spans="2:5">
      <c r="B295" s="99">
        <f ca="1"/>
        <v>52257</v>
      </c>
      <c r="C295" s="100">
        <f ca="1"/>
        <v>1.2031567368788049E-2</v>
      </c>
      <c r="D295" s="100">
        <f ca="1"/>
        <v>1.2668169743601201E-2</v>
      </c>
      <c r="E295" s="101"/>
    </row>
    <row r="296" spans="2:5">
      <c r="B296" s="99">
        <f ca="1"/>
        <v>52286</v>
      </c>
      <c r="C296" s="100">
        <f ca="1"/>
        <v>1.1998867597177608E-2</v>
      </c>
      <c r="D296" s="100">
        <f ca="1"/>
        <v>1.2635192849530977E-2</v>
      </c>
      <c r="E296" s="101"/>
    </row>
    <row r="297" spans="2:5">
      <c r="B297" s="99">
        <f ca="1"/>
        <v>52314</v>
      </c>
      <c r="C297" s="100">
        <f ca="1"/>
        <v>1.1967384482997287E-2</v>
      </c>
      <c r="D297" s="100">
        <f ca="1"/>
        <v>1.2603439233695678E-2</v>
      </c>
      <c r="E297" s="101"/>
    </row>
    <row r="298" spans="2:5">
      <c r="B298" s="99">
        <f ca="1"/>
        <v>52345</v>
      </c>
      <c r="C298" s="100">
        <f ca="1"/>
        <v>1.19319073834674E-2</v>
      </c>
      <c r="D298" s="100">
        <f ca="1"/>
        <v>1.2568382914110728E-2</v>
      </c>
      <c r="E298" s="101"/>
    </row>
    <row r="299" spans="2:5">
      <c r="B299" s="99">
        <f ca="1"/>
        <v>52376</v>
      </c>
      <c r="C299" s="100">
        <f ca="1"/>
        <v>1.1897985778838684E-2</v>
      </c>
      <c r="D299" s="100">
        <f ca="1"/>
        <v>1.2533436796841227E-2</v>
      </c>
      <c r="E299" s="101"/>
    </row>
    <row r="300" spans="2:5">
      <c r="B300" s="99">
        <f ca="1"/>
        <v>52406</v>
      </c>
      <c r="C300" s="100">
        <f ca="1"/>
        <v>1.1864560114777283E-2</v>
      </c>
      <c r="D300" s="100">
        <f ca="1"/>
        <v>1.2499752749567583E-2</v>
      </c>
      <c r="E300" s="101"/>
    </row>
    <row r="301" spans="2:5">
      <c r="B301" s="99">
        <f ca="1"/>
        <v>52436</v>
      </c>
      <c r="C301" s="100">
        <f ca="1"/>
        <v>1.1830515527276438E-2</v>
      </c>
      <c r="D301" s="100">
        <f ca="1"/>
        <v>1.2466238363596262E-2</v>
      </c>
      <c r="E301" s="101"/>
    </row>
    <row r="302" spans="2:5">
      <c r="B302" s="99">
        <f ca="1"/>
        <v>52467</v>
      </c>
      <c r="C302" s="100">
        <f ca="1"/>
        <v>1.1796906846269922E-2</v>
      </c>
      <c r="D302" s="100">
        <f ca="1"/>
        <v>1.2431818922706213E-2</v>
      </c>
      <c r="E302" s="101"/>
    </row>
    <row r="303" spans="2:5">
      <c r="B303" s="99">
        <f ca="1"/>
        <v>52498</v>
      </c>
      <c r="C303" s="100">
        <f ca="1"/>
        <v>1.1762685202016475E-2</v>
      </c>
      <c r="D303" s="100">
        <f ca="1"/>
        <v>1.2397622620186803E-2</v>
      </c>
      <c r="E303" s="101"/>
    </row>
    <row r="304" spans="2:5">
      <c r="B304" s="99">
        <f ca="1"/>
        <v>52530</v>
      </c>
      <c r="C304" s="100">
        <f ca="1"/>
        <v>1.1727473186952768E-2</v>
      </c>
      <c r="D304" s="100">
        <f ca="1"/>
        <v>1.2362555962001523E-2</v>
      </c>
      <c r="E304" s="101"/>
    </row>
    <row r="305" spans="2:5">
      <c r="B305" s="99">
        <f ca="1"/>
        <v>52559</v>
      </c>
      <c r="C305" s="100">
        <f ca="1"/>
        <v>1.169566150870118E-2</v>
      </c>
      <c r="D305" s="100">
        <f ca="1"/>
        <v>1.2330974723619388E-2</v>
      </c>
      <c r="E305" s="101"/>
    </row>
    <row r="306" spans="2:5">
      <c r="B306" s="99">
        <f ca="1"/>
        <v>52589</v>
      </c>
      <c r="C306" s="100">
        <f ca="1"/>
        <v>1.1662851649406697E-2</v>
      </c>
      <c r="D306" s="100">
        <f ca="1"/>
        <v>1.2298473440055418E-2</v>
      </c>
      <c r="E306" s="101"/>
    </row>
    <row r="307" spans="2:5">
      <c r="B307" s="99">
        <f ca="1"/>
        <v>52621</v>
      </c>
      <c r="C307" s="100">
        <f ca="1"/>
        <v>1.1627966138926317E-2</v>
      </c>
      <c r="D307" s="100">
        <f ca="1"/>
        <v>1.22639551227908E-2</v>
      </c>
      <c r="E307" s="101"/>
    </row>
    <row r="308" spans="2:5">
      <c r="B308" s="99">
        <f ca="1"/>
        <v>52651</v>
      </c>
      <c r="C308" s="100">
        <f ca="1"/>
        <v>1.15953654134323E-2</v>
      </c>
      <c r="D308" s="100">
        <f ca="1"/>
        <v>1.2231713386354339E-2</v>
      </c>
      <c r="E308" s="101"/>
    </row>
    <row r="309" spans="2:5">
      <c r="B309" s="99">
        <f ca="1"/>
        <v>52680</v>
      </c>
      <c r="C309" s="100">
        <f ca="1"/>
        <v>1.1563947058954261E-2</v>
      </c>
      <c r="D309" s="100">
        <f ca="1"/>
        <v>1.2200705796645183E-2</v>
      </c>
      <c r="E309" s="101"/>
    </row>
    <row r="310" spans="2:5">
      <c r="B310" s="99">
        <f ca="1"/>
        <v>52712</v>
      </c>
      <c r="C310" s="100">
        <f ca="1"/>
        <v>1.15293886146081E-2</v>
      </c>
      <c r="D310" s="100">
        <f ca="1"/>
        <v>1.2166753010223286E-2</v>
      </c>
      <c r="E310" s="101"/>
    </row>
    <row r="311" spans="2:5">
      <c r="B311" s="99">
        <f ca="1"/>
        <v>52741</v>
      </c>
      <c r="C311" s="100">
        <f ca="1"/>
        <v>1.1498293187175166E-2</v>
      </c>
      <c r="D311" s="100">
        <f ca="1"/>
        <v>1.2136286785807851E-2</v>
      </c>
      <c r="E311" s="101"/>
    </row>
    <row r="312" spans="2:5">
      <c r="B312" s="99">
        <f ca="1"/>
        <v>52772</v>
      </c>
      <c r="C312" s="100">
        <f ca="1"/>
        <v>1.1464753392563351E-2</v>
      </c>
      <c r="D312" s="100">
        <f ca="1"/>
        <v>1.2104074809370152E-2</v>
      </c>
      <c r="E312" s="101"/>
    </row>
    <row r="313" spans="2:5">
      <c r="B313" s="99">
        <f ca="1"/>
        <v>52803</v>
      </c>
      <c r="C313" s="100">
        <f ca="1"/>
        <v>1.143299218850144E-2</v>
      </c>
      <c r="D313" s="100">
        <f ca="1"/>
        <v>1.2072256532449257E-2</v>
      </c>
      <c r="E313" s="101"/>
    </row>
    <row r="314" spans="2:5">
      <c r="B314" s="99">
        <f ca="1"/>
        <v>52833</v>
      </c>
      <c r="C314" s="100">
        <f ca="1"/>
        <v>1.1401972697605525E-2</v>
      </c>
      <c r="D314" s="100">
        <f ca="1"/>
        <v>1.2041865831625522E-2</v>
      </c>
      <c r="E314" s="101"/>
    </row>
    <row r="315" spans="2:5">
      <c r="B315" s="99">
        <f ca="1"/>
        <v>52866</v>
      </c>
      <c r="C315" s="100">
        <f ca="1"/>
        <v>1.1368284791526241E-2</v>
      </c>
      <c r="D315" s="100">
        <f ca="1"/>
        <v>1.2008926845067396E-2</v>
      </c>
      <c r="E315" s="101"/>
    </row>
    <row r="316" spans="2:5">
      <c r="B316" s="99">
        <f ca="1"/>
        <v>52894</v>
      </c>
      <c r="C316" s="100">
        <f ca="1"/>
        <v>1.1340059045400403E-2</v>
      </c>
      <c r="D316" s="100">
        <f ca="1"/>
        <v>1.1981410642365175E-2</v>
      </c>
      <c r="E316" s="101"/>
    </row>
    <row r="317" spans="2:5">
      <c r="B317" s="99">
        <f ca="1"/>
        <v>52925</v>
      </c>
      <c r="C317" s="100">
        <f ca="1"/>
        <v>1.1309191619105399E-2</v>
      </c>
      <c r="D317" s="100">
        <f ca="1"/>
        <v>1.1951420779317769E-2</v>
      </c>
      <c r="E317" s="101"/>
    </row>
    <row r="318" spans="2:5">
      <c r="B318" s="99">
        <f ca="1"/>
        <v>52957</v>
      </c>
      <c r="C318" s="100">
        <f ca="1"/>
        <v>1.1277748885648484E-2</v>
      </c>
      <c r="D318" s="100">
        <f ca="1"/>
        <v>1.1920901193339984E-2</v>
      </c>
      <c r="E318" s="101"/>
    </row>
    <row r="319" spans="2:5">
      <c r="B319" s="99">
        <f ca="1"/>
        <v>52986</v>
      </c>
      <c r="C319" s="100">
        <f ca="1"/>
        <v>1.1249624617054471E-2</v>
      </c>
      <c r="D319" s="100">
        <f ca="1"/>
        <v>1.1893528039585315E-2</v>
      </c>
      <c r="E319" s="101"/>
    </row>
    <row r="320" spans="2:5">
      <c r="B320" s="99">
        <f ca="1"/>
        <v>53017</v>
      </c>
      <c r="C320" s="100">
        <f ca="1"/>
        <v>1.1219348979288075E-2</v>
      </c>
      <c r="D320" s="100">
        <f ca="1"/>
        <v>1.186448925689897E-2</v>
      </c>
      <c r="E320" s="101"/>
    </row>
    <row r="321" spans="2:5">
      <c r="B321" s="99">
        <f ca="1"/>
        <v>53045</v>
      </c>
      <c r="C321" s="100">
        <f ca="1"/>
        <v>1.1192900477530824E-2</v>
      </c>
      <c r="D321" s="100">
        <f ca="1"/>
        <v>1.1838495602220429E-2</v>
      </c>
      <c r="E321" s="101"/>
    </row>
    <row r="322" spans="2:5">
      <c r="B322" s="99">
        <f ca="1"/>
        <v>53076</v>
      </c>
      <c r="C322" s="100">
        <f ca="1"/>
        <v>1.1164581024006703E-2</v>
      </c>
      <c r="D322" s="100">
        <f ca="1"/>
        <v>1.1810053966436515E-2</v>
      </c>
      <c r="E322" s="101"/>
    </row>
    <row r="323" spans="2:5">
      <c r="B323" s="99">
        <f ca="1"/>
        <v>53106</v>
      </c>
      <c r="C323" s="100">
        <f ca="1"/>
        <v>1.1136986206455698E-2</v>
      </c>
      <c r="D323" s="100">
        <f ca="1"/>
        <v>1.1782930911041243E-2</v>
      </c>
      <c r="E323" s="101"/>
    </row>
    <row r="324" spans="2:5">
      <c r="B324" s="99">
        <f ca="1"/>
        <v>53139</v>
      </c>
      <c r="C324" s="100">
        <f ca="1"/>
        <v>1.1107065537952859E-2</v>
      </c>
      <c r="D324" s="100">
        <f ca="1"/>
        <v>1.1753555348766247E-2</v>
      </c>
      <c r="E324" s="101"/>
    </row>
    <row r="325" spans="2:5">
      <c r="B325" s="99">
        <f ca="1"/>
        <v>53167</v>
      </c>
      <c r="C325" s="100">
        <f ca="1"/>
        <v>1.1082036205571973E-2</v>
      </c>
      <c r="D325" s="100">
        <f ca="1"/>
        <v>1.1728994079580245E-2</v>
      </c>
      <c r="E325" s="101"/>
    </row>
    <row r="326" spans="2:5">
      <c r="B326" s="99">
        <f ca="1"/>
        <v>53198</v>
      </c>
      <c r="C326" s="100">
        <f ca="1"/>
        <v>1.1054707674468046E-2</v>
      </c>
      <c r="D326" s="100">
        <f ca="1"/>
        <v>1.1702182014594919E-2</v>
      </c>
      <c r="E326" s="101"/>
    </row>
    <row r="327" spans="2:5">
      <c r="B327" s="99">
        <f ca="1"/>
        <v>53230</v>
      </c>
      <c r="C327" s="100">
        <f ca="1"/>
        <v>1.1026918067532419E-2</v>
      </c>
      <c r="D327" s="100">
        <f ca="1"/>
        <v>1.1674951394273738E-2</v>
      </c>
      <c r="E327" s="101"/>
    </row>
    <row r="328" spans="2:5">
      <c r="B328" s="99">
        <f ca="1"/>
        <v>53259</v>
      </c>
      <c r="C328" s="100">
        <f ca="1"/>
        <v>1.1002104404727917E-2</v>
      </c>
      <c r="D328" s="100">
        <f ca="1"/>
        <v>1.1650697393950199E-2</v>
      </c>
      <c r="E328" s="101"/>
    </row>
    <row r="329" spans="2:5">
      <c r="B329" s="99">
        <f ca="1"/>
        <v>53290</v>
      </c>
      <c r="C329" s="100">
        <f ca="1"/>
        <v>1.0975466780190415E-2</v>
      </c>
      <c r="D329" s="100">
        <f ca="1"/>
        <v>1.1625233067195446E-2</v>
      </c>
      <c r="E329" s="101"/>
    </row>
    <row r="330" spans="2:5">
      <c r="B330" s="99">
        <f ca="1"/>
        <v>53321</v>
      </c>
      <c r="C330" s="100">
        <f ca="1"/>
        <v>1.0950233405777778E-2</v>
      </c>
      <c r="D330" s="100">
        <f ca="1"/>
        <v>1.1600182454288744E-2</v>
      </c>
      <c r="E330" s="101"/>
    </row>
    <row r="331" spans="2:5">
      <c r="B331" s="99">
        <f ca="1"/>
        <v>53351</v>
      </c>
      <c r="C331" s="100">
        <f ca="1"/>
        <v>1.092571189528963E-2</v>
      </c>
      <c r="D331" s="100">
        <f ca="1"/>
        <v>1.1576250213291069E-2</v>
      </c>
      <c r="E331" s="101"/>
    </row>
    <row r="332" spans="2:5">
      <c r="B332" s="99">
        <f ca="1"/>
        <v>53384</v>
      </c>
      <c r="C332" s="100">
        <f ca="1"/>
        <v>1.0899173042094583E-2</v>
      </c>
      <c r="D332" s="100">
        <f ca="1"/>
        <v>1.1550207611413156E-2</v>
      </c>
      <c r="E332" s="101"/>
    </row>
    <row r="333" spans="2:5">
      <c r="B333" s="99">
        <f ca="1"/>
        <v>53412</v>
      </c>
      <c r="C333" s="100">
        <f ca="1"/>
        <v>1.0877011547375231E-2</v>
      </c>
      <c r="D333" s="100">
        <f ca="1"/>
        <v>1.1528381897717103E-2</v>
      </c>
      <c r="E333" s="101"/>
    </row>
    <row r="334" spans="2:5">
      <c r="B334" s="99">
        <f ca="1"/>
        <v>53441</v>
      </c>
      <c r="C334" s="100">
        <f ca="1"/>
        <v>1.0854404910412811E-2</v>
      </c>
      <c r="D334" s="100">
        <f ca="1"/>
        <v>1.1506102075896909E-2</v>
      </c>
      <c r="E334" s="101"/>
    </row>
    <row r="335" spans="2:5">
      <c r="B335" s="99">
        <f ca="1"/>
        <v>53471</v>
      </c>
      <c r="C335" s="100">
        <f ca="1"/>
        <v>1.0831388938004853E-2</v>
      </c>
      <c r="D335" s="100">
        <f ca="1"/>
        <v>1.1483452204061348E-2</v>
      </c>
      <c r="E335" s="101"/>
    </row>
    <row r="336" spans="2:5">
      <c r="B336" s="99">
        <f ca="1"/>
        <v>53503</v>
      </c>
      <c r="C336" s="100">
        <f ca="1"/>
        <v>1.0807252430412254E-2</v>
      </c>
      <c r="D336" s="100">
        <f ca="1"/>
        <v>1.1459712267620945E-2</v>
      </c>
      <c r="E336" s="101"/>
    </row>
    <row r="337" spans="2:5">
      <c r="B337" s="99">
        <f ca="1"/>
        <v>53532</v>
      </c>
      <c r="C337" s="100">
        <f ca="1"/>
        <v>1.0785749321358888E-2</v>
      </c>
      <c r="D337" s="100">
        <f ca="1"/>
        <v>1.1438527096337137E-2</v>
      </c>
      <c r="E337" s="101"/>
    </row>
    <row r="338" spans="2:5">
      <c r="B338" s="99">
        <f ca="1"/>
        <v>53563</v>
      </c>
      <c r="C338" s="100">
        <f ca="1"/>
        <v>1.0762751875886324E-2</v>
      </c>
      <c r="D338" s="100">
        <f ca="1"/>
        <v>1.1416197669051635E-2</v>
      </c>
      <c r="E338" s="101"/>
    </row>
    <row r="339" spans="2:5">
      <c r="B339" s="99">
        <f ca="1"/>
        <v>53594</v>
      </c>
      <c r="C339" s="100">
        <f ca="1"/>
        <v>1.0740956140740445E-2</v>
      </c>
      <c r="D339" s="100">
        <f ca="1"/>
        <v>1.1394256130913097E-2</v>
      </c>
      <c r="E339" s="101"/>
    </row>
    <row r="340" spans="2:5">
      <c r="B340" s="99">
        <f ca="1"/>
        <v>53624</v>
      </c>
      <c r="C340" s="100">
        <f ca="1"/>
        <v>1.0719859420943074E-2</v>
      </c>
      <c r="D340" s="100">
        <f ca="1"/>
        <v>1.1373474432108776E-2</v>
      </c>
      <c r="E340" s="101"/>
    </row>
    <row r="341" spans="2:5">
      <c r="B341" s="99">
        <f ca="1"/>
        <v>53657</v>
      </c>
      <c r="C341" s="100">
        <f ca="1"/>
        <v>1.069708778499249E-2</v>
      </c>
      <c r="D341" s="100">
        <f ca="1"/>
        <v>1.135119357663834E-2</v>
      </c>
      <c r="E341" s="101"/>
    </row>
    <row r="342" spans="2:5">
      <c r="B342" s="99">
        <f ca="1"/>
        <v>53685</v>
      </c>
      <c r="C342" s="100">
        <f ca="1"/>
        <v>1.0678122643389017E-2</v>
      </c>
      <c r="D342" s="100">
        <f ca="1"/>
        <v>1.1332711527771931E-2</v>
      </c>
      <c r="E342" s="101"/>
    </row>
    <row r="343" spans="2:5">
      <c r="B343" s="99">
        <f ca="1"/>
        <v>53716</v>
      </c>
      <c r="C343" s="100">
        <f ca="1"/>
        <v>1.0657508608270125E-2</v>
      </c>
      <c r="D343" s="100">
        <f ca="1"/>
        <v>1.1312612140731881E-2</v>
      </c>
      <c r="E343" s="101"/>
    </row>
    <row r="344" spans="2:5">
      <c r="B344" s="99">
        <f ca="1"/>
        <v>53748</v>
      </c>
      <c r="C344" s="100">
        <f ca="1"/>
        <v>1.063665150150842E-2</v>
      </c>
      <c r="D344" s="100">
        <f ca="1"/>
        <v>1.129218009593673E-2</v>
      </c>
      <c r="E344" s="101"/>
    </row>
    <row r="345" spans="2:5">
      <c r="B345" s="99">
        <f ca="1"/>
        <v>53776</v>
      </c>
      <c r="C345" s="100">
        <f ca="1"/>
        <v>1.0618751988103347E-2</v>
      </c>
      <c r="D345" s="100">
        <f ca="1"/>
        <v>1.1274556699908834E-2</v>
      </c>
      <c r="E345" s="101"/>
    </row>
    <row r="346" spans="2:5">
      <c r="B346" s="99">
        <f ca="1"/>
        <v>53806</v>
      </c>
      <c r="C346" s="100">
        <f ca="1"/>
        <v>1.0599938352187768E-2</v>
      </c>
      <c r="D346" s="100">
        <f ca="1"/>
        <v>1.1255953278791735E-2</v>
      </c>
      <c r="E346" s="101"/>
    </row>
    <row r="347" spans="2:5">
      <c r="B347" s="99">
        <f ca="1"/>
        <v>53836</v>
      </c>
      <c r="C347" s="100">
        <f ca="1"/>
        <v>1.0581204195317431E-2</v>
      </c>
      <c r="D347" s="100">
        <f ca="1"/>
        <v>1.1237659258047615E-2</v>
      </c>
      <c r="E347" s="101"/>
    </row>
    <row r="348" spans="2:5">
      <c r="B348" s="99">
        <f ca="1"/>
        <v>53867</v>
      </c>
      <c r="C348" s="100">
        <f ca="1"/>
        <v>1.0562843977415911E-2</v>
      </c>
      <c r="D348" s="100">
        <f ca="1"/>
        <v>1.1219133038386453E-2</v>
      </c>
      <c r="E348" s="101"/>
    </row>
    <row r="349" spans="2:5">
      <c r="B349" s="99">
        <f ca="1"/>
        <v>53897</v>
      </c>
      <c r="C349" s="100">
        <f ca="1"/>
        <v>1.0545171972276656E-2</v>
      </c>
      <c r="D349" s="100">
        <f ca="1"/>
        <v>1.1201629421287057E-2</v>
      </c>
      <c r="E349" s="101"/>
    </row>
    <row r="350" spans="2:5">
      <c r="B350" s="99">
        <f ca="1"/>
        <v>53930</v>
      </c>
      <c r="C350" s="100">
        <f ca="1"/>
        <v>1.0526167525207136E-2</v>
      </c>
      <c r="D350" s="100">
        <f ca="1"/>
        <v>1.1182907582891723E-2</v>
      </c>
      <c r="E350" s="101"/>
    </row>
    <row r="351" spans="2:5">
      <c r="B351" s="99">
        <f ca="1"/>
        <v>53959</v>
      </c>
      <c r="C351" s="100">
        <f ca="1"/>
        <v>1.0509841739923495E-2</v>
      </c>
      <c r="D351" s="100">
        <f ca="1"/>
        <v>1.1166881747700912E-2</v>
      </c>
      <c r="E351" s="101"/>
    </row>
    <row r="352" spans="2:5">
      <c r="B352" s="99">
        <f ca="1"/>
        <v>53989</v>
      </c>
      <c r="C352" s="100">
        <f ca="1"/>
        <v>1.0493323725700518E-2</v>
      </c>
      <c r="D352" s="100">
        <f ca="1"/>
        <v>1.1150669171940953E-2</v>
      </c>
      <c r="E352" s="101"/>
    </row>
    <row r="353" spans="2:5">
      <c r="B353" s="99">
        <f ca="1"/>
        <v>54021</v>
      </c>
      <c r="C353" s="100">
        <f ca="1"/>
        <v>1.0476119658969284E-2</v>
      </c>
      <c r="D353" s="100">
        <f ca="1"/>
        <v>1.1133735429788785E-2</v>
      </c>
      <c r="E353" s="101"/>
    </row>
    <row r="354" spans="2:5">
      <c r="B354" s="99">
        <f ca="1"/>
        <v>54050</v>
      </c>
      <c r="C354" s="100">
        <f ca="1"/>
        <v>1.0460897483848878E-2</v>
      </c>
      <c r="D354" s="100">
        <f ca="1"/>
        <v>1.1118710645326099E-2</v>
      </c>
      <c r="E354" s="101"/>
    </row>
    <row r="355" spans="2:5">
      <c r="B355" s="99">
        <f ca="1"/>
        <v>54081</v>
      </c>
      <c r="C355" s="100">
        <f ca="1"/>
        <v>1.0444812547363872E-2</v>
      </c>
      <c r="D355" s="100">
        <f ca="1"/>
        <v>1.1103005709048066E-2</v>
      </c>
      <c r="E355" s="101"/>
    </row>
    <row r="356" spans="2:5">
      <c r="B356" s="99">
        <f ca="1"/>
        <v>54112</v>
      </c>
      <c r="C356" s="100">
        <f ca="1"/>
        <v>1.0429534602503536E-2</v>
      </c>
      <c r="D356" s="100">
        <f ca="1"/>
        <v>1.1087684423222961E-2</v>
      </c>
      <c r="E356" s="101"/>
    </row>
    <row r="357" spans="2:5">
      <c r="B357" s="99">
        <f ca="1"/>
        <v>54141</v>
      </c>
      <c r="C357" s="100">
        <f ca="1"/>
        <v>1.0415415935241571E-2</v>
      </c>
      <c r="D357" s="100">
        <f ca="1"/>
        <v>1.1073700182054181E-2</v>
      </c>
      <c r="E357" s="101"/>
    </row>
    <row r="358" spans="2:5">
      <c r="B358" s="99">
        <f ca="1"/>
        <v>54172</v>
      </c>
      <c r="C358" s="100">
        <f ca="1"/>
        <v>1.0400546115008661E-2</v>
      </c>
      <c r="D358" s="100">
        <f ca="1"/>
        <v>1.1059120675700562E-2</v>
      </c>
      <c r="E358" s="101"/>
    </row>
    <row r="359" spans="2:5">
      <c r="B359" s="99">
        <f ca="1"/>
        <v>54203</v>
      </c>
      <c r="C359" s="100">
        <f ca="1"/>
        <v>1.0386412316295024E-2</v>
      </c>
      <c r="D359" s="100">
        <f ca="1"/>
        <v>1.1044920472131034E-2</v>
      </c>
      <c r="E359" s="101"/>
    </row>
    <row r="360" spans="2:5">
      <c r="B360" s="99">
        <f ca="1"/>
        <v>54233</v>
      </c>
      <c r="C360" s="100">
        <f ca="1"/>
        <v>1.0372954663382965E-2</v>
      </c>
      <c r="D360" s="100">
        <f ca="1"/>
        <v>1.1031544405018518E-2</v>
      </c>
      <c r="E360" s="101"/>
    </row>
    <row r="361" spans="2:5">
      <c r="B361" s="99">
        <f ca="1"/>
        <v>54263</v>
      </c>
      <c r="C361" s="100">
        <f ca="1"/>
        <v>1.0359742697270724E-2</v>
      </c>
      <c r="D361" s="100">
        <f ca="1"/>
        <v>1.1018535502344138E-2</v>
      </c>
      <c r="E361" s="101"/>
    </row>
    <row r="362" spans="2:5">
      <c r="B362" s="99">
        <f ca="1"/>
        <v>54294</v>
      </c>
      <c r="C362" s="100">
        <f ca="1"/>
        <v>1.034675282140685E-2</v>
      </c>
      <c r="D362" s="100">
        <f ca="1"/>
        <v>1.1005484758640761E-2</v>
      </c>
      <c r="E362" s="101"/>
    </row>
    <row r="363" spans="2:5">
      <c r="B363" s="99">
        <f ca="1"/>
        <v>54325</v>
      </c>
      <c r="C363" s="100">
        <f ca="1"/>
        <v>1.0334032687900337E-2</v>
      </c>
      <c r="D363" s="100">
        <f ca="1"/>
        <v>1.0992831028232852E-2</v>
      </c>
      <c r="E363" s="101"/>
    </row>
    <row r="364" spans="2:5">
      <c r="B364" s="99">
        <f ca="1"/>
        <v>54357</v>
      </c>
      <c r="C364" s="100">
        <f ca="1"/>
        <v>1.0321324465186179E-2</v>
      </c>
      <c r="D364" s="100">
        <f ca="1"/>
        <v>1.0980181689359547E-2</v>
      </c>
      <c r="E364" s="101"/>
    </row>
    <row r="365" spans="2:5">
      <c r="B365" s="99">
        <f ca="1"/>
        <v>54386</v>
      </c>
      <c r="C365" s="100">
        <f ca="1"/>
        <v>1.0310177527813033E-2</v>
      </c>
      <c r="D365" s="100">
        <f ca="1"/>
        <v>1.0969076907398919E-2</v>
      </c>
      <c r="E365" s="101"/>
    </row>
    <row r="366" spans="2:5">
      <c r="B366" s="99">
        <f ca="1"/>
        <v>54416</v>
      </c>
      <c r="C366" s="100">
        <f ca="1"/>
        <v>1.029901560130995E-2</v>
      </c>
      <c r="D366" s="100">
        <f ca="1"/>
        <v>1.0957944620624048E-2</v>
      </c>
      <c r="E366" s="101"/>
    </row>
    <row r="367" spans="2:5">
      <c r="B367" s="99">
        <f ca="1"/>
        <v>54448</v>
      </c>
      <c r="C367" s="100">
        <f ca="1"/>
        <v>1.0287525132333638E-2</v>
      </c>
      <c r="D367" s="100">
        <f ca="1"/>
        <v>1.0946464639428643E-2</v>
      </c>
      <c r="E367" s="101"/>
    </row>
    <row r="368" spans="2:5">
      <c r="B368" s="99">
        <f ca="1"/>
        <v>54478</v>
      </c>
      <c r="C368" s="100">
        <f ca="1"/>
        <v>1.0277141734418996E-2</v>
      </c>
      <c r="D368" s="100">
        <f ca="1"/>
        <v>1.0936048134012185E-2</v>
      </c>
      <c r="E368" s="101"/>
    </row>
    <row r="369" spans="2:5">
      <c r="B369" s="99">
        <f ca="1"/>
        <v>54506</v>
      </c>
      <c r="C369" s="100">
        <f ca="1"/>
        <v>1.0267789233098755E-2</v>
      </c>
      <c r="D369" s="100">
        <f ca="1"/>
        <v>1.0926528739695388E-2</v>
      </c>
      <c r="E369" s="101"/>
    </row>
    <row r="370" spans="2:5">
      <c r="B370" s="99">
        <f ca="1"/>
        <v>54539</v>
      </c>
      <c r="C370" s="100">
        <f ca="1"/>
        <v>1.0257187899114947E-2</v>
      </c>
      <c r="D370" s="100">
        <f ca="1"/>
        <v>1.0915405717347787E-2</v>
      </c>
      <c r="E370" s="101"/>
    </row>
    <row r="371" spans="2:5">
      <c r="B371" s="99" t="e">
        <f ca="1"/>
        <v>#N/A</v>
      </c>
      <c r="C371" s="100" t="e">
        <f ca="1"/>
        <v>#N/A</v>
      </c>
      <c r="D371" s="100" t="e">
        <f ca="1"/>
        <v>#N/A</v>
      </c>
      <c r="E371" s="101"/>
    </row>
    <row r="372" spans="2:5">
      <c r="B372" s="99" t="e">
        <f ca="1"/>
        <v>#N/A</v>
      </c>
      <c r="C372" s="100" t="e">
        <f ca="1"/>
        <v>#N/A</v>
      </c>
      <c r="D372" s="100" t="e">
        <f ca="1"/>
        <v>#N/A</v>
      </c>
      <c r="E372" s="101"/>
    </row>
    <row r="373" spans="2:5">
      <c r="B373" s="99" t="e">
        <f ca="1"/>
        <v>#N/A</v>
      </c>
      <c r="C373" s="100" t="e">
        <f ca="1"/>
        <v>#N/A</v>
      </c>
      <c r="D373" s="100" t="e">
        <f ca="1"/>
        <v>#N/A</v>
      </c>
      <c r="E373" s="101"/>
    </row>
    <row r="374" spans="2:5">
      <c r="B374" s="99" t="e">
        <f ca="1"/>
        <v>#N/A</v>
      </c>
      <c r="C374" s="100" t="e">
        <f ca="1"/>
        <v>#N/A</v>
      </c>
      <c r="D374" s="100" t="e">
        <f ca="1"/>
        <v>#N/A</v>
      </c>
      <c r="E374" s="101"/>
    </row>
    <row r="375" spans="2:5">
      <c r="B375" s="99" t="e">
        <f ca="1"/>
        <v>#N/A</v>
      </c>
      <c r="C375" s="100" t="e">
        <f ca="1"/>
        <v>#N/A</v>
      </c>
      <c r="D375" s="100" t="e">
        <f ca="1"/>
        <v>#N/A</v>
      </c>
      <c r="E375" s="101"/>
    </row>
    <row r="376" spans="2:5">
      <c r="B376" s="99" t="e">
        <f ca="1"/>
        <v>#N/A</v>
      </c>
      <c r="C376" s="100" t="e">
        <f ca="1"/>
        <v>#N/A</v>
      </c>
      <c r="D376" s="100" t="e">
        <f ca="1"/>
        <v>#N/A</v>
      </c>
      <c r="E376" s="101"/>
    </row>
    <row r="377" spans="2:5">
      <c r="B377" s="99" t="e">
        <f ca="1"/>
        <v>#N/A</v>
      </c>
      <c r="C377" s="100" t="e">
        <f ca="1"/>
        <v>#N/A</v>
      </c>
      <c r="D377" s="100" t="e">
        <f ca="1"/>
        <v>#N/A</v>
      </c>
      <c r="E377" s="101"/>
    </row>
    <row r="378" spans="2:5">
      <c r="B378" s="99" t="e">
        <f ca="1"/>
        <v>#N/A</v>
      </c>
      <c r="C378" s="100" t="e">
        <f ca="1"/>
        <v>#N/A</v>
      </c>
      <c r="D378" s="100" t="e">
        <f ca="1"/>
        <v>#N/A</v>
      </c>
      <c r="E378" s="101"/>
    </row>
    <row r="379" spans="2:5">
      <c r="B379" s="99" t="e">
        <f ca="1"/>
        <v>#N/A</v>
      </c>
      <c r="C379" s="100" t="e">
        <f ca="1"/>
        <v>#N/A</v>
      </c>
      <c r="D379" s="100" t="e">
        <f ca="1"/>
        <v>#N/A</v>
      </c>
      <c r="E379" s="101"/>
    </row>
    <row r="380" spans="2:5">
      <c r="B380" s="99" t="e">
        <f ca="1"/>
        <v>#N/A</v>
      </c>
      <c r="C380" s="100" t="e">
        <f ca="1"/>
        <v>#N/A</v>
      </c>
      <c r="D380" s="100" t="e">
        <f ca="1"/>
        <v>#N/A</v>
      </c>
      <c r="E380" s="101"/>
    </row>
    <row r="381" spans="2:5">
      <c r="B381" s="99" t="e">
        <f ca="1"/>
        <v>#N/A</v>
      </c>
      <c r="C381" s="100" t="e">
        <f ca="1"/>
        <v>#N/A</v>
      </c>
      <c r="D381" s="100" t="e">
        <f ca="1"/>
        <v>#N/A</v>
      </c>
      <c r="E381" s="101"/>
    </row>
    <row r="382" spans="2:5">
      <c r="B382" s="99" t="e">
        <f ca="1"/>
        <v>#N/A</v>
      </c>
      <c r="C382" s="100" t="e">
        <f ca="1"/>
        <v>#N/A</v>
      </c>
      <c r="D382" s="100" t="e">
        <f ca="1"/>
        <v>#N/A</v>
      </c>
      <c r="E382" s="101"/>
    </row>
    <row r="383" spans="2:5">
      <c r="B383" s="99" t="e">
        <f ca="1"/>
        <v>#N/A</v>
      </c>
      <c r="C383" s="100" t="e">
        <f ca="1"/>
        <v>#N/A</v>
      </c>
      <c r="D383" s="100" t="e">
        <f ca="1"/>
        <v>#N/A</v>
      </c>
      <c r="E383" s="101"/>
    </row>
    <row r="384" spans="2:5">
      <c r="B384" s="99" t="e">
        <f ca="1"/>
        <v>#N/A</v>
      </c>
      <c r="C384" s="100" t="e">
        <f ca="1"/>
        <v>#N/A</v>
      </c>
      <c r="D384" s="100" t="e">
        <f ca="1"/>
        <v>#N/A</v>
      </c>
      <c r="E384" s="101"/>
    </row>
    <row r="385" spans="2:5">
      <c r="B385" s="99" t="e">
        <f ca="1"/>
        <v>#N/A</v>
      </c>
      <c r="C385" s="100" t="e">
        <f ca="1"/>
        <v>#N/A</v>
      </c>
      <c r="D385" s="100" t="e">
        <f ca="1"/>
        <v>#N/A</v>
      </c>
      <c r="E385" s="101"/>
    </row>
    <row r="386" spans="2:5">
      <c r="B386" s="99" t="e">
        <f ca="1"/>
        <v>#N/A</v>
      </c>
      <c r="C386" s="100" t="e">
        <f ca="1"/>
        <v>#N/A</v>
      </c>
      <c r="D386" s="100" t="e">
        <f ca="1"/>
        <v>#N/A</v>
      </c>
      <c r="E386" s="101"/>
    </row>
    <row r="387" spans="2:5">
      <c r="B387" s="99" t="e">
        <f ca="1"/>
        <v>#N/A</v>
      </c>
      <c r="C387" s="100" t="e">
        <f ca="1"/>
        <v>#N/A</v>
      </c>
      <c r="D387" s="100" t="e">
        <f ca="1"/>
        <v>#N/A</v>
      </c>
      <c r="E387" s="101"/>
    </row>
    <row r="388" spans="2:5">
      <c r="B388" s="99" t="e">
        <f ca="1"/>
        <v>#N/A</v>
      </c>
      <c r="C388" s="100" t="e">
        <f ca="1"/>
        <v>#N/A</v>
      </c>
      <c r="D388" s="100" t="e">
        <f ca="1"/>
        <v>#N/A</v>
      </c>
      <c r="E388" s="101"/>
    </row>
    <row r="389" spans="2:5">
      <c r="B389" s="99" t="e">
        <f ca="1"/>
        <v>#N/A</v>
      </c>
      <c r="C389" s="100" t="e">
        <f ca="1"/>
        <v>#N/A</v>
      </c>
      <c r="D389" s="100" t="e">
        <f ca="1"/>
        <v>#N/A</v>
      </c>
      <c r="E389" s="101"/>
    </row>
    <row r="390" spans="2:5">
      <c r="B390" s="99" t="e">
        <f ca="1"/>
        <v>#N/A</v>
      </c>
      <c r="C390" s="100" t="e">
        <f ca="1"/>
        <v>#N/A</v>
      </c>
      <c r="D390" s="100" t="e">
        <f ca="1"/>
        <v>#N/A</v>
      </c>
      <c r="E390" s="101"/>
    </row>
    <row r="391" spans="2:5">
      <c r="B391" s="99" t="e">
        <f ca="1"/>
        <v>#N/A</v>
      </c>
      <c r="C391" s="100" t="e">
        <f ca="1"/>
        <v>#N/A</v>
      </c>
      <c r="D391" s="100" t="e">
        <f ca="1"/>
        <v>#N/A</v>
      </c>
      <c r="E391" s="101"/>
    </row>
    <row r="392" spans="2:5">
      <c r="B392" s="99" t="e">
        <f ca="1"/>
        <v>#N/A</v>
      </c>
      <c r="C392" s="100" t="e">
        <f ca="1"/>
        <v>#N/A</v>
      </c>
      <c r="D392" s="100" t="e">
        <f ca="1"/>
        <v>#N/A</v>
      </c>
      <c r="E392" s="101"/>
    </row>
    <row r="393" spans="2:5">
      <c r="B393" s="99" t="e">
        <f ca="1"/>
        <v>#N/A</v>
      </c>
      <c r="C393" s="100" t="e">
        <f ca="1"/>
        <v>#N/A</v>
      </c>
      <c r="D393" s="100" t="e">
        <f ca="1"/>
        <v>#N/A</v>
      </c>
      <c r="E393" s="101"/>
    </row>
    <row r="394" spans="2:5">
      <c r="B394" s="99" t="e">
        <f ca="1"/>
        <v>#N/A</v>
      </c>
      <c r="C394" s="100" t="e">
        <f ca="1"/>
        <v>#N/A</v>
      </c>
      <c r="D394" s="100" t="e">
        <f ca="1"/>
        <v>#N/A</v>
      </c>
      <c r="E394" s="101"/>
    </row>
    <row r="395" spans="2:5">
      <c r="B395" s="99" t="e">
        <f ca="1"/>
        <v>#N/A</v>
      </c>
      <c r="C395" s="100" t="e">
        <f ca="1"/>
        <v>#N/A</v>
      </c>
      <c r="D395" s="100" t="e">
        <f ca="1"/>
        <v>#N/A</v>
      </c>
      <c r="E395" s="101"/>
    </row>
    <row r="396" spans="2:5">
      <c r="B396" s="99" t="e">
        <f ca="1"/>
        <v>#N/A</v>
      </c>
      <c r="C396" s="100" t="e">
        <f ca="1"/>
        <v>#N/A</v>
      </c>
      <c r="D396" s="100" t="e">
        <f ca="1"/>
        <v>#N/A</v>
      </c>
      <c r="E396" s="101"/>
    </row>
    <row r="397" spans="2:5">
      <c r="B397" s="99" t="e">
        <f ca="1"/>
        <v>#N/A</v>
      </c>
      <c r="C397" s="100" t="e">
        <f ca="1"/>
        <v>#N/A</v>
      </c>
      <c r="D397" s="100" t="e">
        <f ca="1"/>
        <v>#N/A</v>
      </c>
      <c r="E397" s="101"/>
    </row>
    <row r="398" spans="2:5">
      <c r="B398" s="99" t="e">
        <f ca="1"/>
        <v>#N/A</v>
      </c>
      <c r="C398" s="100" t="e">
        <f ca="1"/>
        <v>#N/A</v>
      </c>
      <c r="D398" s="100" t="e">
        <f ca="1"/>
        <v>#N/A</v>
      </c>
      <c r="E398" s="101"/>
    </row>
    <row r="399" spans="2:5">
      <c r="B399" s="99" t="e">
        <f ca="1"/>
        <v>#N/A</v>
      </c>
      <c r="C399" s="100" t="e">
        <f ca="1"/>
        <v>#N/A</v>
      </c>
      <c r="D399" s="100" t="e">
        <f ca="1"/>
        <v>#N/A</v>
      </c>
      <c r="E399" s="101"/>
    </row>
    <row r="400" spans="2:5">
      <c r="B400" s="99" t="e">
        <f ca="1"/>
        <v>#N/A</v>
      </c>
      <c r="C400" s="100" t="e">
        <f ca="1"/>
        <v>#N/A</v>
      </c>
      <c r="D400" s="100" t="e">
        <f ca="1"/>
        <v>#N/A</v>
      </c>
      <c r="E400" s="101"/>
    </row>
    <row r="401" spans="2:5">
      <c r="B401" s="99" t="e">
        <f ca="1"/>
        <v>#N/A</v>
      </c>
      <c r="C401" s="100" t="e">
        <f ca="1"/>
        <v>#N/A</v>
      </c>
      <c r="D401" s="100" t="e">
        <f ca="1"/>
        <v>#N/A</v>
      </c>
      <c r="E401" s="101"/>
    </row>
    <row r="402" spans="2:5">
      <c r="B402" s="99" t="e">
        <f ca="1"/>
        <v>#N/A</v>
      </c>
      <c r="C402" s="100" t="e">
        <f ca="1"/>
        <v>#N/A</v>
      </c>
      <c r="D402" s="100" t="e">
        <f ca="1"/>
        <v>#N/A</v>
      </c>
      <c r="E402" s="101"/>
    </row>
    <row r="403" spans="2:5">
      <c r="B403" s="99" t="e">
        <f ca="1"/>
        <v>#N/A</v>
      </c>
      <c r="C403" s="100" t="e">
        <f ca="1"/>
        <v>#N/A</v>
      </c>
      <c r="D403" s="100" t="e">
        <f ca="1"/>
        <v>#N/A</v>
      </c>
      <c r="E403" s="101"/>
    </row>
    <row r="404" spans="2:5">
      <c r="B404" s="99" t="e">
        <f ca="1"/>
        <v>#N/A</v>
      </c>
      <c r="C404" s="100" t="e">
        <f ca="1"/>
        <v>#N/A</v>
      </c>
      <c r="D404" s="100" t="e">
        <f ca="1"/>
        <v>#N/A</v>
      </c>
      <c r="E404" s="101"/>
    </row>
    <row r="405" spans="2:5">
      <c r="B405" s="99" t="e">
        <f ca="1"/>
        <v>#N/A</v>
      </c>
      <c r="C405" s="100" t="e">
        <f ca="1"/>
        <v>#N/A</v>
      </c>
      <c r="D405" s="100" t="e">
        <f ca="1"/>
        <v>#N/A</v>
      </c>
      <c r="E405" s="101"/>
    </row>
    <row r="406" spans="2:5">
      <c r="B406" s="99" t="e">
        <f ca="1"/>
        <v>#N/A</v>
      </c>
      <c r="C406" s="100" t="e">
        <f ca="1"/>
        <v>#N/A</v>
      </c>
      <c r="D406" s="100" t="e">
        <f ca="1"/>
        <v>#N/A</v>
      </c>
      <c r="E406" s="101"/>
    </row>
    <row r="407" spans="2:5">
      <c r="B407" s="99" t="e">
        <f ca="1"/>
        <v>#N/A</v>
      </c>
      <c r="C407" s="100" t="e">
        <f ca="1"/>
        <v>#N/A</v>
      </c>
      <c r="D407" s="100" t="e">
        <f ca="1"/>
        <v>#N/A</v>
      </c>
      <c r="E407" s="101"/>
    </row>
    <row r="408" spans="2:5">
      <c r="B408" s="99" t="e">
        <f ca="1"/>
        <v>#N/A</v>
      </c>
      <c r="C408" s="100" t="e">
        <f ca="1"/>
        <v>#N/A</v>
      </c>
      <c r="D408" s="100" t="e">
        <f ca="1"/>
        <v>#N/A</v>
      </c>
      <c r="E408" s="101"/>
    </row>
    <row r="409" spans="2:5">
      <c r="B409" s="99" t="e">
        <f ca="1"/>
        <v>#N/A</v>
      </c>
      <c r="C409" s="100" t="e">
        <f ca="1"/>
        <v>#N/A</v>
      </c>
      <c r="D409" s="100" t="e">
        <f ca="1"/>
        <v>#N/A</v>
      </c>
      <c r="E409" s="101"/>
    </row>
    <row r="410" spans="2:5">
      <c r="B410" s="99" t="e">
        <f ca="1"/>
        <v>#N/A</v>
      </c>
      <c r="C410" s="100" t="e">
        <f ca="1"/>
        <v>#N/A</v>
      </c>
      <c r="D410" s="100" t="e">
        <f ca="1"/>
        <v>#N/A</v>
      </c>
      <c r="E410" s="101"/>
    </row>
    <row r="411" spans="2:5">
      <c r="B411" s="99" t="e">
        <f ca="1"/>
        <v>#N/A</v>
      </c>
      <c r="C411" s="100" t="e">
        <f ca="1"/>
        <v>#N/A</v>
      </c>
      <c r="D411" s="100" t="e">
        <f ca="1"/>
        <v>#N/A</v>
      </c>
      <c r="E411" s="101"/>
    </row>
    <row r="412" spans="2:5">
      <c r="B412" s="99" t="e">
        <f ca="1"/>
        <v>#N/A</v>
      </c>
      <c r="C412" s="100" t="e">
        <f ca="1"/>
        <v>#N/A</v>
      </c>
      <c r="D412" s="100" t="e">
        <f ca="1"/>
        <v>#N/A</v>
      </c>
      <c r="E412" s="101"/>
    </row>
    <row r="413" spans="2:5">
      <c r="B413" s="99" t="e">
        <f ca="1"/>
        <v>#N/A</v>
      </c>
      <c r="C413" s="100" t="e">
        <f ca="1"/>
        <v>#N/A</v>
      </c>
      <c r="D413" s="100" t="e">
        <f ca="1"/>
        <v>#N/A</v>
      </c>
      <c r="E413" s="101"/>
    </row>
    <row r="414" spans="2:5">
      <c r="B414" s="99" t="e">
        <f ca="1"/>
        <v>#N/A</v>
      </c>
      <c r="C414" s="100" t="e">
        <f ca="1"/>
        <v>#N/A</v>
      </c>
      <c r="D414" s="100" t="e">
        <f ca="1"/>
        <v>#N/A</v>
      </c>
      <c r="E414" s="101"/>
    </row>
    <row r="415" spans="2:5">
      <c r="B415" s="99" t="e">
        <f ca="1"/>
        <v>#N/A</v>
      </c>
      <c r="C415" s="100" t="e">
        <f ca="1"/>
        <v>#N/A</v>
      </c>
      <c r="D415" s="100" t="e">
        <f ca="1"/>
        <v>#N/A</v>
      </c>
      <c r="E415" s="101"/>
    </row>
    <row r="416" spans="2:5">
      <c r="B416" s="99" t="e">
        <f ca="1"/>
        <v>#N/A</v>
      </c>
      <c r="C416" s="100" t="e">
        <f ca="1"/>
        <v>#N/A</v>
      </c>
      <c r="D416" s="100" t="e">
        <f ca="1"/>
        <v>#N/A</v>
      </c>
      <c r="E416" s="101"/>
    </row>
    <row r="417" spans="2:5">
      <c r="B417" s="99" t="e">
        <f ca="1"/>
        <v>#N/A</v>
      </c>
      <c r="C417" s="100" t="e">
        <f ca="1"/>
        <v>#N/A</v>
      </c>
      <c r="D417" s="100" t="e">
        <f ca="1"/>
        <v>#N/A</v>
      </c>
      <c r="E417" s="101"/>
    </row>
    <row r="418" spans="2:5">
      <c r="B418" s="99" t="e">
        <f ca="1"/>
        <v>#N/A</v>
      </c>
      <c r="C418" s="100" t="e">
        <f ca="1"/>
        <v>#N/A</v>
      </c>
      <c r="D418" s="100" t="e">
        <f ca="1"/>
        <v>#N/A</v>
      </c>
      <c r="E418" s="101"/>
    </row>
    <row r="419" spans="2:5">
      <c r="B419" s="99" t="e">
        <f ca="1"/>
        <v>#N/A</v>
      </c>
      <c r="C419" s="100" t="e">
        <f ca="1"/>
        <v>#N/A</v>
      </c>
      <c r="D419" s="100" t="e">
        <f ca="1"/>
        <v>#N/A</v>
      </c>
      <c r="E419" s="101"/>
    </row>
    <row r="420" spans="2:5">
      <c r="B420" s="99" t="e">
        <f ca="1"/>
        <v>#N/A</v>
      </c>
      <c r="C420" s="100" t="e">
        <f ca="1"/>
        <v>#N/A</v>
      </c>
      <c r="D420" s="100" t="e">
        <f ca="1"/>
        <v>#N/A</v>
      </c>
      <c r="E420" s="101"/>
    </row>
    <row r="421" spans="2:5">
      <c r="B421" s="99" t="e">
        <f ca="1"/>
        <v>#N/A</v>
      </c>
      <c r="C421" s="100" t="e">
        <f ca="1"/>
        <v>#N/A</v>
      </c>
      <c r="D421" s="100" t="e">
        <f ca="1"/>
        <v>#N/A</v>
      </c>
      <c r="E421" s="101"/>
    </row>
    <row r="422" spans="2:5">
      <c r="B422" s="99" t="e">
        <f ca="1"/>
        <v>#N/A</v>
      </c>
      <c r="C422" s="100" t="e">
        <f ca="1"/>
        <v>#N/A</v>
      </c>
      <c r="D422" s="100" t="e">
        <f ca="1"/>
        <v>#N/A</v>
      </c>
      <c r="E422" s="101"/>
    </row>
    <row r="423" spans="2:5">
      <c r="B423" s="99" t="e">
        <f ca="1"/>
        <v>#N/A</v>
      </c>
      <c r="C423" s="100" t="e">
        <f ca="1"/>
        <v>#N/A</v>
      </c>
      <c r="D423" s="100" t="e">
        <f ca="1"/>
        <v>#N/A</v>
      </c>
      <c r="E423" s="101"/>
    </row>
    <row r="424" spans="2:5">
      <c r="B424" s="99" t="e">
        <f ca="1"/>
        <v>#N/A</v>
      </c>
      <c r="C424" s="100" t="e">
        <f ca="1"/>
        <v>#N/A</v>
      </c>
      <c r="D424" s="100" t="e">
        <f ca="1"/>
        <v>#N/A</v>
      </c>
      <c r="E424" s="101"/>
    </row>
    <row r="425" spans="2:5">
      <c r="B425" s="99" t="e">
        <f ca="1"/>
        <v>#N/A</v>
      </c>
      <c r="C425" s="100" t="e">
        <f ca="1"/>
        <v>#N/A</v>
      </c>
      <c r="D425" s="100" t="e">
        <f ca="1"/>
        <v>#N/A</v>
      </c>
      <c r="E425" s="101"/>
    </row>
    <row r="426" spans="2:5">
      <c r="B426" s="99" t="e">
        <f ca="1"/>
        <v>#N/A</v>
      </c>
      <c r="C426" s="100" t="e">
        <f ca="1"/>
        <v>#N/A</v>
      </c>
      <c r="D426" s="100" t="e">
        <f ca="1"/>
        <v>#N/A</v>
      </c>
      <c r="E426" s="101"/>
    </row>
    <row r="427" spans="2:5">
      <c r="B427" s="99" t="e">
        <f ca="1"/>
        <v>#N/A</v>
      </c>
      <c r="C427" s="100" t="e">
        <f ca="1"/>
        <v>#N/A</v>
      </c>
      <c r="D427" s="100" t="e">
        <f ca="1"/>
        <v>#N/A</v>
      </c>
      <c r="E427" s="101"/>
    </row>
    <row r="428" spans="2:5">
      <c r="B428" s="99" t="e">
        <f ca="1"/>
        <v>#N/A</v>
      </c>
      <c r="C428" s="100" t="e">
        <f ca="1"/>
        <v>#N/A</v>
      </c>
      <c r="D428" s="100" t="e">
        <f ca="1"/>
        <v>#N/A</v>
      </c>
      <c r="E428" s="101"/>
    </row>
    <row r="429" spans="2:5">
      <c r="B429" s="99" t="e">
        <f ca="1"/>
        <v>#N/A</v>
      </c>
      <c r="C429" s="100" t="e">
        <f ca="1"/>
        <v>#N/A</v>
      </c>
      <c r="D429" s="100" t="e">
        <f ca="1"/>
        <v>#N/A</v>
      </c>
      <c r="E429" s="101"/>
    </row>
    <row r="430" spans="2:5">
      <c r="B430" s="99" t="e">
        <f ca="1"/>
        <v>#N/A</v>
      </c>
      <c r="C430" s="100" t="e">
        <f ca="1"/>
        <v>#N/A</v>
      </c>
      <c r="D430" s="100" t="e">
        <f ca="1"/>
        <v>#N/A</v>
      </c>
      <c r="E430" s="101"/>
    </row>
    <row r="431" spans="2:5">
      <c r="B431" s="99" t="e">
        <f ca="1"/>
        <v>#N/A</v>
      </c>
      <c r="C431" s="100" t="e">
        <f ca="1"/>
        <v>#N/A</v>
      </c>
      <c r="D431" s="100" t="e">
        <f ca="1"/>
        <v>#N/A</v>
      </c>
      <c r="E431" s="101"/>
    </row>
    <row r="432" spans="2:5">
      <c r="B432" s="99" t="e">
        <f ca="1"/>
        <v>#N/A</v>
      </c>
      <c r="C432" s="100" t="e">
        <f ca="1"/>
        <v>#N/A</v>
      </c>
      <c r="D432" s="100" t="e">
        <f ca="1"/>
        <v>#N/A</v>
      </c>
      <c r="E432" s="101"/>
    </row>
    <row r="433" spans="2:5">
      <c r="B433" s="99" t="e">
        <f ca="1"/>
        <v>#N/A</v>
      </c>
      <c r="C433" s="100" t="e">
        <f ca="1"/>
        <v>#N/A</v>
      </c>
      <c r="D433" s="100" t="e">
        <f ca="1"/>
        <v>#N/A</v>
      </c>
      <c r="E433" s="101"/>
    </row>
    <row r="434" spans="2:5">
      <c r="B434" s="99" t="e">
        <f ca="1"/>
        <v>#N/A</v>
      </c>
      <c r="C434" s="100" t="e">
        <f ca="1"/>
        <v>#N/A</v>
      </c>
      <c r="D434" s="100" t="e">
        <f ca="1"/>
        <v>#N/A</v>
      </c>
      <c r="E434" s="101"/>
    </row>
    <row r="435" spans="2:5">
      <c r="B435" s="99" t="e">
        <f ca="1"/>
        <v>#N/A</v>
      </c>
      <c r="C435" s="100" t="e">
        <f ca="1"/>
        <v>#N/A</v>
      </c>
      <c r="D435" s="100" t="e">
        <f ca="1"/>
        <v>#N/A</v>
      </c>
      <c r="E435" s="101"/>
    </row>
    <row r="436" spans="2:5">
      <c r="B436" s="99" t="e">
        <f ca="1"/>
        <v>#N/A</v>
      </c>
      <c r="C436" s="100" t="e">
        <f ca="1"/>
        <v>#N/A</v>
      </c>
      <c r="D436" s="100" t="e">
        <f ca="1"/>
        <v>#N/A</v>
      </c>
      <c r="E436" s="101"/>
    </row>
    <row r="437" spans="2:5">
      <c r="B437" s="99" t="e">
        <f ca="1"/>
        <v>#N/A</v>
      </c>
      <c r="C437" s="100" t="e">
        <f ca="1"/>
        <v>#N/A</v>
      </c>
      <c r="D437" s="100" t="e">
        <f ca="1"/>
        <v>#N/A</v>
      </c>
      <c r="E437" s="101"/>
    </row>
    <row r="438" spans="2:5">
      <c r="B438" s="99" t="e">
        <f ca="1"/>
        <v>#N/A</v>
      </c>
      <c r="C438" s="100" t="e">
        <f ca="1"/>
        <v>#N/A</v>
      </c>
      <c r="D438" s="100" t="e">
        <f ca="1"/>
        <v>#N/A</v>
      </c>
      <c r="E438" s="101"/>
    </row>
    <row r="439" spans="2:5">
      <c r="B439" s="99" t="e">
        <f ca="1"/>
        <v>#N/A</v>
      </c>
      <c r="C439" s="100" t="e">
        <f ca="1"/>
        <v>#N/A</v>
      </c>
      <c r="D439" s="100" t="e">
        <f ca="1"/>
        <v>#N/A</v>
      </c>
      <c r="E439" s="101"/>
    </row>
    <row r="440" spans="2:5">
      <c r="B440" s="99" t="e">
        <f ca="1"/>
        <v>#N/A</v>
      </c>
      <c r="C440" s="100" t="e">
        <f ca="1"/>
        <v>#N/A</v>
      </c>
      <c r="D440" s="100" t="e">
        <f ca="1"/>
        <v>#N/A</v>
      </c>
      <c r="E440" s="101"/>
    </row>
    <row r="441" spans="2:5">
      <c r="B441" s="99" t="e">
        <f ca="1"/>
        <v>#N/A</v>
      </c>
      <c r="C441" s="100" t="e">
        <f ca="1"/>
        <v>#N/A</v>
      </c>
      <c r="D441" s="100" t="e">
        <f ca="1"/>
        <v>#N/A</v>
      </c>
      <c r="E441" s="101"/>
    </row>
    <row r="442" spans="2:5">
      <c r="B442" s="99" t="e">
        <f ca="1"/>
        <v>#N/A</v>
      </c>
      <c r="C442" s="100" t="e">
        <f ca="1"/>
        <v>#N/A</v>
      </c>
      <c r="D442" s="100" t="e">
        <f ca="1"/>
        <v>#N/A</v>
      </c>
      <c r="E442" s="101"/>
    </row>
    <row r="443" spans="2:5">
      <c r="B443" s="99" t="e">
        <f ca="1"/>
        <v>#N/A</v>
      </c>
      <c r="C443" s="100" t="e">
        <f ca="1"/>
        <v>#N/A</v>
      </c>
      <c r="D443" s="100" t="e">
        <f ca="1"/>
        <v>#N/A</v>
      </c>
      <c r="E443" s="101"/>
    </row>
    <row r="444" spans="2:5">
      <c r="B444" s="99" t="e">
        <f ca="1"/>
        <v>#N/A</v>
      </c>
      <c r="C444" s="100" t="e">
        <f ca="1"/>
        <v>#N/A</v>
      </c>
      <c r="D444" s="100" t="e">
        <f ca="1"/>
        <v>#N/A</v>
      </c>
      <c r="E444" s="101"/>
    </row>
    <row r="445" spans="2:5">
      <c r="B445" s="99" t="e">
        <f ca="1"/>
        <v>#N/A</v>
      </c>
      <c r="C445" s="100" t="e">
        <f ca="1"/>
        <v>#N/A</v>
      </c>
      <c r="D445" s="100" t="e">
        <f ca="1"/>
        <v>#N/A</v>
      </c>
      <c r="E445" s="101"/>
    </row>
    <row r="446" spans="2:5">
      <c r="B446" s="99" t="e">
        <f ca="1"/>
        <v>#N/A</v>
      </c>
      <c r="C446" s="100" t="e">
        <f ca="1"/>
        <v>#N/A</v>
      </c>
      <c r="D446" s="100" t="e">
        <f ca="1"/>
        <v>#N/A</v>
      </c>
      <c r="E446" s="101"/>
    </row>
    <row r="447" spans="2:5">
      <c r="B447" s="99" t="e">
        <f ca="1"/>
        <v>#N/A</v>
      </c>
      <c r="C447" s="100" t="e">
        <f ca="1"/>
        <v>#N/A</v>
      </c>
      <c r="D447" s="100" t="e">
        <f ca="1"/>
        <v>#N/A</v>
      </c>
      <c r="E447" s="101"/>
    </row>
    <row r="448" spans="2:5">
      <c r="B448" s="99" t="e">
        <f ca="1"/>
        <v>#N/A</v>
      </c>
      <c r="C448" s="100" t="e">
        <f ca="1"/>
        <v>#N/A</v>
      </c>
      <c r="D448" s="100" t="e">
        <f ca="1"/>
        <v>#N/A</v>
      </c>
      <c r="E448" s="101"/>
    </row>
    <row r="449" spans="2:5">
      <c r="B449" s="99" t="e">
        <f ca="1"/>
        <v>#N/A</v>
      </c>
      <c r="C449" s="100" t="e">
        <f ca="1"/>
        <v>#N/A</v>
      </c>
      <c r="D449" s="100" t="e">
        <f ca="1"/>
        <v>#N/A</v>
      </c>
      <c r="E449" s="101"/>
    </row>
    <row r="450" spans="2:5">
      <c r="B450" s="99" t="e">
        <f ca="1"/>
        <v>#N/A</v>
      </c>
      <c r="C450" s="100" t="e">
        <f ca="1"/>
        <v>#N/A</v>
      </c>
      <c r="D450" s="100" t="e">
        <f ca="1"/>
        <v>#N/A</v>
      </c>
      <c r="E450" s="101"/>
    </row>
    <row r="451" spans="2:5">
      <c r="B451" s="99" t="e">
        <f ca="1"/>
        <v>#N/A</v>
      </c>
      <c r="C451" s="100" t="e">
        <f ca="1"/>
        <v>#N/A</v>
      </c>
      <c r="D451" s="100" t="e">
        <f ca="1"/>
        <v>#N/A</v>
      </c>
      <c r="E451" s="101"/>
    </row>
    <row r="452" spans="2:5">
      <c r="B452" s="99" t="e">
        <f ca="1"/>
        <v>#N/A</v>
      </c>
      <c r="C452" s="100" t="e">
        <f ca="1"/>
        <v>#N/A</v>
      </c>
      <c r="D452" s="100" t="e">
        <f ca="1"/>
        <v>#N/A</v>
      </c>
      <c r="E452" s="101"/>
    </row>
    <row r="453" spans="2:5">
      <c r="B453" s="99" t="e">
        <f ca="1"/>
        <v>#N/A</v>
      </c>
      <c r="C453" s="100" t="e">
        <f ca="1"/>
        <v>#N/A</v>
      </c>
      <c r="D453" s="100" t="e">
        <f ca="1"/>
        <v>#N/A</v>
      </c>
      <c r="E453" s="101"/>
    </row>
    <row r="454" spans="2:5">
      <c r="B454" s="99" t="e">
        <f ca="1"/>
        <v>#N/A</v>
      </c>
      <c r="C454" s="100" t="e">
        <f ca="1"/>
        <v>#N/A</v>
      </c>
      <c r="D454" s="100" t="e">
        <f ca="1"/>
        <v>#N/A</v>
      </c>
      <c r="E454" s="101"/>
    </row>
    <row r="455" spans="2:5">
      <c r="B455" s="99" t="e">
        <f ca="1"/>
        <v>#N/A</v>
      </c>
      <c r="C455" s="100" t="e">
        <f ca="1"/>
        <v>#N/A</v>
      </c>
      <c r="D455" s="100" t="e">
        <f ca="1"/>
        <v>#N/A</v>
      </c>
      <c r="E455" s="101"/>
    </row>
    <row r="456" spans="2:5">
      <c r="B456" s="99" t="e">
        <f ca="1"/>
        <v>#N/A</v>
      </c>
      <c r="C456" s="100" t="e">
        <f ca="1"/>
        <v>#N/A</v>
      </c>
      <c r="D456" s="100" t="e">
        <f ca="1"/>
        <v>#N/A</v>
      </c>
      <c r="E456" s="101"/>
    </row>
    <row r="457" spans="2:5">
      <c r="B457" s="99" t="e">
        <f ca="1"/>
        <v>#N/A</v>
      </c>
      <c r="C457" s="100" t="e">
        <f ca="1"/>
        <v>#N/A</v>
      </c>
      <c r="D457" s="100" t="e">
        <f ca="1"/>
        <v>#N/A</v>
      </c>
      <c r="E457" s="101"/>
    </row>
    <row r="458" spans="2:5">
      <c r="B458" s="99" t="e">
        <f ca="1"/>
        <v>#N/A</v>
      </c>
      <c r="C458" s="100" t="e">
        <f ca="1"/>
        <v>#N/A</v>
      </c>
      <c r="D458" s="100" t="e">
        <f ca="1"/>
        <v>#N/A</v>
      </c>
      <c r="E458" s="101"/>
    </row>
    <row r="459" spans="2:5">
      <c r="B459" s="99" t="e">
        <f ca="1"/>
        <v>#N/A</v>
      </c>
      <c r="C459" s="100" t="e">
        <f ca="1"/>
        <v>#N/A</v>
      </c>
      <c r="D459" s="100" t="e">
        <f ca="1"/>
        <v>#N/A</v>
      </c>
      <c r="E459" s="101"/>
    </row>
    <row r="460" spans="2:5">
      <c r="B460" s="99" t="e">
        <f ca="1"/>
        <v>#N/A</v>
      </c>
      <c r="C460" s="100" t="e">
        <f ca="1"/>
        <v>#N/A</v>
      </c>
      <c r="D460" s="100" t="e">
        <f ca="1"/>
        <v>#N/A</v>
      </c>
      <c r="E460" s="101"/>
    </row>
    <row r="461" spans="2:5">
      <c r="B461" s="99" t="e">
        <f ca="1"/>
        <v>#N/A</v>
      </c>
      <c r="C461" s="100" t="e">
        <f ca="1"/>
        <v>#N/A</v>
      </c>
      <c r="D461" s="100" t="e">
        <f ca="1"/>
        <v>#N/A</v>
      </c>
      <c r="E461" s="101"/>
    </row>
    <row r="462" spans="2:5">
      <c r="B462" s="99" t="e">
        <f ca="1"/>
        <v>#N/A</v>
      </c>
      <c r="C462" s="100" t="e">
        <f ca="1"/>
        <v>#N/A</v>
      </c>
      <c r="D462" s="100" t="e">
        <f ca="1"/>
        <v>#N/A</v>
      </c>
      <c r="E462" s="101"/>
    </row>
    <row r="463" spans="2:5">
      <c r="B463" s="99" t="e">
        <f ca="1"/>
        <v>#N/A</v>
      </c>
      <c r="C463" s="100" t="e">
        <f ca="1"/>
        <v>#N/A</v>
      </c>
      <c r="D463" s="100" t="e">
        <f ca="1"/>
        <v>#N/A</v>
      </c>
      <c r="E463" s="101"/>
    </row>
    <row r="464" spans="2:5">
      <c r="B464" s="99" t="e">
        <f ca="1"/>
        <v>#N/A</v>
      </c>
      <c r="C464" s="100" t="e">
        <f ca="1"/>
        <v>#N/A</v>
      </c>
      <c r="D464" s="100" t="e">
        <f ca="1"/>
        <v>#N/A</v>
      </c>
      <c r="E464" s="101"/>
    </row>
    <row r="465" spans="2:5">
      <c r="B465" s="99" t="e">
        <f ca="1"/>
        <v>#N/A</v>
      </c>
      <c r="C465" s="100" t="e">
        <f ca="1"/>
        <v>#N/A</v>
      </c>
      <c r="D465" s="100" t="e">
        <f ca="1"/>
        <v>#N/A</v>
      </c>
      <c r="E465" s="101"/>
    </row>
    <row r="466" spans="2:5">
      <c r="B466" s="99" t="e">
        <f ca="1"/>
        <v>#N/A</v>
      </c>
      <c r="C466" s="100" t="e">
        <f ca="1"/>
        <v>#N/A</v>
      </c>
      <c r="D466" s="100" t="e">
        <f ca="1"/>
        <v>#N/A</v>
      </c>
      <c r="E466" s="101"/>
    </row>
    <row r="467" spans="2:5">
      <c r="B467" s="99" t="e">
        <f ca="1"/>
        <v>#N/A</v>
      </c>
      <c r="C467" s="100" t="e">
        <f ca="1"/>
        <v>#N/A</v>
      </c>
      <c r="D467" s="100" t="e">
        <f ca="1"/>
        <v>#N/A</v>
      </c>
      <c r="E467" s="101"/>
    </row>
    <row r="468" spans="2:5">
      <c r="B468" s="99" t="e">
        <f ca="1"/>
        <v>#N/A</v>
      </c>
      <c r="C468" s="100" t="e">
        <f ca="1"/>
        <v>#N/A</v>
      </c>
      <c r="D468" s="100" t="e">
        <f ca="1"/>
        <v>#N/A</v>
      </c>
      <c r="E468" s="101"/>
    </row>
    <row r="469" spans="2:5">
      <c r="B469" s="99" t="e">
        <f ca="1"/>
        <v>#N/A</v>
      </c>
      <c r="C469" s="100" t="e">
        <f ca="1"/>
        <v>#N/A</v>
      </c>
      <c r="D469" s="100" t="e">
        <f ca="1"/>
        <v>#N/A</v>
      </c>
      <c r="E469" s="101"/>
    </row>
    <row r="470" spans="2:5">
      <c r="B470" s="99" t="e">
        <f ca="1"/>
        <v>#N/A</v>
      </c>
      <c r="C470" s="100" t="e">
        <f ca="1"/>
        <v>#N/A</v>
      </c>
      <c r="D470" s="100" t="e">
        <f ca="1"/>
        <v>#N/A</v>
      </c>
      <c r="E470" s="101"/>
    </row>
    <row r="471" spans="2:5">
      <c r="B471" s="99" t="e">
        <f ca="1"/>
        <v>#N/A</v>
      </c>
      <c r="C471" s="100" t="e">
        <f ca="1"/>
        <v>#N/A</v>
      </c>
      <c r="D471" s="100" t="e">
        <f ca="1"/>
        <v>#N/A</v>
      </c>
      <c r="E471" s="101"/>
    </row>
    <row r="472" spans="2:5">
      <c r="B472" s="99" t="e">
        <f ca="1"/>
        <v>#N/A</v>
      </c>
      <c r="C472" s="100" t="e">
        <f ca="1"/>
        <v>#N/A</v>
      </c>
      <c r="D472" s="100" t="e">
        <f ca="1"/>
        <v>#N/A</v>
      </c>
      <c r="E472" s="101"/>
    </row>
    <row r="473" spans="2:5">
      <c r="B473" s="99" t="e">
        <f ca="1"/>
        <v>#N/A</v>
      </c>
      <c r="C473" s="100" t="e">
        <f ca="1"/>
        <v>#N/A</v>
      </c>
      <c r="D473" s="100" t="e">
        <f ca="1"/>
        <v>#N/A</v>
      </c>
      <c r="E473" s="101"/>
    </row>
    <row r="474" spans="2:5">
      <c r="B474" s="99" t="e">
        <f ca="1"/>
        <v>#N/A</v>
      </c>
      <c r="C474" s="100" t="e">
        <f ca="1"/>
        <v>#N/A</v>
      </c>
      <c r="D474" s="100" t="e">
        <f ca="1"/>
        <v>#N/A</v>
      </c>
      <c r="E474" s="101"/>
    </row>
    <row r="475" spans="2:5">
      <c r="B475" s="99" t="e">
        <f ca="1"/>
        <v>#N/A</v>
      </c>
      <c r="C475" s="100" t="e">
        <f ca="1"/>
        <v>#N/A</v>
      </c>
      <c r="D475" s="100" t="e">
        <f ca="1"/>
        <v>#N/A</v>
      </c>
      <c r="E475" s="101"/>
    </row>
    <row r="476" spans="2:5">
      <c r="B476" s="99" t="e">
        <f ca="1"/>
        <v>#N/A</v>
      </c>
      <c r="C476" s="100" t="e">
        <f ca="1"/>
        <v>#N/A</v>
      </c>
      <c r="D476" s="100" t="e">
        <f ca="1"/>
        <v>#N/A</v>
      </c>
      <c r="E476" s="101"/>
    </row>
    <row r="477" spans="2:5">
      <c r="B477" s="99" t="e">
        <f ca="1"/>
        <v>#N/A</v>
      </c>
      <c r="C477" s="100" t="e">
        <f ca="1"/>
        <v>#N/A</v>
      </c>
      <c r="D477" s="100" t="e">
        <f ca="1"/>
        <v>#N/A</v>
      </c>
      <c r="E477" s="101"/>
    </row>
    <row r="478" spans="2:5">
      <c r="B478" s="99" t="e">
        <f ca="1"/>
        <v>#N/A</v>
      </c>
      <c r="C478" s="100" t="e">
        <f ca="1"/>
        <v>#N/A</v>
      </c>
      <c r="D478" s="100" t="e">
        <f ca="1"/>
        <v>#N/A</v>
      </c>
      <c r="E478" s="101"/>
    </row>
    <row r="479" spans="2:5">
      <c r="B479" s="99" t="e">
        <f ca="1"/>
        <v>#N/A</v>
      </c>
      <c r="C479" s="100" t="e">
        <f ca="1"/>
        <v>#N/A</v>
      </c>
      <c r="D479" s="100" t="e">
        <f ca="1"/>
        <v>#N/A</v>
      </c>
      <c r="E479" s="101"/>
    </row>
    <row r="480" spans="2:5">
      <c r="B480" s="99" t="e">
        <f ca="1"/>
        <v>#N/A</v>
      </c>
      <c r="C480" s="100" t="e">
        <f ca="1"/>
        <v>#N/A</v>
      </c>
      <c r="D480" s="100" t="e">
        <f ca="1"/>
        <v>#N/A</v>
      </c>
      <c r="E480" s="101"/>
    </row>
    <row r="481" spans="2:5">
      <c r="B481" s="99" t="e">
        <f ca="1"/>
        <v>#N/A</v>
      </c>
      <c r="C481" s="100" t="e">
        <f ca="1"/>
        <v>#N/A</v>
      </c>
      <c r="D481" s="100" t="e">
        <f ca="1"/>
        <v>#N/A</v>
      </c>
      <c r="E481" s="101"/>
    </row>
    <row r="482" spans="2:5">
      <c r="B482" s="99" t="e">
        <f ca="1"/>
        <v>#N/A</v>
      </c>
      <c r="C482" s="100" t="e">
        <f ca="1"/>
        <v>#N/A</v>
      </c>
      <c r="D482" s="100" t="e">
        <f ca="1"/>
        <v>#N/A</v>
      </c>
      <c r="E482" s="101"/>
    </row>
    <row r="483" spans="2:5">
      <c r="B483" s="99" t="e">
        <f ca="1"/>
        <v>#N/A</v>
      </c>
      <c r="C483" s="100" t="e">
        <f ca="1"/>
        <v>#N/A</v>
      </c>
      <c r="D483" s="100" t="e">
        <f ca="1"/>
        <v>#N/A</v>
      </c>
      <c r="E483" s="101"/>
    </row>
    <row r="484" spans="2:5">
      <c r="B484" s="99" t="e">
        <f ca="1"/>
        <v>#N/A</v>
      </c>
      <c r="C484" s="100" t="e">
        <f ca="1"/>
        <v>#N/A</v>
      </c>
      <c r="D484" s="100" t="e">
        <f ca="1"/>
        <v>#N/A</v>
      </c>
      <c r="E484" s="101"/>
    </row>
    <row r="485" spans="2:5">
      <c r="B485" s="99" t="e">
        <f ca="1"/>
        <v>#N/A</v>
      </c>
      <c r="C485" s="100" t="e">
        <f ca="1"/>
        <v>#N/A</v>
      </c>
      <c r="D485" s="100" t="e">
        <f ca="1"/>
        <v>#N/A</v>
      </c>
      <c r="E485" s="101"/>
    </row>
    <row r="486" spans="2:5">
      <c r="B486" s="99" t="e">
        <f ca="1"/>
        <v>#N/A</v>
      </c>
      <c r="C486" s="100" t="e">
        <f ca="1"/>
        <v>#N/A</v>
      </c>
      <c r="D486" s="100" t="e">
        <f ca="1"/>
        <v>#N/A</v>
      </c>
      <c r="E486" s="101"/>
    </row>
    <row r="487" spans="2:5">
      <c r="B487" s="99" t="e">
        <f ca="1"/>
        <v>#N/A</v>
      </c>
      <c r="C487" s="100" t="e">
        <f ca="1"/>
        <v>#N/A</v>
      </c>
      <c r="D487" s="100" t="e">
        <f ca="1"/>
        <v>#N/A</v>
      </c>
      <c r="E487" s="101"/>
    </row>
    <row r="488" spans="2:5">
      <c r="B488" s="99" t="e">
        <f ca="1"/>
        <v>#N/A</v>
      </c>
      <c r="C488" s="100" t="e">
        <f ca="1"/>
        <v>#N/A</v>
      </c>
      <c r="D488" s="100" t="e">
        <f ca="1"/>
        <v>#N/A</v>
      </c>
      <c r="E488" s="101"/>
    </row>
    <row r="489" spans="2:5">
      <c r="B489" s="99" t="e">
        <f ca="1"/>
        <v>#N/A</v>
      </c>
      <c r="C489" s="100" t="e">
        <f ca="1"/>
        <v>#N/A</v>
      </c>
      <c r="D489" s="100" t="e">
        <f ca="1"/>
        <v>#N/A</v>
      </c>
      <c r="E489" s="101"/>
    </row>
    <row r="490" spans="2:5">
      <c r="B490" s="99" t="e">
        <f ca="1"/>
        <v>#N/A</v>
      </c>
      <c r="C490" s="100" t="e">
        <f ca="1"/>
        <v>#N/A</v>
      </c>
      <c r="D490" s="100" t="e">
        <f ca="1"/>
        <v>#N/A</v>
      </c>
      <c r="E490" s="101"/>
    </row>
    <row r="491" spans="2:5">
      <c r="B491" s="99" t="e">
        <f ca="1"/>
        <v>#N/A</v>
      </c>
      <c r="C491" s="100" t="e">
        <f ca="1"/>
        <v>#N/A</v>
      </c>
      <c r="D491" s="100" t="e">
        <f ca="1"/>
        <v>#N/A</v>
      </c>
      <c r="E491" s="101"/>
    </row>
    <row r="492" spans="2:5">
      <c r="B492" s="99" t="e">
        <f ca="1"/>
        <v>#N/A</v>
      </c>
      <c r="C492" s="100" t="e">
        <f ca="1"/>
        <v>#N/A</v>
      </c>
      <c r="D492" s="100" t="e">
        <f ca="1"/>
        <v>#N/A</v>
      </c>
      <c r="E492" s="101"/>
    </row>
    <row r="493" spans="2:5">
      <c r="B493" s="99" t="e">
        <f ca="1"/>
        <v>#N/A</v>
      </c>
      <c r="C493" s="100" t="e">
        <f ca="1"/>
        <v>#N/A</v>
      </c>
      <c r="D493" s="100" t="e">
        <f ca="1"/>
        <v>#N/A</v>
      </c>
      <c r="E493" s="101"/>
    </row>
    <row r="494" spans="2:5">
      <c r="B494" s="99" t="e">
        <f ca="1"/>
        <v>#N/A</v>
      </c>
      <c r="C494" s="100" t="e">
        <f ca="1"/>
        <v>#N/A</v>
      </c>
      <c r="D494" s="100" t="e">
        <f ca="1"/>
        <v>#N/A</v>
      </c>
      <c r="E494" s="101"/>
    </row>
    <row r="495" spans="2:5">
      <c r="B495" s="99" t="e">
        <f ca="1"/>
        <v>#N/A</v>
      </c>
      <c r="C495" s="100" t="e">
        <f ca="1"/>
        <v>#N/A</v>
      </c>
      <c r="D495" s="100" t="e">
        <f ca="1"/>
        <v>#N/A</v>
      </c>
      <c r="E495" s="101"/>
    </row>
    <row r="496" spans="2:5">
      <c r="B496" s="99" t="e">
        <f ca="1"/>
        <v>#N/A</v>
      </c>
      <c r="C496" s="100" t="e">
        <f ca="1"/>
        <v>#N/A</v>
      </c>
      <c r="D496" s="100" t="e">
        <f ca="1"/>
        <v>#N/A</v>
      </c>
      <c r="E496" s="101"/>
    </row>
    <row r="497" spans="2:5">
      <c r="B497" s="99" t="e">
        <f ca="1"/>
        <v>#N/A</v>
      </c>
      <c r="C497" s="100" t="e">
        <f ca="1"/>
        <v>#N/A</v>
      </c>
      <c r="D497" s="100" t="e">
        <f ca="1"/>
        <v>#N/A</v>
      </c>
      <c r="E497" s="101"/>
    </row>
    <row r="498" spans="2:5">
      <c r="B498" s="99" t="e">
        <f ca="1"/>
        <v>#N/A</v>
      </c>
      <c r="C498" s="100" t="e">
        <f ca="1"/>
        <v>#N/A</v>
      </c>
      <c r="D498" s="100" t="e">
        <f ca="1"/>
        <v>#N/A</v>
      </c>
      <c r="E498" s="101"/>
    </row>
    <row r="499" spans="2:5">
      <c r="B499" s="99" t="e">
        <f ca="1"/>
        <v>#N/A</v>
      </c>
      <c r="C499" s="100" t="e">
        <f ca="1"/>
        <v>#N/A</v>
      </c>
      <c r="D499" s="100" t="e">
        <f ca="1"/>
        <v>#N/A</v>
      </c>
      <c r="E499" s="101"/>
    </row>
    <row r="500" spans="2:5">
      <c r="B500" s="99" t="e">
        <f ca="1"/>
        <v>#N/A</v>
      </c>
      <c r="C500" s="100" t="e">
        <f ca="1"/>
        <v>#N/A</v>
      </c>
      <c r="D500" s="100" t="e">
        <f ca="1"/>
        <v>#N/A</v>
      </c>
      <c r="E500" s="101"/>
    </row>
    <row r="501" spans="2:5">
      <c r="B501" s="102" t="e">
        <f ca="1"/>
        <v>#N/A</v>
      </c>
      <c r="C501" s="103" t="e">
        <f ca="1"/>
        <v>#N/A</v>
      </c>
      <c r="D501" s="103" t="e">
        <f ca="1"/>
        <v>#N/A</v>
      </c>
      <c r="E501" s="104"/>
    </row>
  </sheetData>
  <dataValidations disablePrompts="1" count="1">
    <dataValidation type="list" allowBlank="1" showInputMessage="1" showErrorMessage="1" sqref="C6">
      <formula1>"SEMI-ANNUAL,QUARTERLY,MONTHLY,WEEKLY,BUSINESS_DAYS"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2:W22"/>
  <sheetViews>
    <sheetView showGridLines="0" workbookViewId="0"/>
  </sheetViews>
  <sheetFormatPr defaultRowHeight="15"/>
  <cols>
    <col min="1" max="1" width="4.7109375" customWidth="1"/>
    <col min="2" max="2" width="14.28515625" bestFit="1" customWidth="1"/>
    <col min="3" max="3" width="14.28515625" customWidth="1"/>
    <col min="4" max="4" width="17" bestFit="1" customWidth="1"/>
    <col min="5" max="5" width="4.7109375" customWidth="1"/>
    <col min="6" max="12" width="12.7109375" customWidth="1"/>
    <col min="13" max="13" width="4.7109375" customWidth="1"/>
    <col min="14" max="14" width="23" customWidth="1"/>
    <col min="15" max="15" width="15.28515625" customWidth="1"/>
    <col min="16" max="16" width="7.85546875" customWidth="1"/>
    <col min="18" max="18" width="9.85546875" bestFit="1" customWidth="1"/>
    <col min="19" max="19" width="11.140625" bestFit="1" customWidth="1"/>
    <col min="21" max="21" width="18.5703125" customWidth="1"/>
    <col min="22" max="22" width="21.85546875" bestFit="1" customWidth="1"/>
  </cols>
  <sheetData>
    <row r="2" spans="1:23">
      <c r="B2" s="68" t="s">
        <v>92</v>
      </c>
      <c r="C2" s="68"/>
      <c r="F2" s="105" t="s">
        <v>161</v>
      </c>
      <c r="M2" s="106"/>
      <c r="N2" s="68" t="s">
        <v>93</v>
      </c>
      <c r="Q2" s="68" t="s">
        <v>162</v>
      </c>
    </row>
    <row r="3" spans="1:23">
      <c r="D3" s="107" t="s">
        <v>94</v>
      </c>
      <c r="H3" s="107" t="s">
        <v>95</v>
      </c>
      <c r="M3" s="106"/>
    </row>
    <row r="4" spans="1:23">
      <c r="B4" s="1" t="s">
        <v>65</v>
      </c>
      <c r="C4" s="1" t="s">
        <v>110</v>
      </c>
      <c r="D4" s="4" t="s">
        <v>96</v>
      </c>
      <c r="E4" s="4"/>
      <c r="F4" s="4" t="s">
        <v>65</v>
      </c>
      <c r="G4" s="1" t="s">
        <v>97</v>
      </c>
      <c r="H4" s="1" t="s">
        <v>98</v>
      </c>
      <c r="I4" s="1" t="s">
        <v>99</v>
      </c>
      <c r="J4" s="1" t="s">
        <v>0</v>
      </c>
      <c r="K4" s="1" t="s">
        <v>163</v>
      </c>
      <c r="L4" s="1" t="s">
        <v>164</v>
      </c>
      <c r="M4" s="106"/>
      <c r="N4" s="1" t="s">
        <v>2</v>
      </c>
      <c r="O4" s="1" t="s">
        <v>100</v>
      </c>
      <c r="Q4" s="1" t="s">
        <v>15</v>
      </c>
      <c r="R4" s="1" t="s">
        <v>16</v>
      </c>
      <c r="S4" s="200" t="s">
        <v>113</v>
      </c>
      <c r="U4" s="2" t="s">
        <v>165</v>
      </c>
    </row>
    <row r="5" spans="1:23">
      <c r="B5" s="108">
        <f ca="1">_xll.meDateFromTenor(USDCurve.AsOfDate,F5,"MOD_FOLLOWING",$C5,"")</f>
        <v>43581</v>
      </c>
      <c r="C5" s="156" t="str">
        <f ca="1">VLOOKUP("PAYMENTCALENDAR",_xll.meLWOSwapGeneratorDisplay($H5),2,FALSE)</f>
        <v>LNB:NYB:TGT</v>
      </c>
      <c r="D5" s="109">
        <f ca="1">_xll.meDateFromTenor(B5,G5,)</f>
        <v>43947</v>
      </c>
      <c r="E5" s="4"/>
      <c r="F5" s="110" t="s">
        <v>66</v>
      </c>
      <c r="G5" s="111" t="s">
        <v>4</v>
      </c>
      <c r="H5" s="112" t="s">
        <v>152</v>
      </c>
      <c r="I5" s="113" t="s">
        <v>101</v>
      </c>
      <c r="J5" s="114">
        <v>1000000</v>
      </c>
      <c r="K5" s="115">
        <v>0</v>
      </c>
      <c r="L5" s="116">
        <v>0</v>
      </c>
      <c r="M5" s="106">
        <v>1</v>
      </c>
      <c r="N5" s="117" t="str">
        <f ca="1">_xll.meLWOXccySwapCreateFromGenerator("XccySwap_"&amp;G5&amp;"_"&amp;M5,H5,I5,J5,B5,D5,K5,L5,,,,,$V$6,$V$13,$V$5,$V$7)</f>
        <v>XCCYSWAP_1Y_1@14:3</v>
      </c>
      <c r="O5" s="98">
        <f ca="1">_xll.meLWOXccySwapParSpread(N5,Xccy.ValuationSettings)/10000</f>
        <v>-1.4499999999999604E-3</v>
      </c>
      <c r="Q5" s="164" t="str">
        <f ca="1">'EUR XCCY CURVE'!I4</f>
        <v>1Y</v>
      </c>
      <c r="R5" s="97">
        <f ca="1">'EUR XCCY CURVE'!J4</f>
        <v>-1.4499999999999999E-3</v>
      </c>
      <c r="S5" s="217">
        <f t="shared" ref="S5:S19" ca="1" si="0">ABS(O5-R5)*10000</f>
        <v>3.9464959078472361E-13</v>
      </c>
      <c r="T5" s="163"/>
      <c r="U5" s="210" t="s">
        <v>166</v>
      </c>
      <c r="V5" s="211" t="b">
        <v>1</v>
      </c>
    </row>
    <row r="6" spans="1:23">
      <c r="B6" s="119">
        <f ca="1">_xll.meDateFromTenor(USDCurve.AsOfDate,F6,"MOD_FOLLOWING",$C6,"")</f>
        <v>43581</v>
      </c>
      <c r="C6" s="157" t="str">
        <f t="shared" ref="C6:C19" ca="1" si="1">C5</f>
        <v>LNB:NYB:TGT</v>
      </c>
      <c r="D6" s="120">
        <f ca="1">_xll.meDateFromTenor(B6,G6,)</f>
        <v>44312</v>
      </c>
      <c r="F6" s="121" t="s">
        <v>66</v>
      </c>
      <c r="G6" s="122" t="s">
        <v>37</v>
      </c>
      <c r="H6" s="123" t="s">
        <v>152</v>
      </c>
      <c r="I6" s="124" t="s">
        <v>101</v>
      </c>
      <c r="J6" s="125">
        <v>1000000</v>
      </c>
      <c r="K6" s="126">
        <v>0</v>
      </c>
      <c r="L6" s="127">
        <v>0</v>
      </c>
      <c r="M6" s="106">
        <v>2</v>
      </c>
      <c r="N6" s="128" t="str">
        <f ca="1">_xll.meLWOXccySwapCreateFromGenerator("XccySwap_"&amp;G6&amp;"_"&amp;M6,H6,I6,J6,B6,D6,K6,L6,,,,,$V$6,$V$13,$V$5,$V$7)</f>
        <v>XCCYSWAP_2Y_2@12:3</v>
      </c>
      <c r="O6" s="101">
        <f ca="1">_xll.meLWOXccySwapParSpread(N6,Xccy.ValuationSettings)/10000</f>
        <v>-1.3500000000000322E-3</v>
      </c>
      <c r="Q6" s="165" t="str">
        <f ca="1">'EUR XCCY CURVE'!I5</f>
        <v>2Y</v>
      </c>
      <c r="R6" s="100">
        <f ca="1">'EUR XCCY CURVE'!J5</f>
        <v>-1.3500000000000001E-3</v>
      </c>
      <c r="S6" s="218">
        <f t="shared" ca="1" si="0"/>
        <v>3.2092384305570931E-13</v>
      </c>
      <c r="T6" s="163"/>
      <c r="U6" s="212" t="s">
        <v>167</v>
      </c>
      <c r="V6" s="213" t="s">
        <v>1</v>
      </c>
    </row>
    <row r="7" spans="1:23">
      <c r="B7" s="119">
        <f ca="1">_xll.meDateFromTenor(USDCurve.AsOfDate,F7,"MOD_FOLLOWING",$C7,"")</f>
        <v>43581</v>
      </c>
      <c r="C7" s="157" t="str">
        <f t="shared" ca="1" si="1"/>
        <v>LNB:NYB:TGT</v>
      </c>
      <c r="D7" s="120">
        <f ca="1">_xll.meDateFromTenor(B7,G7,)</f>
        <v>44677</v>
      </c>
      <c r="F7" s="121" t="s">
        <v>66</v>
      </c>
      <c r="G7" s="122" t="s">
        <v>29</v>
      </c>
      <c r="H7" s="123" t="s">
        <v>152</v>
      </c>
      <c r="I7" s="124" t="s">
        <v>101</v>
      </c>
      <c r="J7" s="125">
        <v>1000000</v>
      </c>
      <c r="K7" s="126">
        <v>0</v>
      </c>
      <c r="L7" s="127">
        <v>0</v>
      </c>
      <c r="M7" s="106">
        <v>3</v>
      </c>
      <c r="N7" s="128" t="str">
        <f ca="1">_xll.meLWOXccySwapCreateFromGenerator("XccySwap_"&amp;G7&amp;"_"&amp;M7,H7,I7,J7,B7,D7,K7,L7,,,,,$V$6,$V$13,$V$5,$V$7)</f>
        <v>XCCYSWAP_3Y_3@13:3</v>
      </c>
      <c r="O7" s="101">
        <f ca="1">_xll.meLWOXccySwapParSpread(N7,Xccy.ValuationSettings)/10000</f>
        <v>-1.3624999999999709E-3</v>
      </c>
      <c r="Q7" s="165" t="str">
        <f ca="1">'EUR XCCY CURVE'!I6</f>
        <v>3Y</v>
      </c>
      <c r="R7" s="100">
        <f ca="1">'EUR XCCY CURVE'!J6</f>
        <v>-1.3625E-3</v>
      </c>
      <c r="S7" s="218">
        <f t="shared" ca="1" si="0"/>
        <v>2.9056618222611519E-13</v>
      </c>
      <c r="T7" s="163"/>
      <c r="U7" s="214" t="s">
        <v>168</v>
      </c>
      <c r="V7" s="215" t="s">
        <v>169</v>
      </c>
    </row>
    <row r="8" spans="1:23">
      <c r="A8" s="4" t="s">
        <v>10</v>
      </c>
      <c r="B8" s="119">
        <f ca="1">_xll.meDateFromTenor(USDCurve.AsOfDate,F8,"MOD_FOLLOWING",$C8,"")</f>
        <v>43581</v>
      </c>
      <c r="C8" s="157" t="str">
        <f t="shared" ca="1" si="1"/>
        <v>LNB:NYB:TGT</v>
      </c>
      <c r="D8" s="120">
        <f ca="1">_xll.meDateFromTenor(B8,G8,)</f>
        <v>45042</v>
      </c>
      <c r="F8" s="121" t="s">
        <v>66</v>
      </c>
      <c r="G8" s="122" t="s">
        <v>40</v>
      </c>
      <c r="H8" s="123" t="s">
        <v>152</v>
      </c>
      <c r="I8" s="124" t="s">
        <v>101</v>
      </c>
      <c r="J8" s="125">
        <v>1000000</v>
      </c>
      <c r="K8" s="126">
        <v>0</v>
      </c>
      <c r="L8" s="127">
        <v>0</v>
      </c>
      <c r="M8" s="106">
        <v>4</v>
      </c>
      <c r="N8" s="128" t="str">
        <f ca="1">_xll.meLWOXccySwapCreateFromGenerator("XccySwap_"&amp;G8&amp;"_"&amp;M8,H8,I8,J8,B8,D8,K8,L8,,,,,$V$6,$V$13,$V$5,$V$7)</f>
        <v>XCCYSWAP_4Y_4@20:3</v>
      </c>
      <c r="O8" s="101">
        <f ca="1">_xll.meLWOXccySwapParSpread(N8,Xccy.ValuationSettings)/10000</f>
        <v>-1.4249999999998715E-3</v>
      </c>
      <c r="Q8" s="165" t="str">
        <f ca="1">'EUR XCCY CURVE'!I7</f>
        <v>4Y</v>
      </c>
      <c r="R8" s="100">
        <f ca="1">'EUR XCCY CURVE'!J7</f>
        <v>-1.4250000000000001E-3</v>
      </c>
      <c r="S8" s="218">
        <f t="shared" ca="1" si="0"/>
        <v>1.2858637765678083E-12</v>
      </c>
      <c r="T8" s="163"/>
      <c r="V8" s="4"/>
    </row>
    <row r="9" spans="1:23">
      <c r="A9" t="s">
        <v>10</v>
      </c>
      <c r="B9" s="119">
        <f ca="1">_xll.meDateFromTenor(USDCurve.AsOfDate,F9,"MOD_FOLLOWING",$C9,"")</f>
        <v>43581</v>
      </c>
      <c r="C9" s="157" t="str">
        <f t="shared" ca="1" si="1"/>
        <v>LNB:NYB:TGT</v>
      </c>
      <c r="D9" s="120">
        <f ca="1">_xll.meDateFromTenor(B9,G9,)</f>
        <v>45408</v>
      </c>
      <c r="F9" s="121" t="s">
        <v>66</v>
      </c>
      <c r="G9" s="122" t="s">
        <v>5</v>
      </c>
      <c r="H9" s="123" t="s">
        <v>152</v>
      </c>
      <c r="I9" s="124" t="s">
        <v>101</v>
      </c>
      <c r="J9" s="125">
        <v>1000000</v>
      </c>
      <c r="K9" s="126">
        <v>0</v>
      </c>
      <c r="L9" s="127">
        <v>0</v>
      </c>
      <c r="M9" s="106">
        <v>5</v>
      </c>
      <c r="N9" s="128" t="str">
        <f ca="1">_xll.meLWOXccySwapCreateFromGenerator("XccySwap_"&amp;G9&amp;"_"&amp;M9,H9,I9,J9,B9,D9,K9,L9,,,,,$V$6,$V$13,$V$5,$V$7)</f>
        <v>XCCYSWAP_5Y_5@21:3</v>
      </c>
      <c r="O9" s="101">
        <f ca="1">_xll.meLWOXccySwapParSpread(N9,Xccy.ValuationSettings)/10000</f>
        <v>-1.4874999999997887E-3</v>
      </c>
      <c r="Q9" s="165" t="str">
        <f ca="1">'EUR XCCY CURVE'!I8</f>
        <v>5Y</v>
      </c>
      <c r="R9" s="100">
        <f ca="1">'EUR XCCY CURVE'!J8</f>
        <v>-1.4875000000000001E-3</v>
      </c>
      <c r="S9" s="218">
        <f t="shared" ca="1" si="0"/>
        <v>2.1141942363467336E-12</v>
      </c>
      <c r="T9" s="163"/>
      <c r="V9" s="4"/>
    </row>
    <row r="10" spans="1:23">
      <c r="A10" t="s">
        <v>10</v>
      </c>
      <c r="B10" s="119">
        <f ca="1">_xll.meDateFromTenor(USDCurve.AsOfDate,F10,"MOD_FOLLOWING",$C10,"")</f>
        <v>43581</v>
      </c>
      <c r="C10" s="157" t="str">
        <f t="shared" ca="1" si="1"/>
        <v>LNB:NYB:TGT</v>
      </c>
      <c r="D10" s="120">
        <f ca="1">_xll.meDateFromTenor(B10,G10,)</f>
        <v>45773</v>
      </c>
      <c r="F10" s="121" t="s">
        <v>66</v>
      </c>
      <c r="G10" s="122" t="s">
        <v>127</v>
      </c>
      <c r="H10" s="123" t="s">
        <v>152</v>
      </c>
      <c r="I10" s="124" t="s">
        <v>101</v>
      </c>
      <c r="J10" s="125">
        <v>1000000</v>
      </c>
      <c r="K10" s="126">
        <v>0</v>
      </c>
      <c r="L10" s="127">
        <v>0</v>
      </c>
      <c r="M10" s="106">
        <v>6</v>
      </c>
      <c r="N10" s="128" t="str">
        <f ca="1">_xll.meLWOXccySwapCreateFromGenerator("XccySwap_"&amp;G10&amp;"_"&amp;M10,H10,I10,J10,B10,D10,K10,L10,,,,,$V$6,$V$13,$V$5,$V$7)</f>
        <v>XCCYSWAP_6Y_6@19:3</v>
      </c>
      <c r="O10" s="101">
        <f ca="1">_xll.meLWOXccySwapParSpread(N10,Xccy.ValuationSettings)/10000</f>
        <v>-1.5499999999998273E-3</v>
      </c>
      <c r="Q10" s="165" t="str">
        <f ca="1">'EUR XCCY CURVE'!I9</f>
        <v>6Y</v>
      </c>
      <c r="R10" s="100">
        <f ca="1">'EUR XCCY CURVE'!J9</f>
        <v>-1.5499999999999999E-3</v>
      </c>
      <c r="S10" s="218">
        <f t="shared" ca="1" si="0"/>
        <v>1.7260498585969231E-12</v>
      </c>
      <c r="T10" s="163"/>
      <c r="U10" s="2" t="s">
        <v>170</v>
      </c>
      <c r="V10" s="4"/>
    </row>
    <row r="11" spans="1:23">
      <c r="A11" t="s">
        <v>10</v>
      </c>
      <c r="B11" s="119">
        <f ca="1">_xll.meDateFromTenor(USDCurve.AsOfDate,F11,"MOD_FOLLOWING",$C11,"")</f>
        <v>43581</v>
      </c>
      <c r="C11" s="157" t="str">
        <f t="shared" ca="1" si="1"/>
        <v>LNB:NYB:TGT</v>
      </c>
      <c r="D11" s="120">
        <f ca="1">_xll.meDateFromTenor(B11,G11,)</f>
        <v>46138</v>
      </c>
      <c r="F11" s="121" t="s">
        <v>66</v>
      </c>
      <c r="G11" s="122" t="s">
        <v>43</v>
      </c>
      <c r="H11" s="123" t="s">
        <v>152</v>
      </c>
      <c r="I11" s="124" t="s">
        <v>101</v>
      </c>
      <c r="J11" s="125">
        <v>1000000</v>
      </c>
      <c r="K11" s="126">
        <v>0</v>
      </c>
      <c r="L11" s="127">
        <v>0</v>
      </c>
      <c r="M11" s="106">
        <v>7</v>
      </c>
      <c r="N11" s="128" t="str">
        <f ca="1">_xll.meLWOXccySwapCreateFromGenerator("XccySwap_"&amp;G11&amp;"_"&amp;M11,H11,I11,J11,B11,D11,K11,L11,,,,,$V$6,$V$13,$V$5,$V$7)</f>
        <v>XCCYSWAP_7Y_7@18:3</v>
      </c>
      <c r="O11" s="101">
        <f ca="1">_xll.meLWOXccySwapParSpread(N11,Xccy.ValuationSettings)/10000</f>
        <v>-1.5999999999998446E-3</v>
      </c>
      <c r="Q11" s="165" t="str">
        <f ca="1">'EUR XCCY CURVE'!I10</f>
        <v>7Y</v>
      </c>
      <c r="R11" s="100">
        <f ca="1">'EUR XCCY CURVE'!J10</f>
        <v>-1.6000000000000001E-3</v>
      </c>
      <c r="S11" s="218">
        <f t="shared" ca="1" si="0"/>
        <v>1.5547459153442134E-12</v>
      </c>
      <c r="T11" s="163"/>
      <c r="U11" s="205" t="s">
        <v>171</v>
      </c>
      <c r="V11" s="182" t="s">
        <v>117</v>
      </c>
      <c r="W11" s="1"/>
    </row>
    <row r="12" spans="1:23">
      <c r="A12" t="s">
        <v>10</v>
      </c>
      <c r="B12" s="119">
        <f ca="1">_xll.meDateFromTenor(USDCurve.AsOfDate,F12,"MOD_FOLLOWING",$C12,"")</f>
        <v>43581</v>
      </c>
      <c r="C12" s="157" t="str">
        <f t="shared" ca="1" si="1"/>
        <v>LNB:NYB:TGT</v>
      </c>
      <c r="D12" s="120">
        <f ca="1">_xll.meDateFromTenor(B12,G12,)</f>
        <v>46503</v>
      </c>
      <c r="F12" s="121" t="s">
        <v>66</v>
      </c>
      <c r="G12" s="122" t="s">
        <v>60</v>
      </c>
      <c r="H12" s="123" t="s">
        <v>152</v>
      </c>
      <c r="I12" s="124" t="s">
        <v>101</v>
      </c>
      <c r="J12" s="125">
        <v>1000000</v>
      </c>
      <c r="K12" s="126">
        <v>0</v>
      </c>
      <c r="L12" s="127">
        <v>0</v>
      </c>
      <c r="M12" s="106">
        <v>8</v>
      </c>
      <c r="N12" s="128" t="str">
        <f ca="1">_xll.meLWOXccySwapCreateFromGenerator("XccySwap_"&amp;G12&amp;"_"&amp;M12,H12,I12,J12,B12,D12,K12,L12,,,,,$V$6,$V$13,$V$5,$V$7)</f>
        <v>XCCYSWAP_8Y_8@22:3</v>
      </c>
      <c r="O12" s="101">
        <f ca="1">_xll.meLWOXccySwapParSpread(N12,Xccy.ValuationSettings)/10000</f>
        <v>-1.6124999999998402E-3</v>
      </c>
      <c r="Q12" s="165" t="str">
        <f ca="1">'EUR XCCY CURVE'!I11</f>
        <v>8Y</v>
      </c>
      <c r="R12" s="100">
        <f ca="1">'EUR XCCY CURVE'!J11</f>
        <v>-1.6125E-3</v>
      </c>
      <c r="S12" s="218">
        <f t="shared" ca="1" si="0"/>
        <v>1.5981140022436335E-12</v>
      </c>
      <c r="T12" s="163"/>
      <c r="U12" s="206" t="s">
        <v>169</v>
      </c>
      <c r="V12" s="207" t="s">
        <v>3</v>
      </c>
      <c r="W12" s="1"/>
    </row>
    <row r="13" spans="1:23">
      <c r="A13" t="s">
        <v>10</v>
      </c>
      <c r="B13" s="119">
        <f ca="1">_xll.meDateFromTenor(USDCurve.AsOfDate,F13,"MOD_FOLLOWING",$C13,"")</f>
        <v>43581</v>
      </c>
      <c r="C13" s="157" t="str">
        <f t="shared" ca="1" si="1"/>
        <v>LNB:NYB:TGT</v>
      </c>
      <c r="D13" s="120">
        <f ca="1">_xll.meDateFromTenor(B13,G13,)</f>
        <v>46869</v>
      </c>
      <c r="F13" s="121" t="s">
        <v>66</v>
      </c>
      <c r="G13" s="122" t="s">
        <v>62</v>
      </c>
      <c r="H13" s="123" t="s">
        <v>152</v>
      </c>
      <c r="I13" s="124" t="s">
        <v>101</v>
      </c>
      <c r="J13" s="125">
        <v>1000000</v>
      </c>
      <c r="K13" s="126">
        <v>0</v>
      </c>
      <c r="L13" s="127">
        <v>0</v>
      </c>
      <c r="M13" s="106">
        <v>9</v>
      </c>
      <c r="N13" s="128" t="str">
        <f ca="1">_xll.meLWOXccySwapCreateFromGenerator("XccySwap_"&amp;G13&amp;"_"&amp;M13,H13,I13,J13,B13,D13,K13,L13,,,,,$V$6,$V$13,$V$5,$V$7)</f>
        <v>XCCYSWAP_9Y_9@17:3</v>
      </c>
      <c r="O13" s="101">
        <f ca="1">_xll.meLWOXccySwapParSpread(N13,Xccy.ValuationSettings)/10000</f>
        <v>-1.599999999999865E-3</v>
      </c>
      <c r="Q13" s="165" t="str">
        <f ca="1">'EUR XCCY CURVE'!I12</f>
        <v>9Y</v>
      </c>
      <c r="R13" s="100">
        <f ca="1">'EUR XCCY CURVE'!J12</f>
        <v>-1.6000000000000001E-3</v>
      </c>
      <c r="S13" s="218">
        <f t="shared" ca="1" si="0"/>
        <v>1.3509159069169385E-12</v>
      </c>
      <c r="T13" s="163"/>
      <c r="U13" s="208" t="s">
        <v>172</v>
      </c>
      <c r="V13" s="209">
        <v>1.1202000000000001</v>
      </c>
      <c r="W13" s="1" t="s">
        <v>173</v>
      </c>
    </row>
    <row r="14" spans="1:23">
      <c r="A14" t="s">
        <v>10</v>
      </c>
      <c r="B14" s="119">
        <f ca="1">_xll.meDateFromTenor(USDCurve.AsOfDate,F14,"MOD_FOLLOWING",$C14,"")</f>
        <v>43581</v>
      </c>
      <c r="C14" s="157" t="str">
        <f t="shared" ca="1" si="1"/>
        <v>LNB:NYB:TGT</v>
      </c>
      <c r="D14" s="120">
        <f ca="1">_xll.meDateFromTenor(B14,G14,)</f>
        <v>47234</v>
      </c>
      <c r="F14" s="121" t="s">
        <v>66</v>
      </c>
      <c r="G14" s="122" t="s">
        <v>45</v>
      </c>
      <c r="H14" s="123" t="s">
        <v>152</v>
      </c>
      <c r="I14" s="124" t="s">
        <v>101</v>
      </c>
      <c r="J14" s="125">
        <v>1000000</v>
      </c>
      <c r="K14" s="126">
        <v>0</v>
      </c>
      <c r="L14" s="127">
        <v>0</v>
      </c>
      <c r="M14" s="106">
        <v>10</v>
      </c>
      <c r="N14" s="128" t="str">
        <f ca="1">_xll.meLWOXccySwapCreateFromGenerator("XccySwap_"&amp;G14&amp;"_"&amp;M14,H14,I14,J14,B14,D14,K14,L14,,,,,$V$6,$V$13,$V$5,$V$7)</f>
        <v>XCCYSWAP_10Y_10@16:3</v>
      </c>
      <c r="O14" s="101">
        <f ca="1">_xll.meLWOXccySwapParSpread(N14,Xccy.ValuationSettings)/10000</f>
        <v>-1.587499999999926E-3</v>
      </c>
      <c r="Q14" s="165" t="str">
        <f ca="1">'EUR XCCY CURVE'!I13</f>
        <v>10Y</v>
      </c>
      <c r="R14" s="100">
        <f ca="1">'EUR XCCY CURVE'!J13</f>
        <v>-1.5874999999999999E-3</v>
      </c>
      <c r="S14" s="218">
        <f t="shared" ca="1" si="0"/>
        <v>7.3942588163511402E-13</v>
      </c>
      <c r="T14" s="163"/>
    </row>
    <row r="15" spans="1:23">
      <c r="A15" t="s">
        <v>10</v>
      </c>
      <c r="B15" s="119">
        <f ca="1">_xll.meDateFromTenor(USDCurve.AsOfDate,F15,"MOD_FOLLOWING",$C15,"")</f>
        <v>43581</v>
      </c>
      <c r="C15" s="157" t="str">
        <f t="shared" ca="1" si="1"/>
        <v>LNB:NYB:TGT</v>
      </c>
      <c r="D15" s="120">
        <f ca="1">_xll.meDateFromTenor(B15,G15,)</f>
        <v>47964</v>
      </c>
      <c r="F15" s="121" t="s">
        <v>66</v>
      </c>
      <c r="G15" s="122" t="s">
        <v>47</v>
      </c>
      <c r="H15" s="123" t="s">
        <v>152</v>
      </c>
      <c r="I15" s="124" t="s">
        <v>101</v>
      </c>
      <c r="J15" s="125">
        <v>1000000</v>
      </c>
      <c r="K15" s="126">
        <v>0</v>
      </c>
      <c r="L15" s="127">
        <v>0</v>
      </c>
      <c r="M15" s="106">
        <v>11</v>
      </c>
      <c r="N15" s="128" t="str">
        <f ca="1">_xll.meLWOXccySwapCreateFromGenerator("XccySwap_"&amp;G15&amp;"_"&amp;M15,H15,I15,J15,B15,D15,K15,L15,,,,,$V$6,$V$13,$V$5,$V$7)</f>
        <v>XCCYSWAP_12Y_11@15:3</v>
      </c>
      <c r="O15" s="101">
        <f ca="1">_xll.meLWOXccySwapParSpread(N15,Xccy.ValuationSettings)/10000</f>
        <v>-1.5249999999997941E-3</v>
      </c>
      <c r="Q15" s="165" t="str">
        <f ca="1">'EUR XCCY CURVE'!I14</f>
        <v>12Y</v>
      </c>
      <c r="R15" s="100">
        <f ca="1">'EUR XCCY CURVE'!J14</f>
        <v>-1.5250000000000001E-3</v>
      </c>
      <c r="S15" s="218">
        <f t="shared" ca="1" si="0"/>
        <v>2.0599841277224584E-12</v>
      </c>
      <c r="T15" s="163"/>
    </row>
    <row r="16" spans="1:23">
      <c r="A16" t="s">
        <v>10</v>
      </c>
      <c r="B16" s="119">
        <f ca="1">_xll.meDateFromTenor(USDCurve.AsOfDate,F16,"MOD_FOLLOWING",$C16,"")</f>
        <v>43581</v>
      </c>
      <c r="C16" s="157" t="str">
        <f t="shared" ca="1" si="1"/>
        <v>LNB:NYB:TGT</v>
      </c>
      <c r="D16" s="120">
        <f ca="1">_xll.meDateFromTenor(B16,G16,)</f>
        <v>49060</v>
      </c>
      <c r="F16" s="121" t="s">
        <v>66</v>
      </c>
      <c r="G16" s="122" t="s">
        <v>49</v>
      </c>
      <c r="H16" s="123" t="s">
        <v>152</v>
      </c>
      <c r="I16" s="124" t="s">
        <v>101</v>
      </c>
      <c r="J16" s="125">
        <v>1000000</v>
      </c>
      <c r="K16" s="126">
        <v>0</v>
      </c>
      <c r="L16" s="127">
        <v>0</v>
      </c>
      <c r="M16" s="106">
        <v>12</v>
      </c>
      <c r="N16" s="128" t="str">
        <f ca="1">_xll.meLWOXccySwapCreateFromGenerator("XccySwap_"&amp;G16&amp;"_"&amp;M16,H16,I16,J16,B16,D16,K16,L16,,,,,$V$6,$V$13,$V$5,$V$7)</f>
        <v>XCCYSWAP_15Y_12@7:3</v>
      </c>
      <c r="O16" s="101">
        <f ca="1">_xll.meLWOXccySwapParSpread(N16,Xccy.ValuationSettings)/10000</f>
        <v>-1.3374999999997549E-3</v>
      </c>
      <c r="Q16" s="165" t="str">
        <f ca="1">'EUR XCCY CURVE'!I15</f>
        <v>15Y</v>
      </c>
      <c r="R16" s="100">
        <f ca="1">'EUR XCCY CURVE'!J15</f>
        <v>-1.3374999999999999E-3</v>
      </c>
      <c r="S16" s="218">
        <f t="shared" ca="1" si="0"/>
        <v>2.45029690981724E-12</v>
      </c>
      <c r="T16" s="163"/>
    </row>
    <row r="17" spans="2:20">
      <c r="B17" s="119">
        <f ca="1">_xll.meDateFromTenor(USDCurve.AsOfDate,F17,"MOD_FOLLOWING",$C17,"")</f>
        <v>43581</v>
      </c>
      <c r="C17" s="157" t="str">
        <f t="shared" ca="1" si="1"/>
        <v>LNB:NYB:TGT</v>
      </c>
      <c r="D17" s="120">
        <f ca="1">_xll.meDateFromTenor(B17,G17,)</f>
        <v>50886</v>
      </c>
      <c r="F17" s="121" t="s">
        <v>66</v>
      </c>
      <c r="G17" s="122" t="s">
        <v>51</v>
      </c>
      <c r="H17" s="123" t="s">
        <v>152</v>
      </c>
      <c r="I17" s="124" t="s">
        <v>101</v>
      </c>
      <c r="J17" s="125">
        <v>1000000</v>
      </c>
      <c r="K17" s="126">
        <v>0</v>
      </c>
      <c r="L17" s="127">
        <v>0</v>
      </c>
      <c r="M17" s="106">
        <v>13</v>
      </c>
      <c r="N17" s="128" t="str">
        <f ca="1">_xll.meLWOXccySwapCreateFromGenerator("XccySwap_"&amp;G17&amp;"_"&amp;M17,H17,I17,J17,B17,D17,K17,L17,,,,,$V$6,$V$13,$V$5,$V$7)</f>
        <v>XCCYSWAP_20Y_13@8:3</v>
      </c>
      <c r="O17" s="101">
        <f ca="1">_xll.meLWOXccySwapParSpread(N17,Xccy.ValuationSettings)/10000</f>
        <v>-8.3749999999935168E-4</v>
      </c>
      <c r="Q17" s="165" t="str">
        <f ca="1">'EUR XCCY CURVE'!I16</f>
        <v>20Y</v>
      </c>
      <c r="R17" s="100">
        <f ca="1">'EUR XCCY CURVE'!J16</f>
        <v>-8.3750000000000003E-4</v>
      </c>
      <c r="S17" s="218">
        <f t="shared" ca="1" si="0"/>
        <v>6.4835289914633165E-12</v>
      </c>
      <c r="T17" s="163"/>
    </row>
    <row r="18" spans="2:20">
      <c r="B18" s="119">
        <f ca="1">_xll.meDateFromTenor(USDCurve.AsOfDate,F18,"MOD_FOLLOWING",$C18,"")</f>
        <v>43581</v>
      </c>
      <c r="C18" s="157" t="str">
        <f t="shared" ca="1" si="1"/>
        <v>LNB:NYB:TGT</v>
      </c>
      <c r="D18" s="120">
        <f ca="1">_xll.meDateFromTenor(B18,G18,)</f>
        <v>52713</v>
      </c>
      <c r="F18" s="121" t="s">
        <v>66</v>
      </c>
      <c r="G18" s="122" t="s">
        <v>53</v>
      </c>
      <c r="H18" s="123" t="s">
        <v>152</v>
      </c>
      <c r="I18" s="124" t="s">
        <v>101</v>
      </c>
      <c r="J18" s="125">
        <v>1000000</v>
      </c>
      <c r="K18" s="126">
        <v>0</v>
      </c>
      <c r="L18" s="127">
        <v>0</v>
      </c>
      <c r="M18" s="106">
        <v>14</v>
      </c>
      <c r="N18" s="128" t="str">
        <f ca="1">_xll.meLWOXccySwapCreateFromGenerator("XccySwap_"&amp;G18&amp;"_"&amp;M18,H18,I18,J18,B18,D18,K18,L18,,,,,$V$6,$V$13,$V$5,$V$7)</f>
        <v>XCCYSWAP_25Y_14@11:3</v>
      </c>
      <c r="O18" s="101">
        <f ca="1">_xll.meLWOXccySwapParSpread(N18,Xccy.ValuationSettings)/10000</f>
        <v>-3.8749999999948185E-4</v>
      </c>
      <c r="Q18" s="165" t="str">
        <f ca="1">'EUR XCCY CURVE'!I17</f>
        <v>25Y</v>
      </c>
      <c r="R18" s="100">
        <f ca="1">'EUR XCCY CURVE'!J17</f>
        <v>-3.8749999999999999E-4</v>
      </c>
      <c r="S18" s="218">
        <f t="shared" ca="1" si="0"/>
        <v>5.1814021823082257E-12</v>
      </c>
      <c r="T18" s="163"/>
    </row>
    <row r="19" spans="2:20">
      <c r="B19" s="130">
        <f ca="1">_xll.meDateFromTenor(USDCurve.AsOfDate,F19,"MOD_FOLLOWING",$C19,"")</f>
        <v>43581</v>
      </c>
      <c r="C19" s="158" t="str">
        <f t="shared" ca="1" si="1"/>
        <v>LNB:NYB:TGT</v>
      </c>
      <c r="D19" s="131">
        <f ca="1">_xll.meDateFromTenor(B19,G19,)</f>
        <v>54539</v>
      </c>
      <c r="F19" s="132" t="s">
        <v>66</v>
      </c>
      <c r="G19" s="133" t="s">
        <v>54</v>
      </c>
      <c r="H19" s="134" t="s">
        <v>152</v>
      </c>
      <c r="I19" s="135" t="s">
        <v>101</v>
      </c>
      <c r="J19" s="136">
        <v>1000000</v>
      </c>
      <c r="K19" s="137">
        <v>0</v>
      </c>
      <c r="L19" s="138">
        <v>0</v>
      </c>
      <c r="M19" s="106">
        <v>15</v>
      </c>
      <c r="N19" s="139" t="str">
        <f ca="1">_xll.meLWOXccySwapCreateFromGenerator("XccySwap_"&amp;G19&amp;"_"&amp;M19,H19,I19,J19,B19,D19,K19,L19,,,,,$V$6,$V$13,$V$5,$V$7)</f>
        <v>XCCYSWAP_30Y_15@10:2</v>
      </c>
      <c r="O19" s="104">
        <f ca="1">_xll.meLWOXccySwapParSpread(N19,Xccy.ValuationSettings)/10000</f>
        <v>-6.2500000000163255E-5</v>
      </c>
      <c r="Q19" s="166" t="str">
        <f ca="1">'EUR XCCY CURVE'!I18</f>
        <v>30Y</v>
      </c>
      <c r="R19" s="103">
        <f ca="1">'EUR XCCY CURVE'!J18</f>
        <v>-6.2500000000000001E-5</v>
      </c>
      <c r="S19" s="219">
        <f t="shared" ca="1" si="0"/>
        <v>1.6325374212200483E-12</v>
      </c>
      <c r="T19" s="163"/>
    </row>
    <row r="20" spans="2:20">
      <c r="T20" s="163"/>
    </row>
    <row r="21" spans="2:20">
      <c r="T21" s="163"/>
    </row>
    <row r="22" spans="2:20">
      <c r="O22" s="216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5"/>
  <sheetViews>
    <sheetView showGridLines="0" workbookViewId="0"/>
  </sheetViews>
  <sheetFormatPr defaultRowHeight="15"/>
  <cols>
    <col min="2" max="2" width="22.85546875" customWidth="1"/>
    <col min="3" max="5" width="13.28515625" style="1" customWidth="1"/>
    <col min="9" max="9" width="32.28515625" bestFit="1" customWidth="1"/>
    <col min="10" max="10" width="12.7109375" bestFit="1" customWidth="1"/>
    <col min="11" max="11" width="49.140625" bestFit="1" customWidth="1"/>
    <col min="12" max="12" width="12.7109375" bestFit="1" customWidth="1"/>
  </cols>
  <sheetData>
    <row r="2" spans="1:14">
      <c r="B2" s="82" t="s">
        <v>102</v>
      </c>
      <c r="C2" s="1" t="s">
        <v>175</v>
      </c>
      <c r="D2" s="1" t="s">
        <v>176</v>
      </c>
      <c r="E2" s="1" t="s">
        <v>174</v>
      </c>
      <c r="F2" s="1" t="s">
        <v>105</v>
      </c>
      <c r="G2" s="1" t="s">
        <v>104</v>
      </c>
      <c r="H2" s="1"/>
      <c r="I2" s="143" t="s">
        <v>103</v>
      </c>
      <c r="J2" s="143"/>
      <c r="K2" s="143"/>
      <c r="L2" s="143"/>
      <c r="M2" s="143"/>
      <c r="N2" s="143"/>
    </row>
    <row r="3" spans="1:14">
      <c r="A3" s="153">
        <v>1</v>
      </c>
      <c r="B3" s="164" t="str">
        <f ca="1">IF($G3,PRICING!N5,"")</f>
        <v/>
      </c>
      <c r="C3" s="118" t="str">
        <f ca="1">IF($G3,Xccy.Leg1Curve,"")</f>
        <v/>
      </c>
      <c r="D3" s="118" t="str">
        <f ca="1">IF($G3,Xccy.Leg2Curve,"")</f>
        <v/>
      </c>
      <c r="E3" s="167" t="str">
        <f ca="1">IF($G3,Xccy.FXSpotRate,"")</f>
        <v/>
      </c>
      <c r="F3" s="154" t="str">
        <f ca="1">PRICING!$G5</f>
        <v>1Y</v>
      </c>
      <c r="G3" s="155" t="b">
        <v>0</v>
      </c>
      <c r="H3" s="1"/>
      <c r="I3" s="144" t="str">
        <f t="array" aca="1" ref="I3:N38" ca="1">_xll.meUtilityResize(_xll.meLWOSwapDeltaLadder(_xll.meUtilityClean(B3:B17),_xll.meUtilityClean(C3:D17),,_xll.meUtilityClean(E3:E17)),100,10)</f>
        <v>#Error: Both forecast curve and discount curve must be consistently calibrated by either using yield curve engine or using single-curve calibration methods</v>
      </c>
      <c r="J3" s="118" t="str">
        <f ca="1"/>
        <v/>
      </c>
      <c r="K3" s="145" t="str">
        <f ca="1"/>
        <v/>
      </c>
      <c r="L3" s="118" t="str">
        <f ca="1"/>
        <v/>
      </c>
      <c r="M3" s="145" t="str">
        <f ca="1"/>
        <v/>
      </c>
      <c r="N3" s="150" t="str">
        <f ca="1"/>
        <v/>
      </c>
    </row>
    <row r="4" spans="1:14">
      <c r="A4" s="153">
        <f t="shared" ref="A4:A17" ca="1" si="0">A3+1</f>
        <v>2</v>
      </c>
      <c r="B4" s="165" t="str">
        <f ca="1">IF($G4,PRICING!N6,"")</f>
        <v/>
      </c>
      <c r="C4" s="129" t="str">
        <f ca="1">IF($G4,Xccy.Leg1Curve,"")</f>
        <v/>
      </c>
      <c r="D4" s="129" t="str">
        <f ca="1">IF($G4,Xccy.Leg2Curve,"")</f>
        <v/>
      </c>
      <c r="E4" s="168" t="str">
        <f ca="1">IF($G4,Xccy.FXSpotRate,"")</f>
        <v/>
      </c>
      <c r="F4" s="154" t="str">
        <f ca="1">PRICING!$G6</f>
        <v>2Y</v>
      </c>
      <c r="G4" s="155" t="b">
        <v>0</v>
      </c>
      <c r="H4" s="1"/>
      <c r="I4" s="146" t="str">
        <f ca="1"/>
        <v/>
      </c>
      <c r="J4" s="141" t="str">
        <f ca="1"/>
        <v/>
      </c>
      <c r="K4" s="147" t="str">
        <f ca="1"/>
        <v/>
      </c>
      <c r="L4" s="141" t="str">
        <f ca="1"/>
        <v/>
      </c>
      <c r="M4" s="147" t="str">
        <f ca="1"/>
        <v/>
      </c>
      <c r="N4" s="151" t="str">
        <f ca="1"/>
        <v/>
      </c>
    </row>
    <row r="5" spans="1:14">
      <c r="A5" s="153">
        <f t="shared" ca="1" si="0"/>
        <v>3</v>
      </c>
      <c r="B5" s="165" t="str">
        <f ca="1">IF($G5,PRICING!N7,"")</f>
        <v/>
      </c>
      <c r="C5" s="129" t="str">
        <f ca="1">IF($G5,Xccy.Leg1Curve,"")</f>
        <v/>
      </c>
      <c r="D5" s="129" t="str">
        <f ca="1">IF($G5,Xccy.Leg2Curve,"")</f>
        <v/>
      </c>
      <c r="E5" s="168" t="str">
        <f ca="1">IF($G5,Xccy.FXSpotRate,"")</f>
        <v/>
      </c>
      <c r="F5" s="154" t="str">
        <f ca="1">PRICING!$G7</f>
        <v>3Y</v>
      </c>
      <c r="G5" s="155" t="b">
        <v>0</v>
      </c>
      <c r="H5" s="1"/>
      <c r="I5" s="146" t="str">
        <f ca="1"/>
        <v/>
      </c>
      <c r="J5" s="141" t="str">
        <f ca="1"/>
        <v/>
      </c>
      <c r="K5" s="147" t="str">
        <f ca="1"/>
        <v/>
      </c>
      <c r="L5" s="141" t="str">
        <f ca="1"/>
        <v/>
      </c>
      <c r="M5" s="147" t="str">
        <f ca="1"/>
        <v/>
      </c>
      <c r="N5" s="151" t="str">
        <f ca="1"/>
        <v/>
      </c>
    </row>
    <row r="6" spans="1:14">
      <c r="A6" s="153">
        <f t="shared" ca="1" si="0"/>
        <v>4</v>
      </c>
      <c r="B6" s="165" t="str">
        <f ca="1">IF($G6,PRICING!N8,"")</f>
        <v/>
      </c>
      <c r="C6" s="129" t="str">
        <f ca="1">IF($G6,Xccy.Leg1Curve,"")</f>
        <v/>
      </c>
      <c r="D6" s="129" t="str">
        <f ca="1">IF($G6,Xccy.Leg2Curve,"")</f>
        <v/>
      </c>
      <c r="E6" s="168" t="str">
        <f ca="1">IF($G6,Xccy.FXSpotRate,"")</f>
        <v/>
      </c>
      <c r="F6" s="154" t="str">
        <f ca="1">PRICING!$G8</f>
        <v>4Y</v>
      </c>
      <c r="G6" s="155" t="b">
        <v>0</v>
      </c>
      <c r="H6" s="1"/>
      <c r="I6" s="146" t="str">
        <f ca="1"/>
        <v/>
      </c>
      <c r="J6" s="141" t="str">
        <f ca="1"/>
        <v/>
      </c>
      <c r="K6" s="147" t="str">
        <f ca="1"/>
        <v/>
      </c>
      <c r="L6" s="141" t="str">
        <f ca="1"/>
        <v/>
      </c>
      <c r="M6" s="147" t="str">
        <f ca="1"/>
        <v/>
      </c>
      <c r="N6" s="151" t="str">
        <f ca="1"/>
        <v/>
      </c>
    </row>
    <row r="7" spans="1:14">
      <c r="A7" s="153">
        <f t="shared" ca="1" si="0"/>
        <v>5</v>
      </c>
      <c r="B7" s="165" t="str">
        <f ca="1">IF($G7,PRICING!N9,"")</f>
        <v/>
      </c>
      <c r="C7" s="129" t="str">
        <f ca="1">IF($G7,Xccy.Leg1Curve,"")</f>
        <v/>
      </c>
      <c r="D7" s="129" t="str">
        <f ca="1">IF($G7,Xccy.Leg2Curve,"")</f>
        <v/>
      </c>
      <c r="E7" s="168" t="str">
        <f ca="1">IF($G7,Xccy.FXSpotRate,"")</f>
        <v/>
      </c>
      <c r="F7" s="154" t="str">
        <f ca="1">PRICING!$G9</f>
        <v>5Y</v>
      </c>
      <c r="G7" s="155" t="b">
        <v>0</v>
      </c>
      <c r="H7" s="1"/>
      <c r="I7" s="146" t="str">
        <f ca="1"/>
        <v/>
      </c>
      <c r="J7" s="141" t="str">
        <f ca="1"/>
        <v/>
      </c>
      <c r="K7" s="147" t="str">
        <f ca="1"/>
        <v/>
      </c>
      <c r="L7" s="141" t="str">
        <f ca="1"/>
        <v/>
      </c>
      <c r="M7" s="147" t="str">
        <f ca="1"/>
        <v/>
      </c>
      <c r="N7" s="151" t="str">
        <f ca="1"/>
        <v/>
      </c>
    </row>
    <row r="8" spans="1:14">
      <c r="A8" s="153">
        <f t="shared" ca="1" si="0"/>
        <v>6</v>
      </c>
      <c r="B8" s="165" t="str">
        <f ca="1">IF($G8,PRICING!N10,"")</f>
        <v/>
      </c>
      <c r="C8" s="129" t="str">
        <f ca="1">IF($G8,Xccy.Leg1Curve,"")</f>
        <v/>
      </c>
      <c r="D8" s="129" t="str">
        <f ca="1">IF($G8,Xccy.Leg2Curve,"")</f>
        <v/>
      </c>
      <c r="E8" s="168" t="str">
        <f ca="1">IF($G8,Xccy.FXSpotRate,"")</f>
        <v/>
      </c>
      <c r="F8" s="154" t="str">
        <f ca="1">PRICING!$G10</f>
        <v>6Y</v>
      </c>
      <c r="G8" s="155" t="b">
        <v>0</v>
      </c>
      <c r="H8" s="1"/>
      <c r="I8" s="146" t="str">
        <f ca="1"/>
        <v/>
      </c>
      <c r="J8" s="141" t="str">
        <f ca="1"/>
        <v/>
      </c>
      <c r="K8" s="147" t="str">
        <f ca="1"/>
        <v/>
      </c>
      <c r="L8" s="141" t="str">
        <f ca="1"/>
        <v/>
      </c>
      <c r="M8" s="147" t="str">
        <f ca="1"/>
        <v/>
      </c>
      <c r="N8" s="151" t="str">
        <f ca="1"/>
        <v/>
      </c>
    </row>
    <row r="9" spans="1:14">
      <c r="A9" s="153">
        <f t="shared" ca="1" si="0"/>
        <v>7</v>
      </c>
      <c r="B9" s="165" t="str">
        <f ca="1">IF($G9,PRICING!N11,"")</f>
        <v>XCCYSWAP_7Y_7@18:3</v>
      </c>
      <c r="C9" s="129" t="str">
        <f ca="1">IF($G9,Xccy.Leg1Curve,"")</f>
        <v>EURYC</v>
      </c>
      <c r="D9" s="129" t="str">
        <f ca="1">IF($G9,Xccy.Leg2Curve,"")</f>
        <v>USDYC</v>
      </c>
      <c r="E9" s="168">
        <f ca="1">IF($G9,Xccy.FXSpotRate,"")</f>
        <v>1.1202000000000001</v>
      </c>
      <c r="F9" s="154" t="str">
        <f ca="1">PRICING!$G11</f>
        <v>7Y</v>
      </c>
      <c r="G9" s="155" t="b">
        <v>1</v>
      </c>
      <c r="H9" s="1"/>
      <c r="I9" s="146" t="str">
        <f ca="1"/>
        <v/>
      </c>
      <c r="J9" s="141" t="str">
        <f ca="1"/>
        <v/>
      </c>
      <c r="K9" s="147" t="str">
        <f ca="1"/>
        <v/>
      </c>
      <c r="L9" s="141" t="str">
        <f ca="1"/>
        <v/>
      </c>
      <c r="M9" s="147" t="str">
        <f ca="1"/>
        <v/>
      </c>
      <c r="N9" s="151" t="str">
        <f ca="1"/>
        <v/>
      </c>
    </row>
    <row r="10" spans="1:14">
      <c r="A10" s="153">
        <f t="shared" ca="1" si="0"/>
        <v>8</v>
      </c>
      <c r="B10" s="165" t="str">
        <f ca="1">IF($G10,PRICING!N12,"")</f>
        <v/>
      </c>
      <c r="C10" s="129" t="str">
        <f ca="1">IF($G10,Xccy.Leg1Curve,"")</f>
        <v/>
      </c>
      <c r="D10" s="129" t="str">
        <f ca="1">IF($G10,Xccy.Leg2Curve,"")</f>
        <v/>
      </c>
      <c r="E10" s="168" t="str">
        <f ca="1">IF($G10,Xccy.FXSpotRate,"")</f>
        <v/>
      </c>
      <c r="F10" s="154" t="str">
        <f ca="1">PRICING!$G12</f>
        <v>8Y</v>
      </c>
      <c r="G10" s="155" t="b">
        <v>0</v>
      </c>
      <c r="H10" s="1"/>
      <c r="I10" s="146" t="str">
        <f ca="1"/>
        <v/>
      </c>
      <c r="J10" s="141" t="str">
        <f ca="1"/>
        <v/>
      </c>
      <c r="K10" s="147" t="str">
        <f ca="1"/>
        <v/>
      </c>
      <c r="L10" s="141" t="str">
        <f ca="1"/>
        <v/>
      </c>
      <c r="M10" s="147" t="str">
        <f ca="1"/>
        <v/>
      </c>
      <c r="N10" s="151" t="str">
        <f ca="1"/>
        <v/>
      </c>
    </row>
    <row r="11" spans="1:14">
      <c r="A11" s="153">
        <f t="shared" ca="1" si="0"/>
        <v>9</v>
      </c>
      <c r="B11" s="165" t="str">
        <f ca="1">IF($G11,PRICING!N13,"")</f>
        <v/>
      </c>
      <c r="C11" s="129" t="str">
        <f ca="1">IF($G11,Xccy.Leg1Curve,"")</f>
        <v/>
      </c>
      <c r="D11" s="129" t="str">
        <f ca="1">IF($G11,Xccy.Leg2Curve,"")</f>
        <v/>
      </c>
      <c r="E11" s="168" t="str">
        <f ca="1">IF($G11,Xccy.FXSpotRate,"")</f>
        <v/>
      </c>
      <c r="F11" s="154" t="str">
        <f ca="1">PRICING!$G13</f>
        <v>9Y</v>
      </c>
      <c r="G11" s="155" t="b">
        <v>0</v>
      </c>
      <c r="H11" s="1"/>
      <c r="I11" s="146" t="str">
        <f ca="1"/>
        <v/>
      </c>
      <c r="J11" s="141" t="str">
        <f ca="1"/>
        <v/>
      </c>
      <c r="K11" s="147" t="str">
        <f ca="1"/>
        <v/>
      </c>
      <c r="L11" s="141" t="str">
        <f ca="1"/>
        <v/>
      </c>
      <c r="M11" s="147" t="str">
        <f ca="1"/>
        <v/>
      </c>
      <c r="N11" s="151" t="str">
        <f ca="1"/>
        <v/>
      </c>
    </row>
    <row r="12" spans="1:14">
      <c r="A12" s="153">
        <f t="shared" ca="1" si="0"/>
        <v>10</v>
      </c>
      <c r="B12" s="165" t="str">
        <f ca="1">IF($G12,PRICING!N14,"")</f>
        <v/>
      </c>
      <c r="C12" s="129" t="str">
        <f ca="1">IF($G12,Xccy.Leg1Curve,"")</f>
        <v/>
      </c>
      <c r="D12" s="129" t="str">
        <f ca="1">IF($G12,Xccy.Leg2Curve,"")</f>
        <v/>
      </c>
      <c r="E12" s="168" t="str">
        <f ca="1">IF($G12,Xccy.FXSpotRate,"")</f>
        <v/>
      </c>
      <c r="F12" s="154" t="str">
        <f ca="1">PRICING!$G14</f>
        <v>10Y</v>
      </c>
      <c r="G12" s="155" t="b">
        <v>0</v>
      </c>
      <c r="H12" s="1"/>
      <c r="I12" s="146" t="str">
        <f ca="1"/>
        <v/>
      </c>
      <c r="J12" s="141" t="str">
        <f ca="1"/>
        <v/>
      </c>
      <c r="K12" s="147" t="str">
        <f ca="1"/>
        <v/>
      </c>
      <c r="L12" s="141" t="str">
        <f ca="1"/>
        <v/>
      </c>
      <c r="M12" s="147" t="str">
        <f ca="1"/>
        <v/>
      </c>
      <c r="N12" s="151" t="str">
        <f ca="1"/>
        <v/>
      </c>
    </row>
    <row r="13" spans="1:14">
      <c r="A13" s="153">
        <f t="shared" ca="1" si="0"/>
        <v>11</v>
      </c>
      <c r="B13" s="165" t="str">
        <f ca="1">IF($G13,PRICING!N15,"")</f>
        <v/>
      </c>
      <c r="C13" s="129" t="str">
        <f ca="1">IF($G13,Xccy.Leg1Curve,"")</f>
        <v/>
      </c>
      <c r="D13" s="129" t="str">
        <f ca="1">IF($G13,Xccy.Leg2Curve,"")</f>
        <v/>
      </c>
      <c r="E13" s="168" t="str">
        <f ca="1">IF($G13,Xccy.FXSpotRate,"")</f>
        <v/>
      </c>
      <c r="F13" s="154" t="str">
        <f ca="1">PRICING!$G15</f>
        <v>12Y</v>
      </c>
      <c r="G13" s="155" t="b">
        <v>0</v>
      </c>
      <c r="H13" s="1"/>
      <c r="I13" s="146" t="str">
        <f ca="1"/>
        <v/>
      </c>
      <c r="J13" s="141" t="str">
        <f ca="1"/>
        <v/>
      </c>
      <c r="K13" s="147" t="str">
        <f ca="1"/>
        <v/>
      </c>
      <c r="L13" s="141" t="str">
        <f ca="1"/>
        <v/>
      </c>
      <c r="M13" s="147" t="str">
        <f ca="1"/>
        <v/>
      </c>
      <c r="N13" s="151" t="str">
        <f ca="1"/>
        <v/>
      </c>
    </row>
    <row r="14" spans="1:14">
      <c r="A14" s="153">
        <f t="shared" ca="1" si="0"/>
        <v>12</v>
      </c>
      <c r="B14" s="165" t="str">
        <f ca="1">IF($G14,PRICING!N16,"")</f>
        <v/>
      </c>
      <c r="C14" s="129" t="str">
        <f ca="1">IF($G14,Xccy.Leg1Curve,"")</f>
        <v/>
      </c>
      <c r="D14" s="129" t="str">
        <f ca="1">IF($G14,Xccy.Leg2Curve,"")</f>
        <v/>
      </c>
      <c r="E14" s="168" t="str">
        <f ca="1">IF($G14,Xccy.FXSpotRate,"")</f>
        <v/>
      </c>
      <c r="F14" s="154" t="str">
        <f ca="1">PRICING!$G16</f>
        <v>15Y</v>
      </c>
      <c r="G14" s="155" t="b">
        <v>0</v>
      </c>
      <c r="H14" s="1"/>
      <c r="I14" s="146" t="str">
        <f ca="1"/>
        <v/>
      </c>
      <c r="J14" s="141" t="str">
        <f ca="1"/>
        <v/>
      </c>
      <c r="K14" s="147" t="str">
        <f ca="1"/>
        <v/>
      </c>
      <c r="L14" s="141" t="str">
        <f ca="1"/>
        <v/>
      </c>
      <c r="M14" s="147" t="str">
        <f ca="1"/>
        <v/>
      </c>
      <c r="N14" s="151" t="str">
        <f ca="1"/>
        <v/>
      </c>
    </row>
    <row r="15" spans="1:14">
      <c r="A15" s="153">
        <f t="shared" ca="1" si="0"/>
        <v>13</v>
      </c>
      <c r="B15" s="165" t="str">
        <f ca="1">IF($G15,PRICING!N17,"")</f>
        <v/>
      </c>
      <c r="C15" s="129" t="str">
        <f ca="1">IF($G15,Xccy.Leg1Curve,"")</f>
        <v/>
      </c>
      <c r="D15" s="129" t="str">
        <f ca="1">IF($G15,Xccy.Leg2Curve,"")</f>
        <v/>
      </c>
      <c r="E15" s="168" t="str">
        <f ca="1">IF($G15,Xccy.FXSpotRate,"")</f>
        <v/>
      </c>
      <c r="F15" s="154" t="str">
        <f ca="1">PRICING!$G17</f>
        <v>20Y</v>
      </c>
      <c r="G15" s="155" t="b">
        <v>0</v>
      </c>
      <c r="H15" s="1"/>
      <c r="I15" s="146" t="str">
        <f ca="1"/>
        <v/>
      </c>
      <c r="J15" s="141" t="str">
        <f ca="1"/>
        <v/>
      </c>
      <c r="K15" s="147" t="str">
        <f ca="1"/>
        <v/>
      </c>
      <c r="L15" s="141" t="str">
        <f ca="1"/>
        <v/>
      </c>
      <c r="M15" s="147" t="str">
        <f ca="1"/>
        <v/>
      </c>
      <c r="N15" s="151" t="str">
        <f ca="1"/>
        <v/>
      </c>
    </row>
    <row r="16" spans="1:14">
      <c r="A16" s="153">
        <f t="shared" ca="1" si="0"/>
        <v>14</v>
      </c>
      <c r="B16" s="165" t="str">
        <f ca="1">IF($G16,PRICING!N18,"")</f>
        <v/>
      </c>
      <c r="C16" s="129" t="str">
        <f ca="1">IF($G16,Xccy.Leg1Curve,"")</f>
        <v/>
      </c>
      <c r="D16" s="129" t="str">
        <f ca="1">IF($G16,Xccy.Leg2Curve,"")</f>
        <v/>
      </c>
      <c r="E16" s="168" t="str">
        <f ca="1">IF($G16,Xccy.FXSpotRate,"")</f>
        <v/>
      </c>
      <c r="F16" s="154" t="str">
        <f ca="1">PRICING!$G18</f>
        <v>25Y</v>
      </c>
      <c r="G16" s="155" t="b">
        <v>0</v>
      </c>
      <c r="H16" s="1"/>
      <c r="I16" s="146" t="str">
        <f ca="1"/>
        <v/>
      </c>
      <c r="J16" s="141" t="str">
        <f ca="1"/>
        <v/>
      </c>
      <c r="K16" s="147" t="str">
        <f ca="1"/>
        <v/>
      </c>
      <c r="L16" s="141" t="str">
        <f ca="1"/>
        <v/>
      </c>
      <c r="M16" s="147" t="str">
        <f ca="1"/>
        <v/>
      </c>
      <c r="N16" s="151" t="str">
        <f ca="1"/>
        <v/>
      </c>
    </row>
    <row r="17" spans="1:14">
      <c r="A17" s="153">
        <f t="shared" ca="1" si="0"/>
        <v>15</v>
      </c>
      <c r="B17" s="166" t="str">
        <f ca="1">IF($G17,PRICING!N19,"")</f>
        <v/>
      </c>
      <c r="C17" s="140" t="str">
        <f ca="1">IF($G17,Xccy.Leg1Curve,"")</f>
        <v/>
      </c>
      <c r="D17" s="140" t="str">
        <f ca="1">IF($G17,Xccy.Leg2Curve,"")</f>
        <v/>
      </c>
      <c r="E17" s="169" t="str">
        <f ca="1">IF($G17,Xccy.FXSpotRate,"")</f>
        <v/>
      </c>
      <c r="F17" s="154" t="str">
        <f ca="1">PRICING!$G19</f>
        <v>30Y</v>
      </c>
      <c r="G17" s="155" t="b">
        <v>0</v>
      </c>
      <c r="H17" s="1"/>
      <c r="I17" s="146" t="str">
        <f ca="1"/>
        <v/>
      </c>
      <c r="J17" s="141" t="str">
        <f ca="1"/>
        <v/>
      </c>
      <c r="K17" s="147" t="str">
        <f ca="1"/>
        <v/>
      </c>
      <c r="L17" s="141" t="str">
        <f ca="1"/>
        <v/>
      </c>
      <c r="M17" s="147" t="str">
        <f ca="1"/>
        <v/>
      </c>
      <c r="N17" s="151" t="str">
        <f ca="1"/>
        <v/>
      </c>
    </row>
    <row r="18" spans="1:14">
      <c r="A18" s="153"/>
      <c r="G18" s="155"/>
      <c r="H18" s="1"/>
      <c r="I18" s="146" t="str">
        <f ca="1"/>
        <v/>
      </c>
      <c r="J18" s="141" t="str">
        <f ca="1"/>
        <v/>
      </c>
      <c r="K18" s="147" t="str">
        <f ca="1"/>
        <v/>
      </c>
      <c r="L18" s="141" t="str">
        <f ca="1"/>
        <v/>
      </c>
      <c r="M18" s="147" t="str">
        <f ca="1"/>
        <v/>
      </c>
      <c r="N18" s="151" t="str">
        <f ca="1"/>
        <v/>
      </c>
    </row>
    <row r="19" spans="1:14">
      <c r="H19" s="1"/>
      <c r="I19" s="146" t="str">
        <f ca="1"/>
        <v/>
      </c>
      <c r="J19" s="141" t="str">
        <f ca="1"/>
        <v/>
      </c>
      <c r="K19" s="147" t="str">
        <f ca="1"/>
        <v/>
      </c>
      <c r="L19" s="141" t="str">
        <f ca="1"/>
        <v/>
      </c>
      <c r="M19" s="147" t="str">
        <f ca="1"/>
        <v/>
      </c>
      <c r="N19" s="151" t="str">
        <f ca="1"/>
        <v/>
      </c>
    </row>
    <row r="20" spans="1:14">
      <c r="H20" s="1"/>
      <c r="I20" s="146" t="str">
        <f ca="1"/>
        <v/>
      </c>
      <c r="J20" s="141" t="str">
        <f ca="1"/>
        <v/>
      </c>
      <c r="K20" s="147" t="str">
        <f ca="1"/>
        <v/>
      </c>
      <c r="L20" s="141" t="str">
        <f ca="1"/>
        <v/>
      </c>
      <c r="M20" s="147" t="str">
        <f ca="1"/>
        <v/>
      </c>
      <c r="N20" s="151" t="str">
        <f ca="1"/>
        <v/>
      </c>
    </row>
    <row r="21" spans="1:14">
      <c r="H21" s="1"/>
      <c r="I21" s="146" t="str">
        <f ca="1"/>
        <v/>
      </c>
      <c r="J21" s="141" t="str">
        <f ca="1"/>
        <v/>
      </c>
      <c r="K21" s="147" t="str">
        <f ca="1"/>
        <v/>
      </c>
      <c r="L21" s="141" t="str">
        <f ca="1"/>
        <v/>
      </c>
      <c r="M21" s="147" t="str">
        <f ca="1"/>
        <v/>
      </c>
      <c r="N21" s="151" t="str">
        <f ca="1"/>
        <v/>
      </c>
    </row>
    <row r="22" spans="1:14">
      <c r="H22" s="1"/>
      <c r="I22" s="146" t="str">
        <f ca="1"/>
        <v/>
      </c>
      <c r="J22" s="141" t="str">
        <f ca="1"/>
        <v/>
      </c>
      <c r="K22" s="147" t="str">
        <f ca="1"/>
        <v/>
      </c>
      <c r="L22" s="141" t="str">
        <f ca="1"/>
        <v/>
      </c>
      <c r="M22" s="147" t="str">
        <f ca="1"/>
        <v/>
      </c>
      <c r="N22" s="151" t="str">
        <f ca="1"/>
        <v/>
      </c>
    </row>
    <row r="23" spans="1:14">
      <c r="H23" s="1"/>
      <c r="I23" s="146" t="str">
        <f ca="1"/>
        <v/>
      </c>
      <c r="J23" s="141" t="str">
        <f ca="1"/>
        <v/>
      </c>
      <c r="K23" s="147" t="str">
        <f ca="1"/>
        <v/>
      </c>
      <c r="L23" s="141" t="str">
        <f ca="1"/>
        <v/>
      </c>
      <c r="M23" s="147" t="str">
        <f ca="1"/>
        <v/>
      </c>
      <c r="N23" s="151" t="str">
        <f ca="1"/>
        <v/>
      </c>
    </row>
    <row r="24" spans="1:14">
      <c r="H24" s="1"/>
      <c r="I24" s="146" t="str">
        <f ca="1"/>
        <v/>
      </c>
      <c r="J24" s="141" t="str">
        <f ca="1"/>
        <v/>
      </c>
      <c r="K24" s="147" t="str">
        <f ca="1"/>
        <v/>
      </c>
      <c r="L24" s="141" t="str">
        <f ca="1"/>
        <v/>
      </c>
      <c r="M24" s="147" t="str">
        <f ca="1"/>
        <v/>
      </c>
      <c r="N24" s="151" t="str">
        <f ca="1"/>
        <v/>
      </c>
    </row>
    <row r="25" spans="1:14">
      <c r="H25" s="1"/>
      <c r="I25" s="146" t="str">
        <f ca="1"/>
        <v/>
      </c>
      <c r="J25" s="141" t="str">
        <f ca="1"/>
        <v/>
      </c>
      <c r="K25" s="147" t="str">
        <f ca="1"/>
        <v/>
      </c>
      <c r="L25" s="141" t="str">
        <f ca="1"/>
        <v/>
      </c>
      <c r="M25" s="147" t="str">
        <f ca="1"/>
        <v/>
      </c>
      <c r="N25" s="151" t="str">
        <f ca="1"/>
        <v/>
      </c>
    </row>
    <row r="26" spans="1:14">
      <c r="H26" s="1"/>
      <c r="I26" s="146" t="str">
        <f ca="1"/>
        <v/>
      </c>
      <c r="J26" s="141" t="str">
        <f ca="1"/>
        <v/>
      </c>
      <c r="K26" s="147" t="str">
        <f ca="1"/>
        <v/>
      </c>
      <c r="L26" s="141" t="str">
        <f ca="1"/>
        <v/>
      </c>
      <c r="M26" s="147" t="str">
        <f ca="1"/>
        <v/>
      </c>
      <c r="N26" s="151" t="str">
        <f ca="1"/>
        <v/>
      </c>
    </row>
    <row r="27" spans="1:14">
      <c r="H27" s="1"/>
      <c r="I27" s="146" t="str">
        <f ca="1"/>
        <v/>
      </c>
      <c r="J27" s="141" t="str">
        <f ca="1"/>
        <v/>
      </c>
      <c r="K27" s="147" t="str">
        <f ca="1"/>
        <v/>
      </c>
      <c r="L27" s="141" t="str">
        <f ca="1"/>
        <v/>
      </c>
      <c r="M27" s="147" t="str">
        <f ca="1"/>
        <v/>
      </c>
      <c r="N27" s="151" t="str">
        <f ca="1"/>
        <v/>
      </c>
    </row>
    <row r="28" spans="1:14">
      <c r="H28" s="1"/>
      <c r="I28" s="146" t="str">
        <f ca="1"/>
        <v/>
      </c>
      <c r="J28" s="141" t="str">
        <f ca="1"/>
        <v/>
      </c>
      <c r="K28" s="147" t="str">
        <f ca="1"/>
        <v/>
      </c>
      <c r="L28" s="141" t="str">
        <f ca="1"/>
        <v/>
      </c>
      <c r="M28" s="147" t="str">
        <f ca="1"/>
        <v/>
      </c>
      <c r="N28" s="151" t="str">
        <f ca="1"/>
        <v/>
      </c>
    </row>
    <row r="29" spans="1:14">
      <c r="H29" s="1"/>
      <c r="I29" s="146" t="str">
        <f ca="1"/>
        <v/>
      </c>
      <c r="J29" s="141" t="str">
        <f ca="1"/>
        <v/>
      </c>
      <c r="K29" s="147" t="str">
        <f ca="1"/>
        <v/>
      </c>
      <c r="L29" s="141" t="str">
        <f ca="1"/>
        <v/>
      </c>
      <c r="M29" s="147" t="str">
        <f ca="1"/>
        <v/>
      </c>
      <c r="N29" s="151" t="str">
        <f ca="1"/>
        <v/>
      </c>
    </row>
    <row r="30" spans="1:14">
      <c r="H30" s="1"/>
      <c r="I30" s="146" t="str">
        <f ca="1"/>
        <v/>
      </c>
      <c r="J30" s="141" t="str">
        <f ca="1"/>
        <v/>
      </c>
      <c r="K30" s="147" t="str">
        <f ca="1"/>
        <v/>
      </c>
      <c r="L30" s="141" t="str">
        <f ca="1"/>
        <v/>
      </c>
      <c r="M30" s="147" t="str">
        <f ca="1"/>
        <v/>
      </c>
      <c r="N30" s="151" t="str">
        <f ca="1"/>
        <v/>
      </c>
    </row>
    <row r="31" spans="1:14">
      <c r="H31" s="1"/>
      <c r="I31" s="146" t="str">
        <f ca="1"/>
        <v/>
      </c>
      <c r="J31" s="141" t="str">
        <f ca="1"/>
        <v/>
      </c>
      <c r="K31" s="147" t="str">
        <f ca="1"/>
        <v/>
      </c>
      <c r="L31" s="141" t="str">
        <f ca="1"/>
        <v/>
      </c>
      <c r="M31" s="147" t="str">
        <f ca="1"/>
        <v/>
      </c>
      <c r="N31" s="151" t="str">
        <f ca="1"/>
        <v/>
      </c>
    </row>
    <row r="32" spans="1:14">
      <c r="H32" s="1"/>
      <c r="I32" s="146" t="str">
        <f ca="1"/>
        <v/>
      </c>
      <c r="J32" s="141" t="str">
        <f ca="1"/>
        <v/>
      </c>
      <c r="K32" s="147" t="str">
        <f ca="1"/>
        <v/>
      </c>
      <c r="L32" s="141" t="str">
        <f ca="1"/>
        <v/>
      </c>
      <c r="M32" s="147" t="str">
        <f ca="1"/>
        <v/>
      </c>
      <c r="N32" s="151" t="str">
        <f ca="1"/>
        <v/>
      </c>
    </row>
    <row r="33" spans="8:14">
      <c r="H33" s="1"/>
      <c r="I33" s="146" t="str">
        <f ca="1"/>
        <v/>
      </c>
      <c r="J33" s="141" t="str">
        <f ca="1"/>
        <v/>
      </c>
      <c r="K33" s="147" t="str">
        <f ca="1"/>
        <v/>
      </c>
      <c r="L33" s="141" t="str">
        <f ca="1"/>
        <v/>
      </c>
      <c r="M33" s="147" t="str">
        <f ca="1"/>
        <v/>
      </c>
      <c r="N33" s="151" t="str">
        <f ca="1"/>
        <v/>
      </c>
    </row>
    <row r="34" spans="8:14">
      <c r="H34" s="1"/>
      <c r="I34" s="146" t="str">
        <f ca="1"/>
        <v/>
      </c>
      <c r="J34" s="141" t="str">
        <f ca="1"/>
        <v/>
      </c>
      <c r="K34" s="147" t="str">
        <f ca="1"/>
        <v/>
      </c>
      <c r="L34" s="141" t="str">
        <f ca="1"/>
        <v/>
      </c>
      <c r="M34" s="147" t="str">
        <f ca="1"/>
        <v/>
      </c>
      <c r="N34" s="151" t="str">
        <f ca="1"/>
        <v/>
      </c>
    </row>
    <row r="35" spans="8:14">
      <c r="H35" s="1"/>
      <c r="I35" s="146" t="str">
        <f ca="1"/>
        <v/>
      </c>
      <c r="J35" s="141" t="str">
        <f ca="1"/>
        <v/>
      </c>
      <c r="K35" s="147" t="str">
        <f ca="1"/>
        <v/>
      </c>
      <c r="L35" s="141" t="str">
        <f ca="1"/>
        <v/>
      </c>
      <c r="M35" s="147" t="str">
        <f ca="1"/>
        <v/>
      </c>
      <c r="N35" s="151" t="str">
        <f ca="1"/>
        <v/>
      </c>
    </row>
    <row r="36" spans="8:14">
      <c r="H36" s="1"/>
      <c r="I36" s="146" t="str">
        <f ca="1"/>
        <v/>
      </c>
      <c r="J36" s="141" t="str">
        <f ca="1"/>
        <v/>
      </c>
      <c r="K36" s="147" t="str">
        <f ca="1"/>
        <v/>
      </c>
      <c r="L36" s="141" t="str">
        <f ca="1"/>
        <v/>
      </c>
      <c r="M36" s="147" t="str">
        <f ca="1"/>
        <v/>
      </c>
      <c r="N36" s="151" t="str">
        <f ca="1"/>
        <v/>
      </c>
    </row>
    <row r="37" spans="8:14">
      <c r="H37" s="1"/>
      <c r="I37" s="146" t="str">
        <f ca="1"/>
        <v/>
      </c>
      <c r="J37" s="141" t="str">
        <f ca="1"/>
        <v/>
      </c>
      <c r="K37" s="147" t="str">
        <f ca="1"/>
        <v/>
      </c>
      <c r="L37" s="141" t="str">
        <f ca="1"/>
        <v/>
      </c>
      <c r="M37" s="147" t="str">
        <f ca="1"/>
        <v/>
      </c>
      <c r="N37" s="151" t="str">
        <f ca="1"/>
        <v/>
      </c>
    </row>
    <row r="38" spans="8:14">
      <c r="H38" s="1"/>
      <c r="I38" s="148" t="str">
        <f ca="1"/>
        <v/>
      </c>
      <c r="J38" s="142" t="str">
        <f ca="1"/>
        <v/>
      </c>
      <c r="K38" s="149" t="str">
        <f ca="1"/>
        <v/>
      </c>
      <c r="L38" s="142" t="str">
        <f ca="1"/>
        <v/>
      </c>
      <c r="M38" s="149" t="str">
        <f ca="1"/>
        <v/>
      </c>
      <c r="N38" s="152" t="str">
        <f ca="1"/>
        <v/>
      </c>
    </row>
    <row r="39" spans="8:14">
      <c r="H39" s="1"/>
    </row>
    <row r="40" spans="8:14">
      <c r="H40" s="1"/>
    </row>
    <row r="41" spans="8:14">
      <c r="H41" s="1"/>
    </row>
    <row r="42" spans="8:14">
      <c r="H42" s="1"/>
    </row>
    <row r="43" spans="8:14">
      <c r="H43" s="1"/>
    </row>
    <row r="44" spans="8:14">
      <c r="H44" s="1"/>
    </row>
    <row r="45" spans="8:14">
      <c r="H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10</vt:i4>
      </vt:variant>
    </vt:vector>
  </HeadingPairs>
  <TitlesOfParts>
    <vt:vector size="17" baseType="lpstr">
      <vt:lpstr>USD GLOBAL CURVE</vt:lpstr>
      <vt:lpstr>EUR GLOBAL CURVE</vt:lpstr>
      <vt:lpstr>EUR XCCY CURVE</vt:lpstr>
      <vt:lpstr>DISPLAY_USD_CURVE</vt:lpstr>
      <vt:lpstr>DISPLAY_EUR_CURVE</vt:lpstr>
      <vt:lpstr>PRICING</vt:lpstr>
      <vt:lpstr>RISK</vt:lpstr>
      <vt:lpstr>isEURCurveLoaded</vt:lpstr>
      <vt:lpstr>isUSDCurveLoaded</vt:lpstr>
      <vt:lpstr>USDCurve.AsOfDate</vt:lpstr>
      <vt:lpstr>PRICING!Xccy.Deal.CurveCollection</vt:lpstr>
      <vt:lpstr>PRICING!Xccy.Deal.Properties</vt:lpstr>
      <vt:lpstr>PRICING!Xccy.Deal2</vt:lpstr>
      <vt:lpstr>Xccy.FXSpotRate</vt:lpstr>
      <vt:lpstr>Xccy.Leg1Curve</vt:lpstr>
      <vt:lpstr>Xccy.Leg2Curve</vt:lpstr>
      <vt:lpstr>Xccy.ValuationSettings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2017-08-10T11:56:55Z</dcterms:created>
  <dcterms:modified xsi:type="dcterms:W3CDTF">2019-04-24T18:34:45Z</dcterms:modified>
</cp:coreProperties>
</file>