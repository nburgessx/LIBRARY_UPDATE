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0" windowWidth="18315" windowHeight="11760" activeTab="1"/>
  </bookViews>
  <sheets>
    <sheet name="Curve" sheetId="2" r:id="rId1"/>
    <sheet name="Example" sheetId="1" r:id="rId2"/>
    <sheet name="Chart" sheetId="3" r:id="rId3"/>
  </sheets>
  <functionGroups builtInGroupCount="17"/>
  <definedNames>
    <definedName name="Compounding">Chart!$C$4</definedName>
    <definedName name="CurveCollection">Curve!$C$7</definedName>
    <definedName name="CurveIndex">Curve!$C$9</definedName>
    <definedName name="Interpolation2">Chart!$C$3</definedName>
    <definedName name="PeriodicityInDays">Chart!$C$2</definedName>
    <definedName name="StaticDataTable">Curve!$C$8</definedName>
    <definedName name="ValueDate">Curve!$C$12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L5" i="1" l="1"/>
  <c r="I5" i="1"/>
  <c r="F5" i="1"/>
  <c r="I7" i="1"/>
  <c r="L7" i="1"/>
  <c r="F7" i="1"/>
  <c r="C12" i="2" l="1"/>
  <c r="C5" i="1"/>
  <c r="D27" i="2"/>
  <c r="F9" i="1"/>
  <c r="C7" i="1"/>
  <c r="L9" i="1"/>
  <c r="I9" i="1"/>
  <c r="B7" i="3" l="1"/>
  <c r="E27" i="2"/>
  <c r="I22" i="1"/>
  <c r="L22" i="1"/>
  <c r="C9" i="1"/>
  <c r="C7" i="3"/>
  <c r="F22" i="1"/>
  <c r="D28" i="2" l="1"/>
  <c r="B8" i="3"/>
  <c r="E28" i="2"/>
  <c r="C22" i="1"/>
  <c r="C8" i="3"/>
  <c r="D29" i="2" l="1"/>
  <c r="B9" i="3"/>
  <c r="E29" i="2"/>
  <c r="C9" i="3"/>
  <c r="D30" i="2" l="1"/>
  <c r="B10" i="3"/>
  <c r="E30" i="2"/>
  <c r="C10" i="3"/>
  <c r="D31" i="2" l="1"/>
  <c r="B11" i="3"/>
  <c r="C11" i="3"/>
  <c r="E31" i="2"/>
  <c r="D32" i="2" l="1"/>
  <c r="B12" i="3"/>
  <c r="C12" i="3"/>
  <c r="E32" i="2"/>
  <c r="D33" i="2" l="1"/>
  <c r="B13" i="3"/>
  <c r="E33" i="2"/>
  <c r="C13" i="3"/>
  <c r="D34" i="2" l="1"/>
  <c r="B14" i="3"/>
  <c r="C14" i="3"/>
  <c r="E34" i="2"/>
  <c r="D35" i="2" l="1"/>
  <c r="B15" i="3"/>
  <c r="C15" i="3"/>
  <c r="E35" i="2"/>
  <c r="D36" i="2" l="1"/>
  <c r="B16" i="3"/>
  <c r="C16" i="3"/>
  <c r="E36" i="2"/>
  <c r="D37" i="2" l="1"/>
  <c r="B17" i="3"/>
  <c r="C17" i="3"/>
  <c r="E37" i="2"/>
  <c r="D38" i="2" l="1"/>
  <c r="B18" i="3"/>
  <c r="E38" i="2"/>
  <c r="B4" i="2" s="1"/>
  <c r="C18" i="3"/>
  <c r="B19" i="3" l="1"/>
  <c r="C19" i="3"/>
  <c r="B20" i="3" l="1"/>
  <c r="C20" i="3"/>
  <c r="B21" i="3" l="1"/>
  <c r="C21" i="3"/>
  <c r="B22" i="3" l="1"/>
  <c r="C22" i="3"/>
  <c r="B23" i="3" l="1"/>
  <c r="C23" i="3"/>
  <c r="B24" i="3" l="1"/>
  <c r="C24" i="3"/>
  <c r="B25" i="3" l="1"/>
  <c r="C25" i="3"/>
  <c r="B26" i="3" l="1"/>
  <c r="C26" i="3"/>
  <c r="B27" i="3" l="1"/>
  <c r="C27" i="3"/>
  <c r="B28" i="3" l="1"/>
  <c r="C28" i="3"/>
  <c r="B29" i="3" l="1"/>
  <c r="C29" i="3"/>
  <c r="B30" i="3" l="1"/>
  <c r="C30" i="3"/>
  <c r="B31" i="3" l="1"/>
  <c r="C31" i="3"/>
  <c r="B32" i="3" l="1"/>
  <c r="C32" i="3"/>
  <c r="B33" i="3" l="1"/>
  <c r="C33" i="3"/>
  <c r="B34" i="3" l="1"/>
  <c r="C34" i="3"/>
  <c r="B35" i="3" l="1"/>
  <c r="C35" i="3"/>
  <c r="B36" i="3" l="1"/>
  <c r="C36" i="3"/>
  <c r="B37" i="3" l="1"/>
  <c r="C37" i="3"/>
  <c r="B38" i="3" l="1"/>
  <c r="C38" i="3"/>
  <c r="B39" i="3" l="1"/>
  <c r="C39" i="3"/>
  <c r="B40" i="3" l="1"/>
  <c r="C40" i="3"/>
  <c r="B41" i="3" l="1"/>
  <c r="C41" i="3"/>
  <c r="B42" i="3" l="1"/>
  <c r="C42" i="3"/>
  <c r="B43" i="3" l="1"/>
  <c r="C43" i="3"/>
  <c r="B44" i="3" l="1"/>
  <c r="C44" i="3"/>
  <c r="B45" i="3" l="1"/>
  <c r="C45" i="3"/>
  <c r="B46" i="3" l="1"/>
  <c r="C46" i="3"/>
  <c r="B47" i="3" l="1"/>
  <c r="C47" i="3"/>
  <c r="B48" i="3" l="1"/>
  <c r="B49" i="3" s="1"/>
  <c r="C49" i="3"/>
  <c r="C48" i="3"/>
  <c r="B50" i="3" l="1"/>
  <c r="C50" i="3"/>
  <c r="B51" i="3" l="1"/>
  <c r="C51" i="3"/>
  <c r="B52" i="3" l="1"/>
  <c r="C52" i="3"/>
  <c r="B53" i="3" l="1"/>
  <c r="C53" i="3"/>
  <c r="B54" i="3" l="1"/>
  <c r="C54" i="3"/>
  <c r="B55" i="3" l="1"/>
  <c r="C55" i="3"/>
  <c r="B56" i="3" l="1"/>
  <c r="C56" i="3"/>
  <c r="B57" i="3" l="1"/>
  <c r="C57" i="3"/>
  <c r="B58" i="3" l="1"/>
  <c r="C58" i="3"/>
  <c r="B59" i="3" l="1"/>
  <c r="C59" i="3"/>
  <c r="B60" i="3" l="1"/>
  <c r="C60" i="3"/>
  <c r="B61" i="3" l="1"/>
  <c r="C61" i="3"/>
  <c r="B62" i="3" l="1"/>
  <c r="C62" i="3"/>
  <c r="B63" i="3" l="1"/>
  <c r="C63" i="3"/>
  <c r="B64" i="3" l="1"/>
  <c r="C64" i="3"/>
  <c r="B65" i="3" l="1"/>
  <c r="C65" i="3"/>
  <c r="B66" i="3" l="1"/>
  <c r="C66" i="3"/>
  <c r="B67" i="3" l="1"/>
  <c r="C67" i="3"/>
  <c r="B68" i="3" l="1"/>
  <c r="C68" i="3"/>
  <c r="B69" i="3" l="1"/>
  <c r="C69" i="3"/>
  <c r="B70" i="3" l="1"/>
  <c r="C70" i="3"/>
  <c r="B71" i="3" l="1"/>
  <c r="C71" i="3"/>
  <c r="B72" i="3" l="1"/>
  <c r="C72" i="3"/>
  <c r="B73" i="3" l="1"/>
  <c r="C73" i="3"/>
  <c r="B74" i="3" l="1"/>
  <c r="C74" i="3"/>
  <c r="B75" i="3" l="1"/>
  <c r="C75" i="3"/>
  <c r="B76" i="3" l="1"/>
  <c r="C76" i="3"/>
  <c r="B77" i="3" l="1"/>
  <c r="C77" i="3"/>
  <c r="B78" i="3" l="1"/>
  <c r="C78" i="3"/>
  <c r="B79" i="3" l="1"/>
  <c r="C79" i="3"/>
  <c r="B80" i="3" l="1"/>
  <c r="C80" i="3"/>
  <c r="B81" i="3" l="1"/>
  <c r="C81" i="3"/>
  <c r="B82" i="3" l="1"/>
  <c r="C82" i="3"/>
  <c r="B83" i="3" l="1"/>
  <c r="C83" i="3"/>
  <c r="B84" i="3" l="1"/>
  <c r="C84" i="3"/>
  <c r="B85" i="3" l="1"/>
  <c r="C85" i="3"/>
  <c r="B86" i="3" l="1"/>
  <c r="C86" i="3"/>
  <c r="B87" i="3" l="1"/>
  <c r="C87" i="3"/>
  <c r="B88" i="3" l="1"/>
  <c r="C88" i="3"/>
  <c r="B89" i="3" l="1"/>
  <c r="C89" i="3"/>
  <c r="B90" i="3" l="1"/>
  <c r="C90" i="3"/>
  <c r="B91" i="3" l="1"/>
  <c r="C91" i="3"/>
  <c r="B92" i="3" l="1"/>
  <c r="C92" i="3"/>
  <c r="B93" i="3" l="1"/>
  <c r="C93" i="3"/>
  <c r="B94" i="3" l="1"/>
  <c r="C94" i="3"/>
  <c r="B95" i="3" l="1"/>
  <c r="C95" i="3"/>
  <c r="B96" i="3" l="1"/>
  <c r="C96" i="3"/>
  <c r="B97" i="3" l="1"/>
  <c r="C97" i="3"/>
  <c r="B98" i="3" l="1"/>
  <c r="C98" i="3"/>
  <c r="B99" i="3" l="1"/>
  <c r="C99" i="3"/>
  <c r="B100" i="3" l="1"/>
  <c r="C100" i="3"/>
  <c r="B101" i="3" l="1"/>
  <c r="C101" i="3"/>
  <c r="B102" i="3" l="1"/>
  <c r="C102" i="3"/>
  <c r="B103" i="3" l="1"/>
  <c r="C103" i="3"/>
  <c r="B104" i="3" l="1"/>
  <c r="C104" i="3"/>
  <c r="B105" i="3" l="1"/>
  <c r="C105" i="3"/>
  <c r="B106" i="3" l="1"/>
  <c r="C106" i="3"/>
  <c r="B107" i="3" l="1"/>
  <c r="C107" i="3"/>
  <c r="B108" i="3" l="1"/>
  <c r="C108" i="3"/>
  <c r="B109" i="3" l="1"/>
  <c r="C109" i="3"/>
  <c r="B110" i="3" l="1"/>
  <c r="C110" i="3"/>
  <c r="B111" i="3" l="1"/>
  <c r="C111" i="3"/>
  <c r="B112" i="3" l="1"/>
  <c r="C112" i="3"/>
  <c r="B113" i="3" l="1"/>
  <c r="C113" i="3"/>
  <c r="B114" i="3" l="1"/>
  <c r="C114" i="3"/>
  <c r="B115" i="3" l="1"/>
  <c r="C115" i="3"/>
  <c r="B116" i="3" l="1"/>
  <c r="C116" i="3"/>
  <c r="B117" i="3" l="1"/>
  <c r="C117" i="3"/>
  <c r="B118" i="3" l="1"/>
  <c r="C118" i="3"/>
  <c r="B119" i="3" l="1"/>
  <c r="C119" i="3"/>
  <c r="B120" i="3" l="1"/>
  <c r="C120" i="3"/>
  <c r="B121" i="3" l="1"/>
  <c r="C121" i="3"/>
  <c r="B122" i="3" l="1"/>
  <c r="C122" i="3"/>
  <c r="B123" i="3" l="1"/>
  <c r="C123" i="3"/>
  <c r="B124" i="3" l="1"/>
  <c r="C124" i="3"/>
  <c r="B125" i="3" l="1"/>
  <c r="C125" i="3"/>
  <c r="B126" i="3" l="1"/>
  <c r="C126" i="3"/>
  <c r="B127" i="3" l="1"/>
  <c r="C127" i="3"/>
  <c r="B128" i="3" l="1"/>
  <c r="C128" i="3"/>
  <c r="B129" i="3" l="1"/>
  <c r="C129" i="3"/>
  <c r="B130" i="3" l="1"/>
  <c r="C130" i="3"/>
  <c r="B131" i="3" l="1"/>
  <c r="C131" i="3"/>
  <c r="B132" i="3" l="1"/>
  <c r="C132" i="3"/>
  <c r="B133" i="3" l="1"/>
  <c r="C133" i="3"/>
  <c r="B134" i="3" l="1"/>
  <c r="C134" i="3"/>
  <c r="B135" i="3" l="1"/>
  <c r="C135" i="3"/>
  <c r="B136" i="3" l="1"/>
  <c r="C136" i="3"/>
  <c r="B137" i="3" l="1"/>
  <c r="C137" i="3"/>
  <c r="B138" i="3" l="1"/>
  <c r="C138" i="3"/>
  <c r="B139" i="3" l="1"/>
  <c r="C139" i="3"/>
  <c r="B140" i="3" l="1"/>
  <c r="C140" i="3"/>
  <c r="B141" i="3" l="1"/>
  <c r="C141" i="3"/>
  <c r="B142" i="3" l="1"/>
  <c r="C142" i="3"/>
  <c r="B143" i="3" l="1"/>
  <c r="C143" i="3"/>
  <c r="B144" i="3" l="1"/>
  <c r="C144" i="3"/>
  <c r="B145" i="3" l="1"/>
  <c r="C145" i="3"/>
  <c r="B146" i="3" l="1"/>
  <c r="C146" i="3"/>
</calcChain>
</file>

<file path=xl/sharedStrings.xml><?xml version="1.0" encoding="utf-8"?>
<sst xmlns="http://schemas.openxmlformats.org/spreadsheetml/2006/main" count="212" uniqueCount="120">
  <si>
    <t>TradeDate</t>
    <phoneticPr fontId="7"/>
  </si>
  <si>
    <t>ValueDate</t>
    <phoneticPr fontId="7"/>
  </si>
  <si>
    <t>ExpiryDate</t>
    <phoneticPr fontId="7"/>
  </si>
  <si>
    <t>ACT/365</t>
  </si>
  <si>
    <t>MOD_FOLLOWING</t>
  </si>
  <si>
    <t>Term</t>
  </si>
  <si>
    <t>JPY_Curve</t>
    <phoneticPr fontId="6"/>
  </si>
  <si>
    <t>Term</t>
    <phoneticPr fontId="7"/>
  </si>
  <si>
    <t>Flat Compounding</t>
    <phoneticPr fontId="7"/>
  </si>
  <si>
    <t>Frequency</t>
    <phoneticPr fontId="7"/>
  </si>
  <si>
    <t>DayCount</t>
    <phoneticPr fontId="7"/>
  </si>
  <si>
    <t>Calendar</t>
    <phoneticPr fontId="7"/>
  </si>
  <si>
    <t>SpotLag</t>
    <phoneticPr fontId="7"/>
  </si>
  <si>
    <t>2D</t>
    <phoneticPr fontId="7"/>
  </si>
  <si>
    <t>SIMPLE</t>
    <phoneticPr fontId="7"/>
  </si>
  <si>
    <t>FLAT</t>
    <phoneticPr fontId="7"/>
  </si>
  <si>
    <t>AVERAGE</t>
    <phoneticPr fontId="7"/>
  </si>
  <si>
    <t>NORMAL</t>
    <phoneticPr fontId="7"/>
  </si>
  <si>
    <t>Spread</t>
    <phoneticPr fontId="7"/>
  </si>
  <si>
    <t>Interpolation</t>
    <phoneticPr fontId="7"/>
  </si>
  <si>
    <t>Spline</t>
    <phoneticPr fontId="7"/>
  </si>
  <si>
    <t>2Y</t>
  </si>
  <si>
    <t>JPYOIS</t>
    <phoneticPr fontId="6"/>
  </si>
  <si>
    <t>TKB</t>
    <phoneticPr fontId="6"/>
  </si>
  <si>
    <t>Rate</t>
  </si>
  <si>
    <t>StartDate</t>
  </si>
  <si>
    <t>EndDate</t>
  </si>
  <si>
    <t>1M</t>
  </si>
  <si>
    <t>BOJ01</t>
  </si>
  <si>
    <t>BOJ02</t>
  </si>
  <si>
    <t>BOJ03</t>
  </si>
  <si>
    <t>BOJ04</t>
  </si>
  <si>
    <t>BOJ05</t>
  </si>
  <si>
    <t>BOJ06</t>
  </si>
  <si>
    <t>BOJ07</t>
  </si>
  <si>
    <t>BOJ08</t>
  </si>
  <si>
    <t>BOJ09</t>
  </si>
  <si>
    <t>BOJ10</t>
  </si>
  <si>
    <t>BOJ11</t>
  </si>
  <si>
    <t>BOJ12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</si>
  <si>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</si>
  <si>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</si>
  <si>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</si>
  <si>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</si>
  <si>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</si>
  <si>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</si>
  <si>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</si>
  <si>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</si>
  <si>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</si>
  <si>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</si>
  <si>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18M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</si>
  <si>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</si>
  <si>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</si>
  <si>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</si>
  <si>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</si>
  <si>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</si>
  <si>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</si>
  <si>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</si>
  <si>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</si>
  <si>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</si>
  <si>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</si>
  <si>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</si>
  <si>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</si>
  <si>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30Y</t>
  </si>
  <si>
    <t>40Y</t>
  </si>
  <si>
    <t>50Y</t>
  </si>
  <si>
    <t>60Y</t>
  </si>
  <si>
    <t>AsOfDate</t>
    <phoneticPr fontId="10"/>
  </si>
  <si>
    <t>Currency</t>
    <phoneticPr fontId="10"/>
  </si>
  <si>
    <t>JPY</t>
    <phoneticPr fontId="10"/>
  </si>
  <si>
    <t>daycount</t>
    <phoneticPr fontId="10"/>
  </si>
  <si>
    <t>frequency</t>
    <phoneticPr fontId="10"/>
  </si>
  <si>
    <t>slidingrule</t>
    <phoneticPr fontId="10"/>
  </si>
  <si>
    <t>calendar</t>
    <phoneticPr fontId="10"/>
  </si>
  <si>
    <t>TKB</t>
    <phoneticPr fontId="10"/>
  </si>
  <si>
    <t>ACT/365</t>
    <phoneticPr fontId="10"/>
  </si>
  <si>
    <t>Annual</t>
    <phoneticPr fontId="10"/>
  </si>
  <si>
    <t>generatemethod</t>
    <phoneticPr fontId="10"/>
  </si>
  <si>
    <t>dailycompounding</t>
    <phoneticPr fontId="10"/>
  </si>
  <si>
    <t>resetlag</t>
    <phoneticPr fontId="10"/>
  </si>
  <si>
    <t>2d</t>
    <phoneticPr fontId="10"/>
  </si>
  <si>
    <t>MOD_FOLLOWING</t>
    <phoneticPr fontId="10"/>
  </si>
  <si>
    <t>JPYOIS</t>
    <phoneticPr fontId="10"/>
  </si>
  <si>
    <t>Periodicity in Days</t>
  </si>
  <si>
    <t>Interpolation</t>
  </si>
  <si>
    <t>Compounding</t>
  </si>
  <si>
    <t>Normal</t>
  </si>
  <si>
    <t>Expiry Date</t>
  </si>
  <si>
    <t>Step</t>
  </si>
  <si>
    <t>Compounding Type</t>
  </si>
  <si>
    <t>Geometric Averaging ( for SONIA, EONIA )</t>
  </si>
  <si>
    <t>Arithmetic Averaging ( FED Funds )</t>
  </si>
  <si>
    <t>Compounding but simple interest applied to spread</t>
  </si>
  <si>
    <t>Comment on Compounding Types</t>
  </si>
  <si>
    <t>Parameters</t>
  </si>
  <si>
    <t>fn_splineinterpolation</t>
  </si>
  <si>
    <t>CurveCollection</t>
  </si>
  <si>
    <t>CurveIndex</t>
  </si>
  <si>
    <t>meCurveCalibrateOIS</t>
  </si>
  <si>
    <t>firstStubDate</t>
  </si>
  <si>
    <t>lastStubDate</t>
  </si>
  <si>
    <t>StubType</t>
  </si>
  <si>
    <t>1Y</t>
  </si>
  <si>
    <t>Monthly</t>
  </si>
  <si>
    <t>NORMAL</t>
  </si>
  <si>
    <t>ENDDATE</t>
  </si>
  <si>
    <t>SS</t>
  </si>
  <si>
    <t>meCurveCompoundRate</t>
  </si>
  <si>
    <t>Spline</t>
  </si>
  <si>
    <t>BusinessDayAdjustment</t>
  </si>
  <si>
    <t>Weekly</t>
  </si>
  <si>
    <t>Curve Build Properties</t>
  </si>
  <si>
    <t>JPYOIS</t>
  </si>
  <si>
    <t>StaticDataTable</t>
  </si>
  <si>
    <t>OIS</t>
  </si>
  <si>
    <t>RollDayInput</t>
  </si>
  <si>
    <t>Curve Names</t>
  </si>
  <si>
    <t>yieldgen.interpolation</t>
  </si>
  <si>
    <t>OIS Conventions</t>
  </si>
  <si>
    <t>OIS Market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</si>
</sst>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0.00000%"/>
    <numFmt numFmtId="165" formatCode="0.0"/>
    <numFmt numFmtId="166" formatCode="0.000000000000000%"/>
    <numFmt numFmtId="167" formatCode="0.0000%"/>
    <numFmt numFmtId="168" formatCode="#,##0_ ;[Red]\-#,##0\ "/>
    <numFmt numFmtId="169" formatCode="#,##0.00000"/>
  </numFmts>
  <fonts count="15"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Calibri"/>
      <family val="2"/>
      <charset val="128"/>
      <scheme val="minor"/>
    </font>
    <font>
      <sz val="6"/>
      <name val="ＭＳ Ｐゴシック"/>
      <family val="3"/>
      <charset val="128"/>
    </font>
    <font>
      <sz val="10"/>
      <name val="Geneva"/>
      <family val="2"/>
    </font>
    <font>
      <sz val="11"/>
      <name val="Times New Roman"/>
      <family val="1"/>
    </font>
    <font>
      <sz val="6"/>
      <name val="ＭＳ Ｐ明朝"/>
      <family val="1"/>
      <charset val="128"/>
    </font>
    <font>
      <sz val="11"/>
      <name val="Calibri"/>
      <family val="2"/>
      <scheme val="minor"/>
    </font>
    <font>
      <sz val="11"/>
      <color rgb="FF0066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00FF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65"/>
        <bgColor indexed="1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26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</borders>
  <cellStyleXfs count="6">
    <xf numFmtId="0" fontId="0" fillId="0" borderId="0">
      <alignment vertical="center"/>
    </xf>
    <xf numFmtId="38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8" fillId="0" borderId="0"/>
    <xf numFmtId="0" fontId="9" fillId="0" borderId="0">
      <alignment vertical="center"/>
    </xf>
  </cellStyleXfs>
  <cellXfs count="71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5" xfId="0" applyFont="1" applyBorder="1">
      <alignment vertical="center"/>
    </xf>
    <xf numFmtId="0" fontId="3" fillId="0" borderId="7" xfId="0" applyFont="1" applyBorder="1">
      <alignment vertical="center"/>
    </xf>
    <xf numFmtId="0" fontId="3" fillId="0" borderId="9" xfId="0" applyFont="1" applyBorder="1">
      <alignment vertical="center"/>
    </xf>
    <xf numFmtId="0" fontId="11" fillId="3" borderId="1" xfId="3" applyFont="1" applyFill="1" applyBorder="1">
      <alignment vertical="center"/>
    </xf>
    <xf numFmtId="0" fontId="11" fillId="3" borderId="2" xfId="3" applyFont="1" applyFill="1" applyBorder="1">
      <alignment vertical="center"/>
    </xf>
    <xf numFmtId="0" fontId="11" fillId="4" borderId="2" xfId="4" applyFont="1" applyFill="1" applyBorder="1"/>
    <xf numFmtId="0" fontId="11" fillId="4" borderId="2" xfId="3" applyFont="1" applyFill="1" applyBorder="1">
      <alignment vertical="center"/>
    </xf>
    <xf numFmtId="0" fontId="11" fillId="3" borderId="3" xfId="3" applyFont="1" applyFill="1" applyBorder="1">
      <alignment vertical="center"/>
    </xf>
    <xf numFmtId="38" fontId="11" fillId="0" borderId="0" xfId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38" fontId="11" fillId="5" borderId="1" xfId="1" applyFont="1" applyFill="1" applyBorder="1" applyAlignment="1">
      <alignment horizontal="center" vertical="center"/>
    </xf>
    <xf numFmtId="38" fontId="11" fillId="5" borderId="2" xfId="1" applyFont="1" applyFill="1" applyBorder="1" applyAlignment="1">
      <alignment horizontal="center" vertical="center"/>
    </xf>
    <xf numFmtId="38" fontId="11" fillId="5" borderId="3" xfId="1" applyFont="1" applyFill="1" applyBorder="1" applyAlignment="1">
      <alignment horizontal="center" vertical="center"/>
    </xf>
    <xf numFmtId="38" fontId="13" fillId="0" borderId="0" xfId="1" applyFont="1" applyFill="1" applyBorder="1" applyAlignment="1">
      <alignment horizontal="left" vertical="center"/>
    </xf>
    <xf numFmtId="166" fontId="11" fillId="5" borderId="4" xfId="2" applyNumberFormat="1" applyFont="1" applyFill="1" applyBorder="1" applyAlignment="1">
      <alignment horizontal="left" vertical="center"/>
    </xf>
    <xf numFmtId="166" fontId="11" fillId="5" borderId="6" xfId="2" applyNumberFormat="1" applyFont="1" applyFill="1" applyBorder="1" applyAlignment="1">
      <alignment horizontal="left" vertical="center"/>
    </xf>
    <xf numFmtId="166" fontId="11" fillId="5" borderId="8" xfId="2" applyNumberFormat="1" applyFont="1" applyFill="1" applyBorder="1" applyAlignment="1">
      <alignment horizontal="left" vertical="center"/>
    </xf>
    <xf numFmtId="38" fontId="11" fillId="0" borderId="0" xfId="1" applyFont="1" applyFill="1" applyBorder="1" applyAlignment="1">
      <alignment horizontal="left" vertical="center"/>
    </xf>
    <xf numFmtId="15" fontId="11" fillId="5" borderId="2" xfId="3" applyNumberFormat="1" applyFont="1" applyFill="1" applyBorder="1" applyAlignment="1">
      <alignment horizontal="center" vertical="center"/>
    </xf>
    <xf numFmtId="165" fontId="11" fillId="5" borderId="3" xfId="1" applyNumberFormat="1" applyFont="1" applyFill="1" applyBorder="1" applyAlignment="1">
      <alignment horizontal="center" vertical="center"/>
    </xf>
    <xf numFmtId="0" fontId="3" fillId="0" borderId="0" xfId="0" applyFont="1" applyFill="1">
      <alignment vertical="center"/>
    </xf>
    <xf numFmtId="0" fontId="11" fillId="0" borderId="0" xfId="5" applyFont="1" applyFill="1" applyAlignment="1">
      <alignment vertical="center"/>
    </xf>
    <xf numFmtId="0" fontId="11" fillId="3" borderId="4" xfId="5" applyFont="1" applyFill="1" applyBorder="1" applyAlignment="1">
      <alignment vertical="center"/>
    </xf>
    <xf numFmtId="0" fontId="11" fillId="3" borderId="5" xfId="5" applyFont="1" applyFill="1" applyBorder="1" applyAlignment="1">
      <alignment horizontal="center" vertical="center"/>
    </xf>
    <xf numFmtId="0" fontId="12" fillId="3" borderId="8" xfId="5" quotePrefix="1" applyFont="1" applyFill="1" applyBorder="1" applyAlignment="1" applyProtection="1">
      <alignment vertical="center"/>
      <protection locked="0"/>
    </xf>
    <xf numFmtId="0" fontId="13" fillId="3" borderId="9" xfId="5" applyFont="1" applyFill="1" applyBorder="1" applyAlignment="1">
      <alignment horizontal="center" vertical="center"/>
    </xf>
    <xf numFmtId="0" fontId="11" fillId="0" borderId="0" xfId="5" applyFont="1" applyFill="1" applyBorder="1" applyAlignment="1">
      <alignment vertical="center"/>
    </xf>
    <xf numFmtId="0" fontId="11" fillId="0" borderId="0" xfId="5" applyFont="1" applyFill="1" applyBorder="1" applyAlignment="1">
      <alignment horizontal="center" vertical="center"/>
    </xf>
    <xf numFmtId="0" fontId="11" fillId="0" borderId="1" xfId="5" applyFont="1" applyFill="1" applyBorder="1" applyAlignment="1">
      <alignment vertical="center"/>
    </xf>
    <xf numFmtId="14" fontId="11" fillId="0" borderId="1" xfId="5" applyNumberFormat="1" applyFont="1" applyFill="1" applyBorder="1" applyAlignment="1">
      <alignment horizontal="center" vertical="center"/>
    </xf>
    <xf numFmtId="14" fontId="11" fillId="0" borderId="0" xfId="5" applyNumberFormat="1" applyFont="1" applyFill="1" applyBorder="1" applyAlignment="1">
      <alignment horizontal="center" vertical="center"/>
    </xf>
    <xf numFmtId="0" fontId="11" fillId="0" borderId="2" xfId="5" applyFont="1" applyFill="1" applyBorder="1" applyAlignment="1">
      <alignment vertical="center"/>
    </xf>
    <xf numFmtId="15" fontId="11" fillId="0" borderId="2" xfId="5" applyNumberFormat="1" applyFont="1" applyFill="1" applyBorder="1" applyAlignment="1">
      <alignment horizontal="center" vertical="center"/>
    </xf>
    <xf numFmtId="14" fontId="11" fillId="0" borderId="2" xfId="5" applyNumberFormat="1" applyFont="1" applyFill="1" applyBorder="1" applyAlignment="1">
      <alignment horizontal="center" vertical="center"/>
    </xf>
    <xf numFmtId="0" fontId="11" fillId="0" borderId="3" xfId="5" applyFont="1" applyFill="1" applyBorder="1" applyAlignment="1">
      <alignment vertical="center"/>
    </xf>
    <xf numFmtId="14" fontId="11" fillId="0" borderId="3" xfId="5" applyNumberFormat="1" applyFont="1" applyFill="1" applyBorder="1" applyAlignment="1">
      <alignment horizontal="center" vertical="center"/>
    </xf>
    <xf numFmtId="164" fontId="11" fillId="0" borderId="2" xfId="5" applyNumberFormat="1" applyFont="1" applyFill="1" applyBorder="1" applyAlignment="1">
      <alignment horizontal="center" vertical="center"/>
    </xf>
    <xf numFmtId="164" fontId="11" fillId="0" borderId="3" xfId="5" applyNumberFormat="1" applyFont="1" applyFill="1" applyBorder="1" applyAlignment="1">
      <alignment horizontal="center" vertical="center"/>
    </xf>
    <xf numFmtId="15" fontId="11" fillId="0" borderId="3" xfId="5" applyNumberFormat="1" applyFont="1" applyFill="1" applyBorder="1" applyAlignment="1">
      <alignment horizontal="center" vertical="center"/>
    </xf>
    <xf numFmtId="0" fontId="13" fillId="2" borderId="0" xfId="5" applyFont="1" applyFill="1" applyAlignment="1">
      <alignment vertical="center"/>
    </xf>
    <xf numFmtId="0" fontId="13" fillId="0" borderId="0" xfId="5" applyFont="1" applyFill="1" applyBorder="1" applyAlignment="1">
      <alignment vertical="center"/>
    </xf>
    <xf numFmtId="0" fontId="11" fillId="0" borderId="1" xfId="5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2" xfId="0" applyBorder="1" applyAlignment="1">
      <alignment horizontal="center"/>
    </xf>
    <xf numFmtId="0" fontId="0" fillId="0" borderId="3" xfId="0" applyBorder="1">
      <alignment vertical="center"/>
    </xf>
    <xf numFmtId="0" fontId="0" fillId="0" borderId="3" xfId="0" applyBorder="1" applyAlignment="1">
      <alignment horizontal="center"/>
    </xf>
    <xf numFmtId="15" fontId="0" fillId="0" borderId="2" xfId="0" applyNumberFormat="1" applyBorder="1" applyAlignment="1">
      <alignment horizontal="center" vertical="center"/>
    </xf>
    <xf numFmtId="167" fontId="0" fillId="0" borderId="2" xfId="0" applyNumberFormat="1" applyBorder="1" applyAlignment="1">
      <alignment horizontal="center" vertical="center"/>
    </xf>
    <xf numFmtId="165" fontId="11" fillId="5" borderId="7" xfId="1" applyNumberFormat="1" applyFont="1" applyFill="1" applyBorder="1" applyAlignment="1">
      <alignment horizontal="center" vertical="center"/>
    </xf>
    <xf numFmtId="168" fontId="11" fillId="5" borderId="2" xfId="1" applyNumberFormat="1" applyFont="1" applyFill="1" applyBorder="1" applyAlignment="1">
      <alignment horizontal="center" vertical="center"/>
    </xf>
    <xf numFmtId="1" fontId="11" fillId="5" borderId="7" xfId="1" applyNumberFormat="1" applyFont="1" applyFill="1" applyBorder="1" applyAlignment="1">
      <alignment horizontal="center" vertical="center"/>
    </xf>
    <xf numFmtId="169" fontId="3" fillId="0" borderId="0" xfId="0" applyNumberFormat="1" applyFont="1" applyAlignment="1">
      <alignment horizontal="center" vertical="center"/>
    </xf>
    <xf numFmtId="0" fontId="2" fillId="0" borderId="0" xfId="0" quotePrefix="1" applyFont="1">
      <alignment vertical="center"/>
    </xf>
    <xf numFmtId="0" fontId="1" fillId="0" borderId="0" xfId="0" applyFont="1">
      <alignment vertical="center"/>
    </xf>
    <xf numFmtId="38" fontId="11" fillId="5" borderId="0" xfId="1" applyFont="1" applyFill="1" applyBorder="1" applyAlignment="1">
      <alignment horizontal="center" vertical="center"/>
    </xf>
    <xf numFmtId="166" fontId="11" fillId="5" borderId="0" xfId="2" applyNumberFormat="1" applyFont="1" applyFill="1" applyBorder="1" applyAlignment="1">
      <alignment horizontal="left" vertical="center"/>
    </xf>
    <xf numFmtId="0" fontId="3" fillId="0" borderId="0" xfId="0" applyFont="1" applyBorder="1">
      <alignment vertical="center"/>
    </xf>
    <xf numFmtId="0" fontId="14" fillId="0" borderId="0" xfId="0" applyFont="1" applyAlignment="1">
      <alignment horizontal="center" vertical="center"/>
    </xf>
    <xf numFmtId="0" fontId="14" fillId="0" borderId="11" xfId="0" applyFont="1" applyBorder="1" applyAlignment="1">
      <alignment horizontal="center" vertical="center"/>
    </xf>
    <xf numFmtId="9" fontId="11" fillId="3" borderId="2" xfId="2" applyFont="1" applyFill="1" applyBorder="1">
      <alignment vertical="center"/>
    </xf>
    <xf numFmtId="165" fontId="11" fillId="5" borderId="2" xfId="1" applyNumberFormat="1" applyFont="1" applyFill="1" applyBorder="1" applyAlignment="1">
      <alignment horizontal="center" vertical="center"/>
    </xf>
    <xf numFmtId="167" fontId="0" fillId="0" borderId="0" xfId="0" applyNumberFormat="1">
      <alignment vertical="center"/>
    </xf>
    <xf numFmtId="15" fontId="0" fillId="0" borderId="3" xfId="0" applyNumberFormat="1" applyBorder="1" applyAlignment="1">
      <alignment horizontal="center" vertical="center"/>
    </xf>
    <xf numFmtId="15" fontId="11" fillId="0" borderId="1" xfId="5" applyNumberFormat="1" applyFont="1" applyFill="1" applyBorder="1" applyAlignment="1">
      <alignment horizontal="center" vertical="center"/>
    </xf>
    <xf numFmtId="164" fontId="12" fillId="0" borderId="10" xfId="2" applyNumberFormat="1" applyFont="1" applyFill="1" applyBorder="1" applyAlignment="1">
      <alignment horizontal="center" vertical="center"/>
    </xf>
    <xf numFmtId="164" fontId="3" fillId="0" borderId="0" xfId="0" applyNumberFormat="1" applyFont="1">
      <alignment vertical="center"/>
    </xf>
    <xf numFmtId="15" fontId="11" fillId="5" borderId="2" xfId="1" applyNumberFormat="1" applyFont="1" applyFill="1" applyBorder="1" applyAlignment="1">
      <alignment horizontal="center" vertical="center"/>
    </xf>
  </cellXfs>
  <cellStyles count="6">
    <cellStyle name="Comma [0]" xfId="1" builtinId="6"/>
    <cellStyle name="Normal" xfId="0" builtinId="0"/>
    <cellStyle name="Percent" xfId="2" builtinId="5"/>
    <cellStyle name="標準_DegitalOption_test" xfId="4"/>
    <cellStyle name="標準_Input_OutPut20060417" xfId="5"/>
    <cellStyle name="標準_VanillaSheetSample" xfId="3"/>
  </cellStyles>
  <dxfs count="0"/>
  <tableStyles count="0" defaultTableStyle="TableStyleMedium2" defaultPivotStyle="PivotStyleLight16"/>
  <colors>
    <mruColors>
      <color rgb="FF0000FF"/>
      <color rgb="FFFFFFCC"/>
      <color rgb="FF0066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Chart!$B$7:$B$146</c:f>
              <c:numCache>
                <c:formatCode>d\-mmm\-yy</c:formatCode>
                <c:ptCount val="140"/>
                <c:pt idx="0">
                  <c:v>42671</c:v>
                </c:pt>
                <c:pt idx="1">
                  <c:v>42681</c:v>
                </c:pt>
                <c:pt idx="2">
                  <c:v>42691</c:v>
                </c:pt>
                <c:pt idx="3">
                  <c:v>42701</c:v>
                </c:pt>
                <c:pt idx="4">
                  <c:v>42711</c:v>
                </c:pt>
                <c:pt idx="5">
                  <c:v>42721</c:v>
                </c:pt>
                <c:pt idx="6">
                  <c:v>42731</c:v>
                </c:pt>
                <c:pt idx="7">
                  <c:v>42741</c:v>
                </c:pt>
                <c:pt idx="8">
                  <c:v>42751</c:v>
                </c:pt>
                <c:pt idx="9">
                  <c:v>42761</c:v>
                </c:pt>
                <c:pt idx="10">
                  <c:v>42771</c:v>
                </c:pt>
                <c:pt idx="11">
                  <c:v>42781</c:v>
                </c:pt>
                <c:pt idx="12">
                  <c:v>42791</c:v>
                </c:pt>
                <c:pt idx="13">
                  <c:v>42801</c:v>
                </c:pt>
                <c:pt idx="14">
                  <c:v>42811</c:v>
                </c:pt>
                <c:pt idx="15">
                  <c:v>42821</c:v>
                </c:pt>
                <c:pt idx="16">
                  <c:v>42831</c:v>
                </c:pt>
                <c:pt idx="17">
                  <c:v>42841</c:v>
                </c:pt>
                <c:pt idx="18">
                  <c:v>42851</c:v>
                </c:pt>
                <c:pt idx="19">
                  <c:v>42861</c:v>
                </c:pt>
                <c:pt idx="20">
                  <c:v>42871</c:v>
                </c:pt>
                <c:pt idx="21">
                  <c:v>42881</c:v>
                </c:pt>
                <c:pt idx="22">
                  <c:v>42891</c:v>
                </c:pt>
                <c:pt idx="23">
                  <c:v>42901</c:v>
                </c:pt>
                <c:pt idx="24">
                  <c:v>42911</c:v>
                </c:pt>
                <c:pt idx="25">
                  <c:v>42921</c:v>
                </c:pt>
                <c:pt idx="26">
                  <c:v>42931</c:v>
                </c:pt>
                <c:pt idx="27">
                  <c:v>42941</c:v>
                </c:pt>
                <c:pt idx="28">
                  <c:v>42951</c:v>
                </c:pt>
                <c:pt idx="29">
                  <c:v>42961</c:v>
                </c:pt>
                <c:pt idx="30">
                  <c:v>42971</c:v>
                </c:pt>
                <c:pt idx="31">
                  <c:v>42981</c:v>
                </c:pt>
                <c:pt idx="32">
                  <c:v>42991</c:v>
                </c:pt>
                <c:pt idx="33">
                  <c:v>43001</c:v>
                </c:pt>
                <c:pt idx="34">
                  <c:v>43011</c:v>
                </c:pt>
                <c:pt idx="35">
                  <c:v>43021</c:v>
                </c:pt>
                <c:pt idx="36">
                  <c:v>43031</c:v>
                </c:pt>
                <c:pt idx="37">
                  <c:v>43041</c:v>
                </c:pt>
                <c:pt idx="38">
                  <c:v>43051</c:v>
                </c:pt>
                <c:pt idx="39">
                  <c:v>43061</c:v>
                </c:pt>
                <c:pt idx="40">
                  <c:v>43071</c:v>
                </c:pt>
                <c:pt idx="41">
                  <c:v>43081</c:v>
                </c:pt>
                <c:pt idx="42">
                  <c:v>43091</c:v>
                </c:pt>
                <c:pt idx="43">
                  <c:v>43101</c:v>
                </c:pt>
                <c:pt idx="44">
                  <c:v>43111</c:v>
                </c:pt>
                <c:pt idx="45">
                  <c:v>43121</c:v>
                </c:pt>
                <c:pt idx="46">
                  <c:v>43131</c:v>
                </c:pt>
                <c:pt idx="47">
                  <c:v>43141</c:v>
                </c:pt>
                <c:pt idx="48">
                  <c:v>43151</c:v>
                </c:pt>
                <c:pt idx="49">
                  <c:v>43161</c:v>
                </c:pt>
                <c:pt idx="50">
                  <c:v>43171</c:v>
                </c:pt>
                <c:pt idx="51">
                  <c:v>43181</c:v>
                </c:pt>
                <c:pt idx="52">
                  <c:v>43191</c:v>
                </c:pt>
                <c:pt idx="53">
                  <c:v>43201</c:v>
                </c:pt>
                <c:pt idx="54">
                  <c:v>43211</c:v>
                </c:pt>
                <c:pt idx="55">
                  <c:v>43221</c:v>
                </c:pt>
                <c:pt idx="56">
                  <c:v>43231</c:v>
                </c:pt>
                <c:pt idx="57">
                  <c:v>43241</c:v>
                </c:pt>
                <c:pt idx="58">
                  <c:v>43251</c:v>
                </c:pt>
                <c:pt idx="59">
                  <c:v>43261</c:v>
                </c:pt>
                <c:pt idx="60">
                  <c:v>43271</c:v>
                </c:pt>
                <c:pt idx="61">
                  <c:v>43281</c:v>
                </c:pt>
                <c:pt idx="62">
                  <c:v>43291</c:v>
                </c:pt>
                <c:pt idx="63">
                  <c:v>43301</c:v>
                </c:pt>
                <c:pt idx="64">
                  <c:v>43311</c:v>
                </c:pt>
                <c:pt idx="65">
                  <c:v>43321</c:v>
                </c:pt>
                <c:pt idx="66">
                  <c:v>43331</c:v>
                </c:pt>
                <c:pt idx="67">
                  <c:v>43341</c:v>
                </c:pt>
                <c:pt idx="68">
                  <c:v>43351</c:v>
                </c:pt>
                <c:pt idx="69">
                  <c:v>43361</c:v>
                </c:pt>
                <c:pt idx="70">
                  <c:v>43371</c:v>
                </c:pt>
                <c:pt idx="71">
                  <c:v>43381</c:v>
                </c:pt>
                <c:pt idx="72">
                  <c:v>43391</c:v>
                </c:pt>
                <c:pt idx="73">
                  <c:v>43401</c:v>
                </c:pt>
                <c:pt idx="74">
                  <c:v>43411</c:v>
                </c:pt>
                <c:pt idx="75">
                  <c:v>43421</c:v>
                </c:pt>
                <c:pt idx="76">
                  <c:v>43431</c:v>
                </c:pt>
                <c:pt idx="77">
                  <c:v>43441</c:v>
                </c:pt>
                <c:pt idx="78">
                  <c:v>43451</c:v>
                </c:pt>
                <c:pt idx="79">
                  <c:v>43461</c:v>
                </c:pt>
                <c:pt idx="80">
                  <c:v>43471</c:v>
                </c:pt>
                <c:pt idx="81">
                  <c:v>43481</c:v>
                </c:pt>
                <c:pt idx="82">
                  <c:v>43491</c:v>
                </c:pt>
                <c:pt idx="83">
                  <c:v>43501</c:v>
                </c:pt>
                <c:pt idx="84">
                  <c:v>43511</c:v>
                </c:pt>
                <c:pt idx="85">
                  <c:v>43521</c:v>
                </c:pt>
                <c:pt idx="86">
                  <c:v>43531</c:v>
                </c:pt>
                <c:pt idx="87">
                  <c:v>43541</c:v>
                </c:pt>
                <c:pt idx="88">
                  <c:v>43551</c:v>
                </c:pt>
                <c:pt idx="89">
                  <c:v>43561</c:v>
                </c:pt>
                <c:pt idx="90">
                  <c:v>43571</c:v>
                </c:pt>
                <c:pt idx="91">
                  <c:v>43581</c:v>
                </c:pt>
                <c:pt idx="92">
                  <c:v>43591</c:v>
                </c:pt>
                <c:pt idx="93">
                  <c:v>43601</c:v>
                </c:pt>
                <c:pt idx="94">
                  <c:v>43611</c:v>
                </c:pt>
                <c:pt idx="95">
                  <c:v>43621</c:v>
                </c:pt>
                <c:pt idx="96">
                  <c:v>43631</c:v>
                </c:pt>
                <c:pt idx="97">
                  <c:v>43641</c:v>
                </c:pt>
                <c:pt idx="98">
                  <c:v>43651</c:v>
                </c:pt>
                <c:pt idx="99">
                  <c:v>43661</c:v>
                </c:pt>
                <c:pt idx="100">
                  <c:v>43671</c:v>
                </c:pt>
                <c:pt idx="101">
                  <c:v>43681</c:v>
                </c:pt>
                <c:pt idx="102">
                  <c:v>43691</c:v>
                </c:pt>
                <c:pt idx="103">
                  <c:v>43701</c:v>
                </c:pt>
                <c:pt idx="104">
                  <c:v>43711</c:v>
                </c:pt>
                <c:pt idx="105">
                  <c:v>43721</c:v>
                </c:pt>
                <c:pt idx="106">
                  <c:v>43731</c:v>
                </c:pt>
                <c:pt idx="107">
                  <c:v>43741</c:v>
                </c:pt>
                <c:pt idx="108">
                  <c:v>43751</c:v>
                </c:pt>
                <c:pt idx="109">
                  <c:v>43761</c:v>
                </c:pt>
                <c:pt idx="110">
                  <c:v>43771</c:v>
                </c:pt>
                <c:pt idx="111">
                  <c:v>43781</c:v>
                </c:pt>
                <c:pt idx="112">
                  <c:v>43791</c:v>
                </c:pt>
                <c:pt idx="113">
                  <c:v>43801</c:v>
                </c:pt>
                <c:pt idx="114">
                  <c:v>43811</c:v>
                </c:pt>
                <c:pt idx="115">
                  <c:v>43821</c:v>
                </c:pt>
                <c:pt idx="116">
                  <c:v>43831</c:v>
                </c:pt>
                <c:pt idx="117">
                  <c:v>43841</c:v>
                </c:pt>
                <c:pt idx="118">
                  <c:v>43851</c:v>
                </c:pt>
                <c:pt idx="119">
                  <c:v>43861</c:v>
                </c:pt>
                <c:pt idx="120">
                  <c:v>43871</c:v>
                </c:pt>
                <c:pt idx="121">
                  <c:v>43881</c:v>
                </c:pt>
                <c:pt idx="122">
                  <c:v>43891</c:v>
                </c:pt>
                <c:pt idx="123">
                  <c:v>43901</c:v>
                </c:pt>
                <c:pt idx="124">
                  <c:v>43911</c:v>
                </c:pt>
                <c:pt idx="125">
                  <c:v>43921</c:v>
                </c:pt>
                <c:pt idx="126">
                  <c:v>43931</c:v>
                </c:pt>
                <c:pt idx="127">
                  <c:v>43941</c:v>
                </c:pt>
                <c:pt idx="128">
                  <c:v>43951</c:v>
                </c:pt>
                <c:pt idx="129">
                  <c:v>43961</c:v>
                </c:pt>
                <c:pt idx="130">
                  <c:v>43971</c:v>
                </c:pt>
                <c:pt idx="131">
                  <c:v>43981</c:v>
                </c:pt>
                <c:pt idx="132">
                  <c:v>43991</c:v>
                </c:pt>
                <c:pt idx="133">
                  <c:v>44001</c:v>
                </c:pt>
                <c:pt idx="134">
                  <c:v>44011</c:v>
                </c:pt>
                <c:pt idx="135">
                  <c:v>44021</c:v>
                </c:pt>
                <c:pt idx="136">
                  <c:v>44031</c:v>
                </c:pt>
                <c:pt idx="137">
                  <c:v>44041</c:v>
                </c:pt>
                <c:pt idx="138">
                  <c:v>44051</c:v>
                </c:pt>
                <c:pt idx="139">
                  <c:v>44061</c:v>
                </c:pt>
              </c:numCache>
            </c:numRef>
          </c:cat>
          <c:val>
            <c:numRef>
              <c:f>Chart!$C$7:$C$146</c:f>
              <c:numCache>
                <c:formatCode>0.0000%</c:formatCode>
                <c:ptCount val="140"/>
                <c:pt idx="0">
                  <c:v>1.917823666786056E-5</c:v>
                </c:pt>
                <c:pt idx="1">
                  <c:v>3.8356826428387336E-5</c:v>
                </c:pt>
                <c:pt idx="2">
                  <c:v>5.7535798712704533E-5</c:v>
                </c:pt>
                <c:pt idx="3">
                  <c:v>7.8633079446888132E-5</c:v>
                </c:pt>
                <c:pt idx="4">
                  <c:v>9.5894832031762078E-5</c:v>
                </c:pt>
                <c:pt idx="5">
                  <c:v>1.1891095825800058E-4</c:v>
                </c:pt>
                <c:pt idx="6">
                  <c:v>1.3315929745139066E-4</c:v>
                </c:pt>
                <c:pt idx="7">
                  <c:v>1.5096999897035168E-4</c:v>
                </c:pt>
                <c:pt idx="8">
                  <c:v>1.6878102083994762E-4</c:v>
                </c:pt>
                <c:pt idx="9">
                  <c:v>1.8563329940213258E-4</c:v>
                </c:pt>
                <c:pt idx="10">
                  <c:v>2.037189802730488E-4</c:v>
                </c:pt>
                <c:pt idx="11">
                  <c:v>2.1851660393745753E-4</c:v>
                </c:pt>
                <c:pt idx="12">
                  <c:v>2.372879746674883E-4</c:v>
                </c:pt>
                <c:pt idx="13">
                  <c:v>2.4934568642454025E-4</c:v>
                </c:pt>
                <c:pt idx="14">
                  <c:v>2.6441803222798654E-4</c:v>
                </c:pt>
                <c:pt idx="15">
                  <c:v>2.7928505527552439E-4</c:v>
                </c:pt>
                <c:pt idx="16">
                  <c:v>2.940152865367196E-4</c:v>
                </c:pt>
                <c:pt idx="17">
                  <c:v>3.1021878561010574E-4</c:v>
                </c:pt>
                <c:pt idx="18">
                  <c:v>3.2347639331420375E-4</c:v>
                </c:pt>
                <c:pt idx="19">
                  <c:v>3.4115344654161994E-4</c:v>
                </c:pt>
                <c:pt idx="20">
                  <c:v>3.5293834176064465E-4</c:v>
                </c:pt>
                <c:pt idx="21">
                  <c:v>3.6766965764845061E-4</c:v>
                </c:pt>
                <c:pt idx="22">
                  <c:v>3.8240118396504208E-4</c:v>
                </c:pt>
                <c:pt idx="23">
                  <c:v>3.9713293372600766E-4</c:v>
                </c:pt>
                <c:pt idx="24">
                  <c:v>4.1333810317567554E-4</c:v>
                </c:pt>
                <c:pt idx="25">
                  <c:v>4.2659707757164433E-4</c:v>
                </c:pt>
                <c:pt idx="26">
                  <c:v>4.4574922958662277E-4</c:v>
                </c:pt>
                <c:pt idx="27">
                  <c:v>4.5606208269766135E-4</c:v>
                </c:pt>
                <c:pt idx="28">
                  <c:v>4.7079491719737021E-4</c:v>
                </c:pt>
                <c:pt idx="29">
                  <c:v>4.8552795563994167E-4</c:v>
                </c:pt>
                <c:pt idx="30">
                  <c:v>5.0026122405810725E-4</c:v>
                </c:pt>
                <c:pt idx="31">
                  <c:v>5.1646806405569734E-4</c:v>
                </c:pt>
                <c:pt idx="32">
                  <c:v>5.2972840528386911E-4</c:v>
                </c:pt>
                <c:pt idx="33">
                  <c:v>5.4740912278772313E-4</c:v>
                </c:pt>
                <c:pt idx="34">
                  <c:v>5.5919644787905121E-4</c:v>
                </c:pt>
                <c:pt idx="35">
                  <c:v>5.739307946384109E-4</c:v>
                </c:pt>
                <c:pt idx="36">
                  <c:v>5.8866535838020262E-4</c:v>
                </c:pt>
                <c:pt idx="37">
                  <c:v>6.034001456118876E-4</c:v>
                </c:pt>
                <c:pt idx="38">
                  <c:v>6.1960864982024688E-4</c:v>
                </c:pt>
                <c:pt idx="39">
                  <c:v>6.3287035802161995E-4</c:v>
                </c:pt>
                <c:pt idx="40">
                  <c:v>6.5081921386722641E-4</c:v>
                </c:pt>
                <c:pt idx="41">
                  <c:v>6.6343211844799299E-4</c:v>
                </c:pt>
                <c:pt idx="42">
                  <c:v>6.7995930004682847E-4</c:v>
                </c:pt>
                <c:pt idx="43">
                  <c:v>7.0265698254456943E-4</c:v>
                </c:pt>
                <c:pt idx="44">
                  <c:v>7.1541736309499449E-4</c:v>
                </c:pt>
                <c:pt idx="45">
                  <c:v>7.3617967625683178E-4</c:v>
                </c:pt>
                <c:pt idx="46">
                  <c:v>7.5376522111203492E-4</c:v>
                </c:pt>
                <c:pt idx="47">
                  <c:v>7.8001147868334009E-4</c:v>
                </c:pt>
                <c:pt idx="48">
                  <c:v>7.9450655425983285E-4</c:v>
                </c:pt>
                <c:pt idx="49">
                  <c:v>8.1558274244142304E-4</c:v>
                </c:pt>
                <c:pt idx="50">
                  <c:v>8.3700997448254988E-4</c:v>
                </c:pt>
                <c:pt idx="51">
                  <c:v>8.5868821586210231E-4</c:v>
                </c:pt>
                <c:pt idx="52">
                  <c:v>8.8269447274402779E-4</c:v>
                </c:pt>
                <c:pt idx="53">
                  <c:v>9.0235535380056575E-4</c:v>
                </c:pt>
                <c:pt idx="54">
                  <c:v>9.2842824692507264E-4</c:v>
                </c:pt>
                <c:pt idx="55">
                  <c:v>9.4564430150789747E-4</c:v>
                </c:pt>
                <c:pt idx="56">
                  <c:v>9.6696008478946993E-4</c:v>
                </c:pt>
                <c:pt idx="57">
                  <c:v>9.8804360443160988E-4</c:v>
                </c:pt>
                <c:pt idx="58">
                  <c:v>1.0088902068465799E-3</c:v>
                </c:pt>
                <c:pt idx="59">
                  <c:v>1.0315435690253505E-3</c:v>
                </c:pt>
                <c:pt idx="60">
                  <c:v>1.0498617507894714E-3</c:v>
                </c:pt>
                <c:pt idx="61">
                  <c:v>1.0680208829443316E-3</c:v>
                </c:pt>
                <c:pt idx="62">
                  <c:v>1.0900026602305157E-3</c:v>
                </c:pt>
                <c:pt idx="63">
                  <c:v>1.1097682349643367E-3</c:v>
                </c:pt>
                <c:pt idx="64">
                  <c:v>1.1293117472552794E-3</c:v>
                </c:pt>
                <c:pt idx="65">
                  <c:v>1.1486190878475799E-3</c:v>
                </c:pt>
                <c:pt idx="66">
                  <c:v>1.1695675425362762E-3</c:v>
                </c:pt>
                <c:pt idx="67">
                  <c:v>1.1864688077476426E-3</c:v>
                </c:pt>
                <c:pt idx="68">
                  <c:v>1.2086511264928212E-3</c:v>
                </c:pt>
                <c:pt idx="69">
                  <c:v>1.2232044848599077E-3</c:v>
                </c:pt>
                <c:pt idx="70">
                  <c:v>1.2411192658439152E-3</c:v>
                </c:pt>
                <c:pt idx="71">
                  <c:v>1.2604543838690141E-3</c:v>
                </c:pt>
                <c:pt idx="72">
                  <c:v>1.2759721164556925E-3</c:v>
                </c:pt>
                <c:pt idx="73">
                  <c:v>1.2945565999968878E-3</c:v>
                </c:pt>
                <c:pt idx="74">
                  <c:v>1.3094693633730614E-3</c:v>
                </c:pt>
                <c:pt idx="75">
                  <c:v>1.3290038983468921E-3</c:v>
                </c:pt>
                <c:pt idx="76">
                  <c:v>1.3418405700320601E-3</c:v>
                </c:pt>
                <c:pt idx="77">
                  <c:v>1.3577178870427531E-3</c:v>
                </c:pt>
                <c:pt idx="78">
                  <c:v>1.3734506084337461E-3</c:v>
                </c:pt>
                <c:pt idx="79">
                  <c:v>1.389084438059518E-3</c:v>
                </c:pt>
                <c:pt idx="80">
                  <c:v>1.4062219853019364E-3</c:v>
                </c:pt>
                <c:pt idx="81">
                  <c:v>1.4202382663430768E-3</c:v>
                </c:pt>
                <c:pt idx="82">
                  <c:v>1.4389806028227703E-3</c:v>
                </c:pt>
                <c:pt idx="83">
                  <c:v>1.4515451176118077E-3</c:v>
                </c:pt>
                <c:pt idx="84">
                  <c:v>1.4673702474181649E-3</c:v>
                </c:pt>
                <c:pt idx="85">
                  <c:v>1.4833708292514292E-3</c:v>
                </c:pt>
                <c:pt idx="86">
                  <c:v>1.499592607506095E-3</c:v>
                </c:pt>
                <c:pt idx="87">
                  <c:v>1.5177466489699754E-3</c:v>
                </c:pt>
                <c:pt idx="88">
                  <c:v>1.5328827620288976E-3</c:v>
                </c:pt>
                <c:pt idx="89">
                  <c:v>1.5535216821305209E-3</c:v>
                </c:pt>
                <c:pt idx="90">
                  <c:v>1.5676067941434724E-3</c:v>
                </c:pt>
                <c:pt idx="91">
                  <c:v>1.5856209456017734E-3</c:v>
                </c:pt>
                <c:pt idx="92">
                  <c:v>1.6060109264344202E-3</c:v>
                </c:pt>
                <c:pt idx="93">
                  <c:v>1.6231824481616197E-3</c:v>
                </c:pt>
                <c:pt idx="94">
                  <c:v>1.644819360859362E-3</c:v>
                </c:pt>
                <c:pt idx="95">
                  <c:v>1.6630935527650603E-3</c:v>
                </c:pt>
                <c:pt idx="96">
                  <c:v>1.68832049548584E-3</c:v>
                </c:pt>
                <c:pt idx="97">
                  <c:v>1.7057207921362671E-3</c:v>
                </c:pt>
                <c:pt idx="98">
                  <c:v>1.7281675484295267E-3</c:v>
                </c:pt>
                <c:pt idx="99">
                  <c:v>1.7538038722293425E-3</c:v>
                </c:pt>
                <c:pt idx="100">
                  <c:v>1.7755566057819916E-3</c:v>
                </c:pt>
                <c:pt idx="101">
                  <c:v>1.8031457813083573E-3</c:v>
                </c:pt>
                <c:pt idx="102">
                  <c:v>1.8265788993661047E-3</c:v>
                </c:pt>
                <c:pt idx="103">
                  <c:v>1.8590889779395159E-3</c:v>
                </c:pt>
                <c:pt idx="104">
                  <c:v>1.8816016386511425E-3</c:v>
                </c:pt>
                <c:pt idx="105">
                  <c:v>1.9107279962702339E-3</c:v>
                </c:pt>
                <c:pt idx="106">
                  <c:v>1.9440830692858402E-3</c:v>
                </c:pt>
                <c:pt idx="107">
                  <c:v>1.9724404797893946E-3</c:v>
                </c:pt>
                <c:pt idx="108">
                  <c:v>2.0118058366298541E-3</c:v>
                </c:pt>
                <c:pt idx="109">
                  <c:v>2.0390725070535964E-3</c:v>
                </c:pt>
                <c:pt idx="110">
                  <c:v>2.0851569256581381E-3</c:v>
                </c:pt>
                <c:pt idx="111">
                  <c:v>2.1108691639519783E-3</c:v>
                </c:pt>
                <c:pt idx="112">
                  <c:v>2.1486708557321155E-3</c:v>
                </c:pt>
                <c:pt idx="113">
                  <c:v>2.1877101472538296E-3</c:v>
                </c:pt>
                <c:pt idx="114">
                  <c:v>2.2279635591724301E-3</c:v>
                </c:pt>
                <c:pt idx="115">
                  <c:v>2.2778372354335108E-3</c:v>
                </c:pt>
                <c:pt idx="116">
                  <c:v>2.3336830635982686E-3</c:v>
                </c:pt>
                <c:pt idx="117">
                  <c:v>2.3689489228608807E-3</c:v>
                </c:pt>
                <c:pt idx="118">
                  <c:v>2.400388227851824E-3</c:v>
                </c:pt>
                <c:pt idx="119">
                  <c:v>2.4462267906630863E-3</c:v>
                </c:pt>
                <c:pt idx="120">
                  <c:v>2.4931329473576458E-3</c:v>
                </c:pt>
                <c:pt idx="121">
                  <c:v>2.5410834083510192E-3</c:v>
                </c:pt>
                <c:pt idx="122">
                  <c:v>2.5950072879035169E-3</c:v>
                </c:pt>
                <c:pt idx="123">
                  <c:v>2.6400240726278668E-3</c:v>
                </c:pt>
                <c:pt idx="124">
                  <c:v>2.7012712848903941E-3</c:v>
                </c:pt>
                <c:pt idx="125">
                  <c:v>2.7428624108678523E-3</c:v>
                </c:pt>
                <c:pt idx="126">
                  <c:v>2.7956849501329373E-3</c:v>
                </c:pt>
                <c:pt idx="127">
                  <c:v>2.8494119899669101E-3</c:v>
                </c:pt>
                <c:pt idx="128">
                  <c:v>2.9040202144339222E-3</c:v>
                </c:pt>
                <c:pt idx="129">
                  <c:v>2.9650791952917643E-3</c:v>
                </c:pt>
                <c:pt idx="130">
                  <c:v>3.0157869255800218E-3</c:v>
                </c:pt>
                <c:pt idx="131">
                  <c:v>3.0671517296694262E-3</c:v>
                </c:pt>
                <c:pt idx="132">
                  <c:v>3.1307984384798537E-3</c:v>
                </c:pt>
                <c:pt idx="133">
                  <c:v>3.1894626399897597E-3</c:v>
                </c:pt>
                <c:pt idx="134">
                  <c:v>3.2488680007700665E-3</c:v>
                </c:pt>
                <c:pt idx="135">
                  <c:v>3.3089911580610476E-3</c:v>
                </c:pt>
                <c:pt idx="136">
                  <c:v>3.3820535314106337E-3</c:v>
                </c:pt>
                <c:pt idx="137">
                  <c:v>3.4312973701575711E-3</c:v>
                </c:pt>
                <c:pt idx="138">
                  <c:v>3.5059365750487181E-3</c:v>
                </c:pt>
                <c:pt idx="139">
                  <c:v>3.5561942055024609E-3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314240"/>
        <c:axId val="474322816"/>
      </c:lineChart>
      <c:dateAx>
        <c:axId val="4743142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crossAx val="474322816"/>
        <c:crosses val="autoZero"/>
        <c:auto val="1"/>
        <c:lblOffset val="100"/>
        <c:baseTimeUnit val="days"/>
      </c:dateAx>
      <c:valAx>
        <c:axId val="474322816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4743142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590549</xdr:colOff>
      <xdr:row>6</xdr:row>
      <xdr:rowOff>38099</xdr:rowOff>
    </xdr:from>
    <xdr:to>
      <xdr:col>13</xdr:col>
      <xdr:colOff>581024</xdr:colOff>
      <xdr:row>31</xdr:row>
      <xdr:rowOff>28574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F68"/>
  <sheetViews>
    <sheetView showGridLines="0" workbookViewId="0"/>
  </sheetViews>
  <sheetFormatPr defaultRowHeight="15"/>
  <cols>
    <col min="1" max="1" width="2.42578125" style="1" customWidth="1"/>
    <col min="2" max="2" width="24.42578125" style="1" customWidth="1"/>
    <col min="3" max="3" width="22.28515625" style="1" customWidth="1"/>
    <col min="4" max="4" width="15.140625" style="1" customWidth="1"/>
    <col min="5" max="5" width="13.7109375" style="1" customWidth="1"/>
    <col min="6" max="6" width="9.140625" style="1" customWidth="1"/>
    <col min="7" max="16384" width="9.140625" style="1"/>
  </cols>
  <sheetData>
    <row r="2" spans="2:6">
      <c r="B2" s="41" t="s">
        <v>82</v>
      </c>
      <c r="D2" s="22"/>
      <c r="E2" s="22"/>
      <c r="F2" s="23"/>
    </row>
    <row r="3" spans="2:6">
      <c r="B3" s="24" t="s">
        <v>98</v>
      </c>
      <c r="C3" s="25"/>
      <c r="D3" s="22"/>
      <c r="E3" s="23"/>
      <c r="F3" s="23"/>
    </row>
    <row r="4" spans="2:6">
      <c r="B4" s="26" t="str">
        <f ca="1">IF(NOW(),_xll.meCurveCalibrateOIS(CurveCollection,StaticDataTable,CurveIndex,B12:C14,B17:C22,B26:E66))</f>
        <v>[2016/10/18 11:21] Curve OIS has not been built</v>
      </c>
      <c r="C4" s="27"/>
      <c r="D4" s="22"/>
      <c r="E4" s="23"/>
      <c r="F4" s="23"/>
    </row>
    <row r="5" spans="2:6">
      <c r="D5" s="22"/>
      <c r="E5" s="23"/>
      <c r="F5" s="22"/>
    </row>
    <row r="6" spans="2:6">
      <c r="B6" s="42" t="s">
        <v>116</v>
      </c>
      <c r="C6" s="29"/>
      <c r="D6" s="29"/>
      <c r="E6" s="29"/>
      <c r="F6" s="22"/>
    </row>
    <row r="7" spans="2:6">
      <c r="B7" s="30" t="s">
        <v>96</v>
      </c>
      <c r="C7" s="31" t="s">
        <v>6</v>
      </c>
      <c r="D7" s="32"/>
      <c r="E7" s="32"/>
      <c r="F7" s="22"/>
    </row>
    <row r="8" spans="2:6">
      <c r="B8" s="33" t="s">
        <v>113</v>
      </c>
      <c r="C8" s="35" t="s">
        <v>114</v>
      </c>
      <c r="D8" s="32"/>
      <c r="E8" s="32"/>
      <c r="F8" s="22"/>
    </row>
    <row r="9" spans="2:6">
      <c r="B9" s="36" t="s">
        <v>97</v>
      </c>
      <c r="C9" s="37" t="s">
        <v>112</v>
      </c>
      <c r="D9" s="32"/>
      <c r="E9" s="32"/>
      <c r="F9" s="22"/>
    </row>
    <row r="10" spans="2:6">
      <c r="D10" s="32"/>
      <c r="E10" s="32"/>
      <c r="F10" s="22"/>
    </row>
    <row r="11" spans="2:6">
      <c r="B11" s="42" t="s">
        <v>111</v>
      </c>
      <c r="D11" s="32"/>
      <c r="E11" s="32"/>
      <c r="F11" s="22"/>
    </row>
    <row r="12" spans="2:6">
      <c r="B12" s="30" t="s">
        <v>67</v>
      </c>
      <c r="C12" s="67">
        <f ca="1">TODAY()</f>
        <v>42661</v>
      </c>
      <c r="D12" s="32"/>
      <c r="E12" s="32"/>
      <c r="F12" s="22"/>
    </row>
    <row r="13" spans="2:6">
      <c r="B13" s="33" t="s">
        <v>68</v>
      </c>
      <c r="C13" s="35" t="s">
        <v>69</v>
      </c>
      <c r="D13" s="32"/>
      <c r="E13" s="32"/>
      <c r="F13" s="22"/>
    </row>
    <row r="14" spans="2:6">
      <c r="B14" s="36" t="s">
        <v>117</v>
      </c>
      <c r="C14" s="37" t="s">
        <v>95</v>
      </c>
      <c r="D14" s="32"/>
      <c r="E14" s="32"/>
      <c r="F14" s="22"/>
    </row>
    <row r="15" spans="2:6">
      <c r="B15" s="28"/>
      <c r="C15" s="32"/>
      <c r="D15" s="32"/>
      <c r="E15" s="32"/>
      <c r="F15" s="22"/>
    </row>
    <row r="16" spans="2:6">
      <c r="B16" s="42" t="s">
        <v>118</v>
      </c>
      <c r="C16" s="29"/>
      <c r="D16" s="29"/>
      <c r="E16" s="29"/>
      <c r="F16" s="22"/>
    </row>
    <row r="17" spans="2:6">
      <c r="B17" s="30" t="s">
        <v>73</v>
      </c>
      <c r="C17" s="31" t="s">
        <v>74</v>
      </c>
      <c r="D17" s="32"/>
      <c r="E17" s="32"/>
      <c r="F17" s="22"/>
    </row>
    <row r="18" spans="2:6">
      <c r="B18" s="33" t="s">
        <v>70</v>
      </c>
      <c r="C18" s="35" t="s">
        <v>75</v>
      </c>
      <c r="D18" s="32"/>
      <c r="E18" s="32"/>
      <c r="F18" s="22"/>
    </row>
    <row r="19" spans="2:6">
      <c r="B19" s="33" t="s">
        <v>71</v>
      </c>
      <c r="C19" s="35" t="s">
        <v>76</v>
      </c>
      <c r="D19" s="32"/>
      <c r="E19" s="32"/>
      <c r="F19" s="22"/>
    </row>
    <row r="20" spans="2:6">
      <c r="B20" s="33" t="s">
        <v>77</v>
      </c>
      <c r="C20" s="35" t="s">
        <v>78</v>
      </c>
      <c r="D20" s="32"/>
      <c r="E20" s="32"/>
      <c r="F20" s="22"/>
    </row>
    <row r="21" spans="2:6">
      <c r="B21" s="33" t="s">
        <v>79</v>
      </c>
      <c r="C21" s="35" t="s">
        <v>80</v>
      </c>
      <c r="D21" s="32"/>
      <c r="E21" s="32"/>
      <c r="F21" s="22"/>
    </row>
    <row r="22" spans="2:6">
      <c r="B22" s="36" t="s">
        <v>72</v>
      </c>
      <c r="C22" s="37" t="s">
        <v>81</v>
      </c>
      <c r="D22" s="32"/>
      <c r="E22" s="32"/>
      <c r="F22" s="22"/>
    </row>
    <row r="23" spans="2:6">
      <c r="B23" s="28"/>
      <c r="C23" s="32"/>
      <c r="D23" s="32"/>
      <c r="E23" s="32"/>
      <c r="F23" s="22"/>
    </row>
    <row r="24" spans="2:6">
      <c r="B24" s="42" t="s">
        <v>119</v>
      </c>
      <c r="C24" s="29"/>
      <c r="D24" s="29"/>
      <c r="E24" s="29"/>
      <c r="F24" s="22"/>
    </row>
    <row r="25" spans="2:6">
      <c r="B25" s="43" t="s">
        <v>5</v>
      </c>
      <c r="C25" s="43" t="s">
        <v>24</v>
      </c>
      <c r="D25" s="43" t="s">
        <v>25</v>
      </c>
      <c r="E25" s="43" t="s">
        <v>26</v>
      </c>
    </row>
    <row r="26" spans="2:6">
      <c r="B26" s="35" t="s">
        <v>27</v>
      </c>
      <c r="C26" s="38">
        <v>7.8750000000000001E-4</v>
      </c>
      <c r="D26" s="34"/>
      <c r="E26" s="34"/>
    </row>
    <row r="27" spans="2:6">
      <c r="B27" s="35" t="s">
        <v>28</v>
      </c>
      <c r="C27" s="38">
        <v>7.000000000000001E-4</v>
      </c>
      <c r="D27" s="34">
        <f ca="1">_xll.meDateFromTenor($C$12,"1M",$C$22,$C$17)</f>
        <v>42692</v>
      </c>
      <c r="E27" s="34">
        <f ca="1">_xll.meDateFromTenor(D27,"1M",$C$22,$C$17)</f>
        <v>42723</v>
      </c>
    </row>
    <row r="28" spans="2:6">
      <c r="B28" s="35" t="s">
        <v>29</v>
      </c>
      <c r="C28" s="38">
        <v>6.5000000000000008E-4</v>
      </c>
      <c r="D28" s="34">
        <f ca="1">E27</f>
        <v>42723</v>
      </c>
      <c r="E28" s="34">
        <f ca="1">_xll.meDateFromTenor(D28,"1M",$C$22,$C$17)</f>
        <v>42754</v>
      </c>
    </row>
    <row r="29" spans="2:6">
      <c r="B29" s="35" t="s">
        <v>30</v>
      </c>
      <c r="C29" s="38">
        <v>5.9999999999999995E-4</v>
      </c>
      <c r="D29" s="34">
        <f t="shared" ref="D29:D38" ca="1" si="0">E28</f>
        <v>42754</v>
      </c>
      <c r="E29" s="34">
        <f ca="1">_xll.meDateFromTenor(D29,"1M",$C$22,$C$17)</f>
        <v>42786</v>
      </c>
    </row>
    <row r="30" spans="2:6">
      <c r="B30" s="35" t="s">
        <v>31</v>
      </c>
      <c r="C30" s="38">
        <v>5.5000000000000003E-4</v>
      </c>
      <c r="D30" s="34">
        <f t="shared" ca="1" si="0"/>
        <v>42786</v>
      </c>
      <c r="E30" s="34">
        <f ca="1">_xll.meDateFromTenor(D30,"1M",$C$22,$C$17)</f>
        <v>42815</v>
      </c>
    </row>
    <row r="31" spans="2:6">
      <c r="B31" s="35" t="s">
        <v>32</v>
      </c>
      <c r="C31" s="38">
        <v>5.375E-4</v>
      </c>
      <c r="D31" s="34">
        <f t="shared" ca="1" si="0"/>
        <v>42815</v>
      </c>
      <c r="E31" s="34">
        <f ca="1">_xll.meDateFromTenor(D31,"1M",$C$22,$C$17)</f>
        <v>42846</v>
      </c>
    </row>
    <row r="32" spans="2:6">
      <c r="B32" s="35" t="s">
        <v>33</v>
      </c>
      <c r="C32" s="38">
        <v>5.375E-4</v>
      </c>
      <c r="D32" s="34">
        <f t="shared" ca="1" si="0"/>
        <v>42846</v>
      </c>
      <c r="E32" s="34">
        <f ca="1">_xll.meDateFromTenor(D32,"1M",$C$22,$C$17)</f>
        <v>42877</v>
      </c>
    </row>
    <row r="33" spans="2:5">
      <c r="B33" s="35" t="s">
        <v>34</v>
      </c>
      <c r="C33" s="38">
        <v>5.375E-4</v>
      </c>
      <c r="D33" s="34">
        <f t="shared" ca="1" si="0"/>
        <v>42877</v>
      </c>
      <c r="E33" s="34">
        <f ca="1">_xll.meDateFromTenor(D33,"1M",$C$22,$C$17)</f>
        <v>42908</v>
      </c>
    </row>
    <row r="34" spans="2:5">
      <c r="B34" s="35" t="s">
        <v>35</v>
      </c>
      <c r="C34" s="38">
        <v>5.375E-4</v>
      </c>
      <c r="D34" s="34">
        <f t="shared" ca="1" si="0"/>
        <v>42908</v>
      </c>
      <c r="E34" s="34">
        <f ca="1">_xll.meDateFromTenor(D34,"1M",$C$22,$C$17)</f>
        <v>42940</v>
      </c>
    </row>
    <row r="35" spans="2:5">
      <c r="B35" s="35" t="s">
        <v>36</v>
      </c>
      <c r="C35" s="38">
        <v>5.375E-4</v>
      </c>
      <c r="D35" s="34">
        <f t="shared" ca="1" si="0"/>
        <v>42940</v>
      </c>
      <c r="E35" s="34">
        <f ca="1">_xll.meDateFromTenor(D35,"1M",$C$22,$C$17)</f>
        <v>42971</v>
      </c>
    </row>
    <row r="36" spans="2:5">
      <c r="B36" s="35" t="s">
        <v>37</v>
      </c>
      <c r="C36" s="38">
        <v>5.375E-4</v>
      </c>
      <c r="D36" s="34">
        <f t="shared" ca="1" si="0"/>
        <v>42971</v>
      </c>
      <c r="E36" s="34">
        <f ca="1">_xll.meDateFromTenor(D36,"1M",$C$22,$C$17)</f>
        <v>43003</v>
      </c>
    </row>
    <row r="37" spans="2:5">
      <c r="B37" s="35" t="s">
        <v>38</v>
      </c>
      <c r="C37" s="38">
        <v>5.375E-4</v>
      </c>
      <c r="D37" s="34">
        <f t="shared" ca="1" si="0"/>
        <v>43003</v>
      </c>
      <c r="E37" s="34">
        <f ca="1">_xll.meDateFromTenor(D37,"1M",$C$22,$C$17)</f>
        <v>43033</v>
      </c>
    </row>
    <row r="38" spans="2:5">
      <c r="B38" s="35" t="s">
        <v>39</v>
      </c>
      <c r="C38" s="38">
        <v>5.375E-4</v>
      </c>
      <c r="D38" s="34">
        <f t="shared" ca="1" si="0"/>
        <v>43033</v>
      </c>
      <c r="E38" s="34">
        <f ca="1">_xll.meDateFromTenor(D38,"1M",$C$22,$C$17)</f>
        <v>43066</v>
      </c>
    </row>
    <row r="39" spans="2:5">
      <c r="B39" s="35" t="s">
        <v>40</v>
      </c>
      <c r="C39" s="38">
        <v>7.3749999999999998E-4</v>
      </c>
      <c r="D39" s="34"/>
      <c r="E39" s="34"/>
    </row>
    <row r="40" spans="2:5">
      <c r="B40" s="35" t="s">
        <v>41</v>
      </c>
      <c r="C40" s="38">
        <v>7.2499999999999995E-4</v>
      </c>
      <c r="D40" s="34"/>
      <c r="E40" s="34"/>
    </row>
    <row r="41" spans="2:5">
      <c r="B41" s="35" t="s">
        <v>42</v>
      </c>
      <c r="C41" s="38">
        <v>6.8130000000000003E-4</v>
      </c>
      <c r="D41" s="34"/>
      <c r="E41" s="34"/>
    </row>
    <row r="42" spans="2:5">
      <c r="B42" s="35" t="s">
        <v>43</v>
      </c>
      <c r="C42" s="38">
        <v>6.5629999999999996E-4</v>
      </c>
      <c r="D42" s="34"/>
      <c r="E42" s="34"/>
    </row>
    <row r="43" spans="2:5">
      <c r="B43" s="35" t="s">
        <v>44</v>
      </c>
      <c r="C43" s="38">
        <v>6.3750000000000005E-4</v>
      </c>
      <c r="D43" s="34"/>
      <c r="E43" s="34"/>
    </row>
    <row r="44" spans="2:5">
      <c r="B44" s="35" t="s">
        <v>45</v>
      </c>
      <c r="C44" s="38">
        <v>6.2500000000000001E-4</v>
      </c>
      <c r="D44" s="34"/>
      <c r="E44" s="34"/>
    </row>
    <row r="45" spans="2:5">
      <c r="B45" s="35" t="s">
        <v>46</v>
      </c>
      <c r="C45" s="38">
        <v>6.1249999999999998E-4</v>
      </c>
      <c r="D45" s="34"/>
      <c r="E45" s="34"/>
    </row>
    <row r="46" spans="2:5">
      <c r="B46" s="35" t="s">
        <v>47</v>
      </c>
      <c r="C46" s="38">
        <v>6.0630000000000005E-4</v>
      </c>
      <c r="D46" s="34"/>
      <c r="E46" s="34"/>
    </row>
    <row r="47" spans="2:5">
      <c r="B47" s="35" t="s">
        <v>48</v>
      </c>
      <c r="C47" s="38">
        <v>5.9999999999999995E-4</v>
      </c>
      <c r="D47" s="34"/>
      <c r="E47" s="34"/>
    </row>
    <row r="48" spans="2:5">
      <c r="B48" s="35" t="s">
        <v>49</v>
      </c>
      <c r="C48" s="38">
        <v>5.9380000000000001E-4</v>
      </c>
      <c r="D48" s="34"/>
      <c r="E48" s="34"/>
    </row>
    <row r="49" spans="2:5">
      <c r="B49" s="35" t="s">
        <v>50</v>
      </c>
      <c r="C49" s="38">
        <v>6.1249999999999998E-4</v>
      </c>
      <c r="D49" s="34"/>
      <c r="E49" s="34"/>
    </row>
    <row r="50" spans="2:5">
      <c r="B50" s="35" t="s">
        <v>21</v>
      </c>
      <c r="C50" s="38">
        <v>6.3750000000000005E-4</v>
      </c>
      <c r="D50" s="34"/>
      <c r="E50" s="34"/>
    </row>
    <row r="51" spans="2:5">
      <c r="B51" s="35" t="s">
        <v>51</v>
      </c>
      <c r="C51" s="38">
        <v>6.7500000000000004E-4</v>
      </c>
      <c r="D51" s="34"/>
      <c r="E51" s="34"/>
    </row>
    <row r="52" spans="2:5">
      <c r="B52" s="35" t="s">
        <v>52</v>
      </c>
      <c r="C52" s="38">
        <v>9.875000000000001E-4</v>
      </c>
      <c r="D52" s="34"/>
      <c r="E52" s="34"/>
    </row>
    <row r="53" spans="2:5">
      <c r="B53" s="35" t="s">
        <v>53</v>
      </c>
      <c r="C53" s="38">
        <v>1.3625000000000002E-3</v>
      </c>
      <c r="D53" s="34"/>
      <c r="E53" s="34"/>
    </row>
    <row r="54" spans="2:5">
      <c r="B54" s="35" t="s">
        <v>54</v>
      </c>
      <c r="C54" s="38">
        <v>1.8875000000000001E-3</v>
      </c>
      <c r="D54" s="34"/>
      <c r="E54" s="34"/>
    </row>
    <row r="55" spans="2:5">
      <c r="B55" s="35" t="s">
        <v>55</v>
      </c>
      <c r="C55" s="38">
        <v>2.65E-3</v>
      </c>
      <c r="D55" s="34"/>
      <c r="E55" s="34"/>
    </row>
    <row r="56" spans="2:5">
      <c r="B56" s="35" t="s">
        <v>56</v>
      </c>
      <c r="C56" s="38">
        <v>3.4749999999999998E-3</v>
      </c>
      <c r="D56" s="34"/>
      <c r="E56" s="34"/>
    </row>
    <row r="57" spans="2:5">
      <c r="B57" s="35" t="s">
        <v>57</v>
      </c>
      <c r="C57" s="38">
        <v>4.4000000000000003E-3</v>
      </c>
      <c r="D57" s="34"/>
      <c r="E57" s="34"/>
    </row>
    <row r="58" spans="2:5">
      <c r="B58" s="35" t="s">
        <v>58</v>
      </c>
      <c r="C58" s="38">
        <v>5.3374999999999994E-3</v>
      </c>
      <c r="D58" s="34"/>
      <c r="E58" s="34"/>
    </row>
    <row r="59" spans="2:5">
      <c r="B59" s="35" t="s">
        <v>59</v>
      </c>
      <c r="C59" s="38">
        <v>7.2375E-3</v>
      </c>
      <c r="D59" s="34"/>
      <c r="E59" s="34"/>
    </row>
    <row r="60" spans="2:5">
      <c r="B60" s="35" t="s">
        <v>60</v>
      </c>
      <c r="C60" s="38">
        <v>0.01</v>
      </c>
      <c r="D60" s="34"/>
      <c r="E60" s="34"/>
    </row>
    <row r="61" spans="2:5">
      <c r="B61" s="35" t="s">
        <v>61</v>
      </c>
      <c r="C61" s="38">
        <v>1.315E-2</v>
      </c>
      <c r="D61" s="34"/>
      <c r="E61" s="34"/>
    </row>
    <row r="62" spans="2:5">
      <c r="B62" s="35" t="s">
        <v>62</v>
      </c>
      <c r="C62" s="38">
        <v>1.4687499999999999E-2</v>
      </c>
      <c r="D62" s="34"/>
      <c r="E62" s="34"/>
    </row>
    <row r="63" spans="2:5">
      <c r="B63" s="35" t="s">
        <v>63</v>
      </c>
      <c r="C63" s="38">
        <v>1.53375E-2</v>
      </c>
      <c r="D63" s="34"/>
      <c r="E63" s="34"/>
    </row>
    <row r="64" spans="2:5">
      <c r="B64" s="35" t="s">
        <v>64</v>
      </c>
      <c r="C64" s="38">
        <v>1.6399999999999998E-2</v>
      </c>
      <c r="D64" s="34"/>
      <c r="E64" s="34"/>
    </row>
    <row r="65" spans="2:5">
      <c r="B65" s="35" t="s">
        <v>65</v>
      </c>
      <c r="C65" s="38">
        <v>1.6399999999999998E-2</v>
      </c>
      <c r="D65" s="34"/>
      <c r="E65" s="34"/>
    </row>
    <row r="66" spans="2:5">
      <c r="B66" s="37" t="s">
        <v>66</v>
      </c>
      <c r="C66" s="39">
        <v>1.6399999999999998E-2</v>
      </c>
      <c r="D66" s="40"/>
      <c r="E66" s="40"/>
    </row>
    <row r="67" spans="2:5">
      <c r="B67" s="22"/>
      <c r="C67" s="22"/>
      <c r="D67" s="22"/>
      <c r="E67" s="22"/>
    </row>
    <row r="68" spans="2:5">
      <c r="B68" s="22"/>
      <c r="C68" s="22"/>
      <c r="D68" s="22"/>
      <c r="E68" s="22"/>
    </row>
  </sheetData>
  <phoneticPr fontId="6"/>
  <pageMargins left="0.7" right="0.7" top="0.75" bottom="0.75" header="0.3" footer="0.3"/>
  <ignoredErrors>
    <ignoredError sqref="B4" unlocked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L34"/>
  <sheetViews>
    <sheetView showGridLines="0" tabSelected="1" workbookViewId="0"/>
  </sheetViews>
  <sheetFormatPr defaultRowHeight="15"/>
  <cols>
    <col min="1" max="1" width="2.5703125" style="1" customWidth="1"/>
    <col min="2" max="2" width="22.7109375" style="1" customWidth="1"/>
    <col min="3" max="3" width="18.7109375" style="1" customWidth="1"/>
    <col min="4" max="4" width="3.42578125" style="1" customWidth="1"/>
    <col min="5" max="5" width="22.7109375" style="1" customWidth="1"/>
    <col min="6" max="6" width="18.7109375" style="1" customWidth="1"/>
    <col min="7" max="7" width="5.28515625" style="1" customWidth="1"/>
    <col min="8" max="8" width="22.7109375" style="1" customWidth="1"/>
    <col min="9" max="9" width="18.7109375" style="1" customWidth="1"/>
    <col min="10" max="10" width="5.140625" style="1" customWidth="1"/>
    <col min="11" max="11" width="22.7109375" style="1" customWidth="1"/>
    <col min="12" max="12" width="18.7109375" style="1" customWidth="1"/>
    <col min="13" max="16384" width="9.140625" style="1"/>
  </cols>
  <sheetData>
    <row r="2" spans="2:12">
      <c r="B2" s="57" t="s">
        <v>94</v>
      </c>
      <c r="E2" s="57" t="s">
        <v>94</v>
      </c>
      <c r="H2" s="57" t="s">
        <v>94</v>
      </c>
      <c r="K2" s="57" t="s">
        <v>94</v>
      </c>
    </row>
    <row r="3" spans="2:12">
      <c r="B3" s="5" t="s">
        <v>96</v>
      </c>
      <c r="C3" s="12" t="s">
        <v>6</v>
      </c>
      <c r="E3" s="5" t="s">
        <v>96</v>
      </c>
      <c r="F3" s="12" t="s">
        <v>6</v>
      </c>
      <c r="H3" s="5" t="s">
        <v>96</v>
      </c>
      <c r="I3" s="12" t="s">
        <v>6</v>
      </c>
      <c r="K3" s="5" t="s">
        <v>96</v>
      </c>
      <c r="L3" s="12" t="s">
        <v>6</v>
      </c>
    </row>
    <row r="4" spans="2:12">
      <c r="B4" s="6" t="s">
        <v>97</v>
      </c>
      <c r="C4" s="13" t="s">
        <v>22</v>
      </c>
      <c r="E4" s="6" t="s">
        <v>97</v>
      </c>
      <c r="F4" s="13" t="s">
        <v>22</v>
      </c>
      <c r="H4" s="6" t="s">
        <v>97</v>
      </c>
      <c r="I4" s="13" t="s">
        <v>22</v>
      </c>
      <c r="K4" s="6" t="s">
        <v>97</v>
      </c>
      <c r="L4" s="13" t="s">
        <v>22</v>
      </c>
    </row>
    <row r="5" spans="2:12">
      <c r="B5" s="6" t="s">
        <v>0</v>
      </c>
      <c r="C5" s="20">
        <f ca="1">TODAY()</f>
        <v>42661</v>
      </c>
      <c r="E5" s="6" t="s">
        <v>0</v>
      </c>
      <c r="F5" s="20">
        <f ca="1">TODAY()</f>
        <v>42661</v>
      </c>
      <c r="H5" s="6" t="s">
        <v>0</v>
      </c>
      <c r="I5" s="20">
        <f ca="1">TODAY()</f>
        <v>42661</v>
      </c>
      <c r="K5" s="6" t="s">
        <v>0</v>
      </c>
      <c r="L5" s="20">
        <f ca="1">TODAY()</f>
        <v>42661</v>
      </c>
    </row>
    <row r="6" spans="2:12">
      <c r="B6" s="6" t="s">
        <v>12</v>
      </c>
      <c r="C6" s="13" t="s">
        <v>13</v>
      </c>
      <c r="E6" s="6" t="s">
        <v>12</v>
      </c>
      <c r="F6" s="13" t="s">
        <v>13</v>
      </c>
      <c r="H6" s="6" t="s">
        <v>12</v>
      </c>
      <c r="I6" s="13" t="s">
        <v>13</v>
      </c>
      <c r="K6" s="6" t="s">
        <v>12</v>
      </c>
      <c r="L6" s="13" t="s">
        <v>13</v>
      </c>
    </row>
    <row r="7" spans="2:12">
      <c r="B7" s="7" t="s">
        <v>1</v>
      </c>
      <c r="C7" s="20">
        <f ca="1">_xll.meDateFromTenor(C5,C6,"FOLLOWING",C13)</f>
        <v>42663</v>
      </c>
      <c r="E7" s="7" t="s">
        <v>1</v>
      </c>
      <c r="F7" s="20">
        <f ca="1">_xll.meDateFromTenor(F5,F6,"FOLLOWING",F13)</f>
        <v>42663</v>
      </c>
      <c r="H7" s="7" t="s">
        <v>1</v>
      </c>
      <c r="I7" s="20">
        <f ca="1">_xll.meDateFromTenor(I5,I6,"FOLLOWING",I13)</f>
        <v>42663</v>
      </c>
      <c r="K7" s="7" t="s">
        <v>1</v>
      </c>
      <c r="L7" s="20">
        <f ca="1">_xll.meDateFromTenor(L5,L6,"FOLLOWING",L13)</f>
        <v>42663</v>
      </c>
    </row>
    <row r="8" spans="2:12">
      <c r="B8" s="7" t="s">
        <v>7</v>
      </c>
      <c r="C8" s="13" t="s">
        <v>102</v>
      </c>
      <c r="E8" s="7" t="s">
        <v>7</v>
      </c>
      <c r="F8" s="13" t="s">
        <v>102</v>
      </c>
      <c r="H8" s="7" t="s">
        <v>7</v>
      </c>
      <c r="I8" s="13" t="s">
        <v>102</v>
      </c>
      <c r="K8" s="7" t="s">
        <v>7</v>
      </c>
      <c r="L8" s="13" t="s">
        <v>102</v>
      </c>
    </row>
    <row r="9" spans="2:12">
      <c r="B9" s="8" t="s">
        <v>2</v>
      </c>
      <c r="C9" s="20">
        <f ca="1">_xll.meDateFromTenor(C7,C8,C12,C13)</f>
        <v>43028</v>
      </c>
      <c r="E9" s="8" t="s">
        <v>2</v>
      </c>
      <c r="F9" s="20">
        <f ca="1">_xll.meDateFromTenor(F7,F8,F12,F13)</f>
        <v>43028</v>
      </c>
      <c r="H9" s="8" t="s">
        <v>2</v>
      </c>
      <c r="I9" s="20">
        <f ca="1">_xll.meDateFromTenor(I7,I8,I12,I13)</f>
        <v>43028</v>
      </c>
      <c r="K9" s="8" t="s">
        <v>2</v>
      </c>
      <c r="L9" s="20">
        <f ca="1">_xll.meDateFromTenor(L7,L8,L12,L13)</f>
        <v>43028</v>
      </c>
    </row>
    <row r="10" spans="2:12">
      <c r="B10" s="6" t="s">
        <v>9</v>
      </c>
      <c r="C10" s="13" t="s">
        <v>110</v>
      </c>
      <c r="E10" s="6" t="s">
        <v>9</v>
      </c>
      <c r="F10" s="13" t="s">
        <v>103</v>
      </c>
      <c r="H10" s="6" t="s">
        <v>9</v>
      </c>
      <c r="I10" s="13" t="s">
        <v>103</v>
      </c>
      <c r="K10" s="6" t="s">
        <v>9</v>
      </c>
      <c r="L10" s="13" t="s">
        <v>103</v>
      </c>
    </row>
    <row r="11" spans="2:12">
      <c r="B11" s="6" t="s">
        <v>10</v>
      </c>
      <c r="C11" s="13" t="s">
        <v>3</v>
      </c>
      <c r="E11" s="6" t="s">
        <v>10</v>
      </c>
      <c r="F11" s="13" t="s">
        <v>3</v>
      </c>
      <c r="H11" s="6" t="s">
        <v>10</v>
      </c>
      <c r="I11" s="13" t="s">
        <v>3</v>
      </c>
      <c r="K11" s="6" t="s">
        <v>10</v>
      </c>
      <c r="L11" s="13" t="s">
        <v>3</v>
      </c>
    </row>
    <row r="12" spans="2:12">
      <c r="B12" s="6" t="s">
        <v>109</v>
      </c>
      <c r="C12" s="13" t="s">
        <v>4</v>
      </c>
      <c r="E12" s="6" t="s">
        <v>109</v>
      </c>
      <c r="F12" s="13" t="s">
        <v>4</v>
      </c>
      <c r="H12" s="6" t="s">
        <v>109</v>
      </c>
      <c r="I12" s="13" t="s">
        <v>4</v>
      </c>
      <c r="K12" s="6" t="s">
        <v>109</v>
      </c>
      <c r="L12" s="13" t="s">
        <v>4</v>
      </c>
    </row>
    <row r="13" spans="2:12">
      <c r="B13" s="6" t="s">
        <v>11</v>
      </c>
      <c r="C13" s="13" t="s">
        <v>23</v>
      </c>
      <c r="E13" s="6" t="s">
        <v>11</v>
      </c>
      <c r="F13" s="13" t="s">
        <v>23</v>
      </c>
      <c r="H13" s="6" t="s">
        <v>11</v>
      </c>
      <c r="I13" s="13" t="s">
        <v>23</v>
      </c>
      <c r="K13" s="6" t="s">
        <v>11</v>
      </c>
      <c r="L13" s="13" t="s">
        <v>23</v>
      </c>
    </row>
    <row r="14" spans="2:12">
      <c r="B14" s="6" t="s">
        <v>19</v>
      </c>
      <c r="C14" s="13" t="s">
        <v>20</v>
      </c>
      <c r="E14" s="6" t="s">
        <v>19</v>
      </c>
      <c r="F14" s="13" t="s">
        <v>20</v>
      </c>
      <c r="H14" s="6" t="s">
        <v>19</v>
      </c>
      <c r="I14" s="13" t="s">
        <v>108</v>
      </c>
      <c r="K14" s="6" t="s">
        <v>19</v>
      </c>
      <c r="L14" s="13" t="s">
        <v>20</v>
      </c>
    </row>
    <row r="15" spans="2:12">
      <c r="B15" s="6" t="s">
        <v>18</v>
      </c>
      <c r="C15" s="53">
        <v>0</v>
      </c>
      <c r="E15" s="6" t="s">
        <v>18</v>
      </c>
      <c r="F15" s="53">
        <v>0</v>
      </c>
      <c r="H15" s="6" t="s">
        <v>18</v>
      </c>
      <c r="I15" s="53">
        <v>0</v>
      </c>
      <c r="K15" s="6" t="s">
        <v>18</v>
      </c>
      <c r="L15" s="53">
        <v>0</v>
      </c>
    </row>
    <row r="16" spans="2:12">
      <c r="B16" s="6" t="s">
        <v>115</v>
      </c>
      <c r="C16" s="54" t="s">
        <v>105</v>
      </c>
      <c r="D16" s="56"/>
      <c r="E16" s="6" t="s">
        <v>115</v>
      </c>
      <c r="F16" s="54">
        <v>2</v>
      </c>
      <c r="H16" s="6" t="s">
        <v>115</v>
      </c>
      <c r="I16" s="54">
        <v>1</v>
      </c>
      <c r="K16" s="6" t="s">
        <v>115</v>
      </c>
      <c r="L16" s="54"/>
    </row>
    <row r="17" spans="2:12">
      <c r="B17" s="6" t="s">
        <v>101</v>
      </c>
      <c r="C17" s="52"/>
      <c r="E17" s="6" t="s">
        <v>101</v>
      </c>
      <c r="F17" s="52"/>
      <c r="H17" s="6" t="s">
        <v>101</v>
      </c>
      <c r="I17" s="52" t="s">
        <v>106</v>
      </c>
      <c r="K17" s="6" t="s">
        <v>101</v>
      </c>
      <c r="L17" s="52"/>
    </row>
    <row r="18" spans="2:12">
      <c r="B18" s="6" t="s">
        <v>99</v>
      </c>
      <c r="C18" s="20">
        <v>42675</v>
      </c>
      <c r="E18" s="6" t="s">
        <v>99</v>
      </c>
      <c r="F18" s="20"/>
      <c r="H18" s="6" t="s">
        <v>99</v>
      </c>
      <c r="I18" s="20"/>
      <c r="K18" s="6" t="s">
        <v>99</v>
      </c>
      <c r="L18" s="20">
        <v>42675</v>
      </c>
    </row>
    <row r="19" spans="2:12">
      <c r="B19" s="6" t="s">
        <v>100</v>
      </c>
      <c r="C19" s="70">
        <v>42736</v>
      </c>
      <c r="D19" s="60"/>
      <c r="E19" s="6" t="s">
        <v>100</v>
      </c>
      <c r="F19" s="64"/>
      <c r="H19" s="6" t="s">
        <v>100</v>
      </c>
      <c r="I19" s="64"/>
      <c r="K19" s="63" t="s">
        <v>100</v>
      </c>
      <c r="L19" s="20">
        <v>42736</v>
      </c>
    </row>
    <row r="20" spans="2:12">
      <c r="B20" s="9" t="s">
        <v>89</v>
      </c>
      <c r="C20" s="21" t="s">
        <v>104</v>
      </c>
      <c r="D20" s="60"/>
      <c r="E20" s="9" t="s">
        <v>89</v>
      </c>
      <c r="F20" s="21" t="s">
        <v>104</v>
      </c>
      <c r="H20" s="9" t="s">
        <v>89</v>
      </c>
      <c r="I20" s="21" t="s">
        <v>104</v>
      </c>
      <c r="K20" s="9" t="s">
        <v>89</v>
      </c>
      <c r="L20" s="21" t="s">
        <v>104</v>
      </c>
    </row>
    <row r="21" spans="2:12">
      <c r="B21" s="10"/>
      <c r="C21" s="61"/>
      <c r="E21" s="10"/>
      <c r="F21" s="61"/>
      <c r="H21" s="10"/>
      <c r="I21" s="61"/>
      <c r="J21" s="55"/>
      <c r="K21" s="10"/>
      <c r="L21" s="61"/>
    </row>
    <row r="22" spans="2:12">
      <c r="B22" s="62" t="s">
        <v>107</v>
      </c>
      <c r="C22" s="68">
        <f ca="1">IF(NOW(),_xll.meCurveCompoundRate(C7,C9,C3,C4,C10,C15,C17,C16,C13,C12,C11,C14,C20,C18,C19))</f>
        <v>5.8040712273954576E-4</v>
      </c>
      <c r="D22" s="55"/>
      <c r="E22" s="62" t="s">
        <v>107</v>
      </c>
      <c r="F22" s="68">
        <f ca="1">IF(NOW(),_xll.meCurveCompoundRate(F7,F9,F3,F4,F10,F15,F17,F16,F13,F12,F11,F14,F20,F18,F19))</f>
        <v>5.8040712274043393E-4</v>
      </c>
      <c r="H22" s="62" t="s">
        <v>107</v>
      </c>
      <c r="I22" s="68">
        <f ca="1">IF(NOW(),_xll.meCurveCompoundRate(I7,I9,I3,I4,I10,I15,I17,I16,I13,I12,I11,I14,I20,I18,I19))</f>
        <v>5.8040712274065598E-4</v>
      </c>
      <c r="J22" s="55"/>
      <c r="K22" s="62" t="s">
        <v>107</v>
      </c>
      <c r="L22" s="68">
        <f ca="1">IF(NOW(),_xll.meCurveCompoundRate(L7,L9,L3,L4,L10,L15,L17,L16,L13,L12,L11,L14,L20,L18,L19))</f>
        <v>5.8040712274065598E-4</v>
      </c>
    </row>
    <row r="23" spans="2:12">
      <c r="J23" s="55"/>
      <c r="K23" s="55"/>
      <c r="L23" s="69"/>
    </row>
    <row r="24" spans="2:12">
      <c r="C24" s="69"/>
      <c r="J24" s="55"/>
      <c r="K24" s="55"/>
    </row>
    <row r="25" spans="2:12">
      <c r="J25" s="55"/>
      <c r="K25" s="55"/>
    </row>
    <row r="26" spans="2:12">
      <c r="J26" s="55"/>
      <c r="K26" s="55"/>
    </row>
    <row r="27" spans="2:12">
      <c r="B27" s="15"/>
      <c r="J27" s="55"/>
      <c r="K27" s="55"/>
    </row>
    <row r="28" spans="2:12">
      <c r="B28" s="19" t="s">
        <v>93</v>
      </c>
      <c r="C28" s="11"/>
      <c r="J28" s="55"/>
      <c r="K28" s="55"/>
    </row>
    <row r="29" spans="2:12">
      <c r="B29" s="12" t="s">
        <v>17</v>
      </c>
      <c r="C29" s="16" t="s">
        <v>90</v>
      </c>
      <c r="D29" s="2"/>
      <c r="J29" s="55"/>
      <c r="K29" s="55"/>
    </row>
    <row r="30" spans="2:12">
      <c r="B30" s="13" t="s">
        <v>15</v>
      </c>
      <c r="C30" s="17" t="s">
        <v>8</v>
      </c>
      <c r="D30" s="3"/>
      <c r="J30" s="55"/>
      <c r="K30" s="55"/>
    </row>
    <row r="31" spans="2:12">
      <c r="B31" s="13" t="s">
        <v>14</v>
      </c>
      <c r="C31" s="17" t="s">
        <v>92</v>
      </c>
      <c r="D31" s="3"/>
    </row>
    <row r="32" spans="2:12">
      <c r="B32" s="14" t="s">
        <v>16</v>
      </c>
      <c r="C32" s="18" t="s">
        <v>91</v>
      </c>
      <c r="D32" s="4"/>
    </row>
    <row r="33" spans="2:4">
      <c r="B33" s="58"/>
      <c r="C33" s="59"/>
      <c r="D33" s="60"/>
    </row>
    <row r="34" spans="2:4">
      <c r="B34" s="57"/>
    </row>
  </sheetData>
  <phoneticPr fontId="6"/>
  <dataValidations count="7">
    <dataValidation imeMode="halfAlpha" allowBlank="1" showInputMessage="1" showErrorMessage="1" sqref="C8 F8 I8 L8"/>
    <dataValidation type="list" allowBlank="1" showInputMessage="1" showErrorMessage="1" sqref="C13 F13 I13 L13">
      <formula1>"TKB,NYB,TAR,LNB,SDB,ZUB,TRB,WEB,TKB:LNB,TKB:NYB,TKB:LNB:NYB,LNB:NYB"</formula1>
    </dataValidation>
    <dataValidation type="list" allowBlank="1" showInputMessage="1" showErrorMessage="1" sqref="C10 F10 I10 L10">
      <formula1>"None,Business_Days,Weekly,Monthly,Quarterly,Semi-Annual,Annual,LIBOR_MODE,Simple"</formula1>
    </dataValidation>
    <dataValidation type="list" allowBlank="1" showInputMessage="1" showErrorMessage="1" sqref="C11 F11 I11 L11">
      <formula1>" ACT/ACT, ACT/365,ACT/360, '30/360, 30E/360, ACT/365FJ,ACT/365_ISDA"</formula1>
    </dataValidation>
    <dataValidation type="list" allowBlank="1" showInputMessage="1" showErrorMessage="1" sqref="C12 F12 I12 L12">
      <formula1>"MOD_FOLLOWING,FOLLOWING,MOD_PRECEDING,PRECEDING,NO_CHANGE"</formula1>
    </dataValidation>
    <dataValidation type="list" allowBlank="1" showInputMessage="1" showErrorMessage="1" sqref="C16">
      <formula1>"NORMAL,STARTDATE,ENDDATE,LUNAR,EOM,IMM"</formula1>
    </dataValidation>
    <dataValidation type="list" allowBlank="1" showInputMessage="1" showErrorMessage="1" sqref="C20 F20 I20 L20">
      <formula1>"NORMAL,FLAT,SIMPLE,AVERAGE"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E146"/>
  <sheetViews>
    <sheetView showGridLines="0" workbookViewId="0"/>
  </sheetViews>
  <sheetFormatPr defaultRowHeight="15"/>
  <cols>
    <col min="2" max="2" width="17.5703125" bestFit="1" customWidth="1"/>
    <col min="3" max="3" width="21.85546875" customWidth="1"/>
  </cols>
  <sheetData>
    <row r="2" spans="2:5">
      <c r="B2" s="44" t="s">
        <v>83</v>
      </c>
      <c r="C2" s="45">
        <v>10</v>
      </c>
    </row>
    <row r="3" spans="2:5">
      <c r="B3" s="46" t="s">
        <v>84</v>
      </c>
      <c r="C3" s="47" t="s">
        <v>88</v>
      </c>
    </row>
    <row r="4" spans="2:5">
      <c r="B4" s="48" t="s">
        <v>85</v>
      </c>
      <c r="C4" s="49" t="s">
        <v>86</v>
      </c>
      <c r="D4" s="1"/>
    </row>
    <row r="6" spans="2:5">
      <c r="B6" s="45" t="s">
        <v>87</v>
      </c>
      <c r="C6" s="45" t="s">
        <v>24</v>
      </c>
      <c r="E6" s="65"/>
    </row>
    <row r="7" spans="2:5">
      <c r="B7" s="50">
        <f ca="1">ValueDate+PeriodicityInDays</f>
        <v>42671</v>
      </c>
      <c r="C7" s="51">
        <f ca="1">IF(NOW(),_xll.meCurveCompoundRate(ValueDate,B7,CurveCollection,CurveIndex,Example!$C$10,0,Example!$C$17,Example!$C$16,Example!$C$13,Example!$C$12,Example!$C$11,Example!$C$14,Example!$C$20))</f>
        <v>1.917823666786056E-5</v>
      </c>
    </row>
    <row r="8" spans="2:5">
      <c r="B8" s="50">
        <f ca="1">B7+PeriodicityInDays</f>
        <v>42681</v>
      </c>
      <c r="C8" s="51">
        <f ca="1">IF(NOW(),_xll.meCurveCompoundRate(ValueDate,B8,CurveCollection,CurveIndex,Example!$C$10,0,Example!$C$17,Example!$C$16,Example!$C$13,Example!$C$12,Example!$C$11,Example!$C$14,Example!$C$20))</f>
        <v>3.8356826428387336E-5</v>
      </c>
    </row>
    <row r="9" spans="2:5">
      <c r="B9" s="50">
        <f ca="1">B8+PeriodicityInDays</f>
        <v>42691</v>
      </c>
      <c r="C9" s="51">
        <f ca="1">IF(NOW(),_xll.meCurveCompoundRate(ValueDate,B9,CurveCollection,CurveIndex,Example!$C$10,0,Example!$C$17,Example!$C$16,Example!$C$13,Example!$C$12,Example!$C$11,Example!$C$14,Example!$C$20))</f>
        <v>5.7535798712704533E-5</v>
      </c>
    </row>
    <row r="10" spans="2:5">
      <c r="B10" s="50">
        <f ca="1">B9+PeriodicityInDays</f>
        <v>42701</v>
      </c>
      <c r="C10" s="51">
        <f ca="1">IF(NOW(),_xll.meCurveCompoundRate(ValueDate,B10,CurveCollection,CurveIndex,Example!$C$10,0,Example!$C$17,Example!$C$16,Example!$C$13,Example!$C$12,Example!$C$11,Example!$C$14,Example!$C$20))</f>
        <v>7.8633079446888132E-5</v>
      </c>
    </row>
    <row r="11" spans="2:5">
      <c r="B11" s="50">
        <f ca="1">B10+PeriodicityInDays</f>
        <v>42711</v>
      </c>
      <c r="C11" s="51">
        <f ca="1">IF(NOW(),_xll.meCurveCompoundRate(ValueDate,B11,CurveCollection,CurveIndex,Example!$C$10,0,Example!$C$17,Example!$C$16,Example!$C$13,Example!$C$12,Example!$C$11,Example!$C$14,Example!$C$20))</f>
        <v>9.5894832031762078E-5</v>
      </c>
    </row>
    <row r="12" spans="2:5">
      <c r="B12" s="50">
        <f ca="1">B11+PeriodicityInDays</f>
        <v>42721</v>
      </c>
      <c r="C12" s="51">
        <f ca="1">IF(NOW(),_xll.meCurveCompoundRate(ValueDate,B12,CurveCollection,CurveIndex,Example!$C$10,0,Example!$C$17,Example!$C$16,Example!$C$13,Example!$C$12,Example!$C$11,Example!$C$14,Example!$C$20))</f>
        <v>1.1891095825800058E-4</v>
      </c>
    </row>
    <row r="13" spans="2:5">
      <c r="B13" s="50">
        <f t="shared" ref="B13:B22" ca="1" si="0">B12+PeriodicityInDays</f>
        <v>42731</v>
      </c>
      <c r="C13" s="51">
        <f ca="1">IF(NOW(),_xll.meCurveCompoundRate(ValueDate,B13,CurveCollection,CurveIndex,Example!$C$10,0,Example!$C$17,Example!$C$16,Example!$C$13,Example!$C$12,Example!$C$11,Example!$C$14,Example!$C$20))</f>
        <v>1.3315929745139066E-4</v>
      </c>
    </row>
    <row r="14" spans="2:5">
      <c r="B14" s="50">
        <f t="shared" ca="1" si="0"/>
        <v>42741</v>
      </c>
      <c r="C14" s="51">
        <f ca="1">IF(NOW(),_xll.meCurveCompoundRate(ValueDate,B14,CurveCollection,CurveIndex,Example!$C$10,0,Example!$C$17,Example!$C$16,Example!$C$13,Example!$C$12,Example!$C$11,Example!$C$14,Example!$C$20))</f>
        <v>1.5096999897035168E-4</v>
      </c>
    </row>
    <row r="15" spans="2:5">
      <c r="B15" s="50">
        <f t="shared" ca="1" si="0"/>
        <v>42751</v>
      </c>
      <c r="C15" s="51">
        <f ca="1">IF(NOW(),_xll.meCurveCompoundRate(ValueDate,B15,CurveCollection,CurveIndex,Example!$C$10,0,Example!$C$17,Example!$C$16,Example!$C$13,Example!$C$12,Example!$C$11,Example!$C$14,Example!$C$20))</f>
        <v>1.6878102083994762E-4</v>
      </c>
    </row>
    <row r="16" spans="2:5">
      <c r="B16" s="50">
        <f t="shared" ca="1" si="0"/>
        <v>42761</v>
      </c>
      <c r="C16" s="51">
        <f ca="1">IF(NOW(),_xll.meCurveCompoundRate(ValueDate,B16,CurveCollection,CurveIndex,Example!$C$10,0,Example!$C$17,Example!$C$16,Example!$C$13,Example!$C$12,Example!$C$11,Example!$C$14,Example!$C$20))</f>
        <v>1.8563329940213258E-4</v>
      </c>
    </row>
    <row r="17" spans="2:3">
      <c r="B17" s="50">
        <f t="shared" ca="1" si="0"/>
        <v>42771</v>
      </c>
      <c r="C17" s="51">
        <f ca="1">IF(NOW(),_xll.meCurveCompoundRate(ValueDate,B17,CurveCollection,CurveIndex,Example!$C$10,0,Example!$C$17,Example!$C$16,Example!$C$13,Example!$C$12,Example!$C$11,Example!$C$14,Example!$C$20))</f>
        <v>2.037189802730488E-4</v>
      </c>
    </row>
    <row r="18" spans="2:3">
      <c r="B18" s="50">
        <f t="shared" ca="1" si="0"/>
        <v>42781</v>
      </c>
      <c r="C18" s="51">
        <f ca="1">IF(NOW(),_xll.meCurveCompoundRate(ValueDate,B18,CurveCollection,CurveIndex,Example!$C$10,0,Example!$C$17,Example!$C$16,Example!$C$13,Example!$C$12,Example!$C$11,Example!$C$14,Example!$C$20))</f>
        <v>2.1851660393745753E-4</v>
      </c>
    </row>
    <row r="19" spans="2:3">
      <c r="B19" s="50">
        <f t="shared" ca="1" si="0"/>
        <v>42791</v>
      </c>
      <c r="C19" s="51">
        <f ca="1">IF(NOW(),_xll.meCurveCompoundRate(ValueDate,B19,CurveCollection,CurveIndex,Example!$C$10,0,Example!$C$17,Example!$C$16,Example!$C$13,Example!$C$12,Example!$C$11,Example!$C$14,Example!$C$20))</f>
        <v>2.372879746674883E-4</v>
      </c>
    </row>
    <row r="20" spans="2:3">
      <c r="B20" s="50">
        <f t="shared" ca="1" si="0"/>
        <v>42801</v>
      </c>
      <c r="C20" s="51">
        <f ca="1">IF(NOW(),_xll.meCurveCompoundRate(ValueDate,B20,CurveCollection,CurveIndex,Example!$C$10,0,Example!$C$17,Example!$C$16,Example!$C$13,Example!$C$12,Example!$C$11,Example!$C$14,Example!$C$20))</f>
        <v>2.4934568642454025E-4</v>
      </c>
    </row>
    <row r="21" spans="2:3">
      <c r="B21" s="50">
        <f t="shared" ca="1" si="0"/>
        <v>42811</v>
      </c>
      <c r="C21" s="51">
        <f ca="1">IF(NOW(),_xll.meCurveCompoundRate(ValueDate,B21,CurveCollection,CurveIndex,Example!$C$10,0,Example!$C$17,Example!$C$16,Example!$C$13,Example!$C$12,Example!$C$11,Example!$C$14,Example!$C$20))</f>
        <v>2.6441803222798654E-4</v>
      </c>
    </row>
    <row r="22" spans="2:3">
      <c r="B22" s="50">
        <f t="shared" ca="1" si="0"/>
        <v>42821</v>
      </c>
      <c r="C22" s="51">
        <f ca="1">IF(NOW(),_xll.meCurveCompoundRate(ValueDate,B22,CurveCollection,CurveIndex,Example!$C$10,0,Example!$C$17,Example!$C$16,Example!$C$13,Example!$C$12,Example!$C$11,Example!$C$14,Example!$C$20))</f>
        <v>2.7928505527552439E-4</v>
      </c>
    </row>
    <row r="23" spans="2:3">
      <c r="B23" s="50">
        <f t="shared" ref="B23:B44" ca="1" si="1">B22+PeriodicityInDays</f>
        <v>42831</v>
      </c>
      <c r="C23" s="51">
        <f ca="1">IF(NOW(),_xll.meCurveCompoundRate(ValueDate,B23,CurveCollection,CurveIndex,Example!$C$10,0,Example!$C$17,Example!$C$16,Example!$C$13,Example!$C$12,Example!$C$11,Example!$C$14,Example!$C$20))</f>
        <v>2.940152865367196E-4</v>
      </c>
    </row>
    <row r="24" spans="2:3">
      <c r="B24" s="50">
        <f t="shared" ca="1" si="1"/>
        <v>42841</v>
      </c>
      <c r="C24" s="51">
        <f ca="1">IF(NOW(),_xll.meCurveCompoundRate(ValueDate,B24,CurveCollection,CurveIndex,Example!$C$10,0,Example!$C$17,Example!$C$16,Example!$C$13,Example!$C$12,Example!$C$11,Example!$C$14,Example!$C$20))</f>
        <v>3.1021878561010574E-4</v>
      </c>
    </row>
    <row r="25" spans="2:3">
      <c r="B25" s="50">
        <f t="shared" ca="1" si="1"/>
        <v>42851</v>
      </c>
      <c r="C25" s="51">
        <f ca="1">IF(NOW(),_xll.meCurveCompoundRate(ValueDate,B25,CurveCollection,CurveIndex,Example!$C$10,0,Example!$C$17,Example!$C$16,Example!$C$13,Example!$C$12,Example!$C$11,Example!$C$14,Example!$C$20))</f>
        <v>3.2347639331420375E-4</v>
      </c>
    </row>
    <row r="26" spans="2:3">
      <c r="B26" s="50">
        <f t="shared" ca="1" si="1"/>
        <v>42861</v>
      </c>
      <c r="C26" s="51">
        <f ca="1">IF(NOW(),_xll.meCurveCompoundRate(ValueDate,B26,CurveCollection,CurveIndex,Example!$C$10,0,Example!$C$17,Example!$C$16,Example!$C$13,Example!$C$12,Example!$C$11,Example!$C$14,Example!$C$20))</f>
        <v>3.4115344654161994E-4</v>
      </c>
    </row>
    <row r="27" spans="2:3">
      <c r="B27" s="50">
        <f t="shared" ca="1" si="1"/>
        <v>42871</v>
      </c>
      <c r="C27" s="51">
        <f ca="1">IF(NOW(),_xll.meCurveCompoundRate(ValueDate,B27,CurveCollection,CurveIndex,Example!$C$10,0,Example!$C$17,Example!$C$16,Example!$C$13,Example!$C$12,Example!$C$11,Example!$C$14,Example!$C$20))</f>
        <v>3.5293834176064465E-4</v>
      </c>
    </row>
    <row r="28" spans="2:3">
      <c r="B28" s="50">
        <f t="shared" ca="1" si="1"/>
        <v>42881</v>
      </c>
      <c r="C28" s="51">
        <f ca="1">IF(NOW(),_xll.meCurveCompoundRate(ValueDate,B28,CurveCollection,CurveIndex,Example!$C$10,0,Example!$C$17,Example!$C$16,Example!$C$13,Example!$C$12,Example!$C$11,Example!$C$14,Example!$C$20))</f>
        <v>3.6766965764845061E-4</v>
      </c>
    </row>
    <row r="29" spans="2:3">
      <c r="B29" s="50">
        <f t="shared" ca="1" si="1"/>
        <v>42891</v>
      </c>
      <c r="C29" s="51">
        <f ca="1">IF(NOW(),_xll.meCurveCompoundRate(ValueDate,B29,CurveCollection,CurveIndex,Example!$C$10,0,Example!$C$17,Example!$C$16,Example!$C$13,Example!$C$12,Example!$C$11,Example!$C$14,Example!$C$20))</f>
        <v>3.8240118396504208E-4</v>
      </c>
    </row>
    <row r="30" spans="2:3">
      <c r="B30" s="50">
        <f t="shared" ca="1" si="1"/>
        <v>42901</v>
      </c>
      <c r="C30" s="51">
        <f ca="1">IF(NOW(),_xll.meCurveCompoundRate(ValueDate,B30,CurveCollection,CurveIndex,Example!$C$10,0,Example!$C$17,Example!$C$16,Example!$C$13,Example!$C$12,Example!$C$11,Example!$C$14,Example!$C$20))</f>
        <v>3.9713293372600766E-4</v>
      </c>
    </row>
    <row r="31" spans="2:3">
      <c r="B31" s="50">
        <f t="shared" ca="1" si="1"/>
        <v>42911</v>
      </c>
      <c r="C31" s="51">
        <f ca="1">IF(NOW(),_xll.meCurveCompoundRate(ValueDate,B31,CurveCollection,CurveIndex,Example!$C$10,0,Example!$C$17,Example!$C$16,Example!$C$13,Example!$C$12,Example!$C$11,Example!$C$14,Example!$C$20))</f>
        <v>4.1333810317567554E-4</v>
      </c>
    </row>
    <row r="32" spans="2:3">
      <c r="B32" s="50">
        <f t="shared" ca="1" si="1"/>
        <v>42921</v>
      </c>
      <c r="C32" s="51">
        <f ca="1">IF(NOW(),_xll.meCurveCompoundRate(ValueDate,B32,CurveCollection,CurveIndex,Example!$C$10,0,Example!$C$17,Example!$C$16,Example!$C$13,Example!$C$12,Example!$C$11,Example!$C$14,Example!$C$20))</f>
        <v>4.2659707757164433E-4</v>
      </c>
    </row>
    <row r="33" spans="2:3">
      <c r="B33" s="50">
        <f t="shared" ca="1" si="1"/>
        <v>42931</v>
      </c>
      <c r="C33" s="51">
        <f ca="1">IF(NOW(),_xll.meCurveCompoundRate(ValueDate,B33,CurveCollection,CurveIndex,Example!$C$10,0,Example!$C$17,Example!$C$16,Example!$C$13,Example!$C$12,Example!$C$11,Example!$C$14,Example!$C$20))</f>
        <v>4.4574922958662277E-4</v>
      </c>
    </row>
    <row r="34" spans="2:3">
      <c r="B34" s="50">
        <f t="shared" ca="1" si="1"/>
        <v>42941</v>
      </c>
      <c r="C34" s="51">
        <f ca="1">IF(NOW(),_xll.meCurveCompoundRate(ValueDate,B34,CurveCollection,CurveIndex,Example!$C$10,0,Example!$C$17,Example!$C$16,Example!$C$13,Example!$C$12,Example!$C$11,Example!$C$14,Example!$C$20))</f>
        <v>4.5606208269766135E-4</v>
      </c>
    </row>
    <row r="35" spans="2:3">
      <c r="B35" s="50">
        <f t="shared" ca="1" si="1"/>
        <v>42951</v>
      </c>
      <c r="C35" s="51">
        <f ca="1">IF(NOW(),_xll.meCurveCompoundRate(ValueDate,B35,CurveCollection,CurveIndex,Example!$C$10,0,Example!$C$17,Example!$C$16,Example!$C$13,Example!$C$12,Example!$C$11,Example!$C$14,Example!$C$20))</f>
        <v>4.7079491719737021E-4</v>
      </c>
    </row>
    <row r="36" spans="2:3">
      <c r="B36" s="50">
        <f t="shared" ca="1" si="1"/>
        <v>42961</v>
      </c>
      <c r="C36" s="51">
        <f ca="1">IF(NOW(),_xll.meCurveCompoundRate(ValueDate,B36,CurveCollection,CurveIndex,Example!$C$10,0,Example!$C$17,Example!$C$16,Example!$C$13,Example!$C$12,Example!$C$11,Example!$C$14,Example!$C$20))</f>
        <v>4.8552795563994167E-4</v>
      </c>
    </row>
    <row r="37" spans="2:3">
      <c r="B37" s="50">
        <f t="shared" ca="1" si="1"/>
        <v>42971</v>
      </c>
      <c r="C37" s="51">
        <f ca="1">IF(NOW(),_xll.meCurveCompoundRate(ValueDate,B37,CurveCollection,CurveIndex,Example!$C$10,0,Example!$C$17,Example!$C$16,Example!$C$13,Example!$C$12,Example!$C$11,Example!$C$14,Example!$C$20))</f>
        <v>5.0026122405810725E-4</v>
      </c>
    </row>
    <row r="38" spans="2:3">
      <c r="B38" s="50">
        <f t="shared" ca="1" si="1"/>
        <v>42981</v>
      </c>
      <c r="C38" s="51">
        <f ca="1">IF(NOW(),_xll.meCurveCompoundRate(ValueDate,B38,CurveCollection,CurveIndex,Example!$C$10,0,Example!$C$17,Example!$C$16,Example!$C$13,Example!$C$12,Example!$C$11,Example!$C$14,Example!$C$20))</f>
        <v>5.1646806405569734E-4</v>
      </c>
    </row>
    <row r="39" spans="2:3">
      <c r="B39" s="50">
        <f t="shared" ca="1" si="1"/>
        <v>42991</v>
      </c>
      <c r="C39" s="51">
        <f ca="1">IF(NOW(),_xll.meCurveCompoundRate(ValueDate,B39,CurveCollection,CurveIndex,Example!$C$10,0,Example!$C$17,Example!$C$16,Example!$C$13,Example!$C$12,Example!$C$11,Example!$C$14,Example!$C$20))</f>
        <v>5.2972840528386911E-4</v>
      </c>
    </row>
    <row r="40" spans="2:3">
      <c r="B40" s="50">
        <f t="shared" ca="1" si="1"/>
        <v>43001</v>
      </c>
      <c r="C40" s="51">
        <f ca="1">IF(NOW(),_xll.meCurveCompoundRate(ValueDate,B40,CurveCollection,CurveIndex,Example!$C$10,0,Example!$C$17,Example!$C$16,Example!$C$13,Example!$C$12,Example!$C$11,Example!$C$14,Example!$C$20))</f>
        <v>5.4740912278772313E-4</v>
      </c>
    </row>
    <row r="41" spans="2:3">
      <c r="B41" s="50">
        <f t="shared" ca="1" si="1"/>
        <v>43011</v>
      </c>
      <c r="C41" s="51">
        <f ca="1">IF(NOW(),_xll.meCurveCompoundRate(ValueDate,B41,CurveCollection,CurveIndex,Example!$C$10,0,Example!$C$17,Example!$C$16,Example!$C$13,Example!$C$12,Example!$C$11,Example!$C$14,Example!$C$20))</f>
        <v>5.5919644787905121E-4</v>
      </c>
    </row>
    <row r="42" spans="2:3">
      <c r="B42" s="50">
        <f t="shared" ca="1" si="1"/>
        <v>43021</v>
      </c>
      <c r="C42" s="51">
        <f ca="1">IF(NOW(),_xll.meCurveCompoundRate(ValueDate,B42,CurveCollection,CurveIndex,Example!$C$10,0,Example!$C$17,Example!$C$16,Example!$C$13,Example!$C$12,Example!$C$11,Example!$C$14,Example!$C$20))</f>
        <v>5.739307946384109E-4</v>
      </c>
    </row>
    <row r="43" spans="2:3">
      <c r="B43" s="50">
        <f t="shared" ca="1" si="1"/>
        <v>43031</v>
      </c>
      <c r="C43" s="51">
        <f ca="1">IF(NOW(),_xll.meCurveCompoundRate(ValueDate,B43,CurveCollection,CurveIndex,Example!$C$10,0,Example!$C$17,Example!$C$16,Example!$C$13,Example!$C$12,Example!$C$11,Example!$C$14,Example!$C$20))</f>
        <v>5.8866535838020262E-4</v>
      </c>
    </row>
    <row r="44" spans="2:3">
      <c r="B44" s="50">
        <f t="shared" ca="1" si="1"/>
        <v>43041</v>
      </c>
      <c r="C44" s="51">
        <f ca="1">IF(NOW(),_xll.meCurveCompoundRate(ValueDate,B44,CurveCollection,CurveIndex,Example!$C$10,0,Example!$C$17,Example!$C$16,Example!$C$13,Example!$C$12,Example!$C$11,Example!$C$14,Example!$C$20))</f>
        <v>6.034001456118876E-4</v>
      </c>
    </row>
    <row r="45" spans="2:3">
      <c r="B45" s="50">
        <f t="shared" ref="B45:B108" ca="1" si="2">B44+PeriodicityInDays</f>
        <v>43051</v>
      </c>
      <c r="C45" s="51">
        <f ca="1">IF(NOW(),_xll.meCurveCompoundRate(ValueDate,B45,CurveCollection,CurveIndex,Example!$C$10,0,Example!$C$17,Example!$C$16,Example!$C$13,Example!$C$12,Example!$C$11,Example!$C$14,Example!$C$20))</f>
        <v>6.1960864982024688E-4</v>
      </c>
    </row>
    <row r="46" spans="2:3">
      <c r="B46" s="50">
        <f t="shared" ca="1" si="2"/>
        <v>43061</v>
      </c>
      <c r="C46" s="51">
        <f ca="1">IF(NOW(),_xll.meCurveCompoundRate(ValueDate,B46,CurveCollection,CurveIndex,Example!$C$10,0,Example!$C$17,Example!$C$16,Example!$C$13,Example!$C$12,Example!$C$11,Example!$C$14,Example!$C$20))</f>
        <v>6.3287035802161995E-4</v>
      </c>
    </row>
    <row r="47" spans="2:3">
      <c r="B47" s="50">
        <f t="shared" ca="1" si="2"/>
        <v>43071</v>
      </c>
      <c r="C47" s="51">
        <f ca="1">IF(NOW(),_xll.meCurveCompoundRate(ValueDate,B47,CurveCollection,CurveIndex,Example!$C$10,0,Example!$C$17,Example!$C$16,Example!$C$13,Example!$C$12,Example!$C$11,Example!$C$14,Example!$C$20))</f>
        <v>6.5081921386722641E-4</v>
      </c>
    </row>
    <row r="48" spans="2:3">
      <c r="B48" s="50">
        <f t="shared" ca="1" si="2"/>
        <v>43081</v>
      </c>
      <c r="C48" s="51">
        <f ca="1">IF(NOW(),_xll.meCurveCompoundRate(ValueDate,B48,CurveCollection,CurveIndex,Example!$C$10,0,Example!$C$17,Example!$C$16,Example!$C$13,Example!$C$12,Example!$C$11,Example!$C$14,Example!$C$20))</f>
        <v>6.6343211844799299E-4</v>
      </c>
    </row>
    <row r="49" spans="2:3">
      <c r="B49" s="50">
        <f t="shared" ca="1" si="2"/>
        <v>43091</v>
      </c>
      <c r="C49" s="51">
        <f ca="1">IF(NOW(),_xll.meCurveCompoundRate(ValueDate,B49,CurveCollection,CurveIndex,Example!$C$10,0,Example!$C$17,Example!$C$16,Example!$C$13,Example!$C$12,Example!$C$11,Example!$C$14,Example!$C$20))</f>
        <v>6.7995930004682847E-4</v>
      </c>
    </row>
    <row r="50" spans="2:3">
      <c r="B50" s="50">
        <f t="shared" ca="1" si="2"/>
        <v>43101</v>
      </c>
      <c r="C50" s="51">
        <f ca="1">IF(NOW(),_xll.meCurveCompoundRate(ValueDate,B50,CurveCollection,CurveIndex,Example!$C$10,0,Example!$C$17,Example!$C$16,Example!$C$13,Example!$C$12,Example!$C$11,Example!$C$14,Example!$C$20))</f>
        <v>7.0265698254456943E-4</v>
      </c>
    </row>
    <row r="51" spans="2:3">
      <c r="B51" s="50">
        <f t="shared" ca="1" si="2"/>
        <v>43111</v>
      </c>
      <c r="C51" s="51">
        <f ca="1">IF(NOW(),_xll.meCurveCompoundRate(ValueDate,B51,CurveCollection,CurveIndex,Example!$C$10,0,Example!$C$17,Example!$C$16,Example!$C$13,Example!$C$12,Example!$C$11,Example!$C$14,Example!$C$20))</f>
        <v>7.1541736309499449E-4</v>
      </c>
    </row>
    <row r="52" spans="2:3">
      <c r="B52" s="50">
        <f t="shared" ca="1" si="2"/>
        <v>43121</v>
      </c>
      <c r="C52" s="51">
        <f ca="1">IF(NOW(),_xll.meCurveCompoundRate(ValueDate,B52,CurveCollection,CurveIndex,Example!$C$10,0,Example!$C$17,Example!$C$16,Example!$C$13,Example!$C$12,Example!$C$11,Example!$C$14,Example!$C$20))</f>
        <v>7.3617967625683178E-4</v>
      </c>
    </row>
    <row r="53" spans="2:3">
      <c r="B53" s="50">
        <f t="shared" ca="1" si="2"/>
        <v>43131</v>
      </c>
      <c r="C53" s="51">
        <f ca="1">IF(NOW(),_xll.meCurveCompoundRate(ValueDate,B53,CurveCollection,CurveIndex,Example!$C$10,0,Example!$C$17,Example!$C$16,Example!$C$13,Example!$C$12,Example!$C$11,Example!$C$14,Example!$C$20))</f>
        <v>7.5376522111203492E-4</v>
      </c>
    </row>
    <row r="54" spans="2:3">
      <c r="B54" s="50">
        <f t="shared" ca="1" si="2"/>
        <v>43141</v>
      </c>
      <c r="C54" s="51">
        <f ca="1">IF(NOW(),_xll.meCurveCompoundRate(ValueDate,B54,CurveCollection,CurveIndex,Example!$C$10,0,Example!$C$17,Example!$C$16,Example!$C$13,Example!$C$12,Example!$C$11,Example!$C$14,Example!$C$20))</f>
        <v>7.8001147868334009E-4</v>
      </c>
    </row>
    <row r="55" spans="2:3">
      <c r="B55" s="50">
        <f t="shared" ca="1" si="2"/>
        <v>43151</v>
      </c>
      <c r="C55" s="51">
        <f ca="1">IF(NOW(),_xll.meCurveCompoundRate(ValueDate,B55,CurveCollection,CurveIndex,Example!$C$10,0,Example!$C$17,Example!$C$16,Example!$C$13,Example!$C$12,Example!$C$11,Example!$C$14,Example!$C$20))</f>
        <v>7.9450655425983285E-4</v>
      </c>
    </row>
    <row r="56" spans="2:3">
      <c r="B56" s="50">
        <f t="shared" ca="1" si="2"/>
        <v>43161</v>
      </c>
      <c r="C56" s="51">
        <f ca="1">IF(NOW(),_xll.meCurveCompoundRate(ValueDate,B56,CurveCollection,CurveIndex,Example!$C$10,0,Example!$C$17,Example!$C$16,Example!$C$13,Example!$C$12,Example!$C$11,Example!$C$14,Example!$C$20))</f>
        <v>8.1558274244142304E-4</v>
      </c>
    </row>
    <row r="57" spans="2:3">
      <c r="B57" s="50">
        <f t="shared" ca="1" si="2"/>
        <v>43171</v>
      </c>
      <c r="C57" s="51">
        <f ca="1">IF(NOW(),_xll.meCurveCompoundRate(ValueDate,B57,CurveCollection,CurveIndex,Example!$C$10,0,Example!$C$17,Example!$C$16,Example!$C$13,Example!$C$12,Example!$C$11,Example!$C$14,Example!$C$20))</f>
        <v>8.3700997448254988E-4</v>
      </c>
    </row>
    <row r="58" spans="2:3">
      <c r="B58" s="50">
        <f t="shared" ca="1" si="2"/>
        <v>43181</v>
      </c>
      <c r="C58" s="51">
        <f ca="1">IF(NOW(),_xll.meCurveCompoundRate(ValueDate,B58,CurveCollection,CurveIndex,Example!$C$10,0,Example!$C$17,Example!$C$16,Example!$C$13,Example!$C$12,Example!$C$11,Example!$C$14,Example!$C$20))</f>
        <v>8.5868821586210231E-4</v>
      </c>
    </row>
    <row r="59" spans="2:3">
      <c r="B59" s="50">
        <f t="shared" ca="1" si="2"/>
        <v>43191</v>
      </c>
      <c r="C59" s="51">
        <f ca="1">IF(NOW(),_xll.meCurveCompoundRate(ValueDate,B59,CurveCollection,CurveIndex,Example!$C$10,0,Example!$C$17,Example!$C$16,Example!$C$13,Example!$C$12,Example!$C$11,Example!$C$14,Example!$C$20))</f>
        <v>8.8269447274402779E-4</v>
      </c>
    </row>
    <row r="60" spans="2:3">
      <c r="B60" s="50">
        <f t="shared" ca="1" si="2"/>
        <v>43201</v>
      </c>
      <c r="C60" s="51">
        <f ca="1">IF(NOW(),_xll.meCurveCompoundRate(ValueDate,B60,CurveCollection,CurveIndex,Example!$C$10,0,Example!$C$17,Example!$C$16,Example!$C$13,Example!$C$12,Example!$C$11,Example!$C$14,Example!$C$20))</f>
        <v>9.0235535380056575E-4</v>
      </c>
    </row>
    <row r="61" spans="2:3">
      <c r="B61" s="50">
        <f t="shared" ca="1" si="2"/>
        <v>43211</v>
      </c>
      <c r="C61" s="51">
        <f ca="1">IF(NOW(),_xll.meCurveCompoundRate(ValueDate,B61,CurveCollection,CurveIndex,Example!$C$10,0,Example!$C$17,Example!$C$16,Example!$C$13,Example!$C$12,Example!$C$11,Example!$C$14,Example!$C$20))</f>
        <v>9.2842824692507264E-4</v>
      </c>
    </row>
    <row r="62" spans="2:3">
      <c r="B62" s="50">
        <f t="shared" ca="1" si="2"/>
        <v>43221</v>
      </c>
      <c r="C62" s="51">
        <f ca="1">IF(NOW(),_xll.meCurveCompoundRate(ValueDate,B62,CurveCollection,CurveIndex,Example!$C$10,0,Example!$C$17,Example!$C$16,Example!$C$13,Example!$C$12,Example!$C$11,Example!$C$14,Example!$C$20))</f>
        <v>9.4564430150789747E-4</v>
      </c>
    </row>
    <row r="63" spans="2:3">
      <c r="B63" s="50">
        <f t="shared" ca="1" si="2"/>
        <v>43231</v>
      </c>
      <c r="C63" s="51">
        <f ca="1">IF(NOW(),_xll.meCurveCompoundRate(ValueDate,B63,CurveCollection,CurveIndex,Example!$C$10,0,Example!$C$17,Example!$C$16,Example!$C$13,Example!$C$12,Example!$C$11,Example!$C$14,Example!$C$20))</f>
        <v>9.6696008478946993E-4</v>
      </c>
    </row>
    <row r="64" spans="2:3">
      <c r="B64" s="50">
        <f t="shared" ca="1" si="2"/>
        <v>43241</v>
      </c>
      <c r="C64" s="51">
        <f ca="1">IF(NOW(),_xll.meCurveCompoundRate(ValueDate,B64,CurveCollection,CurveIndex,Example!$C$10,0,Example!$C$17,Example!$C$16,Example!$C$13,Example!$C$12,Example!$C$11,Example!$C$14,Example!$C$20))</f>
        <v>9.8804360443160988E-4</v>
      </c>
    </row>
    <row r="65" spans="2:3">
      <c r="B65" s="50">
        <f t="shared" ca="1" si="2"/>
        <v>43251</v>
      </c>
      <c r="C65" s="51">
        <f ca="1">IF(NOW(),_xll.meCurveCompoundRate(ValueDate,B65,CurveCollection,CurveIndex,Example!$C$10,0,Example!$C$17,Example!$C$16,Example!$C$13,Example!$C$12,Example!$C$11,Example!$C$14,Example!$C$20))</f>
        <v>1.0088902068465799E-3</v>
      </c>
    </row>
    <row r="66" spans="2:3">
      <c r="B66" s="50">
        <f t="shared" ca="1" si="2"/>
        <v>43261</v>
      </c>
      <c r="C66" s="51">
        <f ca="1">IF(NOW(),_xll.meCurveCompoundRate(ValueDate,B66,CurveCollection,CurveIndex,Example!$C$10,0,Example!$C$17,Example!$C$16,Example!$C$13,Example!$C$12,Example!$C$11,Example!$C$14,Example!$C$20))</f>
        <v>1.0315435690253505E-3</v>
      </c>
    </row>
    <row r="67" spans="2:3">
      <c r="B67" s="50">
        <f t="shared" ca="1" si="2"/>
        <v>43271</v>
      </c>
      <c r="C67" s="51">
        <f ca="1">IF(NOW(),_xll.meCurveCompoundRate(ValueDate,B67,CurveCollection,CurveIndex,Example!$C$10,0,Example!$C$17,Example!$C$16,Example!$C$13,Example!$C$12,Example!$C$11,Example!$C$14,Example!$C$20))</f>
        <v>1.0498617507894714E-3</v>
      </c>
    </row>
    <row r="68" spans="2:3">
      <c r="B68" s="50">
        <f t="shared" ca="1" si="2"/>
        <v>43281</v>
      </c>
      <c r="C68" s="51">
        <f ca="1">IF(NOW(),_xll.meCurveCompoundRate(ValueDate,B68,CurveCollection,CurveIndex,Example!$C$10,0,Example!$C$17,Example!$C$16,Example!$C$13,Example!$C$12,Example!$C$11,Example!$C$14,Example!$C$20))</f>
        <v>1.0680208829443316E-3</v>
      </c>
    </row>
    <row r="69" spans="2:3">
      <c r="B69" s="50">
        <f t="shared" ca="1" si="2"/>
        <v>43291</v>
      </c>
      <c r="C69" s="51">
        <f ca="1">IF(NOW(),_xll.meCurveCompoundRate(ValueDate,B69,CurveCollection,CurveIndex,Example!$C$10,0,Example!$C$17,Example!$C$16,Example!$C$13,Example!$C$12,Example!$C$11,Example!$C$14,Example!$C$20))</f>
        <v>1.0900026602305157E-3</v>
      </c>
    </row>
    <row r="70" spans="2:3">
      <c r="B70" s="50">
        <f t="shared" ca="1" si="2"/>
        <v>43301</v>
      </c>
      <c r="C70" s="51">
        <f ca="1">IF(NOW(),_xll.meCurveCompoundRate(ValueDate,B70,CurveCollection,CurveIndex,Example!$C$10,0,Example!$C$17,Example!$C$16,Example!$C$13,Example!$C$12,Example!$C$11,Example!$C$14,Example!$C$20))</f>
        <v>1.1097682349643367E-3</v>
      </c>
    </row>
    <row r="71" spans="2:3">
      <c r="B71" s="50">
        <f t="shared" ca="1" si="2"/>
        <v>43311</v>
      </c>
      <c r="C71" s="51">
        <f ca="1">IF(NOW(),_xll.meCurveCompoundRate(ValueDate,B71,CurveCollection,CurveIndex,Example!$C$10,0,Example!$C$17,Example!$C$16,Example!$C$13,Example!$C$12,Example!$C$11,Example!$C$14,Example!$C$20))</f>
        <v>1.1293117472552794E-3</v>
      </c>
    </row>
    <row r="72" spans="2:3">
      <c r="B72" s="50">
        <f t="shared" ca="1" si="2"/>
        <v>43321</v>
      </c>
      <c r="C72" s="51">
        <f ca="1">IF(NOW(),_xll.meCurveCompoundRate(ValueDate,B72,CurveCollection,CurveIndex,Example!$C$10,0,Example!$C$17,Example!$C$16,Example!$C$13,Example!$C$12,Example!$C$11,Example!$C$14,Example!$C$20))</f>
        <v>1.1486190878475799E-3</v>
      </c>
    </row>
    <row r="73" spans="2:3">
      <c r="B73" s="50">
        <f t="shared" ca="1" si="2"/>
        <v>43331</v>
      </c>
      <c r="C73" s="51">
        <f ca="1">IF(NOW(),_xll.meCurveCompoundRate(ValueDate,B73,CurveCollection,CurveIndex,Example!$C$10,0,Example!$C$17,Example!$C$16,Example!$C$13,Example!$C$12,Example!$C$11,Example!$C$14,Example!$C$20))</f>
        <v>1.1695675425362762E-3</v>
      </c>
    </row>
    <row r="74" spans="2:3">
      <c r="B74" s="50">
        <f t="shared" ca="1" si="2"/>
        <v>43341</v>
      </c>
      <c r="C74" s="51">
        <f ca="1">IF(NOW(),_xll.meCurveCompoundRate(ValueDate,B74,CurveCollection,CurveIndex,Example!$C$10,0,Example!$C$17,Example!$C$16,Example!$C$13,Example!$C$12,Example!$C$11,Example!$C$14,Example!$C$20))</f>
        <v>1.1864688077476426E-3</v>
      </c>
    </row>
    <row r="75" spans="2:3">
      <c r="B75" s="50">
        <f t="shared" ca="1" si="2"/>
        <v>43351</v>
      </c>
      <c r="C75" s="51">
        <f ca="1">IF(NOW(),_xll.meCurveCompoundRate(ValueDate,B75,CurveCollection,CurveIndex,Example!$C$10,0,Example!$C$17,Example!$C$16,Example!$C$13,Example!$C$12,Example!$C$11,Example!$C$14,Example!$C$20))</f>
        <v>1.2086511264928212E-3</v>
      </c>
    </row>
    <row r="76" spans="2:3">
      <c r="B76" s="50">
        <f t="shared" ca="1" si="2"/>
        <v>43361</v>
      </c>
      <c r="C76" s="51">
        <f ca="1">IF(NOW(),_xll.meCurveCompoundRate(ValueDate,B76,CurveCollection,CurveIndex,Example!$C$10,0,Example!$C$17,Example!$C$16,Example!$C$13,Example!$C$12,Example!$C$11,Example!$C$14,Example!$C$20))</f>
        <v>1.2232044848599077E-3</v>
      </c>
    </row>
    <row r="77" spans="2:3">
      <c r="B77" s="50">
        <f t="shared" ca="1" si="2"/>
        <v>43371</v>
      </c>
      <c r="C77" s="51">
        <f ca="1">IF(NOW(),_xll.meCurveCompoundRate(ValueDate,B77,CurveCollection,CurveIndex,Example!$C$10,0,Example!$C$17,Example!$C$16,Example!$C$13,Example!$C$12,Example!$C$11,Example!$C$14,Example!$C$20))</f>
        <v>1.2411192658439152E-3</v>
      </c>
    </row>
    <row r="78" spans="2:3">
      <c r="B78" s="50">
        <f t="shared" ca="1" si="2"/>
        <v>43381</v>
      </c>
      <c r="C78" s="51">
        <f ca="1">IF(NOW(),_xll.meCurveCompoundRate(ValueDate,B78,CurveCollection,CurveIndex,Example!$C$10,0,Example!$C$17,Example!$C$16,Example!$C$13,Example!$C$12,Example!$C$11,Example!$C$14,Example!$C$20))</f>
        <v>1.2604543838690141E-3</v>
      </c>
    </row>
    <row r="79" spans="2:3">
      <c r="B79" s="50">
        <f t="shared" ca="1" si="2"/>
        <v>43391</v>
      </c>
      <c r="C79" s="51">
        <f ca="1">IF(NOW(),_xll.meCurveCompoundRate(ValueDate,B79,CurveCollection,CurveIndex,Example!$C$10,0,Example!$C$17,Example!$C$16,Example!$C$13,Example!$C$12,Example!$C$11,Example!$C$14,Example!$C$20))</f>
        <v>1.2759721164556925E-3</v>
      </c>
    </row>
    <row r="80" spans="2:3">
      <c r="B80" s="50">
        <f t="shared" ca="1" si="2"/>
        <v>43401</v>
      </c>
      <c r="C80" s="51">
        <f ca="1">IF(NOW(),_xll.meCurveCompoundRate(ValueDate,B80,CurveCollection,CurveIndex,Example!$C$10,0,Example!$C$17,Example!$C$16,Example!$C$13,Example!$C$12,Example!$C$11,Example!$C$14,Example!$C$20))</f>
        <v>1.2945565999968878E-3</v>
      </c>
    </row>
    <row r="81" spans="2:3">
      <c r="B81" s="50">
        <f t="shared" ca="1" si="2"/>
        <v>43411</v>
      </c>
      <c r="C81" s="51">
        <f ca="1">IF(NOW(),_xll.meCurveCompoundRate(ValueDate,B81,CurveCollection,CurveIndex,Example!$C$10,0,Example!$C$17,Example!$C$16,Example!$C$13,Example!$C$12,Example!$C$11,Example!$C$14,Example!$C$20))</f>
        <v>1.3094693633730614E-3</v>
      </c>
    </row>
    <row r="82" spans="2:3">
      <c r="B82" s="50">
        <f t="shared" ca="1" si="2"/>
        <v>43421</v>
      </c>
      <c r="C82" s="51">
        <f ca="1">IF(NOW(),_xll.meCurveCompoundRate(ValueDate,B82,CurveCollection,CurveIndex,Example!$C$10,0,Example!$C$17,Example!$C$16,Example!$C$13,Example!$C$12,Example!$C$11,Example!$C$14,Example!$C$20))</f>
        <v>1.3290038983468921E-3</v>
      </c>
    </row>
    <row r="83" spans="2:3">
      <c r="B83" s="50">
        <f t="shared" ca="1" si="2"/>
        <v>43431</v>
      </c>
      <c r="C83" s="51">
        <f ca="1">IF(NOW(),_xll.meCurveCompoundRate(ValueDate,B83,CurveCollection,CurveIndex,Example!$C$10,0,Example!$C$17,Example!$C$16,Example!$C$13,Example!$C$12,Example!$C$11,Example!$C$14,Example!$C$20))</f>
        <v>1.3418405700320601E-3</v>
      </c>
    </row>
    <row r="84" spans="2:3">
      <c r="B84" s="50">
        <f t="shared" ca="1" si="2"/>
        <v>43441</v>
      </c>
      <c r="C84" s="51">
        <f ca="1">IF(NOW(),_xll.meCurveCompoundRate(ValueDate,B84,CurveCollection,CurveIndex,Example!$C$10,0,Example!$C$17,Example!$C$16,Example!$C$13,Example!$C$12,Example!$C$11,Example!$C$14,Example!$C$20))</f>
        <v>1.3577178870427531E-3</v>
      </c>
    </row>
    <row r="85" spans="2:3">
      <c r="B85" s="50">
        <f t="shared" ca="1" si="2"/>
        <v>43451</v>
      </c>
      <c r="C85" s="51">
        <f ca="1">IF(NOW(),_xll.meCurveCompoundRate(ValueDate,B85,CurveCollection,CurveIndex,Example!$C$10,0,Example!$C$17,Example!$C$16,Example!$C$13,Example!$C$12,Example!$C$11,Example!$C$14,Example!$C$20))</f>
        <v>1.3734506084337461E-3</v>
      </c>
    </row>
    <row r="86" spans="2:3">
      <c r="B86" s="50">
        <f t="shared" ca="1" si="2"/>
        <v>43461</v>
      </c>
      <c r="C86" s="51">
        <f ca="1">IF(NOW(),_xll.meCurveCompoundRate(ValueDate,B86,CurveCollection,CurveIndex,Example!$C$10,0,Example!$C$17,Example!$C$16,Example!$C$13,Example!$C$12,Example!$C$11,Example!$C$14,Example!$C$20))</f>
        <v>1.389084438059518E-3</v>
      </c>
    </row>
    <row r="87" spans="2:3">
      <c r="B87" s="50">
        <f t="shared" ca="1" si="2"/>
        <v>43471</v>
      </c>
      <c r="C87" s="51">
        <f ca="1">IF(NOW(),_xll.meCurveCompoundRate(ValueDate,B87,CurveCollection,CurveIndex,Example!$C$10,0,Example!$C$17,Example!$C$16,Example!$C$13,Example!$C$12,Example!$C$11,Example!$C$14,Example!$C$20))</f>
        <v>1.4062219853019364E-3</v>
      </c>
    </row>
    <row r="88" spans="2:3">
      <c r="B88" s="50">
        <f t="shared" ca="1" si="2"/>
        <v>43481</v>
      </c>
      <c r="C88" s="51">
        <f ca="1">IF(NOW(),_xll.meCurveCompoundRate(ValueDate,B88,CurveCollection,CurveIndex,Example!$C$10,0,Example!$C$17,Example!$C$16,Example!$C$13,Example!$C$12,Example!$C$11,Example!$C$14,Example!$C$20))</f>
        <v>1.4202382663430768E-3</v>
      </c>
    </row>
    <row r="89" spans="2:3">
      <c r="B89" s="50">
        <f t="shared" ca="1" si="2"/>
        <v>43491</v>
      </c>
      <c r="C89" s="51">
        <f ca="1">IF(NOW(),_xll.meCurveCompoundRate(ValueDate,B89,CurveCollection,CurveIndex,Example!$C$10,0,Example!$C$17,Example!$C$16,Example!$C$13,Example!$C$12,Example!$C$11,Example!$C$14,Example!$C$20))</f>
        <v>1.4389806028227703E-3</v>
      </c>
    </row>
    <row r="90" spans="2:3">
      <c r="B90" s="50">
        <f t="shared" ca="1" si="2"/>
        <v>43501</v>
      </c>
      <c r="C90" s="51">
        <f ca="1">IF(NOW(),_xll.meCurveCompoundRate(ValueDate,B90,CurveCollection,CurveIndex,Example!$C$10,0,Example!$C$17,Example!$C$16,Example!$C$13,Example!$C$12,Example!$C$11,Example!$C$14,Example!$C$20))</f>
        <v>1.4515451176118077E-3</v>
      </c>
    </row>
    <row r="91" spans="2:3">
      <c r="B91" s="50">
        <f t="shared" ca="1" si="2"/>
        <v>43511</v>
      </c>
      <c r="C91" s="51">
        <f ca="1">IF(NOW(),_xll.meCurveCompoundRate(ValueDate,B91,CurveCollection,CurveIndex,Example!$C$10,0,Example!$C$17,Example!$C$16,Example!$C$13,Example!$C$12,Example!$C$11,Example!$C$14,Example!$C$20))</f>
        <v>1.4673702474181649E-3</v>
      </c>
    </row>
    <row r="92" spans="2:3">
      <c r="B92" s="50">
        <f t="shared" ca="1" si="2"/>
        <v>43521</v>
      </c>
      <c r="C92" s="51">
        <f ca="1">IF(NOW(),_xll.meCurveCompoundRate(ValueDate,B92,CurveCollection,CurveIndex,Example!$C$10,0,Example!$C$17,Example!$C$16,Example!$C$13,Example!$C$12,Example!$C$11,Example!$C$14,Example!$C$20))</f>
        <v>1.4833708292514292E-3</v>
      </c>
    </row>
    <row r="93" spans="2:3">
      <c r="B93" s="50">
        <f t="shared" ca="1" si="2"/>
        <v>43531</v>
      </c>
      <c r="C93" s="51">
        <f ca="1">IF(NOW(),_xll.meCurveCompoundRate(ValueDate,B93,CurveCollection,CurveIndex,Example!$C$10,0,Example!$C$17,Example!$C$16,Example!$C$13,Example!$C$12,Example!$C$11,Example!$C$14,Example!$C$20))</f>
        <v>1.499592607506095E-3</v>
      </c>
    </row>
    <row r="94" spans="2:3">
      <c r="B94" s="50">
        <f t="shared" ca="1" si="2"/>
        <v>43541</v>
      </c>
      <c r="C94" s="51">
        <f ca="1">IF(NOW(),_xll.meCurveCompoundRate(ValueDate,B94,CurveCollection,CurveIndex,Example!$C$10,0,Example!$C$17,Example!$C$16,Example!$C$13,Example!$C$12,Example!$C$11,Example!$C$14,Example!$C$20))</f>
        <v>1.5177466489699754E-3</v>
      </c>
    </row>
    <row r="95" spans="2:3">
      <c r="B95" s="50">
        <f t="shared" ca="1" si="2"/>
        <v>43551</v>
      </c>
      <c r="C95" s="51">
        <f ca="1">IF(NOW(),_xll.meCurveCompoundRate(ValueDate,B95,CurveCollection,CurveIndex,Example!$C$10,0,Example!$C$17,Example!$C$16,Example!$C$13,Example!$C$12,Example!$C$11,Example!$C$14,Example!$C$20))</f>
        <v>1.5328827620288976E-3</v>
      </c>
    </row>
    <row r="96" spans="2:3">
      <c r="B96" s="50">
        <f t="shared" ca="1" si="2"/>
        <v>43561</v>
      </c>
      <c r="C96" s="51">
        <f ca="1">IF(NOW(),_xll.meCurveCompoundRate(ValueDate,B96,CurveCollection,CurveIndex,Example!$C$10,0,Example!$C$17,Example!$C$16,Example!$C$13,Example!$C$12,Example!$C$11,Example!$C$14,Example!$C$20))</f>
        <v>1.5535216821305209E-3</v>
      </c>
    </row>
    <row r="97" spans="2:3">
      <c r="B97" s="50">
        <f t="shared" ca="1" si="2"/>
        <v>43571</v>
      </c>
      <c r="C97" s="51">
        <f ca="1">IF(NOW(),_xll.meCurveCompoundRate(ValueDate,B97,CurveCollection,CurveIndex,Example!$C$10,0,Example!$C$17,Example!$C$16,Example!$C$13,Example!$C$12,Example!$C$11,Example!$C$14,Example!$C$20))</f>
        <v>1.5676067941434724E-3</v>
      </c>
    </row>
    <row r="98" spans="2:3">
      <c r="B98" s="50">
        <f t="shared" ca="1" si="2"/>
        <v>43581</v>
      </c>
      <c r="C98" s="51">
        <f ca="1">IF(NOW(),_xll.meCurveCompoundRate(ValueDate,B98,CurveCollection,CurveIndex,Example!$C$10,0,Example!$C$17,Example!$C$16,Example!$C$13,Example!$C$12,Example!$C$11,Example!$C$14,Example!$C$20))</f>
        <v>1.5856209456017734E-3</v>
      </c>
    </row>
    <row r="99" spans="2:3">
      <c r="B99" s="50">
        <f t="shared" ca="1" si="2"/>
        <v>43591</v>
      </c>
      <c r="C99" s="51">
        <f ca="1">IF(NOW(),_xll.meCurveCompoundRate(ValueDate,B99,CurveCollection,CurveIndex,Example!$C$10,0,Example!$C$17,Example!$C$16,Example!$C$13,Example!$C$12,Example!$C$11,Example!$C$14,Example!$C$20))</f>
        <v>1.6060109264344202E-3</v>
      </c>
    </row>
    <row r="100" spans="2:3">
      <c r="B100" s="50">
        <f t="shared" ca="1" si="2"/>
        <v>43601</v>
      </c>
      <c r="C100" s="51">
        <f ca="1">IF(NOW(),_xll.meCurveCompoundRate(ValueDate,B100,CurveCollection,CurveIndex,Example!$C$10,0,Example!$C$17,Example!$C$16,Example!$C$13,Example!$C$12,Example!$C$11,Example!$C$14,Example!$C$20))</f>
        <v>1.6231824481616197E-3</v>
      </c>
    </row>
    <row r="101" spans="2:3">
      <c r="B101" s="50">
        <f t="shared" ca="1" si="2"/>
        <v>43611</v>
      </c>
      <c r="C101" s="51">
        <f ca="1">IF(NOW(),_xll.meCurveCompoundRate(ValueDate,B101,CurveCollection,CurveIndex,Example!$C$10,0,Example!$C$17,Example!$C$16,Example!$C$13,Example!$C$12,Example!$C$11,Example!$C$14,Example!$C$20))</f>
        <v>1.644819360859362E-3</v>
      </c>
    </row>
    <row r="102" spans="2:3">
      <c r="B102" s="50">
        <f t="shared" ca="1" si="2"/>
        <v>43621</v>
      </c>
      <c r="C102" s="51">
        <f ca="1">IF(NOW(),_xll.meCurveCompoundRate(ValueDate,B102,CurveCollection,CurveIndex,Example!$C$10,0,Example!$C$17,Example!$C$16,Example!$C$13,Example!$C$12,Example!$C$11,Example!$C$14,Example!$C$20))</f>
        <v>1.6630935527650603E-3</v>
      </c>
    </row>
    <row r="103" spans="2:3">
      <c r="B103" s="50">
        <f t="shared" ca="1" si="2"/>
        <v>43631</v>
      </c>
      <c r="C103" s="51">
        <f ca="1">IF(NOW(),_xll.meCurveCompoundRate(ValueDate,B103,CurveCollection,CurveIndex,Example!$C$10,0,Example!$C$17,Example!$C$16,Example!$C$13,Example!$C$12,Example!$C$11,Example!$C$14,Example!$C$20))</f>
        <v>1.68832049548584E-3</v>
      </c>
    </row>
    <row r="104" spans="2:3">
      <c r="B104" s="50">
        <f t="shared" ca="1" si="2"/>
        <v>43641</v>
      </c>
      <c r="C104" s="51">
        <f ca="1">IF(NOW(),_xll.meCurveCompoundRate(ValueDate,B104,CurveCollection,CurveIndex,Example!$C$10,0,Example!$C$17,Example!$C$16,Example!$C$13,Example!$C$12,Example!$C$11,Example!$C$14,Example!$C$20))</f>
        <v>1.7057207921362671E-3</v>
      </c>
    </row>
    <row r="105" spans="2:3">
      <c r="B105" s="50">
        <f t="shared" ca="1" si="2"/>
        <v>43651</v>
      </c>
      <c r="C105" s="51">
        <f ca="1">IF(NOW(),_xll.meCurveCompoundRate(ValueDate,B105,CurveCollection,CurveIndex,Example!$C$10,0,Example!$C$17,Example!$C$16,Example!$C$13,Example!$C$12,Example!$C$11,Example!$C$14,Example!$C$20))</f>
        <v>1.7281675484295267E-3</v>
      </c>
    </row>
    <row r="106" spans="2:3">
      <c r="B106" s="50">
        <f t="shared" ca="1" si="2"/>
        <v>43661</v>
      </c>
      <c r="C106" s="51">
        <f ca="1">IF(NOW(),_xll.meCurveCompoundRate(ValueDate,B106,CurveCollection,CurveIndex,Example!$C$10,0,Example!$C$17,Example!$C$16,Example!$C$13,Example!$C$12,Example!$C$11,Example!$C$14,Example!$C$20))</f>
        <v>1.7538038722293425E-3</v>
      </c>
    </row>
    <row r="107" spans="2:3">
      <c r="B107" s="50">
        <f t="shared" ca="1" si="2"/>
        <v>43671</v>
      </c>
      <c r="C107" s="51">
        <f ca="1">IF(NOW(),_xll.meCurveCompoundRate(ValueDate,B107,CurveCollection,CurveIndex,Example!$C$10,0,Example!$C$17,Example!$C$16,Example!$C$13,Example!$C$12,Example!$C$11,Example!$C$14,Example!$C$20))</f>
        <v>1.7755566057819916E-3</v>
      </c>
    </row>
    <row r="108" spans="2:3">
      <c r="B108" s="50">
        <f t="shared" ca="1" si="2"/>
        <v>43681</v>
      </c>
      <c r="C108" s="51">
        <f ca="1">IF(NOW(),_xll.meCurveCompoundRate(ValueDate,B108,CurveCollection,CurveIndex,Example!$C$10,0,Example!$C$17,Example!$C$16,Example!$C$13,Example!$C$12,Example!$C$11,Example!$C$14,Example!$C$20))</f>
        <v>1.8031457813083573E-3</v>
      </c>
    </row>
    <row r="109" spans="2:3">
      <c r="B109" s="50">
        <f t="shared" ref="B109:B146" ca="1" si="3">B108+PeriodicityInDays</f>
        <v>43691</v>
      </c>
      <c r="C109" s="51">
        <f ca="1">IF(NOW(),_xll.meCurveCompoundRate(ValueDate,B109,CurveCollection,CurveIndex,Example!$C$10,0,Example!$C$17,Example!$C$16,Example!$C$13,Example!$C$12,Example!$C$11,Example!$C$14,Example!$C$20))</f>
        <v>1.8265788993661047E-3</v>
      </c>
    </row>
    <row r="110" spans="2:3">
      <c r="B110" s="50">
        <f t="shared" ca="1" si="3"/>
        <v>43701</v>
      </c>
      <c r="C110" s="51">
        <f ca="1">IF(NOW(),_xll.meCurveCompoundRate(ValueDate,B110,CurveCollection,CurveIndex,Example!$C$10,0,Example!$C$17,Example!$C$16,Example!$C$13,Example!$C$12,Example!$C$11,Example!$C$14,Example!$C$20))</f>
        <v>1.8590889779395159E-3</v>
      </c>
    </row>
    <row r="111" spans="2:3">
      <c r="B111" s="50">
        <f t="shared" ca="1" si="3"/>
        <v>43711</v>
      </c>
      <c r="C111" s="51">
        <f ca="1">IF(NOW(),_xll.meCurveCompoundRate(ValueDate,B111,CurveCollection,CurveIndex,Example!$C$10,0,Example!$C$17,Example!$C$16,Example!$C$13,Example!$C$12,Example!$C$11,Example!$C$14,Example!$C$20))</f>
        <v>1.8816016386511425E-3</v>
      </c>
    </row>
    <row r="112" spans="2:3">
      <c r="B112" s="50">
        <f t="shared" ca="1" si="3"/>
        <v>43721</v>
      </c>
      <c r="C112" s="51">
        <f ca="1">IF(NOW(),_xll.meCurveCompoundRate(ValueDate,B112,CurveCollection,CurveIndex,Example!$C$10,0,Example!$C$17,Example!$C$16,Example!$C$13,Example!$C$12,Example!$C$11,Example!$C$14,Example!$C$20))</f>
        <v>1.9107279962702339E-3</v>
      </c>
    </row>
    <row r="113" spans="2:3">
      <c r="B113" s="50">
        <f t="shared" ca="1" si="3"/>
        <v>43731</v>
      </c>
      <c r="C113" s="51">
        <f ca="1">IF(NOW(),_xll.meCurveCompoundRate(ValueDate,B113,CurveCollection,CurveIndex,Example!$C$10,0,Example!$C$17,Example!$C$16,Example!$C$13,Example!$C$12,Example!$C$11,Example!$C$14,Example!$C$20))</f>
        <v>1.9440830692858402E-3</v>
      </c>
    </row>
    <row r="114" spans="2:3">
      <c r="B114" s="50">
        <f t="shared" ca="1" si="3"/>
        <v>43741</v>
      </c>
      <c r="C114" s="51">
        <f ca="1">IF(NOW(),_xll.meCurveCompoundRate(ValueDate,B114,CurveCollection,CurveIndex,Example!$C$10,0,Example!$C$17,Example!$C$16,Example!$C$13,Example!$C$12,Example!$C$11,Example!$C$14,Example!$C$20))</f>
        <v>1.9724404797893946E-3</v>
      </c>
    </row>
    <row r="115" spans="2:3">
      <c r="B115" s="50">
        <f t="shared" ca="1" si="3"/>
        <v>43751</v>
      </c>
      <c r="C115" s="51">
        <f ca="1">IF(NOW(),_xll.meCurveCompoundRate(ValueDate,B115,CurveCollection,CurveIndex,Example!$C$10,0,Example!$C$17,Example!$C$16,Example!$C$13,Example!$C$12,Example!$C$11,Example!$C$14,Example!$C$20))</f>
        <v>2.0118058366298541E-3</v>
      </c>
    </row>
    <row r="116" spans="2:3">
      <c r="B116" s="50">
        <f t="shared" ca="1" si="3"/>
        <v>43761</v>
      </c>
      <c r="C116" s="51">
        <f ca="1">IF(NOW(),_xll.meCurveCompoundRate(ValueDate,B116,CurveCollection,CurveIndex,Example!$C$10,0,Example!$C$17,Example!$C$16,Example!$C$13,Example!$C$12,Example!$C$11,Example!$C$14,Example!$C$20))</f>
        <v>2.0390725070535964E-3</v>
      </c>
    </row>
    <row r="117" spans="2:3">
      <c r="B117" s="50">
        <f t="shared" ca="1" si="3"/>
        <v>43771</v>
      </c>
      <c r="C117" s="51">
        <f ca="1">IF(NOW(),_xll.meCurveCompoundRate(ValueDate,B117,CurveCollection,CurveIndex,Example!$C$10,0,Example!$C$17,Example!$C$16,Example!$C$13,Example!$C$12,Example!$C$11,Example!$C$14,Example!$C$20))</f>
        <v>2.0851569256581381E-3</v>
      </c>
    </row>
    <row r="118" spans="2:3">
      <c r="B118" s="50">
        <f t="shared" ca="1" si="3"/>
        <v>43781</v>
      </c>
      <c r="C118" s="51">
        <f ca="1">IF(NOW(),_xll.meCurveCompoundRate(ValueDate,B118,CurveCollection,CurveIndex,Example!$C$10,0,Example!$C$17,Example!$C$16,Example!$C$13,Example!$C$12,Example!$C$11,Example!$C$14,Example!$C$20))</f>
        <v>2.1108691639519783E-3</v>
      </c>
    </row>
    <row r="119" spans="2:3">
      <c r="B119" s="50">
        <f t="shared" ca="1" si="3"/>
        <v>43791</v>
      </c>
      <c r="C119" s="51">
        <f ca="1">IF(NOW(),_xll.meCurveCompoundRate(ValueDate,B119,CurveCollection,CurveIndex,Example!$C$10,0,Example!$C$17,Example!$C$16,Example!$C$13,Example!$C$12,Example!$C$11,Example!$C$14,Example!$C$20))</f>
        <v>2.1486708557321155E-3</v>
      </c>
    </row>
    <row r="120" spans="2:3">
      <c r="B120" s="50">
        <f t="shared" ca="1" si="3"/>
        <v>43801</v>
      </c>
      <c r="C120" s="51">
        <f ca="1">IF(NOW(),_xll.meCurveCompoundRate(ValueDate,B120,CurveCollection,CurveIndex,Example!$C$10,0,Example!$C$17,Example!$C$16,Example!$C$13,Example!$C$12,Example!$C$11,Example!$C$14,Example!$C$20))</f>
        <v>2.1877101472538296E-3</v>
      </c>
    </row>
    <row r="121" spans="2:3">
      <c r="B121" s="50">
        <f t="shared" ca="1" si="3"/>
        <v>43811</v>
      </c>
      <c r="C121" s="51">
        <f ca="1">IF(NOW(),_xll.meCurveCompoundRate(ValueDate,B121,CurveCollection,CurveIndex,Example!$C$10,0,Example!$C$17,Example!$C$16,Example!$C$13,Example!$C$12,Example!$C$11,Example!$C$14,Example!$C$20))</f>
        <v>2.2279635591724301E-3</v>
      </c>
    </row>
    <row r="122" spans="2:3">
      <c r="B122" s="50">
        <f t="shared" ca="1" si="3"/>
        <v>43821</v>
      </c>
      <c r="C122" s="51">
        <f ca="1">IF(NOW(),_xll.meCurveCompoundRate(ValueDate,B122,CurveCollection,CurveIndex,Example!$C$10,0,Example!$C$17,Example!$C$16,Example!$C$13,Example!$C$12,Example!$C$11,Example!$C$14,Example!$C$20))</f>
        <v>2.2778372354335108E-3</v>
      </c>
    </row>
    <row r="123" spans="2:3">
      <c r="B123" s="50">
        <f t="shared" ca="1" si="3"/>
        <v>43831</v>
      </c>
      <c r="C123" s="51">
        <f ca="1">IF(NOW(),_xll.meCurveCompoundRate(ValueDate,B123,CurveCollection,CurveIndex,Example!$C$10,0,Example!$C$17,Example!$C$16,Example!$C$13,Example!$C$12,Example!$C$11,Example!$C$14,Example!$C$20))</f>
        <v>2.3336830635982686E-3</v>
      </c>
    </row>
    <row r="124" spans="2:3">
      <c r="B124" s="50">
        <f t="shared" ca="1" si="3"/>
        <v>43841</v>
      </c>
      <c r="C124" s="51">
        <f ca="1">IF(NOW(),_xll.meCurveCompoundRate(ValueDate,B124,CurveCollection,CurveIndex,Example!$C$10,0,Example!$C$17,Example!$C$16,Example!$C$13,Example!$C$12,Example!$C$11,Example!$C$14,Example!$C$20))</f>
        <v>2.3689489228608807E-3</v>
      </c>
    </row>
    <row r="125" spans="2:3">
      <c r="B125" s="50">
        <f t="shared" ca="1" si="3"/>
        <v>43851</v>
      </c>
      <c r="C125" s="51">
        <f ca="1">IF(NOW(),_xll.meCurveCompoundRate(ValueDate,B125,CurveCollection,CurveIndex,Example!$C$10,0,Example!$C$17,Example!$C$16,Example!$C$13,Example!$C$12,Example!$C$11,Example!$C$14,Example!$C$20))</f>
        <v>2.400388227851824E-3</v>
      </c>
    </row>
    <row r="126" spans="2:3">
      <c r="B126" s="50">
        <f t="shared" ca="1" si="3"/>
        <v>43861</v>
      </c>
      <c r="C126" s="51">
        <f ca="1">IF(NOW(),_xll.meCurveCompoundRate(ValueDate,B126,CurveCollection,CurveIndex,Example!$C$10,0,Example!$C$17,Example!$C$16,Example!$C$13,Example!$C$12,Example!$C$11,Example!$C$14,Example!$C$20))</f>
        <v>2.4462267906630863E-3</v>
      </c>
    </row>
    <row r="127" spans="2:3">
      <c r="B127" s="50">
        <f t="shared" ca="1" si="3"/>
        <v>43871</v>
      </c>
      <c r="C127" s="51">
        <f ca="1">IF(NOW(),_xll.meCurveCompoundRate(ValueDate,B127,CurveCollection,CurveIndex,Example!$C$10,0,Example!$C$17,Example!$C$16,Example!$C$13,Example!$C$12,Example!$C$11,Example!$C$14,Example!$C$20))</f>
        <v>2.4931329473576458E-3</v>
      </c>
    </row>
    <row r="128" spans="2:3">
      <c r="B128" s="50">
        <f t="shared" ca="1" si="3"/>
        <v>43881</v>
      </c>
      <c r="C128" s="51">
        <f ca="1">IF(NOW(),_xll.meCurveCompoundRate(ValueDate,B128,CurveCollection,CurveIndex,Example!$C$10,0,Example!$C$17,Example!$C$16,Example!$C$13,Example!$C$12,Example!$C$11,Example!$C$14,Example!$C$20))</f>
        <v>2.5410834083510192E-3</v>
      </c>
    </row>
    <row r="129" spans="2:3">
      <c r="B129" s="50">
        <f t="shared" ca="1" si="3"/>
        <v>43891</v>
      </c>
      <c r="C129" s="51">
        <f ca="1">IF(NOW(),_xll.meCurveCompoundRate(ValueDate,B129,CurveCollection,CurveIndex,Example!$C$10,0,Example!$C$17,Example!$C$16,Example!$C$13,Example!$C$12,Example!$C$11,Example!$C$14,Example!$C$20))</f>
        <v>2.5950072879035169E-3</v>
      </c>
    </row>
    <row r="130" spans="2:3">
      <c r="B130" s="50">
        <f t="shared" ca="1" si="3"/>
        <v>43901</v>
      </c>
      <c r="C130" s="51">
        <f ca="1">IF(NOW(),_xll.meCurveCompoundRate(ValueDate,B130,CurveCollection,CurveIndex,Example!$C$10,0,Example!$C$17,Example!$C$16,Example!$C$13,Example!$C$12,Example!$C$11,Example!$C$14,Example!$C$20))</f>
        <v>2.6400240726278668E-3</v>
      </c>
    </row>
    <row r="131" spans="2:3">
      <c r="B131" s="50">
        <f t="shared" ca="1" si="3"/>
        <v>43911</v>
      </c>
      <c r="C131" s="51">
        <f ca="1">IF(NOW(),_xll.meCurveCompoundRate(ValueDate,B131,CurveCollection,CurveIndex,Example!$C$10,0,Example!$C$17,Example!$C$16,Example!$C$13,Example!$C$12,Example!$C$11,Example!$C$14,Example!$C$20))</f>
        <v>2.7012712848903941E-3</v>
      </c>
    </row>
    <row r="132" spans="2:3">
      <c r="B132" s="50">
        <f t="shared" ca="1" si="3"/>
        <v>43921</v>
      </c>
      <c r="C132" s="51">
        <f ca="1">IF(NOW(),_xll.meCurveCompoundRate(ValueDate,B132,CurveCollection,CurveIndex,Example!$C$10,0,Example!$C$17,Example!$C$16,Example!$C$13,Example!$C$12,Example!$C$11,Example!$C$14,Example!$C$20))</f>
        <v>2.7428624108678523E-3</v>
      </c>
    </row>
    <row r="133" spans="2:3">
      <c r="B133" s="50">
        <f t="shared" ca="1" si="3"/>
        <v>43931</v>
      </c>
      <c r="C133" s="51">
        <f ca="1">IF(NOW(),_xll.meCurveCompoundRate(ValueDate,B133,CurveCollection,CurveIndex,Example!$C$10,0,Example!$C$17,Example!$C$16,Example!$C$13,Example!$C$12,Example!$C$11,Example!$C$14,Example!$C$20))</f>
        <v>2.7956849501329373E-3</v>
      </c>
    </row>
    <row r="134" spans="2:3">
      <c r="B134" s="50">
        <f t="shared" ca="1" si="3"/>
        <v>43941</v>
      </c>
      <c r="C134" s="51">
        <f ca="1">IF(NOW(),_xll.meCurveCompoundRate(ValueDate,B134,CurveCollection,CurveIndex,Example!$C$10,0,Example!$C$17,Example!$C$16,Example!$C$13,Example!$C$12,Example!$C$11,Example!$C$14,Example!$C$20))</f>
        <v>2.8494119899669101E-3</v>
      </c>
    </row>
    <row r="135" spans="2:3">
      <c r="B135" s="50">
        <f t="shared" ca="1" si="3"/>
        <v>43951</v>
      </c>
      <c r="C135" s="51">
        <f ca="1">IF(NOW(),_xll.meCurveCompoundRate(ValueDate,B135,CurveCollection,CurveIndex,Example!$C$10,0,Example!$C$17,Example!$C$16,Example!$C$13,Example!$C$12,Example!$C$11,Example!$C$14,Example!$C$20))</f>
        <v>2.9040202144339222E-3</v>
      </c>
    </row>
    <row r="136" spans="2:3">
      <c r="B136" s="50">
        <f t="shared" ca="1" si="3"/>
        <v>43961</v>
      </c>
      <c r="C136" s="51">
        <f ca="1">IF(NOW(),_xll.meCurveCompoundRate(ValueDate,B136,CurveCollection,CurveIndex,Example!$C$10,0,Example!$C$17,Example!$C$16,Example!$C$13,Example!$C$12,Example!$C$11,Example!$C$14,Example!$C$20))</f>
        <v>2.9650791952917643E-3</v>
      </c>
    </row>
    <row r="137" spans="2:3">
      <c r="B137" s="50">
        <f t="shared" ca="1" si="3"/>
        <v>43971</v>
      </c>
      <c r="C137" s="51">
        <f ca="1">IF(NOW(),_xll.meCurveCompoundRate(ValueDate,B137,CurveCollection,CurveIndex,Example!$C$10,0,Example!$C$17,Example!$C$16,Example!$C$13,Example!$C$12,Example!$C$11,Example!$C$14,Example!$C$20))</f>
        <v>3.0157869255800218E-3</v>
      </c>
    </row>
    <row r="138" spans="2:3">
      <c r="B138" s="50">
        <f t="shared" ca="1" si="3"/>
        <v>43981</v>
      </c>
      <c r="C138" s="51">
        <f ca="1">IF(NOW(),_xll.meCurveCompoundRate(ValueDate,B138,CurveCollection,CurveIndex,Example!$C$10,0,Example!$C$17,Example!$C$16,Example!$C$13,Example!$C$12,Example!$C$11,Example!$C$14,Example!$C$20))</f>
        <v>3.0671517296694262E-3</v>
      </c>
    </row>
    <row r="139" spans="2:3">
      <c r="B139" s="50">
        <f t="shared" ca="1" si="3"/>
        <v>43991</v>
      </c>
      <c r="C139" s="51">
        <f ca="1">IF(NOW(),_xll.meCurveCompoundRate(ValueDate,B139,CurveCollection,CurveIndex,Example!$C$10,0,Example!$C$17,Example!$C$16,Example!$C$13,Example!$C$12,Example!$C$11,Example!$C$14,Example!$C$20))</f>
        <v>3.1307984384798537E-3</v>
      </c>
    </row>
    <row r="140" spans="2:3">
      <c r="B140" s="50">
        <f t="shared" ca="1" si="3"/>
        <v>44001</v>
      </c>
      <c r="C140" s="51">
        <f ca="1">IF(NOW(),_xll.meCurveCompoundRate(ValueDate,B140,CurveCollection,CurveIndex,Example!$C$10,0,Example!$C$17,Example!$C$16,Example!$C$13,Example!$C$12,Example!$C$11,Example!$C$14,Example!$C$20))</f>
        <v>3.1894626399897597E-3</v>
      </c>
    </row>
    <row r="141" spans="2:3">
      <c r="B141" s="50">
        <f t="shared" ca="1" si="3"/>
        <v>44011</v>
      </c>
      <c r="C141" s="51">
        <f ca="1">IF(NOW(),_xll.meCurveCompoundRate(ValueDate,B141,CurveCollection,CurveIndex,Example!$C$10,0,Example!$C$17,Example!$C$16,Example!$C$13,Example!$C$12,Example!$C$11,Example!$C$14,Example!$C$20))</f>
        <v>3.2488680007700665E-3</v>
      </c>
    </row>
    <row r="142" spans="2:3">
      <c r="B142" s="50">
        <f t="shared" ca="1" si="3"/>
        <v>44021</v>
      </c>
      <c r="C142" s="51">
        <f ca="1">IF(NOW(),_xll.meCurveCompoundRate(ValueDate,B142,CurveCollection,CurveIndex,Example!$C$10,0,Example!$C$17,Example!$C$16,Example!$C$13,Example!$C$12,Example!$C$11,Example!$C$14,Example!$C$20))</f>
        <v>3.3089911580610476E-3</v>
      </c>
    </row>
    <row r="143" spans="2:3">
      <c r="B143" s="50">
        <f t="shared" ca="1" si="3"/>
        <v>44031</v>
      </c>
      <c r="C143" s="51">
        <f ca="1">IF(NOW(),_xll.meCurveCompoundRate(ValueDate,B143,CurveCollection,CurveIndex,Example!$C$10,0,Example!$C$17,Example!$C$16,Example!$C$13,Example!$C$12,Example!$C$11,Example!$C$14,Example!$C$20))</f>
        <v>3.3820535314106337E-3</v>
      </c>
    </row>
    <row r="144" spans="2:3">
      <c r="B144" s="50">
        <f t="shared" ca="1" si="3"/>
        <v>44041</v>
      </c>
      <c r="C144" s="51">
        <f ca="1">IF(NOW(),_xll.meCurveCompoundRate(ValueDate,B144,CurveCollection,CurveIndex,Example!$C$10,0,Example!$C$17,Example!$C$16,Example!$C$13,Example!$C$12,Example!$C$11,Example!$C$14,Example!$C$20))</f>
        <v>3.4312973701575711E-3</v>
      </c>
    </row>
    <row r="145" spans="2:3">
      <c r="B145" s="50">
        <f t="shared" ca="1" si="3"/>
        <v>44051</v>
      </c>
      <c r="C145" s="51">
        <f ca="1">IF(NOW(),_xll.meCurveCompoundRate(ValueDate,B145,CurveCollection,CurveIndex,Example!$C$10,0,Example!$C$17,Example!$C$16,Example!$C$13,Example!$C$12,Example!$C$11,Example!$C$14,Example!$C$20))</f>
        <v>3.5059365750487181E-3</v>
      </c>
    </row>
    <row r="146" spans="2:3">
      <c r="B146" s="66">
        <f t="shared" ca="1" si="3"/>
        <v>44061</v>
      </c>
      <c r="C146" s="51">
        <f ca="1">IF(NOW(),_xll.meCurveCompoundRate(ValueDate,B146,CurveCollection,CurveIndex,Example!$C$10,0,Example!$C$17,Example!$C$16,Example!$C$13,Example!$C$12,Example!$C$11,Example!$C$14,Example!$C$20))</f>
        <v>3.5561942055024609E-3</v>
      </c>
    </row>
  </sheetData>
  <dataValidations disablePrompts="1" count="2">
    <dataValidation type="list" allowBlank="1" showInputMessage="1" showErrorMessage="1" sqref="C4">
      <formula1>"Flat,Simple,Normal,Average"</formula1>
    </dataValidation>
    <dataValidation type="list" allowBlank="1" showInputMessage="1" showErrorMessage="1" sqref="C3">
      <formula1>"Step,Spline,ConstrainedSpline"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Curve</vt:lpstr>
      <vt:lpstr>Example</vt:lpstr>
      <vt:lpstr>Chart</vt:lpstr>
      <vt:lpstr>Compounding</vt:lpstr>
      <vt:lpstr>CurveCollection</vt:lpstr>
      <vt:lpstr>CurveIndex</vt:lpstr>
      <vt:lpstr>Interpolation2</vt:lpstr>
      <vt:lpstr>PeriodicityInDays</vt:lpstr>
      <vt:lpstr>StaticDataTable</vt:lpstr>
      <vt:lpstr>ValueDate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Uragami Shinichiro</dc:creator>
  <cp:lastModifiedBy>Nicholas Burgess</cp:lastModifiedBy>
  <dcterms:created xsi:type="dcterms:W3CDTF">2015-08-06T14:26:47Z</dcterms:created>
  <dcterms:modified xsi:type="dcterms:W3CDTF">2016-10-18T10:21:59Z</dcterms:modified>
</cp:coreProperties>
</file>