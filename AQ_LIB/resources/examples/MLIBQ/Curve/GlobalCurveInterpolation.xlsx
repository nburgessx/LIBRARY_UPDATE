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examples\MLIBQ\Curve\"/>
    </mc:Choice>
  </mc:AlternateContent>
  <bookViews>
    <workbookView xWindow="480" yWindow="90" windowWidth="20700" windowHeight="11700"/>
  </bookViews>
  <sheets>
    <sheet name="USD GLOBAL CURVE" sheetId="20" r:id="rId1"/>
    <sheet name="DISPLAY_CURVE" sheetId="21" r:id="rId2"/>
    <sheet name="PRICING" sheetId="22" r:id="rId3"/>
    <sheet name="RISK" sheetId="23" r:id="rId4"/>
  </sheets>
  <calcPr calcId="162913" calcMode="manual" calcCompleted="0" calcOnSave="0"/>
</workbook>
</file>

<file path=xl/calcChain.xml><?xml version="1.0" encoding="utf-8"?>
<calcChain xmlns="http://schemas.openxmlformats.org/spreadsheetml/2006/main">
  <c r="I54" i="20" l="1"/>
  <c r="O55" i="20" l="1"/>
  <c r="I53" i="20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3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C18" i="23"/>
  <c r="C17" i="23"/>
  <c r="C16" i="23"/>
  <c r="U40" i="20"/>
  <c r="H44" i="20"/>
  <c r="C5" i="22"/>
  <c r="C7" i="22"/>
  <c r="B7" i="22"/>
  <c r="C6" i="22"/>
  <c r="B6" i="22" s="1"/>
  <c r="B5" i="22"/>
  <c r="I14" i="20"/>
  <c r="I35" i="20"/>
  <c r="O53" i="20" l="1"/>
  <c r="O54" i="20"/>
  <c r="D20" i="20"/>
  <c r="D27" i="20"/>
  <c r="C15" i="23"/>
  <c r="C14" i="23"/>
  <c r="C13" i="23"/>
  <c r="S8" i="22"/>
  <c r="T8" i="22"/>
  <c r="S9" i="22"/>
  <c r="T9" i="22"/>
  <c r="S10" i="22"/>
  <c r="T10" i="22"/>
  <c r="S11" i="22"/>
  <c r="T11" i="22"/>
  <c r="S12" i="22"/>
  <c r="T12" i="22"/>
  <c r="S13" i="22"/>
  <c r="T13" i="22"/>
  <c r="S14" i="22"/>
  <c r="T14" i="22"/>
  <c r="S15" i="22"/>
  <c r="T15" i="22"/>
  <c r="S16" i="22"/>
  <c r="T16" i="22"/>
  <c r="S17" i="22"/>
  <c r="T17" i="22"/>
  <c r="S18" i="22"/>
  <c r="T18" i="22"/>
  <c r="S19" i="22"/>
  <c r="T19" i="22"/>
  <c r="S20" i="22"/>
  <c r="T20" i="22"/>
  <c r="N44" i="20"/>
  <c r="D5" i="22"/>
  <c r="C8" i="22"/>
  <c r="D6" i="22"/>
  <c r="D7" i="22"/>
  <c r="B8" i="22"/>
  <c r="N17" i="22"/>
  <c r="P17" i="22" s="1"/>
  <c r="N5" i="22"/>
  <c r="Q5" i="22"/>
  <c r="N20" i="22"/>
  <c r="N19" i="22"/>
  <c r="P19" i="22" s="1"/>
  <c r="N18" i="22"/>
  <c r="Q19" i="22"/>
  <c r="P5" i="22"/>
  <c r="Q17" i="22"/>
  <c r="N7" i="22"/>
  <c r="N16" i="22"/>
  <c r="N6" i="22"/>
  <c r="P20" i="22"/>
  <c r="Q20" i="22"/>
  <c r="P18" i="22"/>
  <c r="Q18" i="22"/>
  <c r="P7" i="22"/>
  <c r="Q7" i="22"/>
  <c r="Q16" i="22"/>
  <c r="P16" i="22"/>
  <c r="Q6" i="22"/>
  <c r="P6" i="22"/>
  <c r="D21" i="20" l="1"/>
  <c r="D26" i="20"/>
  <c r="U18" i="22"/>
  <c r="U19" i="22"/>
  <c r="U20" i="22"/>
  <c r="U17" i="22"/>
  <c r="U16" i="22"/>
  <c r="C9" i="22"/>
  <c r="C3" i="23"/>
  <c r="C4" i="23"/>
  <c r="C5" i="23"/>
  <c r="C6" i="23"/>
  <c r="C7" i="23"/>
  <c r="C8" i="23"/>
  <c r="C9" i="23"/>
  <c r="C10" i="23"/>
  <c r="C11" i="23"/>
  <c r="C12" i="23"/>
  <c r="D8" i="20"/>
  <c r="N12" i="22"/>
  <c r="N8" i="22"/>
  <c r="N9" i="22"/>
  <c r="N14" i="22"/>
  <c r="N13" i="22"/>
  <c r="P14" i="22"/>
  <c r="P12" i="22"/>
  <c r="Q12" i="22"/>
  <c r="N10" i="22"/>
  <c r="Q10" i="22" s="1"/>
  <c r="P9" i="22"/>
  <c r="N11" i="22"/>
  <c r="P13" i="22"/>
  <c r="Q11" i="22"/>
  <c r="Q14" i="22"/>
  <c r="N15" i="22"/>
  <c r="D8" i="22"/>
  <c r="P8" i="22"/>
  <c r="B9" i="21" a="1"/>
  <c r="P15" i="22"/>
  <c r="Q15" i="22"/>
  <c r="U12" i="22" l="1"/>
  <c r="U14" i="22"/>
  <c r="U10" i="22"/>
  <c r="U15" i="22"/>
  <c r="U11" i="22"/>
  <c r="D10" i="21"/>
  <c r="C13" i="21"/>
  <c r="B16" i="21"/>
  <c r="D18" i="21"/>
  <c r="C21" i="21"/>
  <c r="B24" i="21"/>
  <c r="D26" i="21"/>
  <c r="C29" i="21"/>
  <c r="B32" i="21"/>
  <c r="D34" i="21"/>
  <c r="C37" i="21"/>
  <c r="B40" i="21"/>
  <c r="D42" i="21"/>
  <c r="C45" i="21"/>
  <c r="B48" i="21"/>
  <c r="D50" i="21"/>
  <c r="C53" i="21"/>
  <c r="B56" i="21"/>
  <c r="D58" i="21"/>
  <c r="C61" i="21"/>
  <c r="B64" i="21"/>
  <c r="D66" i="21"/>
  <c r="C69" i="21"/>
  <c r="B72" i="21"/>
  <c r="D74" i="21"/>
  <c r="C77" i="21"/>
  <c r="B80" i="21"/>
  <c r="D82" i="21"/>
  <c r="C85" i="21"/>
  <c r="B88" i="21"/>
  <c r="D90" i="21"/>
  <c r="C93" i="21"/>
  <c r="B96" i="21"/>
  <c r="D98" i="21"/>
  <c r="C101" i="21"/>
  <c r="B104" i="21"/>
  <c r="D106" i="21"/>
  <c r="C109" i="21"/>
  <c r="B112" i="21"/>
  <c r="D114" i="21"/>
  <c r="C117" i="21"/>
  <c r="B120" i="21"/>
  <c r="D122" i="21"/>
  <c r="C125" i="21"/>
  <c r="B128" i="21"/>
  <c r="D130" i="21"/>
  <c r="C133" i="21"/>
  <c r="B136" i="21"/>
  <c r="D138" i="21"/>
  <c r="C141" i="21"/>
  <c r="B144" i="21"/>
  <c r="D146" i="21"/>
  <c r="C149" i="21"/>
  <c r="B152" i="21"/>
  <c r="D154" i="21"/>
  <c r="C157" i="21"/>
  <c r="B160" i="21"/>
  <c r="D162" i="21"/>
  <c r="C165" i="21"/>
  <c r="B168" i="21"/>
  <c r="D170" i="21"/>
  <c r="C173" i="21"/>
  <c r="B176" i="21"/>
  <c r="D178" i="21"/>
  <c r="C181" i="21"/>
  <c r="B184" i="21"/>
  <c r="D186" i="21"/>
  <c r="C189" i="21"/>
  <c r="B192" i="21"/>
  <c r="D194" i="21"/>
  <c r="C197" i="21"/>
  <c r="B200" i="21"/>
  <c r="D202" i="21"/>
  <c r="C205" i="21"/>
  <c r="B208" i="21"/>
  <c r="D210" i="21"/>
  <c r="C213" i="21"/>
  <c r="B216" i="21"/>
  <c r="D218" i="21"/>
  <c r="C221" i="21"/>
  <c r="B224" i="21"/>
  <c r="D226" i="21"/>
  <c r="C229" i="21"/>
  <c r="B232" i="21"/>
  <c r="D234" i="21"/>
  <c r="C9" i="21"/>
  <c r="C12" i="21"/>
  <c r="C15" i="21"/>
  <c r="C18" i="21"/>
  <c r="D21" i="21"/>
  <c r="D24" i="21"/>
  <c r="D27" i="21"/>
  <c r="D30" i="21"/>
  <c r="D33" i="21"/>
  <c r="D36" i="21"/>
  <c r="D39" i="21"/>
  <c r="B43" i="21"/>
  <c r="B46" i="21"/>
  <c r="B49" i="21"/>
  <c r="B52" i="21"/>
  <c r="B55" i="21"/>
  <c r="B58" i="21"/>
  <c r="B61" i="21"/>
  <c r="C64" i="21"/>
  <c r="C67" i="21"/>
  <c r="C70" i="21"/>
  <c r="C73" i="21"/>
  <c r="C76" i="21"/>
  <c r="C79" i="21"/>
  <c r="C82" i="21"/>
  <c r="D85" i="21"/>
  <c r="D88" i="21"/>
  <c r="D91" i="21"/>
  <c r="D94" i="21"/>
  <c r="D97" i="21"/>
  <c r="D100" i="21"/>
  <c r="D103" i="21"/>
  <c r="B107" i="21"/>
  <c r="B110" i="21"/>
  <c r="B113" i="21"/>
  <c r="B116" i="21"/>
  <c r="B119" i="21"/>
  <c r="B122" i="21"/>
  <c r="B125" i="21"/>
  <c r="C128" i="21"/>
  <c r="C131" i="21"/>
  <c r="C134" i="21"/>
  <c r="C137" i="21"/>
  <c r="C140" i="21"/>
  <c r="C143" i="21"/>
  <c r="C146" i="21"/>
  <c r="D149" i="21"/>
  <c r="D152" i="21"/>
  <c r="D155" i="21"/>
  <c r="D158" i="21"/>
  <c r="D161" i="21"/>
  <c r="D164" i="21"/>
  <c r="D167" i="21"/>
  <c r="B171" i="21"/>
  <c r="B174" i="21"/>
  <c r="B177" i="21"/>
  <c r="B180" i="21"/>
  <c r="B183" i="21"/>
  <c r="B186" i="21"/>
  <c r="B189" i="21"/>
  <c r="C192" i="21"/>
  <c r="C195" i="21"/>
  <c r="C198" i="21"/>
  <c r="C201" i="21"/>
  <c r="C204" i="21"/>
  <c r="C207" i="21"/>
  <c r="C210" i="21"/>
  <c r="D213" i="21"/>
  <c r="D216" i="21"/>
  <c r="D219" i="21"/>
  <c r="D222" i="21"/>
  <c r="D225" i="21"/>
  <c r="D228" i="21"/>
  <c r="D231" i="21"/>
  <c r="B235" i="21"/>
  <c r="D237" i="21"/>
  <c r="C240" i="21"/>
  <c r="B243" i="21"/>
  <c r="D245" i="21"/>
  <c r="C248" i="21"/>
  <c r="B251" i="21"/>
  <c r="D253" i="21"/>
  <c r="C256" i="21"/>
  <c r="B259" i="21"/>
  <c r="D261" i="21"/>
  <c r="B9" i="21"/>
  <c r="D12" i="21"/>
  <c r="C16" i="21"/>
  <c r="D19" i="21"/>
  <c r="B23" i="21"/>
  <c r="C26" i="21"/>
  <c r="B30" i="21"/>
  <c r="C33" i="21"/>
  <c r="B37" i="21"/>
  <c r="D40" i="21"/>
  <c r="B44" i="21"/>
  <c r="C47" i="21"/>
  <c r="B51" i="21"/>
  <c r="C54" i="21"/>
  <c r="D57" i="21"/>
  <c r="D61" i="21"/>
  <c r="B65" i="21"/>
  <c r="C68" i="21"/>
  <c r="D71" i="21"/>
  <c r="C75" i="21"/>
  <c r="D78" i="21"/>
  <c r="B82" i="21"/>
  <c r="B86" i="21"/>
  <c r="C89" i="21"/>
  <c r="D92" i="21"/>
  <c r="C96" i="21"/>
  <c r="D99" i="21"/>
  <c r="B103" i="21"/>
  <c r="C106" i="21"/>
  <c r="C110" i="21"/>
  <c r="D113" i="21"/>
  <c r="B117" i="21"/>
  <c r="D120" i="21"/>
  <c r="B124" i="21"/>
  <c r="C127" i="21"/>
  <c r="B131" i="21"/>
  <c r="D134" i="21"/>
  <c r="B138" i="21"/>
  <c r="D141" i="21"/>
  <c r="B145" i="21"/>
  <c r="C148" i="21"/>
  <c r="D151" i="21"/>
  <c r="C155" i="21"/>
  <c r="B159" i="21"/>
  <c r="C162" i="21"/>
  <c r="B166" i="21"/>
  <c r="C169" i="21"/>
  <c r="D172" i="21"/>
  <c r="C176" i="21"/>
  <c r="D179" i="21"/>
  <c r="C183" i="21"/>
  <c r="B187" i="21"/>
  <c r="C190" i="21"/>
  <c r="D193" i="21"/>
  <c r="B197" i="21"/>
  <c r="D200" i="21"/>
  <c r="B204" i="21"/>
  <c r="D207" i="21"/>
  <c r="C211" i="21"/>
  <c r="D214" i="21"/>
  <c r="B218" i="21"/>
  <c r="D221" i="21"/>
  <c r="B225" i="21"/>
  <c r="C228" i="21"/>
  <c r="C232" i="21"/>
  <c r="D235" i="21"/>
  <c r="D238" i="21"/>
  <c r="D241" i="21"/>
  <c r="D244" i="21"/>
  <c r="D247" i="21"/>
  <c r="D250" i="21"/>
  <c r="B254" i="21"/>
  <c r="B257" i="21"/>
  <c r="B260" i="21"/>
  <c r="B263" i="21"/>
  <c r="D265" i="21"/>
  <c r="C268" i="21"/>
  <c r="B271" i="21"/>
  <c r="D273" i="21"/>
  <c r="C276" i="21"/>
  <c r="B279" i="21"/>
  <c r="D281" i="21"/>
  <c r="C284" i="21"/>
  <c r="B287" i="21"/>
  <c r="D289" i="21"/>
  <c r="D9" i="21"/>
  <c r="B13" i="21"/>
  <c r="D16" i="21"/>
  <c r="B20" i="21"/>
  <c r="C23" i="21"/>
  <c r="B27" i="21"/>
  <c r="C30" i="21"/>
  <c r="B34" i="21"/>
  <c r="D37" i="21"/>
  <c r="B41" i="21"/>
  <c r="C44" i="21"/>
  <c r="D47" i="21"/>
  <c r="C51" i="21"/>
  <c r="D54" i="21"/>
  <c r="C58" i="21"/>
  <c r="B62" i="21"/>
  <c r="C65" i="21"/>
  <c r="D68" i="21"/>
  <c r="C72" i="21"/>
  <c r="D75" i="21"/>
  <c r="B79" i="21"/>
  <c r="B83" i="21"/>
  <c r="C86" i="21"/>
  <c r="D89" i="21"/>
  <c r="B93" i="21"/>
  <c r="D96" i="21"/>
  <c r="B100" i="21"/>
  <c r="C103" i="21"/>
  <c r="C107" i="21"/>
  <c r="D110" i="21"/>
  <c r="B114" i="21"/>
  <c r="D117" i="21"/>
  <c r="B121" i="21"/>
  <c r="B10" i="21"/>
  <c r="C14" i="21"/>
  <c r="B19" i="21"/>
  <c r="D23" i="21"/>
  <c r="C28" i="21"/>
  <c r="D32" i="21"/>
  <c r="B38" i="21"/>
  <c r="B42" i="21"/>
  <c r="D46" i="21"/>
  <c r="D51" i="21"/>
  <c r="C56" i="21"/>
  <c r="C60" i="21"/>
  <c r="D65" i="21"/>
  <c r="B70" i="21"/>
  <c r="C74" i="21"/>
  <c r="D79" i="21"/>
  <c r="B84" i="21"/>
  <c r="C88" i="21"/>
  <c r="D93" i="21"/>
  <c r="B98" i="21"/>
  <c r="C102" i="21"/>
  <c r="D107" i="21"/>
  <c r="D111" i="21"/>
  <c r="C116" i="21"/>
  <c r="C121" i="21"/>
  <c r="D125" i="21"/>
  <c r="C129" i="21"/>
  <c r="B133" i="21"/>
  <c r="B137" i="21"/>
  <c r="B141" i="21"/>
  <c r="C145" i="21"/>
  <c r="B149" i="21"/>
  <c r="C153" i="21"/>
  <c r="B157" i="21"/>
  <c r="B161" i="21"/>
  <c r="B165" i="21"/>
  <c r="B169" i="21"/>
  <c r="B173" i="21"/>
  <c r="C177" i="21"/>
  <c r="B181" i="21"/>
  <c r="B185" i="21"/>
  <c r="D188" i="21"/>
  <c r="B193" i="21"/>
  <c r="D196" i="21"/>
  <c r="B201" i="21"/>
  <c r="B205" i="21"/>
  <c r="B209" i="21"/>
  <c r="D212" i="21"/>
  <c r="B217" i="21"/>
  <c r="D220" i="21"/>
  <c r="D224" i="21"/>
  <c r="B229" i="21"/>
  <c r="B233" i="21"/>
  <c r="D236" i="21"/>
  <c r="B240" i="21"/>
  <c r="D243" i="21"/>
  <c r="B247" i="21"/>
  <c r="C250" i="21"/>
  <c r="C254" i="21"/>
  <c r="D257" i="21"/>
  <c r="B261" i="21"/>
  <c r="C264" i="21"/>
  <c r="C267" i="21"/>
  <c r="C270" i="21"/>
  <c r="C273" i="21"/>
  <c r="D276" i="21"/>
  <c r="D279" i="21"/>
  <c r="D282" i="21"/>
  <c r="D285" i="21"/>
  <c r="D288" i="21"/>
  <c r="D291" i="21"/>
  <c r="C294" i="21"/>
  <c r="B297" i="21"/>
  <c r="D299" i="21"/>
  <c r="C302" i="21"/>
  <c r="B305" i="21"/>
  <c r="D307" i="21"/>
  <c r="C310" i="21"/>
  <c r="B313" i="21"/>
  <c r="D315" i="21"/>
  <c r="C318" i="21"/>
  <c r="B321" i="21"/>
  <c r="D323" i="21"/>
  <c r="C326" i="21"/>
  <c r="B329" i="21"/>
  <c r="D331" i="21"/>
  <c r="C334" i="21"/>
  <c r="B337" i="21"/>
  <c r="D339" i="21"/>
  <c r="C342" i="21"/>
  <c r="B345" i="21"/>
  <c r="D347" i="21"/>
  <c r="C350" i="21"/>
  <c r="B353" i="21"/>
  <c r="D355" i="21"/>
  <c r="C358" i="21"/>
  <c r="B361" i="21"/>
  <c r="D363" i="21"/>
  <c r="C366" i="21"/>
  <c r="B369" i="21"/>
  <c r="C10" i="21"/>
  <c r="D14" i="21"/>
  <c r="C19" i="21"/>
  <c r="C24" i="21"/>
  <c r="D28" i="21"/>
  <c r="B33" i="21"/>
  <c r="C38" i="21"/>
  <c r="C42" i="21"/>
  <c r="B47" i="21"/>
  <c r="C52" i="21"/>
  <c r="D56" i="21"/>
  <c r="D60" i="21"/>
  <c r="B66" i="21"/>
  <c r="D70" i="21"/>
  <c r="B75" i="21"/>
  <c r="C80" i="21"/>
  <c r="C84" i="21"/>
  <c r="B89" i="21"/>
  <c r="B94" i="21"/>
  <c r="C98" i="21"/>
  <c r="D102" i="21"/>
  <c r="B108" i="21"/>
  <c r="C112" i="21"/>
  <c r="D116" i="21"/>
  <c r="D121" i="21"/>
  <c r="B126" i="21"/>
  <c r="D129" i="21"/>
  <c r="D133" i="21"/>
  <c r="D137" i="21"/>
  <c r="B142" i="21"/>
  <c r="D145" i="21"/>
  <c r="B150" i="21"/>
  <c r="D153" i="21"/>
  <c r="D157" i="21"/>
  <c r="C161" i="21"/>
  <c r="D165" i="21"/>
  <c r="D169" i="21"/>
  <c r="D173" i="21"/>
  <c r="D177" i="21"/>
  <c r="D181" i="21"/>
  <c r="C185" i="21"/>
  <c r="D189" i="21"/>
  <c r="C193" i="21"/>
  <c r="D197" i="21"/>
  <c r="D201" i="21"/>
  <c r="D205" i="21"/>
  <c r="C209" i="21"/>
  <c r="B213" i="21"/>
  <c r="C217" i="21"/>
  <c r="B221" i="21"/>
  <c r="C225" i="21"/>
  <c r="D229" i="21"/>
  <c r="C233" i="21"/>
  <c r="B237" i="21"/>
  <c r="D240" i="21"/>
  <c r="B244" i="21"/>
  <c r="C247" i="21"/>
  <c r="C251" i="21"/>
  <c r="D254" i="21"/>
  <c r="B258" i="21"/>
  <c r="C261" i="21"/>
  <c r="D264" i="21"/>
  <c r="D267" i="21"/>
  <c r="D270" i="21"/>
  <c r="B274" i="21"/>
  <c r="B277" i="21"/>
  <c r="B280" i="21"/>
  <c r="B283" i="21"/>
  <c r="B286" i="21"/>
  <c r="B289" i="21"/>
  <c r="B292" i="21"/>
  <c r="D294" i="21"/>
  <c r="C297" i="21"/>
  <c r="B300" i="21"/>
  <c r="D302" i="21"/>
  <c r="C305" i="21"/>
  <c r="B308" i="21"/>
  <c r="D310" i="21"/>
  <c r="C313" i="21"/>
  <c r="B316" i="21"/>
  <c r="D318" i="21"/>
  <c r="C321" i="21"/>
  <c r="B324" i="21"/>
  <c r="D326" i="21"/>
  <c r="C329" i="21"/>
  <c r="B11" i="21"/>
  <c r="B15" i="21"/>
  <c r="C20" i="21"/>
  <c r="B25" i="21"/>
  <c r="B29" i="21"/>
  <c r="C34" i="21"/>
  <c r="D38" i="21"/>
  <c r="C43" i="21"/>
  <c r="C48" i="21"/>
  <c r="D52" i="21"/>
  <c r="B57" i="21"/>
  <c r="C62" i="21"/>
  <c r="C66" i="21"/>
  <c r="B71" i="21"/>
  <c r="B76" i="21"/>
  <c r="D80" i="21"/>
  <c r="D84" i="21"/>
  <c r="B90" i="21"/>
  <c r="C94" i="21"/>
  <c r="B99" i="21"/>
  <c r="C104" i="21"/>
  <c r="C108" i="21"/>
  <c r="D112" i="21"/>
  <c r="B118" i="21"/>
  <c r="C122" i="21"/>
  <c r="C126" i="21"/>
  <c r="B130" i="21"/>
  <c r="B134" i="21"/>
  <c r="C138" i="21"/>
  <c r="C142" i="21"/>
  <c r="B146" i="21"/>
  <c r="C150" i="21"/>
  <c r="B154" i="21"/>
  <c r="B158" i="21"/>
  <c r="B162" i="21"/>
  <c r="C166" i="21"/>
  <c r="B170" i="21"/>
  <c r="C174" i="21"/>
  <c r="B178" i="21"/>
  <c r="B182" i="21"/>
  <c r="D185" i="21"/>
  <c r="B190" i="21"/>
  <c r="B194" i="21"/>
  <c r="B198" i="21"/>
  <c r="B202" i="21"/>
  <c r="B206" i="21"/>
  <c r="D209" i="21"/>
  <c r="B214" i="21"/>
  <c r="D217" i="21"/>
  <c r="B222" i="21"/>
  <c r="B226" i="21"/>
  <c r="B230" i="21"/>
  <c r="D233" i="21"/>
  <c r="C237" i="21"/>
  <c r="B241" i="21"/>
  <c r="C244" i="21"/>
  <c r="B248" i="21"/>
  <c r="D251" i="21"/>
  <c r="B255" i="21"/>
  <c r="C258" i="21"/>
  <c r="B262" i="21"/>
  <c r="B265" i="21"/>
  <c r="B268" i="21"/>
  <c r="C271" i="21"/>
  <c r="C274" i="21"/>
  <c r="C277" i="21"/>
  <c r="C280" i="21"/>
  <c r="C283" i="21"/>
  <c r="C286" i="21"/>
  <c r="C289" i="21"/>
  <c r="C292" i="21"/>
  <c r="B295" i="21"/>
  <c r="D297" i="21"/>
  <c r="C300" i="21"/>
  <c r="B303" i="21"/>
  <c r="D305" i="21"/>
  <c r="C308" i="21"/>
  <c r="B311" i="21"/>
  <c r="D313" i="21"/>
  <c r="C316" i="21"/>
  <c r="B319" i="21"/>
  <c r="D321" i="21"/>
  <c r="C324" i="21"/>
  <c r="B327" i="21"/>
  <c r="D329" i="21"/>
  <c r="C332" i="21"/>
  <c r="B335" i="21"/>
  <c r="D337" i="21"/>
  <c r="C340" i="21"/>
  <c r="B343" i="21"/>
  <c r="D345" i="21"/>
  <c r="C348" i="21"/>
  <c r="B351" i="21"/>
  <c r="D353" i="21"/>
  <c r="C356" i="21"/>
  <c r="B359" i="21"/>
  <c r="D361" i="21"/>
  <c r="C364" i="21"/>
  <c r="B367" i="21"/>
  <c r="D369" i="21"/>
  <c r="C372" i="21"/>
  <c r="B375" i="21"/>
  <c r="D377" i="21"/>
  <c r="C380" i="21"/>
  <c r="B383" i="21"/>
  <c r="D385" i="21"/>
  <c r="C388" i="21"/>
  <c r="C11" i="21"/>
  <c r="D17" i="21"/>
  <c r="D25" i="21"/>
  <c r="C32" i="21"/>
  <c r="C40" i="21"/>
  <c r="D48" i="21"/>
  <c r="C55" i="21"/>
  <c r="B63" i="21"/>
  <c r="D69" i="21"/>
  <c r="D77" i="21"/>
  <c r="B85" i="21"/>
  <c r="B92" i="21"/>
  <c r="C100" i="21"/>
  <c r="B106" i="21"/>
  <c r="B115" i="21"/>
  <c r="B123" i="21"/>
  <c r="D128" i="21"/>
  <c r="C135" i="21"/>
  <c r="D140" i="21"/>
  <c r="D147" i="21"/>
  <c r="C154" i="21"/>
  <c r="C160" i="21"/>
  <c r="B167" i="21"/>
  <c r="C172" i="21"/>
  <c r="C179" i="21"/>
  <c r="C186" i="21"/>
  <c r="D191" i="21"/>
  <c r="B199" i="21"/>
  <c r="D204" i="21"/>
  <c r="D211" i="21"/>
  <c r="C218" i="21"/>
  <c r="D223" i="21"/>
  <c r="D230" i="21"/>
  <c r="C236" i="21"/>
  <c r="C242" i="21"/>
  <c r="D248" i="21"/>
  <c r="B253" i="21"/>
  <c r="C259" i="21"/>
  <c r="B264" i="21"/>
  <c r="C269" i="21"/>
  <c r="D274" i="21"/>
  <c r="D278" i="21"/>
  <c r="B284" i="21"/>
  <c r="C288" i="21"/>
  <c r="C293" i="21"/>
  <c r="B298" i="21"/>
  <c r="D301" i="21"/>
  <c r="C306" i="21"/>
  <c r="B310" i="21"/>
  <c r="D314" i="21"/>
  <c r="C319" i="21"/>
  <c r="B323" i="21"/>
  <c r="D327" i="21"/>
  <c r="C331" i="21"/>
  <c r="C335" i="21"/>
  <c r="D338" i="21"/>
  <c r="B342" i="21"/>
  <c r="B346" i="21"/>
  <c r="C349" i="21"/>
  <c r="D352" i="21"/>
  <c r="D356" i="21"/>
  <c r="B360" i="21"/>
  <c r="C363" i="21"/>
  <c r="C367" i="21"/>
  <c r="D370" i="21"/>
  <c r="D373" i="21"/>
  <c r="D376" i="21"/>
  <c r="D379" i="21"/>
  <c r="D382" i="21"/>
  <c r="B386" i="21"/>
  <c r="B389" i="21"/>
  <c r="D391" i="21"/>
  <c r="C394" i="21"/>
  <c r="B397" i="21"/>
  <c r="D399" i="21"/>
  <c r="C402" i="21"/>
  <c r="B405" i="21"/>
  <c r="D407" i="21"/>
  <c r="C410" i="21"/>
  <c r="B413" i="21"/>
  <c r="D415" i="21"/>
  <c r="C418" i="21"/>
  <c r="B421" i="21"/>
  <c r="D423" i="21"/>
  <c r="C426" i="21"/>
  <c r="B429" i="21"/>
  <c r="D431" i="21"/>
  <c r="C434" i="21"/>
  <c r="B437" i="21"/>
  <c r="D439" i="21"/>
  <c r="C442" i="21"/>
  <c r="B445" i="21"/>
  <c r="D447" i="21"/>
  <c r="C450" i="21"/>
  <c r="B453" i="21"/>
  <c r="D455" i="21"/>
  <c r="C458" i="21"/>
  <c r="B461" i="21"/>
  <c r="D463" i="21"/>
  <c r="C466" i="21"/>
  <c r="B469" i="21"/>
  <c r="D471" i="21"/>
  <c r="C474" i="21"/>
  <c r="B477" i="21"/>
  <c r="D479" i="21"/>
  <c r="C482" i="21"/>
  <c r="B485" i="21"/>
  <c r="D487" i="21"/>
  <c r="C490" i="21"/>
  <c r="B493" i="21"/>
  <c r="D495" i="21"/>
  <c r="C498" i="21"/>
  <c r="B501" i="21"/>
  <c r="B28" i="21"/>
  <c r="D249" i="21"/>
  <c r="D303" i="21"/>
  <c r="B333" i="21"/>
  <c r="D343" i="21"/>
  <c r="D357" i="21"/>
  <c r="C368" i="21"/>
  <c r="D374" i="21"/>
  <c r="B384" i="21"/>
  <c r="B390" i="21"/>
  <c r="C395" i="21"/>
  <c r="C403" i="21"/>
  <c r="D408" i="21"/>
  <c r="D416" i="21"/>
  <c r="D424" i="21"/>
  <c r="D432" i="21"/>
  <c r="C443" i="21"/>
  <c r="C451" i="21"/>
  <c r="D11" i="21"/>
  <c r="B18" i="21"/>
  <c r="B26" i="21"/>
  <c r="B35" i="21"/>
  <c r="C41" i="21"/>
  <c r="C49" i="21"/>
  <c r="D55" i="21"/>
  <c r="C63" i="21"/>
  <c r="C71" i="21"/>
  <c r="B78" i="21"/>
  <c r="D86" i="21"/>
  <c r="C92" i="21"/>
  <c r="B101" i="21"/>
  <c r="D108" i="21"/>
  <c r="C115" i="21"/>
  <c r="C123" i="21"/>
  <c r="B129" i="21"/>
  <c r="D135" i="21"/>
  <c r="D142" i="21"/>
  <c r="B148" i="21"/>
  <c r="B155" i="21"/>
  <c r="D160" i="21"/>
  <c r="C167" i="21"/>
  <c r="D174" i="21"/>
  <c r="C180" i="21"/>
  <c r="C187" i="21"/>
  <c r="D192" i="21"/>
  <c r="C199" i="21"/>
  <c r="C206" i="21"/>
  <c r="B212" i="21"/>
  <c r="B219" i="21"/>
  <c r="C224" i="21"/>
  <c r="B231" i="21"/>
  <c r="B238" i="21"/>
  <c r="D242" i="21"/>
  <c r="B249" i="21"/>
  <c r="C253" i="21"/>
  <c r="D259" i="21"/>
  <c r="C265" i="21"/>
  <c r="D269" i="21"/>
  <c r="B275" i="21"/>
  <c r="C279" i="21"/>
  <c r="D284" i="21"/>
  <c r="B290" i="21"/>
  <c r="D293" i="21"/>
  <c r="C298" i="21"/>
  <c r="B302" i="21"/>
  <c r="D306" i="21"/>
  <c r="C311" i="21"/>
  <c r="B315" i="21"/>
  <c r="D319" i="21"/>
  <c r="C323" i="21"/>
  <c r="B328" i="21"/>
  <c r="B332" i="21"/>
  <c r="D335" i="21"/>
  <c r="B339" i="21"/>
  <c r="D342" i="21"/>
  <c r="C346" i="21"/>
  <c r="D349" i="21"/>
  <c r="C353" i="21"/>
  <c r="B357" i="21"/>
  <c r="C360" i="21"/>
  <c r="B364" i="21"/>
  <c r="D367" i="21"/>
  <c r="B371" i="21"/>
  <c r="B374" i="21"/>
  <c r="B377" i="21"/>
  <c r="B380" i="21"/>
  <c r="C383" i="21"/>
  <c r="C386" i="21"/>
  <c r="C389" i="21"/>
  <c r="B392" i="21"/>
  <c r="D394" i="21"/>
  <c r="C397" i="21"/>
  <c r="B400" i="21"/>
  <c r="D402" i="21"/>
  <c r="C405" i="21"/>
  <c r="B408" i="21"/>
  <c r="D410" i="21"/>
  <c r="C413" i="21"/>
  <c r="B416" i="21"/>
  <c r="D418" i="21"/>
  <c r="C421" i="21"/>
  <c r="B424" i="21"/>
  <c r="D426" i="21"/>
  <c r="C429" i="21"/>
  <c r="B432" i="21"/>
  <c r="D434" i="21"/>
  <c r="C437" i="21"/>
  <c r="B440" i="21"/>
  <c r="D442" i="21"/>
  <c r="C445" i="21"/>
  <c r="B448" i="21"/>
  <c r="D450" i="21"/>
  <c r="C453" i="21"/>
  <c r="B456" i="21"/>
  <c r="D458" i="21"/>
  <c r="C461" i="21"/>
  <c r="B464" i="21"/>
  <c r="D466" i="21"/>
  <c r="C469" i="21"/>
  <c r="B472" i="21"/>
  <c r="D474" i="21"/>
  <c r="C477" i="21"/>
  <c r="B480" i="21"/>
  <c r="D482" i="21"/>
  <c r="C485" i="21"/>
  <c r="B488" i="21"/>
  <c r="D490" i="21"/>
  <c r="C493" i="21"/>
  <c r="B496" i="21"/>
  <c r="D498" i="21"/>
  <c r="C501" i="21"/>
  <c r="B21" i="21"/>
  <c r="B239" i="21"/>
  <c r="D290" i="21"/>
  <c r="B312" i="21"/>
  <c r="D328" i="21"/>
  <c r="B340" i="21"/>
  <c r="B347" i="21"/>
  <c r="C354" i="21"/>
  <c r="C361" i="21"/>
  <c r="D371" i="21"/>
  <c r="B378" i="21"/>
  <c r="B387" i="21"/>
  <c r="B398" i="21"/>
  <c r="B406" i="21"/>
  <c r="B414" i="21"/>
  <c r="B422" i="21"/>
  <c r="B430" i="21"/>
  <c r="B438" i="21"/>
  <c r="B446" i="21"/>
  <c r="B454" i="21"/>
  <c r="B12" i="21"/>
  <c r="D20" i="21"/>
  <c r="C27" i="21"/>
  <c r="C35" i="21"/>
  <c r="D41" i="21"/>
  <c r="D49" i="21"/>
  <c r="C57" i="21"/>
  <c r="D63" i="21"/>
  <c r="D72" i="21"/>
  <c r="C78" i="21"/>
  <c r="B87" i="21"/>
  <c r="B95" i="21"/>
  <c r="D101" i="21"/>
  <c r="B109" i="21"/>
  <c r="D115" i="21"/>
  <c r="D123" i="21"/>
  <c r="C130" i="21"/>
  <c r="C136" i="21"/>
  <c r="B143" i="21"/>
  <c r="D148" i="21"/>
  <c r="B156" i="21"/>
  <c r="B163" i="21"/>
  <c r="C168" i="21"/>
  <c r="B175" i="21"/>
  <c r="D180" i="21"/>
  <c r="D187" i="21"/>
  <c r="C194" i="21"/>
  <c r="D199" i="21"/>
  <c r="D206" i="21"/>
  <c r="C212" i="21"/>
  <c r="C219" i="21"/>
  <c r="C226" i="21"/>
  <c r="C231" i="21"/>
  <c r="C238" i="21"/>
  <c r="C243" i="21"/>
  <c r="C249" i="21"/>
  <c r="C255" i="21"/>
  <c r="C260" i="21"/>
  <c r="B266" i="21"/>
  <c r="B270" i="21"/>
  <c r="C275" i="21"/>
  <c r="D280" i="21"/>
  <c r="B285" i="21"/>
  <c r="C290" i="21"/>
  <c r="B294" i="21"/>
  <c r="D298" i="21"/>
  <c r="C303" i="21"/>
  <c r="B307" i="21"/>
  <c r="D311" i="21"/>
  <c r="C315" i="21"/>
  <c r="B320" i="21"/>
  <c r="D324" i="21"/>
  <c r="C328" i="21"/>
  <c r="D332" i="21"/>
  <c r="B336" i="21"/>
  <c r="C339" i="21"/>
  <c r="C343" i="21"/>
  <c r="D346" i="21"/>
  <c r="B350" i="21"/>
  <c r="B354" i="21"/>
  <c r="C357" i="21"/>
  <c r="D360" i="21"/>
  <c r="D364" i="21"/>
  <c r="B368" i="21"/>
  <c r="C371" i="21"/>
  <c r="C374" i="21"/>
  <c r="C377" i="21"/>
  <c r="D380" i="21"/>
  <c r="D383" i="21"/>
  <c r="D386" i="21"/>
  <c r="D389" i="21"/>
  <c r="C392" i="21"/>
  <c r="B395" i="21"/>
  <c r="D397" i="21"/>
  <c r="C400" i="21"/>
  <c r="B403" i="21"/>
  <c r="D405" i="21"/>
  <c r="C408" i="21"/>
  <c r="B411" i="21"/>
  <c r="D413" i="21"/>
  <c r="C416" i="21"/>
  <c r="B419" i="21"/>
  <c r="D421" i="21"/>
  <c r="C424" i="21"/>
  <c r="B427" i="21"/>
  <c r="D429" i="21"/>
  <c r="C432" i="21"/>
  <c r="B435" i="21"/>
  <c r="D437" i="21"/>
  <c r="C440" i="21"/>
  <c r="B443" i="21"/>
  <c r="D445" i="21"/>
  <c r="C448" i="21"/>
  <c r="B451" i="21"/>
  <c r="D453" i="21"/>
  <c r="C456" i="21"/>
  <c r="B459" i="21"/>
  <c r="D461" i="21"/>
  <c r="C464" i="21"/>
  <c r="B467" i="21"/>
  <c r="D469" i="21"/>
  <c r="C472" i="21"/>
  <c r="B475" i="21"/>
  <c r="D477" i="21"/>
  <c r="C480" i="21"/>
  <c r="B483" i="21"/>
  <c r="D485" i="21"/>
  <c r="C488" i="21"/>
  <c r="B491" i="21"/>
  <c r="D493" i="21"/>
  <c r="C496" i="21"/>
  <c r="B499" i="21"/>
  <c r="D501" i="21"/>
  <c r="D13" i="21"/>
  <c r="D35" i="21"/>
  <c r="D43" i="21"/>
  <c r="B50" i="21"/>
  <c r="B59" i="21"/>
  <c r="D64" i="21"/>
  <c r="B73" i="21"/>
  <c r="B81" i="21"/>
  <c r="C87" i="21"/>
  <c r="C95" i="21"/>
  <c r="B102" i="21"/>
  <c r="D109" i="21"/>
  <c r="C118" i="21"/>
  <c r="C124" i="21"/>
  <c r="D131" i="21"/>
  <c r="D136" i="21"/>
  <c r="D143" i="21"/>
  <c r="D150" i="21"/>
  <c r="C156" i="21"/>
  <c r="C163" i="21"/>
  <c r="D168" i="21"/>
  <c r="C175" i="21"/>
  <c r="C182" i="21"/>
  <c r="B188" i="21"/>
  <c r="B195" i="21"/>
  <c r="C200" i="21"/>
  <c r="B207" i="21"/>
  <c r="C214" i="21"/>
  <c r="B220" i="21"/>
  <c r="B227" i="21"/>
  <c r="D232" i="21"/>
  <c r="B245" i="21"/>
  <c r="D255" i="21"/>
  <c r="D260" i="21"/>
  <c r="C266" i="21"/>
  <c r="D271" i="21"/>
  <c r="D275" i="21"/>
  <c r="B281" i="21"/>
  <c r="C285" i="21"/>
  <c r="C295" i="21"/>
  <c r="B299" i="21"/>
  <c r="C307" i="21"/>
  <c r="D316" i="21"/>
  <c r="C320" i="21"/>
  <c r="B325" i="21"/>
  <c r="C336" i="21"/>
  <c r="D350" i="21"/>
  <c r="B365" i="21"/>
  <c r="B381" i="21"/>
  <c r="D392" i="21"/>
  <c r="D400" i="21"/>
  <c r="C411" i="21"/>
  <c r="C419" i="21"/>
  <c r="C427" i="21"/>
  <c r="C435" i="21"/>
  <c r="D440" i="21"/>
  <c r="D448" i="21"/>
  <c r="B17" i="21"/>
  <c r="D22" i="21"/>
  <c r="C31" i="21"/>
  <c r="B39" i="21"/>
  <c r="D45" i="21"/>
  <c r="D53" i="21"/>
  <c r="B60" i="21"/>
  <c r="B68" i="21"/>
  <c r="D76" i="21"/>
  <c r="C83" i="21"/>
  <c r="B91" i="21"/>
  <c r="C97" i="21"/>
  <c r="C105" i="21"/>
  <c r="C113" i="21"/>
  <c r="D119" i="21"/>
  <c r="B127" i="21"/>
  <c r="D132" i="21"/>
  <c r="D139" i="21"/>
  <c r="B147" i="21"/>
  <c r="C152" i="21"/>
  <c r="C159" i="21"/>
  <c r="C164" i="21"/>
  <c r="D171" i="21"/>
  <c r="C178" i="21"/>
  <c r="C184" i="21"/>
  <c r="B191" i="21"/>
  <c r="C196" i="21"/>
  <c r="C203" i="21"/>
  <c r="B210" i="21"/>
  <c r="D215" i="21"/>
  <c r="B223" i="21"/>
  <c r="B228" i="21"/>
  <c r="C235" i="21"/>
  <c r="C241" i="21"/>
  <c r="C246" i="21"/>
  <c r="C252" i="21"/>
  <c r="C257" i="21"/>
  <c r="C263" i="21"/>
  <c r="D268" i="21"/>
  <c r="D272" i="21"/>
  <c r="B278" i="21"/>
  <c r="C282" i="21"/>
  <c r="D287" i="21"/>
  <c r="D292" i="21"/>
  <c r="C296" i="21"/>
  <c r="B301" i="21"/>
  <c r="D304" i="21"/>
  <c r="C309" i="21"/>
  <c r="B314" i="21"/>
  <c r="D317" i="21"/>
  <c r="C322" i="21"/>
  <c r="B326" i="21"/>
  <c r="D330" i="21"/>
  <c r="B334" i="21"/>
  <c r="B338" i="21"/>
  <c r="C341" i="21"/>
  <c r="D344" i="21"/>
  <c r="D348" i="21"/>
  <c r="B352" i="21"/>
  <c r="C355" i="21"/>
  <c r="C359" i="21"/>
  <c r="D362" i="21"/>
  <c r="B366" i="21"/>
  <c r="B370" i="21"/>
  <c r="B373" i="21"/>
  <c r="B376" i="21"/>
  <c r="B379" i="21"/>
  <c r="B382" i="21"/>
  <c r="B385" i="21"/>
  <c r="B388" i="21"/>
  <c r="B391" i="21"/>
  <c r="D393" i="21"/>
  <c r="B14" i="21"/>
  <c r="D31" i="21"/>
  <c r="B53" i="21"/>
  <c r="D73" i="21"/>
  <c r="C91" i="21"/>
  <c r="C111" i="21"/>
  <c r="B132" i="21"/>
  <c r="C147" i="21"/>
  <c r="B164" i="21"/>
  <c r="D182" i="21"/>
  <c r="D198" i="21"/>
  <c r="C215" i="21"/>
  <c r="B234" i="21"/>
  <c r="D246" i="21"/>
  <c r="D262" i="21"/>
  <c r="B276" i="21"/>
  <c r="B288" i="21"/>
  <c r="D300" i="21"/>
  <c r="C312" i="21"/>
  <c r="D322" i="21"/>
  <c r="D333" i="21"/>
  <c r="B344" i="21"/>
  <c r="C352" i="21"/>
  <c r="C362" i="21"/>
  <c r="B372" i="21"/>
  <c r="C379" i="21"/>
  <c r="D387" i="21"/>
  <c r="D395" i="21"/>
  <c r="B401" i="21"/>
  <c r="C406" i="21"/>
  <c r="D411" i="21"/>
  <c r="B417" i="21"/>
  <c r="C422" i="21"/>
  <c r="D427" i="21"/>
  <c r="B433" i="21"/>
  <c r="C438" i="21"/>
  <c r="D443" i="21"/>
  <c r="B449" i="21"/>
  <c r="C454" i="21"/>
  <c r="B458" i="21"/>
  <c r="D462" i="21"/>
  <c r="C467" i="21"/>
  <c r="B471" i="21"/>
  <c r="D475" i="21"/>
  <c r="C479" i="21"/>
  <c r="B484" i="21"/>
  <c r="D488" i="21"/>
  <c r="C492" i="21"/>
  <c r="B497" i="21"/>
  <c r="D500" i="21"/>
  <c r="C22" i="21"/>
  <c r="B172" i="21"/>
  <c r="B269" i="21"/>
  <c r="B306" i="21"/>
  <c r="B348" i="21"/>
  <c r="D375" i="21"/>
  <c r="C398" i="21"/>
  <c r="C414" i="21"/>
  <c r="C430" i="21"/>
  <c r="C446" i="21"/>
  <c r="D456" i="21"/>
  <c r="D468" i="21"/>
  <c r="D481" i="21"/>
  <c r="D494" i="21"/>
  <c r="B67" i="21"/>
  <c r="B140" i="21"/>
  <c r="C191" i="21"/>
  <c r="B242" i="21"/>
  <c r="B272" i="21"/>
  <c r="D308" i="21"/>
  <c r="D340" i="21"/>
  <c r="D368" i="21"/>
  <c r="D384" i="21"/>
  <c r="B404" i="21"/>
  <c r="B420" i="21"/>
  <c r="D430" i="21"/>
  <c r="D446" i="21"/>
  <c r="B457" i="21"/>
  <c r="B470" i="21"/>
  <c r="B482" i="21"/>
  <c r="C491" i="21"/>
  <c r="D67" i="21"/>
  <c r="D105" i="21"/>
  <c r="D159" i="21"/>
  <c r="D195" i="21"/>
  <c r="C245" i="21"/>
  <c r="D286" i="21"/>
  <c r="D320" i="21"/>
  <c r="D359" i="21"/>
  <c r="C385" i="21"/>
  <c r="C404" i="21"/>
  <c r="C420" i="21"/>
  <c r="B431" i="21"/>
  <c r="B447" i="21"/>
  <c r="B462" i="21"/>
  <c r="B474" i="21"/>
  <c r="B487" i="21"/>
  <c r="C50" i="21"/>
  <c r="B111" i="21"/>
  <c r="D144" i="21"/>
  <c r="B196" i="21"/>
  <c r="B246" i="21"/>
  <c r="C287" i="21"/>
  <c r="B322" i="21"/>
  <c r="D351" i="21"/>
  <c r="D378" i="21"/>
  <c r="B394" i="21"/>
  <c r="B410" i="21"/>
  <c r="D420" i="21"/>
  <c r="D436" i="21"/>
  <c r="D452" i="21"/>
  <c r="B466" i="21"/>
  <c r="B479" i="21"/>
  <c r="B492" i="21"/>
  <c r="D15" i="21"/>
  <c r="B36" i="21"/>
  <c r="B54" i="21"/>
  <c r="B74" i="21"/>
  <c r="D95" i="21"/>
  <c r="C114" i="21"/>
  <c r="C132" i="21"/>
  <c r="B151" i="21"/>
  <c r="D166" i="21"/>
  <c r="D183" i="21"/>
  <c r="C202" i="21"/>
  <c r="C216" i="21"/>
  <c r="C234" i="21"/>
  <c r="B250" i="21"/>
  <c r="D263" i="21"/>
  <c r="D277" i="21"/>
  <c r="B291" i="21"/>
  <c r="C301" i="21"/>
  <c r="D312" i="21"/>
  <c r="C325" i="21"/>
  <c r="D334" i="21"/>
  <c r="C344" i="21"/>
  <c r="D354" i="21"/>
  <c r="B363" i="21"/>
  <c r="D372" i="21"/>
  <c r="C381" i="21"/>
  <c r="D388" i="21"/>
  <c r="B396" i="21"/>
  <c r="C401" i="21"/>
  <c r="D406" i="21"/>
  <c r="B412" i="21"/>
  <c r="C417" i="21"/>
  <c r="D422" i="21"/>
  <c r="B428" i="21"/>
  <c r="C433" i="21"/>
  <c r="D438" i="21"/>
  <c r="B444" i="21"/>
  <c r="C449" i="21"/>
  <c r="D454" i="21"/>
  <c r="C459" i="21"/>
  <c r="B463" i="21"/>
  <c r="D467" i="21"/>
  <c r="C471" i="21"/>
  <c r="B476" i="21"/>
  <c r="D480" i="21"/>
  <c r="C484" i="21"/>
  <c r="B489" i="21"/>
  <c r="D492" i="21"/>
  <c r="C497" i="21"/>
  <c r="B498" i="21"/>
  <c r="D62" i="21"/>
  <c r="D190" i="21"/>
  <c r="D239" i="21"/>
  <c r="B282" i="21"/>
  <c r="B330" i="21"/>
  <c r="B358" i="21"/>
  <c r="C384" i="21"/>
  <c r="D403" i="21"/>
  <c r="D419" i="21"/>
  <c r="D435" i="21"/>
  <c r="D451" i="21"/>
  <c r="B465" i="21"/>
  <c r="B478" i="21"/>
  <c r="B490" i="21"/>
  <c r="B45" i="21"/>
  <c r="B105" i="21"/>
  <c r="C158" i="21"/>
  <c r="D208" i="21"/>
  <c r="D256" i="21"/>
  <c r="B296" i="21"/>
  <c r="C330" i="21"/>
  <c r="D358" i="21"/>
  <c r="B393" i="21"/>
  <c r="C409" i="21"/>
  <c r="C425" i="21"/>
  <c r="C441" i="21"/>
  <c r="B452" i="21"/>
  <c r="C465" i="21"/>
  <c r="C478" i="21"/>
  <c r="B495" i="21"/>
  <c r="D29" i="21"/>
  <c r="C144" i="21"/>
  <c r="B211" i="21"/>
  <c r="D258" i="21"/>
  <c r="D296" i="21"/>
  <c r="B331" i="21"/>
  <c r="C351" i="21"/>
  <c r="C378" i="21"/>
  <c r="B399" i="21"/>
  <c r="B415" i="21"/>
  <c r="C436" i="21"/>
  <c r="C457" i="21"/>
  <c r="C470" i="21"/>
  <c r="C483" i="21"/>
  <c r="C495" i="21"/>
  <c r="B31" i="21"/>
  <c r="C90" i="21"/>
  <c r="D163" i="21"/>
  <c r="B215" i="21"/>
  <c r="C262" i="21"/>
  <c r="C299" i="21"/>
  <c r="C333" i="21"/>
  <c r="B362" i="21"/>
  <c r="C387" i="21"/>
  <c r="D404" i="21"/>
  <c r="C415" i="21"/>
  <c r="C431" i="21"/>
  <c r="C447" i="21"/>
  <c r="C462" i="21"/>
  <c r="C475" i="21"/>
  <c r="C487" i="21"/>
  <c r="C500" i="21"/>
  <c r="C17" i="21"/>
  <c r="C36" i="21"/>
  <c r="C59" i="21"/>
  <c r="B77" i="21"/>
  <c r="B97" i="21"/>
  <c r="D118" i="21"/>
  <c r="B135" i="21"/>
  <c r="C151" i="21"/>
  <c r="C170" i="21"/>
  <c r="D184" i="21"/>
  <c r="B203" i="21"/>
  <c r="C220" i="21"/>
  <c r="B236" i="21"/>
  <c r="B252" i="21"/>
  <c r="D266" i="21"/>
  <c r="C278" i="21"/>
  <c r="C291" i="21"/>
  <c r="B304" i="21"/>
  <c r="C314" i="21"/>
  <c r="D325" i="21"/>
  <c r="D336" i="21"/>
  <c r="C345" i="21"/>
  <c r="B355" i="21"/>
  <c r="C365" i="21"/>
  <c r="C373" i="21"/>
  <c r="D381" i="21"/>
  <c r="C390" i="21"/>
  <c r="C396" i="21"/>
  <c r="D401" i="21"/>
  <c r="B407" i="21"/>
  <c r="C412" i="21"/>
  <c r="D417" i="21"/>
  <c r="B423" i="21"/>
  <c r="C428" i="21"/>
  <c r="D433" i="21"/>
  <c r="B439" i="21"/>
  <c r="C444" i="21"/>
  <c r="D449" i="21"/>
  <c r="B455" i="21"/>
  <c r="D459" i="21"/>
  <c r="C463" i="21"/>
  <c r="B468" i="21"/>
  <c r="D472" i="21"/>
  <c r="C476" i="21"/>
  <c r="B481" i="21"/>
  <c r="D484" i="21"/>
  <c r="C489" i="21"/>
  <c r="B494" i="21"/>
  <c r="D497" i="21"/>
  <c r="B22" i="21"/>
  <c r="C39" i="21"/>
  <c r="D59" i="21"/>
  <c r="C81" i="21"/>
  <c r="C99" i="21"/>
  <c r="C119" i="21"/>
  <c r="B139" i="21"/>
  <c r="B153" i="21"/>
  <c r="C171" i="21"/>
  <c r="C188" i="21"/>
  <c r="D203" i="21"/>
  <c r="C222" i="21"/>
  <c r="C239" i="21"/>
  <c r="D252" i="21"/>
  <c r="B267" i="21"/>
  <c r="C281" i="21"/>
  <c r="B293" i="21"/>
  <c r="C304" i="21"/>
  <c r="B317" i="21"/>
  <c r="C327" i="21"/>
  <c r="C337" i="21"/>
  <c r="C347" i="21"/>
  <c r="B356" i="21"/>
  <c r="D365" i="21"/>
  <c r="C375" i="21"/>
  <c r="C382" i="21"/>
  <c r="D390" i="21"/>
  <c r="D396" i="21"/>
  <c r="B402" i="21"/>
  <c r="C407" i="21"/>
  <c r="D412" i="21"/>
  <c r="B418" i="21"/>
  <c r="C423" i="21"/>
  <c r="D428" i="21"/>
  <c r="B434" i="21"/>
  <c r="C439" i="21"/>
  <c r="D444" i="21"/>
  <c r="B450" i="21"/>
  <c r="C455" i="21"/>
  <c r="B460" i="21"/>
  <c r="D464" i="21"/>
  <c r="C468" i="21"/>
  <c r="B473" i="21"/>
  <c r="D476" i="21"/>
  <c r="C481" i="21"/>
  <c r="B486" i="21"/>
  <c r="D489" i="21"/>
  <c r="C494" i="21"/>
  <c r="D44" i="21"/>
  <c r="D81" i="21"/>
  <c r="D104" i="21"/>
  <c r="C120" i="21"/>
  <c r="C139" i="21"/>
  <c r="D156" i="21"/>
  <c r="C208" i="21"/>
  <c r="C223" i="21"/>
  <c r="B256" i="21"/>
  <c r="D295" i="21"/>
  <c r="C317" i="21"/>
  <c r="C338" i="21"/>
  <c r="D366" i="21"/>
  <c r="C391" i="21"/>
  <c r="B409" i="21"/>
  <c r="B425" i="21"/>
  <c r="B441" i="21"/>
  <c r="C460" i="21"/>
  <c r="C473" i="21"/>
  <c r="C486" i="21"/>
  <c r="C499" i="21"/>
  <c r="C25" i="21"/>
  <c r="D83" i="21"/>
  <c r="D124" i="21"/>
  <c r="D175" i="21"/>
  <c r="C227" i="21"/>
  <c r="D283" i="21"/>
  <c r="B318" i="21"/>
  <c r="B349" i="21"/>
  <c r="C376" i="21"/>
  <c r="D398" i="21"/>
  <c r="D414" i="21"/>
  <c r="B436" i="21"/>
  <c r="D460" i="21"/>
  <c r="D473" i="21"/>
  <c r="D486" i="21"/>
  <c r="D499" i="21"/>
  <c r="C46" i="21"/>
  <c r="D87" i="21"/>
  <c r="D126" i="21"/>
  <c r="D176" i="21"/>
  <c r="D227" i="21"/>
  <c r="C272" i="21"/>
  <c r="B309" i="21"/>
  <c r="B341" i="21"/>
  <c r="C369" i="21"/>
  <c r="C393" i="21"/>
  <c r="D409" i="21"/>
  <c r="D425" i="21"/>
  <c r="D441" i="21"/>
  <c r="C452" i="21"/>
  <c r="D465" i="21"/>
  <c r="D478" i="21"/>
  <c r="D491" i="21"/>
  <c r="B500" i="21"/>
  <c r="B69" i="21"/>
  <c r="D127" i="21"/>
  <c r="B179" i="21"/>
  <c r="C230" i="21"/>
  <c r="B273" i="21"/>
  <c r="D309" i="21"/>
  <c r="D341" i="21"/>
  <c r="C370" i="21"/>
  <c r="C399" i="21"/>
  <c r="B426" i="21"/>
  <c r="B442" i="21"/>
  <c r="D457" i="21"/>
  <c r="D470" i="21"/>
  <c r="D483" i="21"/>
  <c r="D496" i="21"/>
  <c r="Q9" i="22"/>
  <c r="P11" i="22"/>
  <c r="Q13" i="22"/>
  <c r="P10" i="22"/>
  <c r="B9" i="22"/>
  <c r="D9" i="22" s="1"/>
  <c r="Q8" i="22"/>
  <c r="U9" i="22" l="1"/>
  <c r="U13" i="22"/>
  <c r="U8" i="22"/>
  <c r="C10" i="22"/>
  <c r="B10" i="22"/>
  <c r="C11" i="22" l="1"/>
  <c r="D10" i="22"/>
  <c r="B11" i="22"/>
  <c r="C12" i="22" l="1"/>
  <c r="D11" i="22"/>
  <c r="B12" i="22"/>
  <c r="C13" i="22" l="1"/>
  <c r="D12" i="22"/>
  <c r="B13" i="22"/>
  <c r="C14" i="22" l="1"/>
  <c r="D13" i="22"/>
  <c r="B14" i="22"/>
  <c r="C15" i="22" l="1"/>
  <c r="C16" i="22" s="1"/>
  <c r="B15" i="22"/>
  <c r="B16" i="22"/>
  <c r="D14" i="22"/>
  <c r="C17" i="22" l="1"/>
  <c r="B17" i="22"/>
  <c r="D16" i="22"/>
  <c r="D15" i="22"/>
  <c r="C18" i="22" l="1"/>
  <c r="D17" i="22"/>
  <c r="B18" i="22"/>
  <c r="C19" i="22" l="1"/>
  <c r="D18" i="22"/>
  <c r="B19" i="22"/>
  <c r="C20" i="22" l="1"/>
  <c r="D19" i="22"/>
  <c r="B20" i="22"/>
  <c r="G3" i="23" a="1"/>
  <c r="D20" i="22"/>
  <c r="J19" i="23" l="1"/>
  <c r="H14" i="23"/>
  <c r="G7" i="23"/>
  <c r="K17" i="23"/>
  <c r="I28" i="23"/>
  <c r="H3" i="23"/>
  <c r="L13" i="23"/>
  <c r="J24" i="23"/>
  <c r="H35" i="23"/>
  <c r="G10" i="23"/>
  <c r="K20" i="23"/>
  <c r="I31" i="23"/>
  <c r="H26" i="23"/>
  <c r="G9" i="23"/>
  <c r="J29" i="23"/>
  <c r="I8" i="23"/>
  <c r="L25" i="23"/>
  <c r="J15" i="23"/>
  <c r="L20" i="23"/>
  <c r="J35" i="23"/>
  <c r="K9" i="23"/>
  <c r="I20" i="23"/>
  <c r="G31" i="23"/>
  <c r="L5" i="23"/>
  <c r="J16" i="23"/>
  <c r="H27" i="23"/>
  <c r="L37" i="23"/>
  <c r="K12" i="23"/>
  <c r="I23" i="23"/>
  <c r="G34" i="23"/>
  <c r="J31" i="23"/>
  <c r="K15" i="23"/>
  <c r="J6" i="23"/>
  <c r="H17" i="23"/>
  <c r="L27" i="23"/>
  <c r="J38" i="23"/>
  <c r="I26" i="23"/>
  <c r="I17" i="23"/>
  <c r="K34" i="23"/>
  <c r="G8" i="23"/>
  <c r="K22" i="23"/>
  <c r="L10" i="23"/>
  <c r="J21" i="23"/>
  <c r="H32" i="23"/>
  <c r="L22" i="23"/>
  <c r="L16" i="23"/>
  <c r="K19" i="23"/>
  <c r="G23" i="23"/>
  <c r="J8" i="23"/>
  <c r="L29" i="23"/>
  <c r="I15" i="23"/>
  <c r="K36" i="23"/>
  <c r="I22" i="23"/>
  <c r="L19" i="23"/>
  <c r="K7" i="23"/>
  <c r="G24" i="23"/>
  <c r="K10" i="23"/>
  <c r="J13" i="23"/>
  <c r="L34" i="23"/>
  <c r="L12" i="23"/>
  <c r="G37" i="23"/>
  <c r="I24" i="23"/>
  <c r="L9" i="23"/>
  <c r="H31" i="23"/>
  <c r="G6" i="23"/>
  <c r="I27" i="23"/>
  <c r="L36" i="23"/>
  <c r="G25" i="23"/>
  <c r="H21" i="23"/>
  <c r="L31" i="23"/>
  <c r="G33" i="23"/>
  <c r="K26" i="23"/>
  <c r="G12" i="23"/>
  <c r="L14" i="23"/>
  <c r="H36" i="23"/>
  <c r="H18" i="23"/>
  <c r="I4" i="23"/>
  <c r="G15" i="23"/>
  <c r="I36" i="23"/>
  <c r="H11" i="23"/>
  <c r="J32" i="23"/>
  <c r="G18" i="23"/>
  <c r="H22" i="23"/>
  <c r="H38" i="23"/>
  <c r="L11" i="23"/>
  <c r="J22" i="23"/>
  <c r="I14" i="23"/>
  <c r="G28" i="23"/>
  <c r="K14" i="23"/>
  <c r="H16" i="23"/>
  <c r="J37" i="23"/>
  <c r="L3" i="23"/>
  <c r="H25" i="23"/>
  <c r="G21" i="23"/>
  <c r="K6" i="23"/>
  <c r="G4" i="23"/>
  <c r="H8" i="23"/>
  <c r="L18" i="23"/>
  <c r="L4" i="23"/>
  <c r="G19" i="23"/>
  <c r="K29" i="23"/>
  <c r="H15" i="23"/>
  <c r="H6" i="23"/>
  <c r="J11" i="23"/>
  <c r="K3" i="23"/>
  <c r="G11" i="23"/>
  <c r="K21" i="23"/>
  <c r="I32" i="23"/>
  <c r="H7" i="23"/>
  <c r="L17" i="23"/>
  <c r="J28" i="23"/>
  <c r="I3" i="23"/>
  <c r="G14" i="23"/>
  <c r="K24" i="23"/>
  <c r="I35" i="23"/>
  <c r="L32" i="23"/>
  <c r="I18" i="23"/>
  <c r="L7" i="23"/>
  <c r="J18" i="23"/>
  <c r="H29" i="23"/>
  <c r="G5" i="23"/>
  <c r="G29" i="23"/>
  <c r="I21" i="23"/>
  <c r="G36" i="23"/>
  <c r="I9" i="23"/>
  <c r="I25" i="23"/>
  <c r="H12" i="23"/>
  <c r="J33" i="23"/>
  <c r="J23" i="23"/>
  <c r="I12" i="23"/>
  <c r="K33" i="23"/>
  <c r="H19" i="23"/>
  <c r="K4" i="23"/>
  <c r="G26" i="23"/>
  <c r="H34" i="23"/>
  <c r="H9" i="23"/>
  <c r="J30" i="23"/>
  <c r="I30" i="23"/>
  <c r="I37" i="23"/>
  <c r="I29" i="23"/>
  <c r="H24" i="23"/>
  <c r="J7" i="23"/>
  <c r="K13" i="23"/>
  <c r="G35" i="23"/>
  <c r="J20" i="23"/>
  <c r="K16" i="23"/>
  <c r="G38" i="23"/>
  <c r="J10" i="23"/>
  <c r="K11" i="23"/>
  <c r="K38" i="23"/>
  <c r="H4" i="23"/>
  <c r="J25" i="23"/>
  <c r="J27" i="23"/>
  <c r="K25" i="23"/>
  <c r="L21" i="23"/>
  <c r="I7" i="23"/>
  <c r="K28" i="23"/>
  <c r="K31" i="23"/>
  <c r="H33" i="23"/>
  <c r="I34" i="23"/>
  <c r="I10" i="23"/>
  <c r="L26" i="23"/>
  <c r="J14" i="23"/>
  <c r="L35" i="23"/>
  <c r="G32" i="23"/>
  <c r="K18" i="23"/>
  <c r="G3" i="23"/>
  <c r="H30" i="23"/>
  <c r="J36" i="23"/>
  <c r="J5" i="23"/>
  <c r="H10" i="23"/>
  <c r="J4" i="23"/>
  <c r="L8" i="23"/>
  <c r="J3" i="23"/>
  <c r="K5" i="23"/>
  <c r="I16" i="23"/>
  <c r="G27" i="23"/>
  <c r="K37" i="23"/>
  <c r="J12" i="23"/>
  <c r="H23" i="23"/>
  <c r="L33" i="23"/>
  <c r="K8" i="23"/>
  <c r="I19" i="23"/>
  <c r="G30" i="23"/>
  <c r="L24" i="23"/>
  <c r="I6" i="23"/>
  <c r="K35" i="23"/>
  <c r="H13" i="23"/>
  <c r="L23" i="23"/>
  <c r="J34" i="23"/>
  <c r="G17" i="23"/>
  <c r="I38" i="23"/>
  <c r="K30" i="23"/>
  <c r="K27" i="23"/>
  <c r="G16" i="23"/>
  <c r="L6" i="23"/>
  <c r="J17" i="23"/>
  <c r="H28" i="23"/>
  <c r="L38" i="23"/>
  <c r="G22" i="23"/>
  <c r="K23" i="23"/>
  <c r="G20" i="23"/>
  <c r="J9" i="23"/>
  <c r="H20" i="23"/>
  <c r="K32" i="23"/>
  <c r="I13" i="23"/>
  <c r="L28" i="23"/>
  <c r="I33" i="23"/>
  <c r="G13" i="23"/>
  <c r="I5" i="23"/>
  <c r="H5" i="23"/>
  <c r="L15" i="23"/>
  <c r="J26" i="23"/>
  <c r="I11" i="23"/>
  <c r="H37" i="23"/>
  <c r="L30" i="23"/>
</calcChain>
</file>

<file path=xl/sharedStrings.xml><?xml version="1.0" encoding="utf-8"?>
<sst xmlns="http://schemas.openxmlformats.org/spreadsheetml/2006/main" count="542" uniqueCount="199">
  <si>
    <t>Notional</t>
  </si>
  <si>
    <t>USD</t>
  </si>
  <si>
    <t>USD_3ML</t>
  </si>
  <si>
    <t>CreateSwap</t>
  </si>
  <si>
    <t>USDYC</t>
  </si>
  <si>
    <t>1Y</t>
  </si>
  <si>
    <t>5Y</t>
  </si>
  <si>
    <t>Currency</t>
  </si>
  <si>
    <t>PV</t>
  </si>
  <si>
    <t>AsOfDate</t>
  </si>
  <si>
    <t>CurveCollection</t>
  </si>
  <si>
    <t>Volatility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</si>
  <si>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</si>
  <si>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</si>
  <si>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</si>
  <si>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</si>
  <si>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</si>
  <si>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</si>
  <si>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</si>
  <si>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</si>
  <si>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</si>
  <si>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</si>
  <si>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CurveType</t>
  </si>
  <si>
    <t>CurveIndexFrequency</t>
  </si>
  <si>
    <t>DAILY</t>
  </si>
  <si>
    <t>Create Market Data Handle</t>
  </si>
  <si>
    <t>Handle Name</t>
  </si>
  <si>
    <t>Market Data Handle</t>
  </si>
  <si>
    <t>40Y</t>
  </si>
  <si>
    <t>50Y</t>
  </si>
  <si>
    <t>3Y</t>
  </si>
  <si>
    <t>QUARTERLY</t>
  </si>
  <si>
    <t>LIBORFIXINGS</t>
  </si>
  <si>
    <t>FUTURES</t>
  </si>
  <si>
    <t>SWAP</t>
  </si>
  <si>
    <t>ON</t>
  </si>
  <si>
    <t>2Y</t>
  </si>
  <si>
    <t>4Y</t>
  </si>
  <si>
    <t>7Y</t>
  </si>
  <si>
    <t>3M</t>
  </si>
  <si>
    <t>10Y</t>
  </si>
  <si>
    <t>12Y</t>
  </si>
  <si>
    <t>15Y</t>
  </si>
  <si>
    <t>6M</t>
  </si>
  <si>
    <t>20Y</t>
  </si>
  <si>
    <t>25Y</t>
  </si>
  <si>
    <t>30Y</t>
  </si>
  <si>
    <t>ED1 Comdty</t>
  </si>
  <si>
    <t>ED2 Comdty</t>
  </si>
  <si>
    <t>ED3 Comdty</t>
  </si>
  <si>
    <t>ED4 Comdty</t>
  </si>
  <si>
    <t>ED5 Comdty</t>
  </si>
  <si>
    <t>8Y</t>
  </si>
  <si>
    <t>ED6 Comdty</t>
  </si>
  <si>
    <t>9Y</t>
  </si>
  <si>
    <t>ED7 Comdty</t>
  </si>
  <si>
    <t>ED8 Comdty</t>
  </si>
  <si>
    <t>EffectiveDate</t>
  </si>
  <si>
    <t>2D</t>
  </si>
  <si>
    <t>ParRate</t>
  </si>
  <si>
    <t>Key</t>
  </si>
  <si>
    <t>Value</t>
  </si>
  <si>
    <t>ED9 Comdty</t>
  </si>
  <si>
    <t>ED10 Comdty</t>
  </si>
  <si>
    <t>ED11 Comdty</t>
  </si>
  <si>
    <t>ED12 Comdty</t>
  </si>
  <si>
    <t>USD_OIS_MARKETDATA</t>
  </si>
  <si>
    <t>USD_3M_MARKETDATA</t>
  </si>
  <si>
    <t>CURVE ENGINE PARAMETERS</t>
  </si>
  <si>
    <t>FastRebuild</t>
  </si>
  <si>
    <t>CURVE GENERATORS</t>
  </si>
  <si>
    <t>3ML</t>
  </si>
  <si>
    <t>CURVE MARKET DATA</t>
  </si>
  <si>
    <t>GLOBAL CURVE ENGINE</t>
  </si>
  <si>
    <t>CurveObject</t>
  </si>
  <si>
    <t>CurveName</t>
  </si>
  <si>
    <t>USD_CURVE</t>
  </si>
  <si>
    <t>CurveIndices</t>
  </si>
  <si>
    <t>Start</t>
  </si>
  <si>
    <t>End</t>
  </si>
  <si>
    <t>Periodicity</t>
  </si>
  <si>
    <t>0Y</t>
  </si>
  <si>
    <t>USDOIS</t>
  </si>
  <si>
    <t>USD3ML</t>
  </si>
  <si>
    <t>Forward Curve Display Settings</t>
  </si>
  <si>
    <t>Trade Dates</t>
  </si>
  <si>
    <t>SWAPS: USD3ML</t>
  </si>
  <si>
    <t>Trade Booking &amp; Pricing</t>
  </si>
  <si>
    <t>Unadjusted Date !</t>
  </si>
  <si>
    <t>Swap Template</t>
  </si>
  <si>
    <t>MaturityDate</t>
  </si>
  <si>
    <t>Maturity</t>
  </si>
  <si>
    <t>Generator</t>
  </si>
  <si>
    <t>PayRec</t>
  </si>
  <si>
    <t>FixedRate</t>
  </si>
  <si>
    <t>Spread</t>
  </si>
  <si>
    <t>PAY</t>
  </si>
  <si>
    <t>EffectiveLag</t>
  </si>
  <si>
    <t>SwapNames</t>
  </si>
  <si>
    <t>Curves</t>
  </si>
  <si>
    <t>Risk</t>
  </si>
  <si>
    <t>Include</t>
  </si>
  <si>
    <t>Tenor</t>
  </si>
  <si>
    <t>Epsilon</t>
  </si>
  <si>
    <t>GradientEpsilon</t>
  </si>
  <si>
    <t>Delta</t>
  </si>
  <si>
    <t>Calendar</t>
  </si>
  <si>
    <t>51Y</t>
  </si>
  <si>
    <t>Extrapolation Point</t>
  </si>
  <si>
    <t>+/- Bps</t>
  </si>
  <si>
    <t>Curve Calibration / Repricing Check</t>
  </si>
  <si>
    <t>Futures to 3Y then Swaps from 4Y inclusive</t>
  </si>
  <si>
    <t>CURVEPROPERTIES</t>
  </si>
  <si>
    <t/>
  </si>
  <si>
    <t>StaticDataTable</t>
  </si>
  <si>
    <t>IndexName</t>
  </si>
  <si>
    <t>OIS:USDOIS:USDDF:USDDF_USDCSA:USDDF_NOCSA</t>
  </si>
  <si>
    <t>interpolation</t>
  </si>
  <si>
    <t>FN_SPLINEINTERPOLATION</t>
  </si>
  <si>
    <t>yieldgen.interpolation</t>
  </si>
  <si>
    <t>calendar</t>
  </si>
  <si>
    <t>NYB</t>
  </si>
  <si>
    <t>daycount</t>
  </si>
  <si>
    <t>ACT/360</t>
  </si>
  <si>
    <t>frequency</t>
  </si>
  <si>
    <t>ANNUAL</t>
  </si>
  <si>
    <t>generatemethod</t>
  </si>
  <si>
    <t>DAILYCOMPOUNDING</t>
  </si>
  <si>
    <t>resetlag</t>
  </si>
  <si>
    <t>firstrate</t>
  </si>
  <si>
    <t>SHORTMARKET</t>
  </si>
  <si>
    <t>slidingrule</t>
  </si>
  <si>
    <t>MOD_FOLLOWING</t>
  </si>
  <si>
    <t>eomday</t>
  </si>
  <si>
    <t>31</t>
  </si>
  <si>
    <t>iseomroll</t>
  </si>
  <si>
    <t>TRUE</t>
  </si>
  <si>
    <t>shorttermconvention</t>
  </si>
  <si>
    <t>ARITHMETICAVERAGE</t>
  </si>
  <si>
    <t>longtermconvention</t>
  </si>
  <si>
    <t>LOBASIS</t>
  </si>
  <si>
    <t>longterm</t>
  </si>
  <si>
    <t>longterm.generatemethod</t>
  </si>
  <si>
    <t>NONE</t>
  </si>
  <si>
    <t>0.0000000001</t>
  </si>
  <si>
    <t>MaxLoop</t>
  </si>
  <si>
    <t>1000</t>
  </si>
  <si>
    <t>CompoundingMethod</t>
  </si>
  <si>
    <t>ARITHMETIC</t>
  </si>
  <si>
    <t>SmoothShortEnd</t>
  </si>
  <si>
    <t>FALSE</t>
  </si>
  <si>
    <t>LIBOROISBASIS</t>
  </si>
  <si>
    <t>LNB:NYB</t>
  </si>
  <si>
    <t>Daycount</t>
  </si>
  <si>
    <t>Frequency</t>
  </si>
  <si>
    <t>SlidingRule</t>
  </si>
  <si>
    <t>daycountfix</t>
  </si>
  <si>
    <t>30/360</t>
  </si>
  <si>
    <t>frequencyfix</t>
  </si>
  <si>
    <t>SEMI-ANNUAL</t>
  </si>
  <si>
    <t>STD</t>
  </si>
  <si>
    <t>STD:USD3ML</t>
  </si>
  <si>
    <t>FN_LINEARSPLINEINTERPOLATION</t>
  </si>
  <si>
    <t>future.interpolation</t>
  </si>
  <si>
    <t>isfrause</t>
  </si>
  <si>
    <t>isfutureuse</t>
  </si>
  <si>
    <t>SIMPLE</t>
  </si>
  <si>
    <t>dfcurvename</t>
  </si>
  <si>
    <t>AlwaysCalcJoinDate</t>
  </si>
  <si>
    <t>MONEYMARKET</t>
  </si>
  <si>
    <t>Act/360</t>
  </si>
  <si>
    <t>FOLLOWING</t>
  </si>
  <si>
    <t>simple</t>
  </si>
  <si>
    <t>FRAS</t>
  </si>
  <si>
    <t>MeanReversion</t>
  </si>
  <si>
    <t>ApplyTension</t>
  </si>
  <si>
    <t>TensionGap</t>
  </si>
  <si>
    <t>DayCount</t>
  </si>
  <si>
    <t>DayCountFloat</t>
  </si>
  <si>
    <t>Semi-Annual</t>
  </si>
  <si>
    <t>FrequencyFloat</t>
  </si>
  <si>
    <t>Quarterly</t>
  </si>
  <si>
    <t>IsEomRoll</t>
  </si>
  <si>
    <t>EomDay</t>
  </si>
  <si>
    <t>IsNewtonraphson</t>
  </si>
  <si>
    <t>Resetlag</t>
  </si>
  <si>
    <t>issimultaneouseq</t>
  </si>
  <si>
    <t>FN_MONOTONESPLINEINTERPOLATION</t>
  </si>
  <si>
    <t>FN_MONOTONEPARABOLICINTERPOLATION</t>
  </si>
  <si>
    <t>FN_LINEARMONOTONESPLINEINTERPOLATION</t>
  </si>
  <si>
    <t>FN_LINEARMONOTONEPARABOLICINTERPOLATION</t>
  </si>
  <si>
    <t>FN_LINEARINTERPOLATION</t>
  </si>
  <si>
    <t>WEEKLY</t>
  </si>
  <si>
    <t>USD_OIS_NEW_GENERATOR</t>
  </si>
  <si>
    <t>USD_SWAP_NEW_GENERATOR</t>
  </si>
  <si>
    <t>SELECT INTERPOLATION</t>
  </si>
  <si>
    <t>OIS CURVE</t>
  </si>
  <si>
    <t>SWAP CURVE</t>
  </si>
  <si>
    <t>INTERPOLATIONMETHODS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</si>
</sst>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0"/>
    <numFmt numFmtId="165" formatCode="ddd\,\ d\-mmm\-yy"/>
    <numFmt numFmtId="166" formatCode="0.00000%"/>
    <numFmt numFmtId="167" formatCode="0.0000%"/>
    <numFmt numFmtId="168" formatCode="0.000%"/>
    <numFmt numFmtId="169" formatCode="#,##0.000"/>
    <numFmt numFmtId="170" formatCode="_(&quot;$&quot;* #,##0.00_);_(&quot;$&quot;* \(#,##0.00\);_(&quot;$&quot;* &quot;-&quot;??_);_(@_)"/>
    <numFmt numFmtId="171" formatCode="0\ &quot; days&quot;"/>
    <numFmt numFmtId="172" formatCode="mmm\-yyyy"/>
    <numFmt numFmtId="173" formatCode="0.000"/>
    <numFmt numFmtId="174" formatCode="dd/m/yy"/>
    <numFmt numFmtId="175" formatCode="_(&quot;$&quot;* #,##0_);_(&quot;$&quot;* \(#,##0\);_(&quot;$&quot;* &quot;-&quot;_);_(@_)"/>
    <numFmt numFmtId="176" formatCode="0.00_)"/>
    <numFmt numFmtId="177" formatCode="dd\-mmm\-yy;dd\-mmm\-yy;"/>
    <numFmt numFmtId="178" formatCode="_ * #,##0_ ;_ * \-#,##0_ ;_ * &quot;-&quot;_ ;_ @_ "/>
    <numFmt numFmtId="179" formatCode="#,##0.00000"/>
  </numFmts>
  <fonts count="9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9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7361">
    <xf numFmtId="0" fontId="0" fillId="0" borderId="0"/>
    <xf numFmtId="0" fontId="7" fillId="0" borderId="0">
      <alignment vertical="center"/>
    </xf>
    <xf numFmtId="41" fontId="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9" fillId="0" borderId="0">
      <alignment vertical="center"/>
    </xf>
    <xf numFmtId="9" fontId="10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9" borderId="0" applyNumberFormat="0" applyBorder="0" applyAlignment="0" applyProtection="0"/>
    <xf numFmtId="0" fontId="12" fillId="1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30" borderId="0" applyNumberFormat="0" applyBorder="0" applyAlignment="0" applyProtection="0"/>
    <xf numFmtId="0" fontId="12" fillId="1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3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0" borderId="12" applyNumberFormat="0" applyFill="0" applyAlignment="0" applyProtection="0">
      <alignment horizontal="left"/>
    </xf>
    <xf numFmtId="0" fontId="14" fillId="0" borderId="12">
      <protection hidden="1"/>
    </xf>
    <xf numFmtId="0" fontId="15" fillId="40" borderId="0" applyNumberFormat="0" applyFont="0" applyBorder="0" applyAlignment="0" applyProtection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16" fillId="41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9" fillId="42" borderId="0"/>
    <xf numFmtId="0" fontId="20" fillId="43" borderId="0" applyNumberFormat="0" applyFont="0" applyBorder="0" applyAlignment="0" applyProtection="0">
      <alignment horizontal="center"/>
    </xf>
    <xf numFmtId="0" fontId="21" fillId="0" borderId="0">
      <alignment horizontal="right"/>
    </xf>
    <xf numFmtId="168" fontId="22" fillId="44" borderId="0"/>
    <xf numFmtId="0" fontId="23" fillId="45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19" fillId="35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25" fillId="0" borderId="12" applyNumberFormat="0" applyBorder="0" applyAlignment="0" applyProtection="0">
      <alignment horizontal="left"/>
    </xf>
    <xf numFmtId="38" fontId="2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29" fillId="0" borderId="0">
      <alignment horizontal="right"/>
    </xf>
    <xf numFmtId="0" fontId="10" fillId="47" borderId="15" applyNumberFormat="0" applyFont="0" applyBorder="0" applyAlignment="0" applyProtection="0">
      <alignment horizontal="centerContinuous"/>
    </xf>
    <xf numFmtId="0" fontId="30" fillId="48" borderId="0" applyNumberFormat="0" applyBorder="0" applyAlignment="0">
      <alignment horizontal="center"/>
    </xf>
    <xf numFmtId="0" fontId="31" fillId="49" borderId="16">
      <alignment horizontal="center"/>
      <protection locked="0"/>
    </xf>
    <xf numFmtId="15" fontId="32" fillId="50" borderId="17" applyFont="0" applyFill="0" applyBorder="0" applyAlignment="0" applyProtection="0">
      <alignment horizontal="left"/>
    </xf>
    <xf numFmtId="17" fontId="32" fillId="50" borderId="17" applyFont="0" applyFill="0" applyBorder="0" applyAlignment="0" applyProtection="0">
      <alignment horizontal="left"/>
    </xf>
    <xf numFmtId="0" fontId="32" fillId="50" borderId="0">
      <alignment vertical="center"/>
    </xf>
    <xf numFmtId="171" fontId="32" fillId="0" borderId="0" applyFont="0" applyFill="0" applyBorder="0" applyAlignment="0" applyProtection="0"/>
    <xf numFmtId="0" fontId="15" fillId="1" borderId="18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5" borderId="0"/>
    <xf numFmtId="172" fontId="35" fillId="51" borderId="19" applyBorder="0"/>
    <xf numFmtId="0" fontId="8" fillId="20" borderId="18"/>
    <xf numFmtId="0" fontId="8" fillId="20" borderId="18"/>
    <xf numFmtId="0" fontId="8" fillId="20" borderId="18"/>
    <xf numFmtId="0" fontId="8" fillId="20" borderId="18"/>
    <xf numFmtId="173" fontId="36" fillId="45" borderId="0"/>
    <xf numFmtId="0" fontId="37" fillId="52" borderId="18"/>
    <xf numFmtId="172" fontId="35" fillId="0" borderId="18"/>
    <xf numFmtId="172" fontId="35" fillId="53" borderId="18"/>
    <xf numFmtId="172" fontId="35" fillId="54" borderId="20" applyBorder="0"/>
    <xf numFmtId="172" fontId="35" fillId="55" borderId="18"/>
    <xf numFmtId="0" fontId="38" fillId="45" borderId="18"/>
    <xf numFmtId="0" fontId="34" fillId="56" borderId="18"/>
    <xf numFmtId="0" fontId="39" fillId="57" borderId="21" applyBorder="0">
      <alignment horizontal="right"/>
    </xf>
    <xf numFmtId="38" fontId="8" fillId="0" borderId="18"/>
    <xf numFmtId="0" fontId="8" fillId="0" borderId="18"/>
    <xf numFmtId="0" fontId="8" fillId="8" borderId="18"/>
    <xf numFmtId="0" fontId="8" fillId="8" borderId="18"/>
    <xf numFmtId="0" fontId="8" fillId="8" borderId="18"/>
    <xf numFmtId="0" fontId="8" fillId="8" borderId="18"/>
    <xf numFmtId="172" fontId="35" fillId="53" borderId="18"/>
    <xf numFmtId="0" fontId="40" fillId="51" borderId="22">
      <alignment horizontal="center"/>
    </xf>
    <xf numFmtId="172" fontId="35" fillId="45" borderId="18"/>
    <xf numFmtId="0" fontId="41" fillId="58" borderId="0"/>
    <xf numFmtId="0" fontId="42" fillId="0" borderId="0"/>
    <xf numFmtId="0" fontId="43" fillId="0" borderId="0" applyNumberFormat="0" applyFill="0" applyBorder="0" applyAlignment="0" applyProtection="0"/>
    <xf numFmtId="0" fontId="44" fillId="35" borderId="0">
      <alignment horizontal="center"/>
    </xf>
    <xf numFmtId="0" fontId="45" fillId="20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6" fillId="59" borderId="23" applyNumberFormat="0" applyFont="0" applyBorder="0" applyAlignment="0">
      <alignment horizontal="centerContinuous"/>
    </xf>
    <xf numFmtId="0" fontId="47" fillId="18" borderId="18" applyProtection="0">
      <alignment horizontal="center"/>
      <protection locked="0"/>
    </xf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8" fillId="0" borderId="26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50" fillId="0" borderId="27" applyNumberFormat="0" applyFill="0" applyAlignment="0" applyProtection="0"/>
    <xf numFmtId="0" fontId="51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2" fillId="0" borderId="29" applyNumberFormat="0" applyFill="0" applyAlignment="0" applyProtection="0"/>
    <xf numFmtId="0" fontId="53" fillId="0" borderId="30" applyNumberFormat="0" applyFill="0" applyAlignment="0" applyProtection="0"/>
    <xf numFmtId="0" fontId="52" fillId="0" borderId="31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60" borderId="0" applyNumberFormat="0" applyFont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2" fontId="8" fillId="61" borderId="32" applyNumberFormat="0" applyBorder="0">
      <alignment horizontal="right" vertical="center"/>
    </xf>
    <xf numFmtId="2" fontId="58" fillId="62" borderId="33" applyBorder="0">
      <alignment horizontal="left" vertical="center"/>
    </xf>
    <xf numFmtId="10" fontId="59" fillId="45" borderId="0" applyBorder="0">
      <alignment horizontal="right"/>
      <protection locked="0"/>
    </xf>
    <xf numFmtId="15" fontId="59" fillId="45" borderId="18" applyBorder="0">
      <alignment horizontal="center"/>
      <protection locked="0"/>
    </xf>
    <xf numFmtId="15" fontId="59" fillId="45" borderId="0" applyBorder="0">
      <alignment horizontal="left"/>
      <protection locked="0"/>
    </xf>
    <xf numFmtId="0" fontId="60" fillId="63" borderId="0" applyFont="0" applyFill="0" applyBorder="0" applyAlignment="0" applyProtection="0">
      <alignment horizontal="right" vertical="center"/>
    </xf>
    <xf numFmtId="2" fontId="61" fillId="64" borderId="33" applyNumberFormat="0">
      <alignment horizontal="center" vertical="center"/>
    </xf>
    <xf numFmtId="0" fontId="62" fillId="0" borderId="12" applyNumberFormat="0" applyFill="0" applyBorder="0" applyAlignment="0" applyProtection="0"/>
    <xf numFmtId="174" fontId="63" fillId="18" borderId="23" applyBorder="0">
      <alignment horizontal="left"/>
      <protection locked="0"/>
    </xf>
    <xf numFmtId="174" fontId="63" fillId="18" borderId="34" applyBorder="0">
      <alignment horizontal="right"/>
      <protection locked="0"/>
    </xf>
    <xf numFmtId="0" fontId="64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39" fillId="0" borderId="22"/>
    <xf numFmtId="0" fontId="15" fillId="0" borderId="0"/>
    <xf numFmtId="0" fontId="67" fillId="0" borderId="12">
      <alignment horizontal="left"/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68" fillId="65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176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>
      <alignment vertical="center"/>
    </xf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71" fillId="0" borderId="12" applyNumberFormat="0" applyFill="0" applyBorder="0" applyAlignment="0" applyProtection="0">
      <alignment horizontal="left"/>
      <protection locked="0"/>
    </xf>
    <xf numFmtId="0" fontId="72" fillId="45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3" fillId="66" borderId="0" applyNumberFormat="0" applyFont="0" applyBorder="0" applyAlignment="0" applyProtection="0"/>
    <xf numFmtId="0" fontId="73" fillId="67" borderId="0" applyNumberFormat="0" applyFont="0" applyBorder="0" applyAlignment="0" applyProtection="0"/>
    <xf numFmtId="0" fontId="73" fillId="68" borderId="0" applyNumberFormat="0" applyFont="0" applyBorder="0" applyAlignment="0" applyProtection="0">
      <alignment horizontal="center"/>
    </xf>
    <xf numFmtId="0" fontId="73" fillId="69" borderId="38" applyNumberFormat="0" applyFont="0" applyBorder="0" applyAlignment="0" applyProtection="0"/>
    <xf numFmtId="0" fontId="73" fillId="70" borderId="38" applyNumberFormat="0" applyFont="0" applyBorder="0" applyAlignment="0"/>
    <xf numFmtId="0" fontId="73" fillId="71" borderId="38" applyNumberFormat="0" applyFont="0" applyBorder="0" applyAlignment="0"/>
    <xf numFmtId="0" fontId="15" fillId="72" borderId="0" applyNumberFormat="0" applyFont="0" applyBorder="0" applyAlignment="0" applyProtection="0">
      <alignment horizontal="center"/>
      <protection hidden="1"/>
    </xf>
    <xf numFmtId="0" fontId="8" fillId="40" borderId="0" applyNumberFormat="0" applyFont="0" applyBorder="0" applyAlignment="0" applyProtection="0">
      <protection hidden="1"/>
    </xf>
    <xf numFmtId="0" fontId="8" fillId="73" borderId="0" applyNumberFormat="0" applyFont="0" applyBorder="0" applyAlignment="0" applyProtection="0">
      <protection hidden="1"/>
    </xf>
    <xf numFmtId="0" fontId="8" fillId="74" borderId="0" applyNumberFormat="0" applyFont="0" applyBorder="0" applyAlignment="0" applyProtection="0">
      <protection hidden="1"/>
    </xf>
    <xf numFmtId="0" fontId="8" fillId="75" borderId="0" applyNumberFormat="0" applyFont="0" applyBorder="0" applyAlignment="0" applyProtection="0">
      <protection hidden="1"/>
    </xf>
    <xf numFmtId="0" fontId="8" fillId="76" borderId="0" applyNumberFormat="0" applyFont="0" applyBorder="0" applyAlignment="0" applyProtection="0">
      <protection hidden="1"/>
    </xf>
    <xf numFmtId="0" fontId="8" fillId="77" borderId="0" applyNumberFormat="0" applyFont="0" applyBorder="0" applyAlignment="0" applyProtection="0">
      <protection hidden="1"/>
    </xf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2" fillId="50" borderId="17" applyFont="0" applyFill="0" applyBorder="0" applyAlignment="0" applyProtection="0">
      <alignment horizontal="left"/>
    </xf>
    <xf numFmtId="0" fontId="74" fillId="0" borderId="39" applyBorder="0"/>
    <xf numFmtId="0" fontId="32" fillId="78" borderId="0" applyFont="0" applyFill="0" applyBorder="0">
      <alignment horizontal="left"/>
    </xf>
    <xf numFmtId="0" fontId="75" fillId="0" borderId="0"/>
    <xf numFmtId="177" fontId="76" fillId="0" borderId="39" applyBorder="0">
      <alignment horizontal="center"/>
      <protection locked="0"/>
    </xf>
    <xf numFmtId="0" fontId="8" fillId="0" borderId="0">
      <alignment horizontal="left" wrapText="1"/>
    </xf>
    <xf numFmtId="0" fontId="8" fillId="0" borderId="0"/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 applyNumberFormat="0" applyFill="0" applyBorder="0" applyAlignment="0" applyProtection="0"/>
    <xf numFmtId="0" fontId="8" fillId="45" borderId="18" applyAlignment="0">
      <alignment horizontal="right"/>
    </xf>
    <xf numFmtId="0" fontId="8" fillId="45" borderId="18" applyAlignment="0">
      <alignment horizontal="right"/>
    </xf>
    <xf numFmtId="0" fontId="78" fillId="0" borderId="0"/>
    <xf numFmtId="0" fontId="79" fillId="0" borderId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3" fillId="0" borderId="0">
      <alignment horizontal="center"/>
    </xf>
    <xf numFmtId="0" fontId="84" fillId="17" borderId="12"/>
    <xf numFmtId="0" fontId="85" fillId="0" borderId="40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6" fillId="18" borderId="0" applyNumberFormat="0" applyFont="0" applyBorder="0" applyAlignment="0" applyProtection="0">
      <alignment horizontal="left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26" fillId="0" borderId="0">
      <alignment vertical="center"/>
    </xf>
    <xf numFmtId="0" fontId="88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</cellStyleXfs>
  <cellXfs count="20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5" xfId="0" applyFill="1" applyBorder="1"/>
    <xf numFmtId="0" fontId="5" fillId="2" borderId="6" xfId="0" applyFont="1" applyFill="1" applyBorder="1"/>
    <xf numFmtId="0" fontId="6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1" xfId="0" applyFill="1" applyBorder="1"/>
    <xf numFmtId="0" fontId="0" fillId="2" borderId="0" xfId="0" applyFill="1" applyBorder="1"/>
    <xf numFmtId="0" fontId="0" fillId="2" borderId="8" xfId="0" applyFill="1" applyBorder="1"/>
    <xf numFmtId="0" fontId="5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5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15" fontId="1" fillId="0" borderId="8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/>
    <xf numFmtId="0" fontId="2" fillId="2" borderId="0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0" fillId="0" borderId="1" xfId="0" applyBorder="1"/>
    <xf numFmtId="15" fontId="1" fillId="0" borderId="6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1" fillId="4" borderId="1" xfId="0" applyFont="1" applyFill="1" applyBorder="1"/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2" xfId="0" applyFont="1" applyFill="1" applyBorder="1"/>
    <xf numFmtId="168" fontId="1" fillId="4" borderId="7" xfId="2" quotePrefix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68" fontId="1" fillId="4" borderId="8" xfId="2" quotePrefix="1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8" fontId="1" fillId="4" borderId="8" xfId="2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9" fontId="3" fillId="4" borderId="10" xfId="0" applyNumberFormat="1" applyFont="1" applyFill="1" applyBorder="1" applyAlignment="1">
      <alignment horizontal="center" vertical="center"/>
    </xf>
    <xf numFmtId="168" fontId="1" fillId="4" borderId="11" xfId="2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6" fontId="1" fillId="0" borderId="7" xfId="0" applyNumberFormat="1" applyFont="1" applyFill="1" applyBorder="1" applyAlignment="1">
      <alignment horizontal="center" vertical="center"/>
    </xf>
    <xf numFmtId="166" fontId="1" fillId="0" borderId="8" xfId="0" applyNumberFormat="1" applyFont="1" applyFill="1" applyBorder="1" applyAlignment="1">
      <alignment horizontal="center" vertical="center"/>
    </xf>
    <xf numFmtId="166" fontId="1" fillId="0" borderId="11" xfId="0" applyNumberFormat="1" applyFont="1" applyFill="1" applyBorder="1" applyAlignment="1">
      <alignment horizontal="center" vertical="center"/>
    </xf>
    <xf numFmtId="0" fontId="1" fillId="2" borderId="0" xfId="0" applyFont="1" applyFill="1"/>
    <xf numFmtId="15" fontId="1" fillId="0" borderId="11" xfId="0" applyNumberFormat="1" applyFont="1" applyFill="1" applyBorder="1" applyAlignment="1">
      <alignment horizontal="center" vertical="center"/>
    </xf>
    <xf numFmtId="166" fontId="1" fillId="0" borderId="6" xfId="0" applyNumberFormat="1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6" fontId="1" fillId="0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Fill="1" applyBorder="1" applyAlignment="1">
      <alignment horizontal="center" vertical="center"/>
    </xf>
    <xf numFmtId="0" fontId="1" fillId="4" borderId="3" xfId="0" applyFont="1" applyFill="1" applyBorder="1"/>
    <xf numFmtId="167" fontId="1" fillId="0" borderId="7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9" fontId="1" fillId="4" borderId="6" xfId="0" applyNumberFormat="1" applyFont="1" applyFill="1" applyBorder="1" applyAlignment="1">
      <alignment horizontal="center" vertical="center"/>
    </xf>
    <xf numFmtId="167" fontId="1" fillId="4" borderId="6" xfId="0" applyNumberFormat="1" applyFont="1" applyFill="1" applyBorder="1" applyAlignment="1">
      <alignment horizontal="center" vertical="center"/>
    </xf>
    <xf numFmtId="167" fontId="1" fillId="0" borderId="8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69" fontId="1" fillId="4" borderId="0" xfId="0" applyNumberFormat="1" applyFont="1" applyFill="1" applyBorder="1" applyAlignment="1">
      <alignment horizontal="center" vertical="center"/>
    </xf>
    <xf numFmtId="167" fontId="1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4" fontId="1" fillId="2" borderId="0" xfId="0" quotePrefix="1" applyNumberFormat="1" applyFont="1" applyFill="1" applyBorder="1"/>
    <xf numFmtId="4" fontId="1" fillId="2" borderId="0" xfId="0" applyNumberFormat="1" applyFont="1" applyFill="1" applyBorder="1"/>
    <xf numFmtId="15" fontId="1" fillId="4" borderId="6" xfId="1" quotePrefix="1" applyNumberFormat="1" applyFont="1" applyFill="1" applyBorder="1" applyAlignment="1">
      <alignment horizontal="center" vertical="center"/>
    </xf>
    <xf numFmtId="15" fontId="1" fillId="4" borderId="0" xfId="1" quotePrefix="1" applyNumberFormat="1" applyFont="1" applyFill="1" applyBorder="1" applyAlignment="1">
      <alignment horizontal="center" vertical="center"/>
    </xf>
    <xf numFmtId="15" fontId="1" fillId="4" borderId="0" xfId="1" applyNumberFormat="1" applyFont="1" applyFill="1" applyBorder="1" applyAlignment="1">
      <alignment horizontal="center" vertical="center"/>
    </xf>
    <xf numFmtId="15" fontId="3" fillId="4" borderId="10" xfId="1" applyNumberFormat="1" applyFont="1" applyFill="1" applyBorder="1" applyAlignment="1">
      <alignment horizontal="center" vertical="center"/>
    </xf>
    <xf numFmtId="15" fontId="90" fillId="4" borderId="1" xfId="0" applyNumberFormat="1" applyFont="1" applyFill="1" applyBorder="1" applyAlignment="1">
      <alignment horizontal="center" vertical="center"/>
    </xf>
    <xf numFmtId="11" fontId="90" fillId="4" borderId="2" xfId="0" applyNumberFormat="1" applyFont="1" applyFill="1" applyBorder="1" applyAlignment="1">
      <alignment horizontal="center" vertical="center"/>
    </xf>
    <xf numFmtId="11" fontId="90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3" fillId="4" borderId="3" xfId="0" applyFont="1" applyFill="1" applyBorder="1"/>
    <xf numFmtId="0" fontId="3" fillId="4" borderId="1" xfId="0" applyFont="1" applyFill="1" applyBorder="1"/>
    <xf numFmtId="0" fontId="0" fillId="0" borderId="0" xfId="0" applyAlignment="1">
      <alignment vertical="center"/>
    </xf>
    <xf numFmtId="0" fontId="0" fillId="81" borderId="1" xfId="0" applyFill="1" applyBorder="1" applyAlignment="1">
      <alignment horizontal="center" vertical="center"/>
    </xf>
    <xf numFmtId="0" fontId="0" fillId="81" borderId="2" xfId="0" applyFill="1" applyBorder="1" applyAlignment="1">
      <alignment horizontal="center" vertical="center"/>
    </xf>
    <xf numFmtId="0" fontId="0" fillId="81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9" fillId="80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5" fontId="1" fillId="4" borderId="1" xfId="0" applyNumberFormat="1" applyFont="1" applyFill="1" applyBorder="1" applyAlignment="1">
      <alignment horizontal="center" vertical="center"/>
    </xf>
    <xf numFmtId="15" fontId="1" fillId="4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15" fontId="3" fillId="2" borderId="5" xfId="0" applyNumberFormat="1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/>
    </xf>
    <xf numFmtId="166" fontId="3" fillId="2" borderId="7" xfId="0" applyNumberFormat="1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15" fontId="3" fillId="2" borderId="9" xfId="0" applyNumberFormat="1" applyFont="1" applyFill="1" applyBorder="1" applyAlignment="1">
      <alignment horizontal="center" vertical="center"/>
    </xf>
    <xf numFmtId="166" fontId="3" fillId="2" borderId="10" xfId="0" applyNumberFormat="1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left" vertical="center"/>
    </xf>
    <xf numFmtId="0" fontId="92" fillId="0" borderId="0" xfId="0" applyFont="1"/>
    <xf numFmtId="0" fontId="93" fillId="0" borderId="0" xfId="0" applyFont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5" fontId="0" fillId="3" borderId="5" xfId="0" quotePrefix="1" applyNumberFormat="1" applyFill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/>
    </xf>
    <xf numFmtId="0" fontId="94" fillId="79" borderId="4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166" fontId="0" fillId="3" borderId="6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/>
    </xf>
    <xf numFmtId="165" fontId="0" fillId="3" borderId="4" xfId="0" quotePrefix="1" applyNumberFormat="1" applyFill="1" applyBorder="1" applyAlignment="1">
      <alignment horizontal="center" vertical="center"/>
    </xf>
    <xf numFmtId="165" fontId="0" fillId="3" borderId="0" xfId="0" applyNumberFormat="1" applyFill="1" applyBorder="1" applyAlignment="1">
      <alignment horizontal="center" vertical="center"/>
    </xf>
    <xf numFmtId="0" fontId="94" fillId="79" borderId="44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5" fontId="0" fillId="3" borderId="9" xfId="0" quotePrefix="1" applyNumberFormat="1" applyFill="1" applyBorder="1" applyAlignment="1">
      <alignment horizontal="center" vertical="center"/>
    </xf>
    <xf numFmtId="165" fontId="0" fillId="3" borderId="10" xfId="0" applyNumberFormat="1" applyFill="1" applyBorder="1" applyAlignment="1">
      <alignment horizontal="center" vertical="center"/>
    </xf>
    <xf numFmtId="0" fontId="94" fillId="79" borderId="4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166" fontId="0" fillId="3" borderId="10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1" xfId="0" applyFont="1" applyFill="1" applyBorder="1"/>
    <xf numFmtId="0" fontId="95" fillId="0" borderId="0" xfId="0" applyFont="1"/>
    <xf numFmtId="165" fontId="3" fillId="0" borderId="4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2" fillId="0" borderId="0" xfId="0" applyFont="1" applyBorder="1"/>
    <xf numFmtId="0" fontId="93" fillId="4" borderId="9" xfId="0" applyFont="1" applyFill="1" applyBorder="1" applyAlignment="1">
      <alignment horizontal="center" vertical="center"/>
    </xf>
    <xf numFmtId="167" fontId="93" fillId="4" borderId="10" xfId="0" applyNumberFormat="1" applyFont="1" applyFill="1" applyBorder="1" applyAlignment="1">
      <alignment horizontal="center" vertical="center"/>
    </xf>
    <xf numFmtId="0" fontId="93" fillId="4" borderId="11" xfId="0" applyFont="1" applyFill="1" applyBorder="1" applyAlignment="1">
      <alignment horizontal="center" vertical="center"/>
    </xf>
    <xf numFmtId="0" fontId="93" fillId="2" borderId="8" xfId="0" applyFont="1" applyFill="1" applyBorder="1"/>
    <xf numFmtId="0" fontId="3" fillId="2" borderId="46" xfId="0" applyFont="1" applyFill="1" applyBorder="1" applyAlignment="1">
      <alignment horizontal="center"/>
    </xf>
    <xf numFmtId="166" fontId="3" fillId="2" borderId="47" xfId="0" applyNumberFormat="1" applyFont="1" applyFill="1" applyBorder="1" applyAlignment="1">
      <alignment horizontal="center" vertical="center"/>
    </xf>
    <xf numFmtId="179" fontId="3" fillId="2" borderId="48" xfId="0" applyNumberFormat="1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/>
    </xf>
    <xf numFmtId="179" fontId="3" fillId="2" borderId="50" xfId="0" applyNumberFormat="1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/>
    </xf>
    <xf numFmtId="166" fontId="3" fillId="2" borderId="52" xfId="0" applyNumberFormat="1" applyFont="1" applyFill="1" applyBorder="1" applyAlignment="1">
      <alignment horizontal="center" vertical="center"/>
    </xf>
    <xf numFmtId="179" fontId="3" fillId="2" borderId="5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quotePrefix="1" applyFont="1" applyFill="1" applyAlignment="1">
      <alignment horizontal="center"/>
    </xf>
    <xf numFmtId="0" fontId="94" fillId="4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93" fillId="0" borderId="9" xfId="0" applyFont="1" applyFill="1" applyBorder="1" applyAlignment="1">
      <alignment horizontal="center" vertical="center"/>
    </xf>
    <xf numFmtId="166" fontId="93" fillId="0" borderId="11" xfId="0" applyNumberFormat="1" applyFont="1" applyFill="1" applyBorder="1" applyAlignment="1">
      <alignment horizontal="center" vertical="center"/>
    </xf>
    <xf numFmtId="0" fontId="93" fillId="2" borderId="0" xfId="0" applyFont="1" applyFill="1" applyBorder="1"/>
    <xf numFmtId="0" fontId="93" fillId="0" borderId="0" xfId="0" applyFont="1"/>
    <xf numFmtId="168" fontId="0" fillId="2" borderId="0" xfId="0" quotePrefix="1" applyNumberFormat="1" applyFill="1" applyBorder="1" applyAlignment="1">
      <alignment horizontal="center" vertical="center"/>
    </xf>
    <xf numFmtId="168" fontId="0" fillId="2" borderId="0" xfId="0" applyNumberFormat="1" applyFill="1" applyBorder="1" applyAlignment="1">
      <alignment horizontal="center" vertical="center"/>
    </xf>
    <xf numFmtId="15" fontId="1" fillId="0" borderId="7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8" xfId="0" applyBorder="1"/>
    <xf numFmtId="0" fontId="6" fillId="2" borderId="0" xfId="0" applyFont="1" applyFill="1"/>
    <xf numFmtId="0" fontId="93" fillId="2" borderId="0" xfId="0" applyFont="1" applyFill="1"/>
    <xf numFmtId="0" fontId="94" fillId="2" borderId="0" xfId="0" applyFont="1" applyFill="1"/>
    <xf numFmtId="0" fontId="0" fillId="0" borderId="0" xfId="0" applyFont="1"/>
    <xf numFmtId="0" fontId="0" fillId="2" borderId="0" xfId="0" applyFont="1" applyFill="1"/>
    <xf numFmtId="0" fontId="3" fillId="2" borderId="0" xfId="0" applyFont="1" applyFill="1"/>
    <xf numFmtId="0" fontId="1" fillId="8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FFFFCC"/>
      <color rgb="FF006600"/>
      <color rgb="FF0000FF"/>
      <color rgb="FFFFFF66"/>
      <color rgb="FFFFFF99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0"/>
            </a:pPr>
            <a:r>
              <a:rPr lang="en-GB" sz="2400" b="0"/>
              <a:t>USD Yield</a:t>
            </a:r>
            <a:r>
              <a:rPr lang="en-GB" sz="2400" b="0" baseline="0"/>
              <a:t> Curve</a:t>
            </a:r>
            <a:endParaRPr lang="en-GB" sz="2400" b="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7332342542762453E-2"/>
          <c:y val="2.2429332697049234E-2"/>
          <c:w val="0.87920625982713474"/>
          <c:h val="0.870932156207746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DISPLAY_CURVE!$C$9</c:f>
              <c:strCache>
                <c:ptCount val="1"/>
                <c:pt idx="0">
                  <c:v>USDOIS</c:v>
                </c:pt>
              </c:strCache>
            </c:strRef>
          </c:tx>
          <c:marker>
            <c:symbol val="none"/>
          </c:marker>
          <c:xVal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43333</c:v>
                </c:pt>
                <c:pt idx="2">
                  <c:v>43340</c:v>
                </c:pt>
                <c:pt idx="3">
                  <c:v>43347</c:v>
                </c:pt>
                <c:pt idx="4">
                  <c:v>43354</c:v>
                </c:pt>
                <c:pt idx="5">
                  <c:v>43361</c:v>
                </c:pt>
                <c:pt idx="6">
                  <c:v>43368</c:v>
                </c:pt>
                <c:pt idx="7">
                  <c:v>43375</c:v>
                </c:pt>
                <c:pt idx="8">
                  <c:v>43382</c:v>
                </c:pt>
                <c:pt idx="9">
                  <c:v>43389</c:v>
                </c:pt>
                <c:pt idx="10">
                  <c:v>43396</c:v>
                </c:pt>
                <c:pt idx="11">
                  <c:v>43403</c:v>
                </c:pt>
                <c:pt idx="12">
                  <c:v>43410</c:v>
                </c:pt>
                <c:pt idx="13">
                  <c:v>43417</c:v>
                </c:pt>
                <c:pt idx="14">
                  <c:v>43424</c:v>
                </c:pt>
                <c:pt idx="15">
                  <c:v>43431</c:v>
                </c:pt>
                <c:pt idx="16">
                  <c:v>43438</c:v>
                </c:pt>
                <c:pt idx="17">
                  <c:v>43445</c:v>
                </c:pt>
                <c:pt idx="18">
                  <c:v>43452</c:v>
                </c:pt>
                <c:pt idx="19">
                  <c:v>43459</c:v>
                </c:pt>
                <c:pt idx="20">
                  <c:v>43466</c:v>
                </c:pt>
                <c:pt idx="21">
                  <c:v>43473</c:v>
                </c:pt>
                <c:pt idx="22">
                  <c:v>43480</c:v>
                </c:pt>
                <c:pt idx="23">
                  <c:v>43487</c:v>
                </c:pt>
                <c:pt idx="24">
                  <c:v>43494</c:v>
                </c:pt>
                <c:pt idx="25">
                  <c:v>43501</c:v>
                </c:pt>
                <c:pt idx="26">
                  <c:v>43508</c:v>
                </c:pt>
                <c:pt idx="27">
                  <c:v>43515</c:v>
                </c:pt>
                <c:pt idx="28">
                  <c:v>43522</c:v>
                </c:pt>
                <c:pt idx="29">
                  <c:v>43529</c:v>
                </c:pt>
                <c:pt idx="30">
                  <c:v>43536</c:v>
                </c:pt>
                <c:pt idx="31">
                  <c:v>43543</c:v>
                </c:pt>
                <c:pt idx="32">
                  <c:v>43550</c:v>
                </c:pt>
                <c:pt idx="33">
                  <c:v>43557</c:v>
                </c:pt>
                <c:pt idx="34">
                  <c:v>43564</c:v>
                </c:pt>
                <c:pt idx="35">
                  <c:v>43571</c:v>
                </c:pt>
                <c:pt idx="36">
                  <c:v>43578</c:v>
                </c:pt>
                <c:pt idx="37">
                  <c:v>43585</c:v>
                </c:pt>
                <c:pt idx="38">
                  <c:v>43592</c:v>
                </c:pt>
                <c:pt idx="39">
                  <c:v>43599</c:v>
                </c:pt>
                <c:pt idx="40">
                  <c:v>43606</c:v>
                </c:pt>
                <c:pt idx="41">
                  <c:v>43613</c:v>
                </c:pt>
                <c:pt idx="42">
                  <c:v>43620</c:v>
                </c:pt>
                <c:pt idx="43">
                  <c:v>43627</c:v>
                </c:pt>
                <c:pt idx="44">
                  <c:v>43634</c:v>
                </c:pt>
                <c:pt idx="45">
                  <c:v>43641</c:v>
                </c:pt>
                <c:pt idx="46">
                  <c:v>43648</c:v>
                </c:pt>
                <c:pt idx="47">
                  <c:v>43655</c:v>
                </c:pt>
                <c:pt idx="48">
                  <c:v>43662</c:v>
                </c:pt>
                <c:pt idx="49">
                  <c:v>43669</c:v>
                </c:pt>
                <c:pt idx="50">
                  <c:v>43676</c:v>
                </c:pt>
                <c:pt idx="51">
                  <c:v>43683</c:v>
                </c:pt>
                <c:pt idx="52">
                  <c:v>43690</c:v>
                </c:pt>
                <c:pt idx="53">
                  <c:v>43697</c:v>
                </c:pt>
                <c:pt idx="54">
                  <c:v>43704</c:v>
                </c:pt>
                <c:pt idx="55">
                  <c:v>43711</c:v>
                </c:pt>
                <c:pt idx="56">
                  <c:v>43718</c:v>
                </c:pt>
                <c:pt idx="57">
                  <c:v>43725</c:v>
                </c:pt>
                <c:pt idx="58">
                  <c:v>43732</c:v>
                </c:pt>
                <c:pt idx="59">
                  <c:v>43739</c:v>
                </c:pt>
                <c:pt idx="60">
                  <c:v>43746</c:v>
                </c:pt>
                <c:pt idx="61">
                  <c:v>43753</c:v>
                </c:pt>
                <c:pt idx="62">
                  <c:v>43760</c:v>
                </c:pt>
                <c:pt idx="63">
                  <c:v>43767</c:v>
                </c:pt>
                <c:pt idx="64">
                  <c:v>43774</c:v>
                </c:pt>
                <c:pt idx="65">
                  <c:v>43781</c:v>
                </c:pt>
                <c:pt idx="66">
                  <c:v>43788</c:v>
                </c:pt>
                <c:pt idx="67">
                  <c:v>43795</c:v>
                </c:pt>
                <c:pt idx="68">
                  <c:v>43802</c:v>
                </c:pt>
                <c:pt idx="69">
                  <c:v>43809</c:v>
                </c:pt>
                <c:pt idx="70">
                  <c:v>43816</c:v>
                </c:pt>
                <c:pt idx="71">
                  <c:v>43823</c:v>
                </c:pt>
                <c:pt idx="72">
                  <c:v>43830</c:v>
                </c:pt>
                <c:pt idx="73">
                  <c:v>43837</c:v>
                </c:pt>
                <c:pt idx="74">
                  <c:v>43844</c:v>
                </c:pt>
                <c:pt idx="75">
                  <c:v>43851</c:v>
                </c:pt>
                <c:pt idx="76">
                  <c:v>43858</c:v>
                </c:pt>
                <c:pt idx="77">
                  <c:v>43865</c:v>
                </c:pt>
                <c:pt idx="78">
                  <c:v>43872</c:v>
                </c:pt>
                <c:pt idx="79">
                  <c:v>43879</c:v>
                </c:pt>
                <c:pt idx="80">
                  <c:v>43886</c:v>
                </c:pt>
                <c:pt idx="81">
                  <c:v>43893</c:v>
                </c:pt>
                <c:pt idx="82">
                  <c:v>43900</c:v>
                </c:pt>
                <c:pt idx="83">
                  <c:v>43907</c:v>
                </c:pt>
                <c:pt idx="84">
                  <c:v>43914</c:v>
                </c:pt>
                <c:pt idx="85">
                  <c:v>43921</c:v>
                </c:pt>
                <c:pt idx="86">
                  <c:v>43928</c:v>
                </c:pt>
                <c:pt idx="87">
                  <c:v>43935</c:v>
                </c:pt>
                <c:pt idx="88">
                  <c:v>43942</c:v>
                </c:pt>
                <c:pt idx="89">
                  <c:v>43949</c:v>
                </c:pt>
                <c:pt idx="90">
                  <c:v>43956</c:v>
                </c:pt>
                <c:pt idx="91">
                  <c:v>43963</c:v>
                </c:pt>
                <c:pt idx="92">
                  <c:v>43970</c:v>
                </c:pt>
                <c:pt idx="93">
                  <c:v>43977</c:v>
                </c:pt>
                <c:pt idx="94">
                  <c:v>43984</c:v>
                </c:pt>
                <c:pt idx="95">
                  <c:v>43991</c:v>
                </c:pt>
                <c:pt idx="96">
                  <c:v>43998</c:v>
                </c:pt>
                <c:pt idx="97">
                  <c:v>44005</c:v>
                </c:pt>
                <c:pt idx="98">
                  <c:v>44012</c:v>
                </c:pt>
                <c:pt idx="99">
                  <c:v>44019</c:v>
                </c:pt>
                <c:pt idx="100">
                  <c:v>44026</c:v>
                </c:pt>
                <c:pt idx="101">
                  <c:v>44033</c:v>
                </c:pt>
                <c:pt idx="102">
                  <c:v>44040</c:v>
                </c:pt>
                <c:pt idx="103">
                  <c:v>44047</c:v>
                </c:pt>
                <c:pt idx="104">
                  <c:v>44054</c:v>
                </c:pt>
                <c:pt idx="105">
                  <c:v>44061</c:v>
                </c:pt>
                <c:pt idx="106">
                  <c:v>44068</c:v>
                </c:pt>
                <c:pt idx="107">
                  <c:v>44075</c:v>
                </c:pt>
                <c:pt idx="108">
                  <c:v>44082</c:v>
                </c:pt>
                <c:pt idx="109">
                  <c:v>44089</c:v>
                </c:pt>
                <c:pt idx="110">
                  <c:v>44096</c:v>
                </c:pt>
                <c:pt idx="111">
                  <c:v>44103</c:v>
                </c:pt>
                <c:pt idx="112">
                  <c:v>44110</c:v>
                </c:pt>
                <c:pt idx="113">
                  <c:v>44117</c:v>
                </c:pt>
                <c:pt idx="114">
                  <c:v>44124</c:v>
                </c:pt>
                <c:pt idx="115">
                  <c:v>44131</c:v>
                </c:pt>
                <c:pt idx="116">
                  <c:v>44138</c:v>
                </c:pt>
                <c:pt idx="117">
                  <c:v>44145</c:v>
                </c:pt>
                <c:pt idx="118">
                  <c:v>44152</c:v>
                </c:pt>
                <c:pt idx="119">
                  <c:v>44159</c:v>
                </c:pt>
                <c:pt idx="120">
                  <c:v>44166</c:v>
                </c:pt>
                <c:pt idx="121">
                  <c:v>44173</c:v>
                </c:pt>
                <c:pt idx="122">
                  <c:v>44180</c:v>
                </c:pt>
                <c:pt idx="123">
                  <c:v>44187</c:v>
                </c:pt>
                <c:pt idx="124">
                  <c:v>44194</c:v>
                </c:pt>
                <c:pt idx="125">
                  <c:v>44201</c:v>
                </c:pt>
                <c:pt idx="126">
                  <c:v>44208</c:v>
                </c:pt>
                <c:pt idx="127">
                  <c:v>44215</c:v>
                </c:pt>
                <c:pt idx="128">
                  <c:v>44222</c:v>
                </c:pt>
                <c:pt idx="129">
                  <c:v>44229</c:v>
                </c:pt>
                <c:pt idx="130">
                  <c:v>44236</c:v>
                </c:pt>
                <c:pt idx="131">
                  <c:v>44243</c:v>
                </c:pt>
                <c:pt idx="132">
                  <c:v>44250</c:v>
                </c:pt>
                <c:pt idx="133">
                  <c:v>44257</c:v>
                </c:pt>
                <c:pt idx="134">
                  <c:v>44264</c:v>
                </c:pt>
                <c:pt idx="135">
                  <c:v>44271</c:v>
                </c:pt>
                <c:pt idx="136">
                  <c:v>44278</c:v>
                </c:pt>
                <c:pt idx="137">
                  <c:v>44285</c:v>
                </c:pt>
                <c:pt idx="138">
                  <c:v>44292</c:v>
                </c:pt>
                <c:pt idx="139">
                  <c:v>44299</c:v>
                </c:pt>
                <c:pt idx="140">
                  <c:v>44306</c:v>
                </c:pt>
                <c:pt idx="141">
                  <c:v>44313</c:v>
                </c:pt>
                <c:pt idx="142">
                  <c:v>44320</c:v>
                </c:pt>
                <c:pt idx="143">
                  <c:v>44327</c:v>
                </c:pt>
                <c:pt idx="144">
                  <c:v>44334</c:v>
                </c:pt>
                <c:pt idx="145">
                  <c:v>44341</c:v>
                </c:pt>
                <c:pt idx="146">
                  <c:v>44348</c:v>
                </c:pt>
                <c:pt idx="147">
                  <c:v>44355</c:v>
                </c:pt>
                <c:pt idx="148">
                  <c:v>44362</c:v>
                </c:pt>
                <c:pt idx="149">
                  <c:v>44369</c:v>
                </c:pt>
                <c:pt idx="150">
                  <c:v>44376</c:v>
                </c:pt>
                <c:pt idx="151">
                  <c:v>44383</c:v>
                </c:pt>
                <c:pt idx="152">
                  <c:v>44390</c:v>
                </c:pt>
                <c:pt idx="153">
                  <c:v>44397</c:v>
                </c:pt>
                <c:pt idx="154">
                  <c:v>44404</c:v>
                </c:pt>
                <c:pt idx="155">
                  <c:v>44411</c:v>
                </c:pt>
                <c:pt idx="156">
                  <c:v>44418</c:v>
                </c:pt>
                <c:pt idx="157">
                  <c:v>44425</c:v>
                </c:pt>
                <c:pt idx="158">
                  <c:v>44432</c:v>
                </c:pt>
                <c:pt idx="159">
                  <c:v>44439</c:v>
                </c:pt>
                <c:pt idx="160">
                  <c:v>44446</c:v>
                </c:pt>
                <c:pt idx="161">
                  <c:v>44453</c:v>
                </c:pt>
                <c:pt idx="162">
                  <c:v>44460</c:v>
                </c:pt>
                <c:pt idx="163">
                  <c:v>44467</c:v>
                </c:pt>
                <c:pt idx="164">
                  <c:v>44474</c:v>
                </c:pt>
                <c:pt idx="165">
                  <c:v>44481</c:v>
                </c:pt>
                <c:pt idx="166">
                  <c:v>44488</c:v>
                </c:pt>
                <c:pt idx="167">
                  <c:v>44495</c:v>
                </c:pt>
                <c:pt idx="168">
                  <c:v>44502</c:v>
                </c:pt>
                <c:pt idx="169">
                  <c:v>44509</c:v>
                </c:pt>
                <c:pt idx="170">
                  <c:v>44516</c:v>
                </c:pt>
                <c:pt idx="171">
                  <c:v>44523</c:v>
                </c:pt>
                <c:pt idx="172">
                  <c:v>44530</c:v>
                </c:pt>
                <c:pt idx="173">
                  <c:v>44537</c:v>
                </c:pt>
                <c:pt idx="174">
                  <c:v>44544</c:v>
                </c:pt>
                <c:pt idx="175">
                  <c:v>44551</c:v>
                </c:pt>
                <c:pt idx="176">
                  <c:v>44558</c:v>
                </c:pt>
                <c:pt idx="177">
                  <c:v>44565</c:v>
                </c:pt>
                <c:pt idx="178">
                  <c:v>44572</c:v>
                </c:pt>
                <c:pt idx="179">
                  <c:v>44579</c:v>
                </c:pt>
                <c:pt idx="180">
                  <c:v>44586</c:v>
                </c:pt>
                <c:pt idx="181">
                  <c:v>44593</c:v>
                </c:pt>
                <c:pt idx="182">
                  <c:v>44600</c:v>
                </c:pt>
                <c:pt idx="183">
                  <c:v>44607</c:v>
                </c:pt>
                <c:pt idx="184">
                  <c:v>44614</c:v>
                </c:pt>
                <c:pt idx="185">
                  <c:v>44621</c:v>
                </c:pt>
                <c:pt idx="186">
                  <c:v>44628</c:v>
                </c:pt>
                <c:pt idx="187">
                  <c:v>44635</c:v>
                </c:pt>
                <c:pt idx="188">
                  <c:v>44642</c:v>
                </c:pt>
                <c:pt idx="189">
                  <c:v>44649</c:v>
                </c:pt>
                <c:pt idx="190">
                  <c:v>44656</c:v>
                </c:pt>
                <c:pt idx="191">
                  <c:v>44663</c:v>
                </c:pt>
                <c:pt idx="192">
                  <c:v>44670</c:v>
                </c:pt>
                <c:pt idx="193">
                  <c:v>44677</c:v>
                </c:pt>
                <c:pt idx="194">
                  <c:v>44684</c:v>
                </c:pt>
                <c:pt idx="195">
                  <c:v>44691</c:v>
                </c:pt>
                <c:pt idx="196">
                  <c:v>44698</c:v>
                </c:pt>
                <c:pt idx="197">
                  <c:v>44705</c:v>
                </c:pt>
                <c:pt idx="198">
                  <c:v>44712</c:v>
                </c:pt>
                <c:pt idx="199">
                  <c:v>44719</c:v>
                </c:pt>
                <c:pt idx="200">
                  <c:v>44726</c:v>
                </c:pt>
                <c:pt idx="201">
                  <c:v>44733</c:v>
                </c:pt>
                <c:pt idx="202">
                  <c:v>44740</c:v>
                </c:pt>
                <c:pt idx="203">
                  <c:v>44747</c:v>
                </c:pt>
                <c:pt idx="204">
                  <c:v>44754</c:v>
                </c:pt>
                <c:pt idx="205">
                  <c:v>44761</c:v>
                </c:pt>
                <c:pt idx="206">
                  <c:v>44768</c:v>
                </c:pt>
                <c:pt idx="207">
                  <c:v>44775</c:v>
                </c:pt>
                <c:pt idx="208">
                  <c:v>44782</c:v>
                </c:pt>
                <c:pt idx="209">
                  <c:v>44789</c:v>
                </c:pt>
                <c:pt idx="210">
                  <c:v>44796</c:v>
                </c:pt>
                <c:pt idx="211">
                  <c:v>44803</c:v>
                </c:pt>
                <c:pt idx="212">
                  <c:v>44810</c:v>
                </c:pt>
                <c:pt idx="213">
                  <c:v>44817</c:v>
                </c:pt>
                <c:pt idx="214">
                  <c:v>44824</c:v>
                </c:pt>
                <c:pt idx="215">
                  <c:v>44831</c:v>
                </c:pt>
                <c:pt idx="216">
                  <c:v>44838</c:v>
                </c:pt>
                <c:pt idx="217">
                  <c:v>44845</c:v>
                </c:pt>
                <c:pt idx="218">
                  <c:v>44852</c:v>
                </c:pt>
                <c:pt idx="219">
                  <c:v>44859</c:v>
                </c:pt>
                <c:pt idx="220">
                  <c:v>44866</c:v>
                </c:pt>
                <c:pt idx="221">
                  <c:v>44873</c:v>
                </c:pt>
                <c:pt idx="222">
                  <c:v>44880</c:v>
                </c:pt>
                <c:pt idx="223">
                  <c:v>44887</c:v>
                </c:pt>
                <c:pt idx="224">
                  <c:v>44894</c:v>
                </c:pt>
                <c:pt idx="225">
                  <c:v>44901</c:v>
                </c:pt>
                <c:pt idx="226">
                  <c:v>44908</c:v>
                </c:pt>
                <c:pt idx="227">
                  <c:v>44915</c:v>
                </c:pt>
                <c:pt idx="228">
                  <c:v>44922</c:v>
                </c:pt>
                <c:pt idx="229">
                  <c:v>44929</c:v>
                </c:pt>
                <c:pt idx="230">
                  <c:v>44936</c:v>
                </c:pt>
                <c:pt idx="231">
                  <c:v>44943</c:v>
                </c:pt>
                <c:pt idx="232">
                  <c:v>44950</c:v>
                </c:pt>
                <c:pt idx="233">
                  <c:v>44957</c:v>
                </c:pt>
                <c:pt idx="234">
                  <c:v>44964</c:v>
                </c:pt>
                <c:pt idx="235">
                  <c:v>44971</c:v>
                </c:pt>
                <c:pt idx="236">
                  <c:v>44978</c:v>
                </c:pt>
                <c:pt idx="237">
                  <c:v>44985</c:v>
                </c:pt>
                <c:pt idx="238">
                  <c:v>44992</c:v>
                </c:pt>
                <c:pt idx="239">
                  <c:v>44999</c:v>
                </c:pt>
                <c:pt idx="240">
                  <c:v>45006</c:v>
                </c:pt>
                <c:pt idx="241">
                  <c:v>45013</c:v>
                </c:pt>
                <c:pt idx="242">
                  <c:v>45020</c:v>
                </c:pt>
                <c:pt idx="243">
                  <c:v>45027</c:v>
                </c:pt>
                <c:pt idx="244">
                  <c:v>45034</c:v>
                </c:pt>
                <c:pt idx="245">
                  <c:v>45041</c:v>
                </c:pt>
                <c:pt idx="246">
                  <c:v>45048</c:v>
                </c:pt>
                <c:pt idx="247">
                  <c:v>45055</c:v>
                </c:pt>
                <c:pt idx="248">
                  <c:v>45062</c:v>
                </c:pt>
                <c:pt idx="249">
                  <c:v>45069</c:v>
                </c:pt>
                <c:pt idx="250">
                  <c:v>45076</c:v>
                </c:pt>
                <c:pt idx="251">
                  <c:v>45083</c:v>
                </c:pt>
                <c:pt idx="252">
                  <c:v>45090</c:v>
                </c:pt>
                <c:pt idx="253">
                  <c:v>45097</c:v>
                </c:pt>
                <c:pt idx="254">
                  <c:v>45104</c:v>
                </c:pt>
                <c:pt idx="255">
                  <c:v>45111</c:v>
                </c:pt>
                <c:pt idx="256">
                  <c:v>45118</c:v>
                </c:pt>
                <c:pt idx="257">
                  <c:v>45125</c:v>
                </c:pt>
                <c:pt idx="258">
                  <c:v>45132</c:v>
                </c:pt>
                <c:pt idx="259">
                  <c:v>45139</c:v>
                </c:pt>
                <c:pt idx="260">
                  <c:v>45146</c:v>
                </c:pt>
                <c:pt idx="261">
                  <c:v>45153</c:v>
                </c:pt>
                <c:pt idx="262">
                  <c:v>45160</c:v>
                </c:pt>
                <c:pt idx="263">
                  <c:v>45167</c:v>
                </c:pt>
                <c:pt idx="264">
                  <c:v>45174</c:v>
                </c:pt>
                <c:pt idx="265">
                  <c:v>45181</c:v>
                </c:pt>
                <c:pt idx="266">
                  <c:v>45188</c:v>
                </c:pt>
                <c:pt idx="267">
                  <c:v>45195</c:v>
                </c:pt>
                <c:pt idx="268">
                  <c:v>45202</c:v>
                </c:pt>
                <c:pt idx="269">
                  <c:v>45209</c:v>
                </c:pt>
                <c:pt idx="270">
                  <c:v>45216</c:v>
                </c:pt>
                <c:pt idx="271">
                  <c:v>45223</c:v>
                </c:pt>
                <c:pt idx="272">
                  <c:v>45230</c:v>
                </c:pt>
                <c:pt idx="273">
                  <c:v>45237</c:v>
                </c:pt>
                <c:pt idx="274">
                  <c:v>45244</c:v>
                </c:pt>
                <c:pt idx="275">
                  <c:v>45251</c:v>
                </c:pt>
                <c:pt idx="276">
                  <c:v>45258</c:v>
                </c:pt>
                <c:pt idx="277">
                  <c:v>45265</c:v>
                </c:pt>
                <c:pt idx="278">
                  <c:v>45272</c:v>
                </c:pt>
                <c:pt idx="279">
                  <c:v>45279</c:v>
                </c:pt>
                <c:pt idx="280">
                  <c:v>45286</c:v>
                </c:pt>
                <c:pt idx="281">
                  <c:v>45293</c:v>
                </c:pt>
                <c:pt idx="282">
                  <c:v>45300</c:v>
                </c:pt>
                <c:pt idx="283">
                  <c:v>45307</c:v>
                </c:pt>
                <c:pt idx="284">
                  <c:v>45314</c:v>
                </c:pt>
                <c:pt idx="285">
                  <c:v>45321</c:v>
                </c:pt>
                <c:pt idx="286">
                  <c:v>45328</c:v>
                </c:pt>
                <c:pt idx="287">
                  <c:v>45335</c:v>
                </c:pt>
                <c:pt idx="288">
                  <c:v>45342</c:v>
                </c:pt>
                <c:pt idx="289">
                  <c:v>45349</c:v>
                </c:pt>
                <c:pt idx="290">
                  <c:v>45356</c:v>
                </c:pt>
                <c:pt idx="291">
                  <c:v>45363</c:v>
                </c:pt>
                <c:pt idx="292">
                  <c:v>45370</c:v>
                </c:pt>
                <c:pt idx="293">
                  <c:v>45377</c:v>
                </c:pt>
                <c:pt idx="294">
                  <c:v>45384</c:v>
                </c:pt>
                <c:pt idx="295">
                  <c:v>45391</c:v>
                </c:pt>
                <c:pt idx="296">
                  <c:v>45398</c:v>
                </c:pt>
                <c:pt idx="297">
                  <c:v>45405</c:v>
                </c:pt>
                <c:pt idx="298">
                  <c:v>45412</c:v>
                </c:pt>
                <c:pt idx="299">
                  <c:v>45419</c:v>
                </c:pt>
                <c:pt idx="300">
                  <c:v>45426</c:v>
                </c:pt>
                <c:pt idx="301">
                  <c:v>45433</c:v>
                </c:pt>
                <c:pt idx="302">
                  <c:v>45440</c:v>
                </c:pt>
                <c:pt idx="303">
                  <c:v>45447</c:v>
                </c:pt>
                <c:pt idx="304">
                  <c:v>45454</c:v>
                </c:pt>
                <c:pt idx="305">
                  <c:v>45461</c:v>
                </c:pt>
                <c:pt idx="306">
                  <c:v>45468</c:v>
                </c:pt>
                <c:pt idx="307">
                  <c:v>45475</c:v>
                </c:pt>
                <c:pt idx="308">
                  <c:v>45482</c:v>
                </c:pt>
                <c:pt idx="309">
                  <c:v>45489</c:v>
                </c:pt>
                <c:pt idx="310">
                  <c:v>45496</c:v>
                </c:pt>
                <c:pt idx="311">
                  <c:v>45503</c:v>
                </c:pt>
                <c:pt idx="312">
                  <c:v>45510</c:v>
                </c:pt>
                <c:pt idx="313">
                  <c:v>45517</c:v>
                </c:pt>
                <c:pt idx="314">
                  <c:v>45524</c:v>
                </c:pt>
                <c:pt idx="315">
                  <c:v>45531</c:v>
                </c:pt>
                <c:pt idx="316">
                  <c:v>45538</c:v>
                </c:pt>
                <c:pt idx="317">
                  <c:v>45545</c:v>
                </c:pt>
                <c:pt idx="318">
                  <c:v>45552</c:v>
                </c:pt>
                <c:pt idx="319">
                  <c:v>45559</c:v>
                </c:pt>
                <c:pt idx="320">
                  <c:v>45566</c:v>
                </c:pt>
                <c:pt idx="321">
                  <c:v>45573</c:v>
                </c:pt>
                <c:pt idx="322">
                  <c:v>45580</c:v>
                </c:pt>
                <c:pt idx="323">
                  <c:v>45587</c:v>
                </c:pt>
                <c:pt idx="324">
                  <c:v>45594</c:v>
                </c:pt>
                <c:pt idx="325">
                  <c:v>45601</c:v>
                </c:pt>
                <c:pt idx="326">
                  <c:v>45608</c:v>
                </c:pt>
                <c:pt idx="327">
                  <c:v>45615</c:v>
                </c:pt>
                <c:pt idx="328">
                  <c:v>45622</c:v>
                </c:pt>
                <c:pt idx="329">
                  <c:v>45629</c:v>
                </c:pt>
                <c:pt idx="330">
                  <c:v>45636</c:v>
                </c:pt>
                <c:pt idx="331">
                  <c:v>45643</c:v>
                </c:pt>
                <c:pt idx="332">
                  <c:v>45650</c:v>
                </c:pt>
                <c:pt idx="333">
                  <c:v>45657</c:v>
                </c:pt>
                <c:pt idx="334">
                  <c:v>45664</c:v>
                </c:pt>
                <c:pt idx="335">
                  <c:v>45671</c:v>
                </c:pt>
                <c:pt idx="336">
                  <c:v>45678</c:v>
                </c:pt>
                <c:pt idx="337">
                  <c:v>45685</c:v>
                </c:pt>
                <c:pt idx="338">
                  <c:v>45692</c:v>
                </c:pt>
                <c:pt idx="339">
                  <c:v>45699</c:v>
                </c:pt>
                <c:pt idx="340">
                  <c:v>45706</c:v>
                </c:pt>
                <c:pt idx="341">
                  <c:v>45713</c:v>
                </c:pt>
                <c:pt idx="342">
                  <c:v>45720</c:v>
                </c:pt>
                <c:pt idx="343">
                  <c:v>45727</c:v>
                </c:pt>
                <c:pt idx="344">
                  <c:v>45734</c:v>
                </c:pt>
                <c:pt idx="345">
                  <c:v>45741</c:v>
                </c:pt>
                <c:pt idx="346">
                  <c:v>45748</c:v>
                </c:pt>
                <c:pt idx="347">
                  <c:v>45755</c:v>
                </c:pt>
                <c:pt idx="348">
                  <c:v>45762</c:v>
                </c:pt>
                <c:pt idx="349">
                  <c:v>45769</c:v>
                </c:pt>
                <c:pt idx="350">
                  <c:v>45776</c:v>
                </c:pt>
                <c:pt idx="351">
                  <c:v>45783</c:v>
                </c:pt>
                <c:pt idx="352">
                  <c:v>45790</c:v>
                </c:pt>
                <c:pt idx="353">
                  <c:v>45797</c:v>
                </c:pt>
                <c:pt idx="354">
                  <c:v>45804</c:v>
                </c:pt>
                <c:pt idx="355">
                  <c:v>45811</c:v>
                </c:pt>
                <c:pt idx="356">
                  <c:v>45818</c:v>
                </c:pt>
                <c:pt idx="357">
                  <c:v>45825</c:v>
                </c:pt>
                <c:pt idx="358">
                  <c:v>45832</c:v>
                </c:pt>
                <c:pt idx="359">
                  <c:v>45839</c:v>
                </c:pt>
                <c:pt idx="360">
                  <c:v>45846</c:v>
                </c:pt>
                <c:pt idx="361">
                  <c:v>45853</c:v>
                </c:pt>
                <c:pt idx="362">
                  <c:v>45860</c:v>
                </c:pt>
                <c:pt idx="363">
                  <c:v>45867</c:v>
                </c:pt>
                <c:pt idx="364">
                  <c:v>45874</c:v>
                </c:pt>
                <c:pt idx="365">
                  <c:v>45881</c:v>
                </c:pt>
                <c:pt idx="366">
                  <c:v>45888</c:v>
                </c:pt>
                <c:pt idx="367">
                  <c:v>45895</c:v>
                </c:pt>
                <c:pt idx="368">
                  <c:v>45902</c:v>
                </c:pt>
                <c:pt idx="369">
                  <c:v>45909</c:v>
                </c:pt>
                <c:pt idx="370">
                  <c:v>45916</c:v>
                </c:pt>
                <c:pt idx="371">
                  <c:v>45923</c:v>
                </c:pt>
                <c:pt idx="372">
                  <c:v>45930</c:v>
                </c:pt>
                <c:pt idx="373">
                  <c:v>45937</c:v>
                </c:pt>
                <c:pt idx="374">
                  <c:v>45944</c:v>
                </c:pt>
                <c:pt idx="375">
                  <c:v>45951</c:v>
                </c:pt>
                <c:pt idx="376">
                  <c:v>45958</c:v>
                </c:pt>
                <c:pt idx="377">
                  <c:v>45965</c:v>
                </c:pt>
                <c:pt idx="378">
                  <c:v>45972</c:v>
                </c:pt>
                <c:pt idx="379">
                  <c:v>45979</c:v>
                </c:pt>
                <c:pt idx="380">
                  <c:v>45986</c:v>
                </c:pt>
                <c:pt idx="381">
                  <c:v>45993</c:v>
                </c:pt>
                <c:pt idx="382">
                  <c:v>46000</c:v>
                </c:pt>
                <c:pt idx="383">
                  <c:v>46007</c:v>
                </c:pt>
                <c:pt idx="384">
                  <c:v>46014</c:v>
                </c:pt>
                <c:pt idx="385">
                  <c:v>46021</c:v>
                </c:pt>
                <c:pt idx="386">
                  <c:v>46028</c:v>
                </c:pt>
                <c:pt idx="387">
                  <c:v>46035</c:v>
                </c:pt>
                <c:pt idx="388">
                  <c:v>46042</c:v>
                </c:pt>
                <c:pt idx="389">
                  <c:v>46049</c:v>
                </c:pt>
                <c:pt idx="390">
                  <c:v>46056</c:v>
                </c:pt>
                <c:pt idx="391">
                  <c:v>46063</c:v>
                </c:pt>
                <c:pt idx="392">
                  <c:v>46070</c:v>
                </c:pt>
                <c:pt idx="393">
                  <c:v>46077</c:v>
                </c:pt>
                <c:pt idx="394">
                  <c:v>46084</c:v>
                </c:pt>
                <c:pt idx="395">
                  <c:v>46091</c:v>
                </c:pt>
                <c:pt idx="396">
                  <c:v>46098</c:v>
                </c:pt>
                <c:pt idx="397">
                  <c:v>46105</c:v>
                </c:pt>
                <c:pt idx="398">
                  <c:v>46112</c:v>
                </c:pt>
                <c:pt idx="399">
                  <c:v>46119</c:v>
                </c:pt>
                <c:pt idx="400">
                  <c:v>46126</c:v>
                </c:pt>
                <c:pt idx="401">
                  <c:v>46133</c:v>
                </c:pt>
                <c:pt idx="402">
                  <c:v>46140</c:v>
                </c:pt>
                <c:pt idx="403">
                  <c:v>46147</c:v>
                </c:pt>
                <c:pt idx="404">
                  <c:v>46154</c:v>
                </c:pt>
                <c:pt idx="405">
                  <c:v>46161</c:v>
                </c:pt>
                <c:pt idx="406">
                  <c:v>46168</c:v>
                </c:pt>
                <c:pt idx="407">
                  <c:v>46175</c:v>
                </c:pt>
                <c:pt idx="408">
                  <c:v>46182</c:v>
                </c:pt>
                <c:pt idx="409">
                  <c:v>46189</c:v>
                </c:pt>
                <c:pt idx="410">
                  <c:v>46196</c:v>
                </c:pt>
                <c:pt idx="411">
                  <c:v>46203</c:v>
                </c:pt>
                <c:pt idx="412">
                  <c:v>46210</c:v>
                </c:pt>
                <c:pt idx="413">
                  <c:v>46217</c:v>
                </c:pt>
                <c:pt idx="414">
                  <c:v>46224</c:v>
                </c:pt>
                <c:pt idx="415">
                  <c:v>46231</c:v>
                </c:pt>
                <c:pt idx="416">
                  <c:v>46238</c:v>
                </c:pt>
                <c:pt idx="417">
                  <c:v>46245</c:v>
                </c:pt>
                <c:pt idx="418">
                  <c:v>46252</c:v>
                </c:pt>
                <c:pt idx="419">
                  <c:v>46259</c:v>
                </c:pt>
                <c:pt idx="420">
                  <c:v>46266</c:v>
                </c:pt>
                <c:pt idx="421">
                  <c:v>46273</c:v>
                </c:pt>
                <c:pt idx="422">
                  <c:v>46280</c:v>
                </c:pt>
                <c:pt idx="423">
                  <c:v>46287</c:v>
                </c:pt>
                <c:pt idx="424">
                  <c:v>46294</c:v>
                </c:pt>
                <c:pt idx="425">
                  <c:v>46301</c:v>
                </c:pt>
                <c:pt idx="426">
                  <c:v>46308</c:v>
                </c:pt>
                <c:pt idx="427">
                  <c:v>46315</c:v>
                </c:pt>
                <c:pt idx="428">
                  <c:v>46322</c:v>
                </c:pt>
                <c:pt idx="429">
                  <c:v>46329</c:v>
                </c:pt>
                <c:pt idx="430">
                  <c:v>46336</c:v>
                </c:pt>
                <c:pt idx="431">
                  <c:v>46343</c:v>
                </c:pt>
                <c:pt idx="432">
                  <c:v>46350</c:v>
                </c:pt>
                <c:pt idx="433">
                  <c:v>46357</c:v>
                </c:pt>
                <c:pt idx="434">
                  <c:v>46364</c:v>
                </c:pt>
                <c:pt idx="435">
                  <c:v>46371</c:v>
                </c:pt>
                <c:pt idx="436">
                  <c:v>46378</c:v>
                </c:pt>
                <c:pt idx="437">
                  <c:v>46385</c:v>
                </c:pt>
                <c:pt idx="438">
                  <c:v>46392</c:v>
                </c:pt>
                <c:pt idx="439">
                  <c:v>46399</c:v>
                </c:pt>
                <c:pt idx="440">
                  <c:v>46406</c:v>
                </c:pt>
                <c:pt idx="441">
                  <c:v>46413</c:v>
                </c:pt>
                <c:pt idx="442">
                  <c:v>46420</c:v>
                </c:pt>
                <c:pt idx="443">
                  <c:v>46427</c:v>
                </c:pt>
                <c:pt idx="444">
                  <c:v>46434</c:v>
                </c:pt>
                <c:pt idx="445">
                  <c:v>46441</c:v>
                </c:pt>
                <c:pt idx="446">
                  <c:v>46448</c:v>
                </c:pt>
                <c:pt idx="447">
                  <c:v>46455</c:v>
                </c:pt>
                <c:pt idx="448">
                  <c:v>46462</c:v>
                </c:pt>
                <c:pt idx="449">
                  <c:v>46469</c:v>
                </c:pt>
                <c:pt idx="450">
                  <c:v>46476</c:v>
                </c:pt>
                <c:pt idx="451">
                  <c:v>46483</c:v>
                </c:pt>
                <c:pt idx="452">
                  <c:v>46490</c:v>
                </c:pt>
                <c:pt idx="453">
                  <c:v>46497</c:v>
                </c:pt>
                <c:pt idx="454">
                  <c:v>46504</c:v>
                </c:pt>
                <c:pt idx="455">
                  <c:v>46511</c:v>
                </c:pt>
                <c:pt idx="456">
                  <c:v>46518</c:v>
                </c:pt>
                <c:pt idx="457">
                  <c:v>46525</c:v>
                </c:pt>
                <c:pt idx="458">
                  <c:v>46532</c:v>
                </c:pt>
                <c:pt idx="459">
                  <c:v>46539</c:v>
                </c:pt>
                <c:pt idx="460">
                  <c:v>46546</c:v>
                </c:pt>
                <c:pt idx="461">
                  <c:v>46553</c:v>
                </c:pt>
                <c:pt idx="462">
                  <c:v>46560</c:v>
                </c:pt>
                <c:pt idx="463">
                  <c:v>46567</c:v>
                </c:pt>
                <c:pt idx="464">
                  <c:v>46574</c:v>
                </c:pt>
                <c:pt idx="465">
                  <c:v>46581</c:v>
                </c:pt>
                <c:pt idx="466">
                  <c:v>46588</c:v>
                </c:pt>
                <c:pt idx="467">
                  <c:v>46595</c:v>
                </c:pt>
                <c:pt idx="468">
                  <c:v>46602</c:v>
                </c:pt>
                <c:pt idx="469">
                  <c:v>46609</c:v>
                </c:pt>
                <c:pt idx="470">
                  <c:v>46616</c:v>
                </c:pt>
                <c:pt idx="471">
                  <c:v>46623</c:v>
                </c:pt>
                <c:pt idx="472">
                  <c:v>46630</c:v>
                </c:pt>
                <c:pt idx="473">
                  <c:v>46637</c:v>
                </c:pt>
                <c:pt idx="474">
                  <c:v>46644</c:v>
                </c:pt>
                <c:pt idx="475">
                  <c:v>46651</c:v>
                </c:pt>
                <c:pt idx="476">
                  <c:v>46658</c:v>
                </c:pt>
                <c:pt idx="477">
                  <c:v>46665</c:v>
                </c:pt>
                <c:pt idx="478">
                  <c:v>46672</c:v>
                </c:pt>
                <c:pt idx="479">
                  <c:v>46679</c:v>
                </c:pt>
                <c:pt idx="480">
                  <c:v>46686</c:v>
                </c:pt>
                <c:pt idx="481">
                  <c:v>46693</c:v>
                </c:pt>
                <c:pt idx="482">
                  <c:v>46700</c:v>
                </c:pt>
                <c:pt idx="483">
                  <c:v>46707</c:v>
                </c:pt>
                <c:pt idx="484">
                  <c:v>46714</c:v>
                </c:pt>
                <c:pt idx="485">
                  <c:v>46721</c:v>
                </c:pt>
                <c:pt idx="486">
                  <c:v>46728</c:v>
                </c:pt>
                <c:pt idx="487">
                  <c:v>46735</c:v>
                </c:pt>
                <c:pt idx="488">
                  <c:v>46742</c:v>
                </c:pt>
                <c:pt idx="489">
                  <c:v>46749</c:v>
                </c:pt>
                <c:pt idx="490">
                  <c:v>46756</c:v>
                </c:pt>
                <c:pt idx="491">
                  <c:v>46763</c:v>
                </c:pt>
              </c:numCache>
            </c:numRef>
          </c:xVal>
          <c:yVal>
            <c:numRef>
              <c:f>DISPLAY_CURVE!$C$10:$C$501</c:f>
              <c:numCache>
                <c:formatCode>0.00000%</c:formatCode>
                <c:ptCount val="492"/>
                <c:pt idx="0">
                  <c:v>1.9100000000005224E-2</c:v>
                </c:pt>
                <c:pt idx="1">
                  <c:v>1.9245754635166531E-2</c:v>
                </c:pt>
                <c:pt idx="2">
                  <c:v>1.9456812901470472E-2</c:v>
                </c:pt>
                <c:pt idx="3">
                  <c:v>1.9665569146560785E-2</c:v>
                </c:pt>
                <c:pt idx="4">
                  <c:v>1.9872022225193547E-2</c:v>
                </c:pt>
                <c:pt idx="5">
                  <c:v>2.0076170895402229E-2</c:v>
                </c:pt>
                <c:pt idx="6">
                  <c:v>2.0278013819456903E-2</c:v>
                </c:pt>
                <c:pt idx="7">
                  <c:v>2.0477549565223258E-2</c:v>
                </c:pt>
                <c:pt idx="8">
                  <c:v>2.0674776606721752E-2</c:v>
                </c:pt>
                <c:pt idx="9">
                  <c:v>2.0869693324847633E-2</c:v>
                </c:pt>
                <c:pt idx="10">
                  <c:v>2.1062298008649526E-2</c:v>
                </c:pt>
                <c:pt idx="11">
                  <c:v>2.1252588855969E-2</c:v>
                </c:pt>
                <c:pt idx="12">
                  <c:v>2.1440563974399827E-2</c:v>
                </c:pt>
                <c:pt idx="13">
                  <c:v>2.1626221382087328E-2</c:v>
                </c:pt>
                <c:pt idx="14">
                  <c:v>2.1809449719230121E-2</c:v>
                </c:pt>
                <c:pt idx="15">
                  <c:v>2.1987184805158572E-2</c:v>
                </c:pt>
                <c:pt idx="16">
                  <c:v>2.215799654495151E-2</c:v>
                </c:pt>
                <c:pt idx="17">
                  <c:v>2.232187454971787E-2</c:v>
                </c:pt>
                <c:pt idx="18">
                  <c:v>2.2478808192758572E-2</c:v>
                </c:pt>
                <c:pt idx="19">
                  <c:v>2.2628786617237735E-2</c:v>
                </c:pt>
                <c:pt idx="20">
                  <c:v>2.277179874569776E-2</c:v>
                </c:pt>
                <c:pt idx="21">
                  <c:v>2.290783328948728E-2</c:v>
                </c:pt>
                <c:pt idx="22">
                  <c:v>2.3036878756599405E-2</c:v>
                </c:pt>
                <c:pt idx="23">
                  <c:v>2.3158923461261312E-2</c:v>
                </c:pt>
                <c:pt idx="24">
                  <c:v>2.3273955533209628E-2</c:v>
                </c:pt>
                <c:pt idx="25">
                  <c:v>2.3381962926398797E-2</c:v>
                </c:pt>
                <c:pt idx="26">
                  <c:v>2.3482933428038505E-2</c:v>
                </c:pt>
                <c:pt idx="27">
                  <c:v>2.3576870703276936E-2</c:v>
                </c:pt>
                <c:pt idx="28">
                  <c:v>2.3666425630111204E-2</c:v>
                </c:pt>
                <c:pt idx="29">
                  <c:v>2.3753629384888425E-2</c:v>
                </c:pt>
                <c:pt idx="30">
                  <c:v>2.3838477961373256E-2</c:v>
                </c:pt>
                <c:pt idx="31">
                  <c:v>2.392096730856616E-2</c:v>
                </c:pt>
                <c:pt idx="32">
                  <c:v>2.4001093332222199E-2</c:v>
                </c:pt>
                <c:pt idx="33">
                  <c:v>2.4078851895009922E-2</c:v>
                </c:pt>
                <c:pt idx="34">
                  <c:v>2.4154238818434679E-2</c:v>
                </c:pt>
                <c:pt idx="35">
                  <c:v>2.4227249883148703E-2</c:v>
                </c:pt>
                <c:pt idx="36">
                  <c:v>2.4297880830399608E-2</c:v>
                </c:pt>
                <c:pt idx="37">
                  <c:v>2.4366127362505183E-2</c:v>
                </c:pt>
                <c:pt idx="38">
                  <c:v>2.4431985144453081E-2</c:v>
                </c:pt>
                <c:pt idx="39">
                  <c:v>2.4495449804380429E-2</c:v>
                </c:pt>
                <c:pt idx="40">
                  <c:v>2.4556935484447793E-2</c:v>
                </c:pt>
                <c:pt idx="41">
                  <c:v>2.461790782866035E-2</c:v>
                </c:pt>
                <c:pt idx="42">
                  <c:v>2.4678496523682456E-2</c:v>
                </c:pt>
                <c:pt idx="43">
                  <c:v>2.4738700966313674E-2</c:v>
                </c:pt>
                <c:pt idx="44">
                  <c:v>2.4798520548321521E-2</c:v>
                </c:pt>
                <c:pt idx="45">
                  <c:v>2.4857954655717138E-2</c:v>
                </c:pt>
                <c:pt idx="46">
                  <c:v>2.4917002668836209E-2</c:v>
                </c:pt>
                <c:pt idx="47">
                  <c:v>2.4975663963218243E-2</c:v>
                </c:pt>
                <c:pt idx="48">
                  <c:v>2.5033937908087812E-2</c:v>
                </c:pt>
                <c:pt idx="49">
                  <c:v>2.5091823867873321E-2</c:v>
                </c:pt>
                <c:pt idx="50">
                  <c:v>2.5149321201087906E-2</c:v>
                </c:pt>
                <c:pt idx="51">
                  <c:v>2.5206429261368603E-2</c:v>
                </c:pt>
                <c:pt idx="52">
                  <c:v>2.5263147396437181E-2</c:v>
                </c:pt>
                <c:pt idx="53">
                  <c:v>2.5319449824357056E-2</c:v>
                </c:pt>
                <c:pt idx="54">
                  <c:v>2.5374631889514367E-2</c:v>
                </c:pt>
                <c:pt idx="55">
                  <c:v>2.5428364435846708E-2</c:v>
                </c:pt>
                <c:pt idx="56">
                  <c:v>2.548064468925313E-2</c:v>
                </c:pt>
                <c:pt idx="57">
                  <c:v>2.5531469856767776E-2</c:v>
                </c:pt>
                <c:pt idx="58">
                  <c:v>2.5580837127439172E-2</c:v>
                </c:pt>
                <c:pt idx="59">
                  <c:v>2.5628743672090427E-2</c:v>
                </c:pt>
                <c:pt idx="60">
                  <c:v>2.5675186644358396E-2</c:v>
                </c:pt>
                <c:pt idx="61">
                  <c:v>2.5720163180533807E-2</c:v>
                </c:pt>
                <c:pt idx="62">
                  <c:v>2.5763670399960949E-2</c:v>
                </c:pt>
                <c:pt idx="63">
                  <c:v>2.580570540607683E-2</c:v>
                </c:pt>
                <c:pt idx="64">
                  <c:v>2.5846265285771698E-2</c:v>
                </c:pt>
                <c:pt idx="65">
                  <c:v>2.5885347110747952E-2</c:v>
                </c:pt>
                <c:pt idx="66">
                  <c:v>2.5922952129924477E-2</c:v>
                </c:pt>
                <c:pt idx="67">
                  <c:v>2.595919487481178E-2</c:v>
                </c:pt>
                <c:pt idx="68">
                  <c:v>2.5994127199604571E-2</c:v>
                </c:pt>
                <c:pt idx="69">
                  <c:v>2.6027746474968177E-2</c:v>
                </c:pt>
                <c:pt idx="70">
                  <c:v>2.6060050059255695E-2</c:v>
                </c:pt>
                <c:pt idx="71">
                  <c:v>2.6091035298909753E-2</c:v>
                </c:pt>
                <c:pt idx="72">
                  <c:v>2.612069952894212E-2</c:v>
                </c:pt>
                <c:pt idx="73">
                  <c:v>2.6149040073093582E-2</c:v>
                </c:pt>
                <c:pt idx="74">
                  <c:v>2.6176054243993812E-2</c:v>
                </c:pt>
                <c:pt idx="75">
                  <c:v>2.6201739344040669E-2</c:v>
                </c:pt>
                <c:pt idx="76">
                  <c:v>2.622609266492058E-2</c:v>
                </c:pt>
                <c:pt idx="77">
                  <c:v>2.6249111488487836E-2</c:v>
                </c:pt>
                <c:pt idx="78">
                  <c:v>2.6270793087084337E-2</c:v>
                </c:pt>
                <c:pt idx="79">
                  <c:v>2.6291134715625924E-2</c:v>
                </c:pt>
                <c:pt idx="80">
                  <c:v>2.6310132317677409E-2</c:v>
                </c:pt>
                <c:pt idx="81">
                  <c:v>2.6327782132726889E-2</c:v>
                </c:pt>
                <c:pt idx="82">
                  <c:v>2.6344081392746452E-2</c:v>
                </c:pt>
                <c:pt idx="83">
                  <c:v>2.6359027321962807E-2</c:v>
                </c:pt>
                <c:pt idx="84">
                  <c:v>2.6372617136756298E-2</c:v>
                </c:pt>
                <c:pt idx="85">
                  <c:v>2.6384848046081637E-2</c:v>
                </c:pt>
                <c:pt idx="86">
                  <c:v>2.6395717252016931E-2</c:v>
                </c:pt>
                <c:pt idx="87">
                  <c:v>2.6405221950085527E-2</c:v>
                </c:pt>
                <c:pt idx="88">
                  <c:v>2.6413359329335955E-2</c:v>
                </c:pt>
                <c:pt idx="89">
                  <c:v>2.6420126572901475E-2</c:v>
                </c:pt>
                <c:pt idx="90">
                  <c:v>2.6425520858399758E-2</c:v>
                </c:pt>
                <c:pt idx="91">
                  <c:v>2.6429539358172698E-2</c:v>
                </c:pt>
                <c:pt idx="92">
                  <c:v>2.6432180395721355E-2</c:v>
                </c:pt>
                <c:pt idx="93">
                  <c:v>2.6433473531080148E-2</c:v>
                </c:pt>
                <c:pt idx="94">
                  <c:v>2.6433431042907168E-2</c:v>
                </c:pt>
                <c:pt idx="95">
                  <c:v>2.6432050186198191E-2</c:v>
                </c:pt>
                <c:pt idx="96">
                  <c:v>2.6429328212271935E-2</c:v>
                </c:pt>
                <c:pt idx="97">
                  <c:v>2.6425262370368779E-2</c:v>
                </c:pt>
                <c:pt idx="98">
                  <c:v>2.6419849906211917E-2</c:v>
                </c:pt>
                <c:pt idx="99">
                  <c:v>2.6413088063686013E-2</c:v>
                </c:pt>
                <c:pt idx="100">
                  <c:v>2.6404974084597393E-2</c:v>
                </c:pt>
                <c:pt idx="101">
                  <c:v>2.6395505209393471E-2</c:v>
                </c:pt>
                <c:pt idx="102">
                  <c:v>2.6384678677002876E-2</c:v>
                </c:pt>
                <c:pt idx="103">
                  <c:v>2.6372491725794683E-2</c:v>
                </c:pt>
                <c:pt idx="104">
                  <c:v>2.635894159349848E-2</c:v>
                </c:pt>
                <c:pt idx="105">
                  <c:v>2.6344056817047084E-2</c:v>
                </c:pt>
                <c:pt idx="106">
                  <c:v>2.6328711667895726E-2</c:v>
                </c:pt>
                <c:pt idx="107">
                  <c:v>2.6313312684767092E-2</c:v>
                </c:pt>
                <c:pt idx="108">
                  <c:v>2.6297859798516492E-2</c:v>
                </c:pt>
                <c:pt idx="109">
                  <c:v>2.6282352940878533E-2</c:v>
                </c:pt>
                <c:pt idx="110">
                  <c:v>2.6266792043028269E-2</c:v>
                </c:pt>
                <c:pt idx="111">
                  <c:v>2.6251177036540434E-2</c:v>
                </c:pt>
                <c:pt idx="112">
                  <c:v>2.6235507853149636E-2</c:v>
                </c:pt>
                <c:pt idx="113">
                  <c:v>2.6219784424110864E-2</c:v>
                </c:pt>
                <c:pt idx="114">
                  <c:v>2.6204006681638341E-2</c:v>
                </c:pt>
                <c:pt idx="115">
                  <c:v>2.6188174557066995E-2</c:v>
                </c:pt>
                <c:pt idx="116">
                  <c:v>2.6172287982690983E-2</c:v>
                </c:pt>
                <c:pt idx="117">
                  <c:v>2.6156346890085041E-2</c:v>
                </c:pt>
                <c:pt idx="118">
                  <c:v>2.6140351209145245E-2</c:v>
                </c:pt>
                <c:pt idx="119">
                  <c:v>2.6124300509012068E-2</c:v>
                </c:pt>
                <c:pt idx="120">
                  <c:v>2.6108194443095294E-2</c:v>
                </c:pt>
                <c:pt idx="121">
                  <c:v>2.6092032942317638E-2</c:v>
                </c:pt>
                <c:pt idx="122">
                  <c:v>2.6075815937538587E-2</c:v>
                </c:pt>
                <c:pt idx="123">
                  <c:v>2.6059543360093067E-2</c:v>
                </c:pt>
                <c:pt idx="124">
                  <c:v>2.6043215140996261E-2</c:v>
                </c:pt>
                <c:pt idx="125">
                  <c:v>2.6026831211742967E-2</c:v>
                </c:pt>
                <c:pt idx="126">
                  <c:v>2.6010391503508239E-2</c:v>
                </c:pt>
                <c:pt idx="127">
                  <c:v>2.5993895947866812E-2</c:v>
                </c:pt>
                <c:pt idx="128">
                  <c:v>2.5977344476073676E-2</c:v>
                </c:pt>
                <c:pt idx="129">
                  <c:v>2.5960737020103247E-2</c:v>
                </c:pt>
                <c:pt idx="130">
                  <c:v>2.5944073511290449E-2</c:v>
                </c:pt>
                <c:pt idx="131">
                  <c:v>2.5927353881769571E-2</c:v>
                </c:pt>
                <c:pt idx="132">
                  <c:v>2.5910578550325618E-2</c:v>
                </c:pt>
                <c:pt idx="133">
                  <c:v>2.5893748087142492E-2</c:v>
                </c:pt>
                <c:pt idx="134">
                  <c:v>2.587686243034968E-2</c:v>
                </c:pt>
                <c:pt idx="135">
                  <c:v>2.5859921514559493E-2</c:v>
                </c:pt>
                <c:pt idx="136">
                  <c:v>2.5842925273984553E-2</c:v>
                </c:pt>
                <c:pt idx="137">
                  <c:v>2.5825873643556908E-2</c:v>
                </c:pt>
                <c:pt idx="138">
                  <c:v>2.580876655756912E-2</c:v>
                </c:pt>
                <c:pt idx="139">
                  <c:v>2.5791603951113108E-2</c:v>
                </c:pt>
                <c:pt idx="140">
                  <c:v>2.5774385759040987E-2</c:v>
                </c:pt>
                <c:pt idx="141">
                  <c:v>2.5757111916204868E-2</c:v>
                </c:pt>
                <c:pt idx="142">
                  <c:v>2.5739782357856546E-2</c:v>
                </c:pt>
                <c:pt idx="143">
                  <c:v>2.5722397019008005E-2</c:v>
                </c:pt>
                <c:pt idx="144">
                  <c:v>2.5704955866405844E-2</c:v>
                </c:pt>
                <c:pt idx="145">
                  <c:v>2.5687459714118878E-2</c:v>
                </c:pt>
                <c:pt idx="146">
                  <c:v>2.5669908907710683E-2</c:v>
                </c:pt>
                <c:pt idx="147">
                  <c:v>2.5652303385390686E-2</c:v>
                </c:pt>
                <c:pt idx="148">
                  <c:v>2.5634643085528187E-2</c:v>
                </c:pt>
                <c:pt idx="149">
                  <c:v>2.5616927946492486E-2</c:v>
                </c:pt>
                <c:pt idx="150">
                  <c:v>2.5599157906572946E-2</c:v>
                </c:pt>
                <c:pt idx="151">
                  <c:v>2.5581332904778355E-2</c:v>
                </c:pt>
                <c:pt idx="152">
                  <c:v>2.5563452879637884E-2</c:v>
                </c:pt>
                <c:pt idx="153">
                  <c:v>2.5545517769920513E-2</c:v>
                </c:pt>
                <c:pt idx="154">
                  <c:v>2.552752751463503E-2</c:v>
                </c:pt>
                <c:pt idx="155">
                  <c:v>2.5509482052710288E-2</c:v>
                </c:pt>
                <c:pt idx="156">
                  <c:v>2.5491381323474817E-2</c:v>
                </c:pt>
                <c:pt idx="157">
                  <c:v>2.54732264696945E-2</c:v>
                </c:pt>
                <c:pt idx="158">
                  <c:v>2.5455217371881479E-2</c:v>
                </c:pt>
                <c:pt idx="159">
                  <c:v>2.5437507433086017E-2</c:v>
                </c:pt>
                <c:pt idx="160">
                  <c:v>2.5420097293276191E-2</c:v>
                </c:pt>
                <c:pt idx="161">
                  <c:v>2.5402987592100336E-2</c:v>
                </c:pt>
                <c:pt idx="162">
                  <c:v>2.5386178969366659E-2</c:v>
                </c:pt>
                <c:pt idx="163">
                  <c:v>2.5369672064323813E-2</c:v>
                </c:pt>
                <c:pt idx="164">
                  <c:v>2.5353467516216401E-2</c:v>
                </c:pt>
                <c:pt idx="165">
                  <c:v>2.5337565963985488E-2</c:v>
                </c:pt>
                <c:pt idx="166">
                  <c:v>2.5321968046387956E-2</c:v>
                </c:pt>
                <c:pt idx="167">
                  <c:v>2.5306674402037023E-2</c:v>
                </c:pt>
                <c:pt idx="168">
                  <c:v>2.5291685669781662E-2</c:v>
                </c:pt>
                <c:pt idx="169">
                  <c:v>2.5277002487751422E-2</c:v>
                </c:pt>
                <c:pt idx="170">
                  <c:v>2.5262625494475534E-2</c:v>
                </c:pt>
                <c:pt idx="171">
                  <c:v>2.5248551454621994E-2</c:v>
                </c:pt>
                <c:pt idx="172">
                  <c:v>2.523477593205934E-2</c:v>
                </c:pt>
                <c:pt idx="173">
                  <c:v>2.5221299517195296E-2</c:v>
                </c:pt>
                <c:pt idx="174">
                  <c:v>2.5208122830253733E-2</c:v>
                </c:pt>
                <c:pt idx="175">
                  <c:v>2.5195246491858204E-2</c:v>
                </c:pt>
                <c:pt idx="176">
                  <c:v>2.5182671122392454E-2</c:v>
                </c:pt>
                <c:pt idx="177">
                  <c:v>2.5170397342400098E-2</c:v>
                </c:pt>
                <c:pt idx="178">
                  <c:v>2.5158425772344818E-2</c:v>
                </c:pt>
                <c:pt idx="179">
                  <c:v>2.5146757032850166E-2</c:v>
                </c:pt>
                <c:pt idx="180">
                  <c:v>2.5135391744459758E-2</c:v>
                </c:pt>
                <c:pt idx="181">
                  <c:v>2.5124330527797147E-2</c:v>
                </c:pt>
                <c:pt idx="182">
                  <c:v>2.5113574003885565E-2</c:v>
                </c:pt>
                <c:pt idx="183">
                  <c:v>2.5103122793348566E-2</c:v>
                </c:pt>
                <c:pt idx="184">
                  <c:v>2.509297513511486E-2</c:v>
                </c:pt>
                <c:pt idx="185">
                  <c:v>2.5083126510558974E-2</c:v>
                </c:pt>
                <c:pt idx="186">
                  <c:v>2.5073577343182142E-2</c:v>
                </c:pt>
                <c:pt idx="187">
                  <c:v>2.5064328239299362E-2</c:v>
                </c:pt>
                <c:pt idx="188">
                  <c:v>2.5055379805705248E-2</c:v>
                </c:pt>
                <c:pt idx="189">
                  <c:v>2.5046732649194416E-2</c:v>
                </c:pt>
                <c:pt idx="190">
                  <c:v>2.5038387376881223E-2</c:v>
                </c:pt>
                <c:pt idx="191">
                  <c:v>2.5030344596359645E-2</c:v>
                </c:pt>
                <c:pt idx="192">
                  <c:v>2.5022604915063786E-2</c:v>
                </c:pt>
                <c:pt idx="193">
                  <c:v>2.5015168940907363E-2</c:v>
                </c:pt>
                <c:pt idx="194">
                  <c:v>2.5008037282203778E-2</c:v>
                </c:pt>
                <c:pt idx="195">
                  <c:v>2.5001210547346366E-2</c:v>
                </c:pt>
                <c:pt idx="196">
                  <c:v>2.4994689318349562E-2</c:v>
                </c:pt>
                <c:pt idx="197">
                  <c:v>2.4988469732862929E-2</c:v>
                </c:pt>
                <c:pt idx="198">
                  <c:v>2.498254896866401E-2</c:v>
                </c:pt>
                <c:pt idx="199">
                  <c:v>2.4976927620237267E-2</c:v>
                </c:pt>
                <c:pt idx="200">
                  <c:v>2.4971606282546778E-2</c:v>
                </c:pt>
                <c:pt idx="201">
                  <c:v>2.4966585550876365E-2</c:v>
                </c:pt>
                <c:pt idx="202">
                  <c:v>2.4961866021069402E-2</c:v>
                </c:pt>
                <c:pt idx="203">
                  <c:v>2.4957448289209073E-2</c:v>
                </c:pt>
                <c:pt idx="204">
                  <c:v>2.4953332952018049E-2</c:v>
                </c:pt>
                <c:pt idx="205">
                  <c:v>2.4949520606778554E-2</c:v>
                </c:pt>
                <c:pt idx="206">
                  <c:v>2.4946011850936669E-2</c:v>
                </c:pt>
                <c:pt idx="207">
                  <c:v>2.4942807282717902E-2</c:v>
                </c:pt>
                <c:pt idx="208">
                  <c:v>2.4939907500871241E-2</c:v>
                </c:pt>
                <c:pt idx="209">
                  <c:v>2.4937313104405598E-2</c:v>
                </c:pt>
                <c:pt idx="210">
                  <c:v>2.493499219007286E-2</c:v>
                </c:pt>
                <c:pt idx="211">
                  <c:v>2.4932902782937572E-2</c:v>
                </c:pt>
                <c:pt idx="212">
                  <c:v>2.4931045082152346E-2</c:v>
                </c:pt>
                <c:pt idx="213">
                  <c:v>2.4929419543168928E-2</c:v>
                </c:pt>
                <c:pt idx="214">
                  <c:v>2.4928026622022526E-2</c:v>
                </c:pt>
                <c:pt idx="215">
                  <c:v>2.4926866774852195E-2</c:v>
                </c:pt>
                <c:pt idx="216">
                  <c:v>2.49259404586205E-2</c:v>
                </c:pt>
                <c:pt idx="217">
                  <c:v>2.4925248130593568E-2</c:v>
                </c:pt>
                <c:pt idx="218">
                  <c:v>2.4924790248933005E-2</c:v>
                </c:pt>
                <c:pt idx="219">
                  <c:v>2.492456727169633E-2</c:v>
                </c:pt>
                <c:pt idx="220">
                  <c:v>2.4924579658116196E-2</c:v>
                </c:pt>
                <c:pt idx="221">
                  <c:v>2.4924827867641153E-2</c:v>
                </c:pt>
                <c:pt idx="222">
                  <c:v>2.4925312360335093E-2</c:v>
                </c:pt>
                <c:pt idx="223">
                  <c:v>2.4926031759986967E-2</c:v>
                </c:pt>
                <c:pt idx="224">
                  <c:v>2.492698256566913E-2</c:v>
                </c:pt>
                <c:pt idx="225">
                  <c:v>2.4928165086382504E-2</c:v>
                </c:pt>
                <c:pt idx="226">
                  <c:v>2.4929579773230171E-2</c:v>
                </c:pt>
                <c:pt idx="227">
                  <c:v>2.4931227077451178E-2</c:v>
                </c:pt>
                <c:pt idx="228">
                  <c:v>2.4933107451459702E-2</c:v>
                </c:pt>
                <c:pt idx="229">
                  <c:v>2.4935221347965521E-2</c:v>
                </c:pt>
                <c:pt idx="230">
                  <c:v>2.4937569220254127E-2</c:v>
                </c:pt>
                <c:pt idx="231">
                  <c:v>2.4940151522713973E-2</c:v>
                </c:pt>
                <c:pt idx="232">
                  <c:v>2.4942968709837556E-2</c:v>
                </c:pt>
                <c:pt idx="233">
                  <c:v>2.4946021237020596E-2</c:v>
                </c:pt>
                <c:pt idx="234">
                  <c:v>2.4949309560562041E-2</c:v>
                </c:pt>
                <c:pt idx="235">
                  <c:v>2.4952834137104682E-2</c:v>
                </c:pt>
                <c:pt idx="236">
                  <c:v>2.4956594240701152E-2</c:v>
                </c:pt>
                <c:pt idx="237">
                  <c:v>2.4960586172917947E-2</c:v>
                </c:pt>
                <c:pt idx="238">
                  <c:v>2.4964810013075583E-2</c:v>
                </c:pt>
                <c:pt idx="239">
                  <c:v>2.4969266209775215E-2</c:v>
                </c:pt>
                <c:pt idx="240">
                  <c:v>2.4973955212553283E-2</c:v>
                </c:pt>
                <c:pt idx="241">
                  <c:v>2.4978877471401793E-2</c:v>
                </c:pt>
                <c:pt idx="242">
                  <c:v>2.4984033437048227E-2</c:v>
                </c:pt>
                <c:pt idx="243">
                  <c:v>2.4989423561483013E-2</c:v>
                </c:pt>
                <c:pt idx="244">
                  <c:v>2.4995048296792534E-2</c:v>
                </c:pt>
                <c:pt idx="245">
                  <c:v>2.5000908096398079E-2</c:v>
                </c:pt>
                <c:pt idx="246">
                  <c:v>2.5007003414336461E-2</c:v>
                </c:pt>
                <c:pt idx="247">
                  <c:v>2.5013334705259991E-2</c:v>
                </c:pt>
                <c:pt idx="248">
                  <c:v>2.5019902425155931E-2</c:v>
                </c:pt>
                <c:pt idx="249">
                  <c:v>2.5026704274711514E-2</c:v>
                </c:pt>
                <c:pt idx="250">
                  <c:v>2.503373710255961E-2</c:v>
                </c:pt>
                <c:pt idx="251">
                  <c:v>2.5041001332177446E-2</c:v>
                </c:pt>
                <c:pt idx="252">
                  <c:v>2.5048497410647377E-2</c:v>
                </c:pt>
                <c:pt idx="253">
                  <c:v>2.5056225785475492E-2</c:v>
                </c:pt>
                <c:pt idx="254">
                  <c:v>2.5064186905071031E-2</c:v>
                </c:pt>
                <c:pt idx="255">
                  <c:v>2.5072381218786622E-2</c:v>
                </c:pt>
                <c:pt idx="256">
                  <c:v>2.5080809176949957E-2</c:v>
                </c:pt>
                <c:pt idx="257">
                  <c:v>2.508947123051241E-2</c:v>
                </c:pt>
                <c:pt idx="258">
                  <c:v>2.509836783180807E-2</c:v>
                </c:pt>
                <c:pt idx="259">
                  <c:v>2.5107499433754638E-2</c:v>
                </c:pt>
                <c:pt idx="260">
                  <c:v>2.5116866490492936E-2</c:v>
                </c:pt>
                <c:pt idx="261">
                  <c:v>2.5126469456747083E-2</c:v>
                </c:pt>
                <c:pt idx="262">
                  <c:v>2.5136203988655681E-2</c:v>
                </c:pt>
                <c:pt idx="263">
                  <c:v>2.5145844468182309E-2</c:v>
                </c:pt>
                <c:pt idx="264">
                  <c:v>2.5155382633879574E-2</c:v>
                </c:pt>
                <c:pt idx="265">
                  <c:v>2.5164818279992066E-2</c:v>
                </c:pt>
                <c:pt idx="266">
                  <c:v>2.5174151200260626E-2</c:v>
                </c:pt>
                <c:pt idx="267">
                  <c:v>2.5183381187922856E-2</c:v>
                </c:pt>
                <c:pt idx="268">
                  <c:v>2.5192508035992104E-2</c:v>
                </c:pt>
                <c:pt idx="269">
                  <c:v>2.520153153690664E-2</c:v>
                </c:pt>
                <c:pt idx="270">
                  <c:v>2.5210451482640617E-2</c:v>
                </c:pt>
                <c:pt idx="271">
                  <c:v>2.5219267664425227E-2</c:v>
                </c:pt>
                <c:pt idx="272">
                  <c:v>2.5227979873787235E-2</c:v>
                </c:pt>
                <c:pt idx="273">
                  <c:v>2.5236587901110104E-2</c:v>
                </c:pt>
                <c:pt idx="274">
                  <c:v>2.5245091536673887E-2</c:v>
                </c:pt>
                <c:pt idx="275">
                  <c:v>2.525349127341197E-2</c:v>
                </c:pt>
                <c:pt idx="276">
                  <c:v>2.5261789371149E-2</c:v>
                </c:pt>
                <c:pt idx="277">
                  <c:v>2.5269985844169306E-2</c:v>
                </c:pt>
                <c:pt idx="278">
                  <c:v>2.5278080487676702E-2</c:v>
                </c:pt>
                <c:pt idx="279">
                  <c:v>2.5286073096339703E-2</c:v>
                </c:pt>
                <c:pt idx="280">
                  <c:v>2.5293963464610367E-2</c:v>
                </c:pt>
                <c:pt idx="281">
                  <c:v>2.5301751386286014E-2</c:v>
                </c:pt>
                <c:pt idx="282">
                  <c:v>2.5309436654779513E-2</c:v>
                </c:pt>
                <c:pt idx="283">
                  <c:v>2.5317019063240614E-2</c:v>
                </c:pt>
                <c:pt idx="284">
                  <c:v>2.5324498404075389E-2</c:v>
                </c:pt>
                <c:pt idx="285">
                  <c:v>2.5331874469745535E-2</c:v>
                </c:pt>
                <c:pt idx="286">
                  <c:v>2.5339147052050016E-2</c:v>
                </c:pt>
                <c:pt idx="287">
                  <c:v>2.5346315942243382E-2</c:v>
                </c:pt>
                <c:pt idx="288">
                  <c:v>2.5353380940118221E-2</c:v>
                </c:pt>
                <c:pt idx="289">
                  <c:v>2.5360343258831661E-2</c:v>
                </c:pt>
                <c:pt idx="290">
                  <c:v>2.5367203780582357E-2</c:v>
                </c:pt>
                <c:pt idx="291">
                  <c:v>2.5373962300174451E-2</c:v>
                </c:pt>
                <c:pt idx="292">
                  <c:v>2.5380618611988065E-2</c:v>
                </c:pt>
                <c:pt idx="293">
                  <c:v>2.5387172510060438E-2</c:v>
                </c:pt>
                <c:pt idx="294">
                  <c:v>2.5393623787884262E-2</c:v>
                </c:pt>
                <c:pt idx="295">
                  <c:v>2.5399972238777366E-2</c:v>
                </c:pt>
                <c:pt idx="296">
                  <c:v>2.5406217655281327E-2</c:v>
                </c:pt>
                <c:pt idx="297">
                  <c:v>2.5412359830041999E-2</c:v>
                </c:pt>
                <c:pt idx="298">
                  <c:v>2.5418398554930267E-2</c:v>
                </c:pt>
                <c:pt idx="299">
                  <c:v>2.542433362176013E-2</c:v>
                </c:pt>
                <c:pt idx="300">
                  <c:v>2.5430164821691185E-2</c:v>
                </c:pt>
                <c:pt idx="301">
                  <c:v>2.5435892505850009E-2</c:v>
                </c:pt>
                <c:pt idx="302">
                  <c:v>2.544151843270253E-2</c:v>
                </c:pt>
                <c:pt idx="303">
                  <c:v>2.5447042572008523E-2</c:v>
                </c:pt>
                <c:pt idx="304">
                  <c:v>2.5452464719051732E-2</c:v>
                </c:pt>
                <c:pt idx="305">
                  <c:v>2.5457784668261037E-2</c:v>
                </c:pt>
                <c:pt idx="306">
                  <c:v>2.5463002214248149E-2</c:v>
                </c:pt>
                <c:pt idx="307">
                  <c:v>2.5468117151050407E-2</c:v>
                </c:pt>
                <c:pt idx="308">
                  <c:v>2.5473129272320275E-2</c:v>
                </c:pt>
                <c:pt idx="309">
                  <c:v>2.5478038371287606E-2</c:v>
                </c:pt>
                <c:pt idx="310">
                  <c:v>2.5482844240918012E-2</c:v>
                </c:pt>
                <c:pt idx="311">
                  <c:v>2.5487546673752984E-2</c:v>
                </c:pt>
                <c:pt idx="312">
                  <c:v>2.5492145461911423E-2</c:v>
                </c:pt>
                <c:pt idx="313">
                  <c:v>2.5496640397686853E-2</c:v>
                </c:pt>
                <c:pt idx="314">
                  <c:v>2.5501031337386851E-2</c:v>
                </c:pt>
                <c:pt idx="315">
                  <c:v>2.5505319899204359E-2</c:v>
                </c:pt>
                <c:pt idx="316">
                  <c:v>2.5509506726409292E-2</c:v>
                </c:pt>
                <c:pt idx="317">
                  <c:v>2.551359161468509E-2</c:v>
                </c:pt>
                <c:pt idx="318">
                  <c:v>2.5517574359930524E-2</c:v>
                </c:pt>
                <c:pt idx="319">
                  <c:v>2.5521454757302116E-2</c:v>
                </c:pt>
                <c:pt idx="320">
                  <c:v>2.5525232601731236E-2</c:v>
                </c:pt>
                <c:pt idx="321">
                  <c:v>2.5528907687654988E-2</c:v>
                </c:pt>
                <c:pt idx="322">
                  <c:v>2.5532479809453345E-2</c:v>
                </c:pt>
                <c:pt idx="323">
                  <c:v>2.5535948761051145E-2</c:v>
                </c:pt>
                <c:pt idx="324">
                  <c:v>2.5539314336077989E-2</c:v>
                </c:pt>
                <c:pt idx="325">
                  <c:v>2.5542576327786563E-2</c:v>
                </c:pt>
                <c:pt idx="326">
                  <c:v>2.5545734529175145E-2</c:v>
                </c:pt>
                <c:pt idx="327">
                  <c:v>2.5548788796645908E-2</c:v>
                </c:pt>
                <c:pt idx="328">
                  <c:v>2.5551740717993269E-2</c:v>
                </c:pt>
                <c:pt idx="329">
                  <c:v>2.5554590922473877E-2</c:v>
                </c:pt>
                <c:pt idx="330">
                  <c:v>2.5557339207505247E-2</c:v>
                </c:pt>
                <c:pt idx="331">
                  <c:v>2.5559985369442997E-2</c:v>
                </c:pt>
                <c:pt idx="332">
                  <c:v>2.5562529204817164E-2</c:v>
                </c:pt>
                <c:pt idx="333">
                  <c:v>2.5564970509823495E-2</c:v>
                </c:pt>
                <c:pt idx="334">
                  <c:v>2.5567309080192668E-2</c:v>
                </c:pt>
                <c:pt idx="335">
                  <c:v>2.5569544711552705E-2</c:v>
                </c:pt>
                <c:pt idx="336">
                  <c:v>2.5571677198867621E-2</c:v>
                </c:pt>
                <c:pt idx="337">
                  <c:v>2.557370633739664E-2</c:v>
                </c:pt>
                <c:pt idx="338">
                  <c:v>2.5575631921417059E-2</c:v>
                </c:pt>
                <c:pt idx="339">
                  <c:v>2.5577453745460499E-2</c:v>
                </c:pt>
                <c:pt idx="340">
                  <c:v>2.5579171612197544E-2</c:v>
                </c:pt>
                <c:pt idx="341">
                  <c:v>2.5580786773162518E-2</c:v>
                </c:pt>
                <c:pt idx="342">
                  <c:v>2.5582300140665645E-2</c:v>
                </c:pt>
                <c:pt idx="343">
                  <c:v>2.5583711512972857E-2</c:v>
                </c:pt>
                <c:pt idx="344">
                  <c:v>2.5585020688212886E-2</c:v>
                </c:pt>
                <c:pt idx="345">
                  <c:v>2.558622746394042E-2</c:v>
                </c:pt>
                <c:pt idx="346">
                  <c:v>2.558733163788451E-2</c:v>
                </c:pt>
                <c:pt idx="347">
                  <c:v>2.5588333007040293E-2</c:v>
                </c:pt>
                <c:pt idx="348">
                  <c:v>2.5589231368585447E-2</c:v>
                </c:pt>
                <c:pt idx="349">
                  <c:v>2.5590026518762961E-2</c:v>
                </c:pt>
                <c:pt idx="350">
                  <c:v>2.5590718254319984E-2</c:v>
                </c:pt>
                <c:pt idx="351">
                  <c:v>2.559130637122697E-2</c:v>
                </c:pt>
                <c:pt idx="352">
                  <c:v>2.559179066543989E-2</c:v>
                </c:pt>
                <c:pt idx="353">
                  <c:v>2.5592171001034721E-2</c:v>
                </c:pt>
                <c:pt idx="354">
                  <c:v>2.5592449095222399E-2</c:v>
                </c:pt>
                <c:pt idx="355">
                  <c:v>2.559262564000938E-2</c:v>
                </c:pt>
                <c:pt idx="356">
                  <c:v>2.5592700435530965E-2</c:v>
                </c:pt>
                <c:pt idx="357">
                  <c:v>2.5592673282619237E-2</c:v>
                </c:pt>
                <c:pt idx="358">
                  <c:v>2.5592543980841761E-2</c:v>
                </c:pt>
                <c:pt idx="359">
                  <c:v>2.559231233039113E-2</c:v>
                </c:pt>
                <c:pt idx="360">
                  <c:v>2.5591978130754974E-2</c:v>
                </c:pt>
                <c:pt idx="361">
                  <c:v>2.5591541181158469E-2</c:v>
                </c:pt>
                <c:pt idx="362">
                  <c:v>2.559100128088217E-2</c:v>
                </c:pt>
                <c:pt idx="363">
                  <c:v>2.5590358228782414E-2</c:v>
                </c:pt>
                <c:pt idx="364">
                  <c:v>2.5589611823213249E-2</c:v>
                </c:pt>
                <c:pt idx="365">
                  <c:v>2.558876186286296E-2</c:v>
                </c:pt>
                <c:pt idx="366">
                  <c:v>2.5587812026421648E-2</c:v>
                </c:pt>
                <c:pt idx="367">
                  <c:v>2.5586870848965677E-2</c:v>
                </c:pt>
                <c:pt idx="368">
                  <c:v>2.5585988867269812E-2</c:v>
                </c:pt>
                <c:pt idx="369">
                  <c:v>2.5585166203660765E-2</c:v>
                </c:pt>
                <c:pt idx="370">
                  <c:v>2.5584402980647788E-2</c:v>
                </c:pt>
                <c:pt idx="371">
                  <c:v>2.5583699321205262E-2</c:v>
                </c:pt>
                <c:pt idx="372">
                  <c:v>2.5583055347922375E-2</c:v>
                </c:pt>
                <c:pt idx="373">
                  <c:v>2.5582471183845264E-2</c:v>
                </c:pt>
                <c:pt idx="374">
                  <c:v>2.558194695223533E-2</c:v>
                </c:pt>
                <c:pt idx="375">
                  <c:v>2.5581482776409366E-2</c:v>
                </c:pt>
                <c:pt idx="376">
                  <c:v>2.5581078779901307E-2</c:v>
                </c:pt>
                <c:pt idx="377">
                  <c:v>2.5580735086099701E-2</c:v>
                </c:pt>
                <c:pt idx="378">
                  <c:v>2.5580451818938161E-2</c:v>
                </c:pt>
                <c:pt idx="379">
                  <c:v>2.5580229057360789E-2</c:v>
                </c:pt>
                <c:pt idx="380">
                  <c:v>2.5580065667099468E-2</c:v>
                </c:pt>
                <c:pt idx="381">
                  <c:v>2.5579961185564232E-2</c:v>
                </c:pt>
                <c:pt idx="382">
                  <c:v>2.5579915733034305E-2</c:v>
                </c:pt>
                <c:pt idx="383">
                  <c:v>2.5579929430485666E-2</c:v>
                </c:pt>
                <c:pt idx="384">
                  <c:v>2.5580002398828846E-2</c:v>
                </c:pt>
                <c:pt idx="385">
                  <c:v>2.5580134758959889E-2</c:v>
                </c:pt>
                <c:pt idx="386">
                  <c:v>2.5580326632277123E-2</c:v>
                </c:pt>
                <c:pt idx="387">
                  <c:v>2.5580578140283357E-2</c:v>
                </c:pt>
                <c:pt idx="388">
                  <c:v>2.5580889404186197E-2</c:v>
                </c:pt>
                <c:pt idx="389">
                  <c:v>2.558126054601528E-2</c:v>
                </c:pt>
                <c:pt idx="390">
                  <c:v>2.5581691687466008E-2</c:v>
                </c:pt>
                <c:pt idx="391">
                  <c:v>2.5582182950568019E-2</c:v>
                </c:pt>
                <c:pt idx="392">
                  <c:v>2.5582734452300488E-2</c:v>
                </c:pt>
                <c:pt idx="393">
                  <c:v>2.5583345469777103E-2</c:v>
                </c:pt>
                <c:pt idx="394">
                  <c:v>2.5584015476219243E-2</c:v>
                </c:pt>
                <c:pt idx="395">
                  <c:v>2.5584744591315729E-2</c:v>
                </c:pt>
                <c:pt idx="396">
                  <c:v>2.5585532935017859E-2</c:v>
                </c:pt>
                <c:pt idx="397">
                  <c:v>2.5586380627262446E-2</c:v>
                </c:pt>
                <c:pt idx="398">
                  <c:v>2.5587287788240595E-2</c:v>
                </c:pt>
                <c:pt idx="399">
                  <c:v>2.558825453820068E-2</c:v>
                </c:pt>
                <c:pt idx="400">
                  <c:v>2.5589280997686276E-2</c:v>
                </c:pt>
                <c:pt idx="401">
                  <c:v>2.5590367287296353E-2</c:v>
                </c:pt>
                <c:pt idx="402">
                  <c:v>2.5591513527847016E-2</c:v>
                </c:pt>
                <c:pt idx="403">
                  <c:v>2.5592719840328734E-2</c:v>
                </c:pt>
                <c:pt idx="404">
                  <c:v>2.5593986345797425E-2</c:v>
                </c:pt>
                <c:pt idx="405">
                  <c:v>2.5595313128552896E-2</c:v>
                </c:pt>
                <c:pt idx="406">
                  <c:v>2.5596699265518105E-2</c:v>
                </c:pt>
                <c:pt idx="407">
                  <c:v>2.5598144391705012E-2</c:v>
                </c:pt>
                <c:pt idx="408">
                  <c:v>2.559964862539443E-2</c:v>
                </c:pt>
                <c:pt idx="409">
                  <c:v>2.5601212085643886E-2</c:v>
                </c:pt>
                <c:pt idx="410">
                  <c:v>2.5602834891525365E-2</c:v>
                </c:pt>
                <c:pt idx="411">
                  <c:v>2.5604517162096406E-2</c:v>
                </c:pt>
                <c:pt idx="412">
                  <c:v>2.5606259016668791E-2</c:v>
                </c:pt>
                <c:pt idx="413">
                  <c:v>2.5608060574947737E-2</c:v>
                </c:pt>
                <c:pt idx="414">
                  <c:v>2.5609921956460273E-2</c:v>
                </c:pt>
                <c:pt idx="415">
                  <c:v>2.5611843281239548E-2</c:v>
                </c:pt>
                <c:pt idx="416">
                  <c:v>2.5613824669013401E-2</c:v>
                </c:pt>
                <c:pt idx="417">
                  <c:v>2.5615866240421722E-2</c:v>
                </c:pt>
                <c:pt idx="418">
                  <c:v>2.5617968078548874E-2</c:v>
                </c:pt>
                <c:pt idx="419">
                  <c:v>2.5620129268415941E-2</c:v>
                </c:pt>
                <c:pt idx="420">
                  <c:v>2.5622349447432968E-2</c:v>
                </c:pt>
                <c:pt idx="421">
                  <c:v>2.5624628733376554E-2</c:v>
                </c:pt>
                <c:pt idx="422">
                  <c:v>2.5626967244201538E-2</c:v>
                </c:pt>
                <c:pt idx="423">
                  <c:v>2.56293650981969E-2</c:v>
                </c:pt>
                <c:pt idx="424">
                  <c:v>2.5631822413684398E-2</c:v>
                </c:pt>
                <c:pt idx="425">
                  <c:v>2.5634339308920218E-2</c:v>
                </c:pt>
                <c:pt idx="426">
                  <c:v>2.5636915903138203E-2</c:v>
                </c:pt>
                <c:pt idx="427">
                  <c:v>2.563955231464372E-2</c:v>
                </c:pt>
                <c:pt idx="428">
                  <c:v>2.5642248662652179E-2</c:v>
                </c:pt>
                <c:pt idx="429">
                  <c:v>2.5645005066557303E-2</c:v>
                </c:pt>
                <c:pt idx="430">
                  <c:v>2.5647821645607291E-2</c:v>
                </c:pt>
                <c:pt idx="431">
                  <c:v>2.5650698514030776E-2</c:v>
                </c:pt>
                <c:pt idx="432">
                  <c:v>2.5653634907159426E-2</c:v>
                </c:pt>
                <c:pt idx="433">
                  <c:v>2.5656630265680644E-2</c:v>
                </c:pt>
                <c:pt idx="434">
                  <c:v>2.5659684706637226E-2</c:v>
                </c:pt>
                <c:pt idx="435">
                  <c:v>2.5662798347246149E-2</c:v>
                </c:pt>
                <c:pt idx="436">
                  <c:v>2.5665971304822829E-2</c:v>
                </c:pt>
                <c:pt idx="437">
                  <c:v>2.5669203696936798E-2</c:v>
                </c:pt>
                <c:pt idx="438">
                  <c:v>2.5672495641333875E-2</c:v>
                </c:pt>
                <c:pt idx="439">
                  <c:v>2.5675847255919742E-2</c:v>
                </c:pt>
                <c:pt idx="440">
                  <c:v>2.5679258658999764E-2</c:v>
                </c:pt>
                <c:pt idx="441">
                  <c:v>2.5682729968655924E-2</c:v>
                </c:pt>
                <c:pt idx="442">
                  <c:v>2.568626130322425E-2</c:v>
                </c:pt>
                <c:pt idx="443">
                  <c:v>2.5689852781618932E-2</c:v>
                </c:pt>
                <c:pt idx="444">
                  <c:v>2.5693504522784828E-2</c:v>
                </c:pt>
                <c:pt idx="445">
                  <c:v>2.5697215991500745E-2</c:v>
                </c:pt>
                <c:pt idx="446">
                  <c:v>2.5700986450485776E-2</c:v>
                </c:pt>
                <c:pt idx="447">
                  <c:v>2.5704816011074418E-2</c:v>
                </c:pt>
                <c:pt idx="448">
                  <c:v>2.5708704789670009E-2</c:v>
                </c:pt>
                <c:pt idx="449">
                  <c:v>2.5712652903169684E-2</c:v>
                </c:pt>
                <c:pt idx="450">
                  <c:v>2.5716660468409345E-2</c:v>
                </c:pt>
                <c:pt idx="451">
                  <c:v>2.5720727602655195E-2</c:v>
                </c:pt>
                <c:pt idx="452">
                  <c:v>2.5724854423283958E-2</c:v>
                </c:pt>
                <c:pt idx="453">
                  <c:v>2.5729041047771049E-2</c:v>
                </c:pt>
                <c:pt idx="454">
                  <c:v>2.5733287593845831E-2</c:v>
                </c:pt>
                <c:pt idx="455">
                  <c:v>2.5737594179670253E-2</c:v>
                </c:pt>
                <c:pt idx="456">
                  <c:v>2.5741960923020696E-2</c:v>
                </c:pt>
                <c:pt idx="457">
                  <c:v>2.5746387906520479E-2</c:v>
                </c:pt>
                <c:pt idx="458">
                  <c:v>2.575087424144052E-2</c:v>
                </c:pt>
                <c:pt idx="459">
                  <c:v>2.5755419576812127E-2</c:v>
                </c:pt>
                <c:pt idx="460">
                  <c:v>2.5760024028352171E-2</c:v>
                </c:pt>
                <c:pt idx="461">
                  <c:v>2.5764687712191283E-2</c:v>
                </c:pt>
                <c:pt idx="462">
                  <c:v>2.5769410744732841E-2</c:v>
                </c:pt>
                <c:pt idx="463">
                  <c:v>2.5774193242394241E-2</c:v>
                </c:pt>
                <c:pt idx="464">
                  <c:v>2.5779035321691755E-2</c:v>
                </c:pt>
                <c:pt idx="465">
                  <c:v>2.5783937099811662E-2</c:v>
                </c:pt>
                <c:pt idx="466">
                  <c:v>2.5788898693491068E-2</c:v>
                </c:pt>
                <c:pt idx="467">
                  <c:v>2.579392022044532E-2</c:v>
                </c:pt>
                <c:pt idx="468">
                  <c:v>2.579900179760438E-2</c:v>
                </c:pt>
                <c:pt idx="469">
                  <c:v>2.580414354321018E-2</c:v>
                </c:pt>
                <c:pt idx="470">
                  <c:v>2.580934556960331E-2</c:v>
                </c:pt>
                <c:pt idx="471">
                  <c:v>2.5814607128631779E-2</c:v>
                </c:pt>
                <c:pt idx="472">
                  <c:v>2.5819927673532958E-2</c:v>
                </c:pt>
                <c:pt idx="473">
                  <c:v>2.5825307319525106E-2</c:v>
                </c:pt>
                <c:pt idx="474">
                  <c:v>2.5830746182565048E-2</c:v>
                </c:pt>
                <c:pt idx="475">
                  <c:v>2.583624437838368E-2</c:v>
                </c:pt>
                <c:pt idx="476">
                  <c:v>2.5841802022968222E-2</c:v>
                </c:pt>
                <c:pt idx="477">
                  <c:v>2.5847419232545698E-2</c:v>
                </c:pt>
                <c:pt idx="478">
                  <c:v>2.5853096123582952E-2</c:v>
                </c:pt>
                <c:pt idx="479">
                  <c:v>2.5858832812883096E-2</c:v>
                </c:pt>
                <c:pt idx="480">
                  <c:v>2.5864629417183104E-2</c:v>
                </c:pt>
                <c:pt idx="481">
                  <c:v>2.587048605371884E-2</c:v>
                </c:pt>
                <c:pt idx="482">
                  <c:v>2.58764028395801E-2</c:v>
                </c:pt>
                <c:pt idx="483">
                  <c:v>2.5882379892352821E-2</c:v>
                </c:pt>
                <c:pt idx="484">
                  <c:v>2.5888416657440634E-2</c:v>
                </c:pt>
                <c:pt idx="485">
                  <c:v>2.5894512371853865E-2</c:v>
                </c:pt>
                <c:pt idx="486">
                  <c:v>2.5900667145201419E-2</c:v>
                </c:pt>
                <c:pt idx="487">
                  <c:v>2.5906881092701398E-2</c:v>
                </c:pt>
                <c:pt idx="488">
                  <c:v>2.5913154329911092E-2</c:v>
                </c:pt>
                <c:pt idx="489">
                  <c:v>2.5919486972418061E-2</c:v>
                </c:pt>
                <c:pt idx="490">
                  <c:v>2.5925879136159791E-2</c:v>
                </c:pt>
                <c:pt idx="491">
                  <c:v>2.5932330937253167E-2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4-4396-A44A-36EC69F0183A}"/>
            </c:ext>
          </c:extLst>
        </c:ser>
        <c:ser>
          <c:idx val="1"/>
          <c:order val="1"/>
          <c:tx>
            <c:strRef>
              <c:f>DISPLAY_CURVE!$D$9</c:f>
              <c:strCache>
                <c:ptCount val="1"/>
                <c:pt idx="0">
                  <c:v>USD3ML</c:v>
                </c:pt>
              </c:strCache>
            </c:strRef>
          </c:tx>
          <c:marker>
            <c:symbol val="none"/>
          </c:marker>
          <c:xVal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43333</c:v>
                </c:pt>
                <c:pt idx="2">
                  <c:v>43340</c:v>
                </c:pt>
                <c:pt idx="3">
                  <c:v>43347</c:v>
                </c:pt>
                <c:pt idx="4">
                  <c:v>43354</c:v>
                </c:pt>
                <c:pt idx="5">
                  <c:v>43361</c:v>
                </c:pt>
                <c:pt idx="6">
                  <c:v>43368</c:v>
                </c:pt>
                <c:pt idx="7">
                  <c:v>43375</c:v>
                </c:pt>
                <c:pt idx="8">
                  <c:v>43382</c:v>
                </c:pt>
                <c:pt idx="9">
                  <c:v>43389</c:v>
                </c:pt>
                <c:pt idx="10">
                  <c:v>43396</c:v>
                </c:pt>
                <c:pt idx="11">
                  <c:v>43403</c:v>
                </c:pt>
                <c:pt idx="12">
                  <c:v>43410</c:v>
                </c:pt>
                <c:pt idx="13">
                  <c:v>43417</c:v>
                </c:pt>
                <c:pt idx="14">
                  <c:v>43424</c:v>
                </c:pt>
                <c:pt idx="15">
                  <c:v>43431</c:v>
                </c:pt>
                <c:pt idx="16">
                  <c:v>43438</c:v>
                </c:pt>
                <c:pt idx="17">
                  <c:v>43445</c:v>
                </c:pt>
                <c:pt idx="18">
                  <c:v>43452</c:v>
                </c:pt>
                <c:pt idx="19">
                  <c:v>43459</c:v>
                </c:pt>
                <c:pt idx="20">
                  <c:v>43466</c:v>
                </c:pt>
                <c:pt idx="21">
                  <c:v>43473</c:v>
                </c:pt>
                <c:pt idx="22">
                  <c:v>43480</c:v>
                </c:pt>
                <c:pt idx="23">
                  <c:v>43487</c:v>
                </c:pt>
                <c:pt idx="24">
                  <c:v>43494</c:v>
                </c:pt>
                <c:pt idx="25">
                  <c:v>43501</c:v>
                </c:pt>
                <c:pt idx="26">
                  <c:v>43508</c:v>
                </c:pt>
                <c:pt idx="27">
                  <c:v>43515</c:v>
                </c:pt>
                <c:pt idx="28">
                  <c:v>43522</c:v>
                </c:pt>
                <c:pt idx="29">
                  <c:v>43529</c:v>
                </c:pt>
                <c:pt idx="30">
                  <c:v>43536</c:v>
                </c:pt>
                <c:pt idx="31">
                  <c:v>43543</c:v>
                </c:pt>
                <c:pt idx="32">
                  <c:v>43550</c:v>
                </c:pt>
                <c:pt idx="33">
                  <c:v>43557</c:v>
                </c:pt>
                <c:pt idx="34">
                  <c:v>43564</c:v>
                </c:pt>
                <c:pt idx="35">
                  <c:v>43571</c:v>
                </c:pt>
                <c:pt idx="36">
                  <c:v>43578</c:v>
                </c:pt>
                <c:pt idx="37">
                  <c:v>43585</c:v>
                </c:pt>
                <c:pt idx="38">
                  <c:v>43592</c:v>
                </c:pt>
                <c:pt idx="39">
                  <c:v>43599</c:v>
                </c:pt>
                <c:pt idx="40">
                  <c:v>43606</c:v>
                </c:pt>
                <c:pt idx="41">
                  <c:v>43613</c:v>
                </c:pt>
                <c:pt idx="42">
                  <c:v>43620</c:v>
                </c:pt>
                <c:pt idx="43">
                  <c:v>43627</c:v>
                </c:pt>
                <c:pt idx="44">
                  <c:v>43634</c:v>
                </c:pt>
                <c:pt idx="45">
                  <c:v>43641</c:v>
                </c:pt>
                <c:pt idx="46">
                  <c:v>43648</c:v>
                </c:pt>
                <c:pt idx="47">
                  <c:v>43655</c:v>
                </c:pt>
                <c:pt idx="48">
                  <c:v>43662</c:v>
                </c:pt>
                <c:pt idx="49">
                  <c:v>43669</c:v>
                </c:pt>
                <c:pt idx="50">
                  <c:v>43676</c:v>
                </c:pt>
                <c:pt idx="51">
                  <c:v>43683</c:v>
                </c:pt>
                <c:pt idx="52">
                  <c:v>43690</c:v>
                </c:pt>
                <c:pt idx="53">
                  <c:v>43697</c:v>
                </c:pt>
                <c:pt idx="54">
                  <c:v>43704</c:v>
                </c:pt>
                <c:pt idx="55">
                  <c:v>43711</c:v>
                </c:pt>
                <c:pt idx="56">
                  <c:v>43718</c:v>
                </c:pt>
                <c:pt idx="57">
                  <c:v>43725</c:v>
                </c:pt>
                <c:pt idx="58">
                  <c:v>43732</c:v>
                </c:pt>
                <c:pt idx="59">
                  <c:v>43739</c:v>
                </c:pt>
                <c:pt idx="60">
                  <c:v>43746</c:v>
                </c:pt>
                <c:pt idx="61">
                  <c:v>43753</c:v>
                </c:pt>
                <c:pt idx="62">
                  <c:v>43760</c:v>
                </c:pt>
                <c:pt idx="63">
                  <c:v>43767</c:v>
                </c:pt>
                <c:pt idx="64">
                  <c:v>43774</c:v>
                </c:pt>
                <c:pt idx="65">
                  <c:v>43781</c:v>
                </c:pt>
                <c:pt idx="66">
                  <c:v>43788</c:v>
                </c:pt>
                <c:pt idx="67">
                  <c:v>43795</c:v>
                </c:pt>
                <c:pt idx="68">
                  <c:v>43802</c:v>
                </c:pt>
                <c:pt idx="69">
                  <c:v>43809</c:v>
                </c:pt>
                <c:pt idx="70">
                  <c:v>43816</c:v>
                </c:pt>
                <c:pt idx="71">
                  <c:v>43823</c:v>
                </c:pt>
                <c:pt idx="72">
                  <c:v>43830</c:v>
                </c:pt>
                <c:pt idx="73">
                  <c:v>43837</c:v>
                </c:pt>
                <c:pt idx="74">
                  <c:v>43844</c:v>
                </c:pt>
                <c:pt idx="75">
                  <c:v>43851</c:v>
                </c:pt>
                <c:pt idx="76">
                  <c:v>43858</c:v>
                </c:pt>
                <c:pt idx="77">
                  <c:v>43865</c:v>
                </c:pt>
                <c:pt idx="78">
                  <c:v>43872</c:v>
                </c:pt>
                <c:pt idx="79">
                  <c:v>43879</c:v>
                </c:pt>
                <c:pt idx="80">
                  <c:v>43886</c:v>
                </c:pt>
                <c:pt idx="81">
                  <c:v>43893</c:v>
                </c:pt>
                <c:pt idx="82">
                  <c:v>43900</c:v>
                </c:pt>
                <c:pt idx="83">
                  <c:v>43907</c:v>
                </c:pt>
                <c:pt idx="84">
                  <c:v>43914</c:v>
                </c:pt>
                <c:pt idx="85">
                  <c:v>43921</c:v>
                </c:pt>
                <c:pt idx="86">
                  <c:v>43928</c:v>
                </c:pt>
                <c:pt idx="87">
                  <c:v>43935</c:v>
                </c:pt>
                <c:pt idx="88">
                  <c:v>43942</c:v>
                </c:pt>
                <c:pt idx="89">
                  <c:v>43949</c:v>
                </c:pt>
                <c:pt idx="90">
                  <c:v>43956</c:v>
                </c:pt>
                <c:pt idx="91">
                  <c:v>43963</c:v>
                </c:pt>
                <c:pt idx="92">
                  <c:v>43970</c:v>
                </c:pt>
                <c:pt idx="93">
                  <c:v>43977</c:v>
                </c:pt>
                <c:pt idx="94">
                  <c:v>43984</c:v>
                </c:pt>
                <c:pt idx="95">
                  <c:v>43991</c:v>
                </c:pt>
                <c:pt idx="96">
                  <c:v>43998</c:v>
                </c:pt>
                <c:pt idx="97">
                  <c:v>44005</c:v>
                </c:pt>
                <c:pt idx="98">
                  <c:v>44012</c:v>
                </c:pt>
                <c:pt idx="99">
                  <c:v>44019</c:v>
                </c:pt>
                <c:pt idx="100">
                  <c:v>44026</c:v>
                </c:pt>
                <c:pt idx="101">
                  <c:v>44033</c:v>
                </c:pt>
                <c:pt idx="102">
                  <c:v>44040</c:v>
                </c:pt>
                <c:pt idx="103">
                  <c:v>44047</c:v>
                </c:pt>
                <c:pt idx="104">
                  <c:v>44054</c:v>
                </c:pt>
                <c:pt idx="105">
                  <c:v>44061</c:v>
                </c:pt>
                <c:pt idx="106">
                  <c:v>44068</c:v>
                </c:pt>
                <c:pt idx="107">
                  <c:v>44075</c:v>
                </c:pt>
                <c:pt idx="108">
                  <c:v>44082</c:v>
                </c:pt>
                <c:pt idx="109">
                  <c:v>44089</c:v>
                </c:pt>
                <c:pt idx="110">
                  <c:v>44096</c:v>
                </c:pt>
                <c:pt idx="111">
                  <c:v>44103</c:v>
                </c:pt>
                <c:pt idx="112">
                  <c:v>44110</c:v>
                </c:pt>
                <c:pt idx="113">
                  <c:v>44117</c:v>
                </c:pt>
                <c:pt idx="114">
                  <c:v>44124</c:v>
                </c:pt>
                <c:pt idx="115">
                  <c:v>44131</c:v>
                </c:pt>
                <c:pt idx="116">
                  <c:v>44138</c:v>
                </c:pt>
                <c:pt idx="117">
                  <c:v>44145</c:v>
                </c:pt>
                <c:pt idx="118">
                  <c:v>44152</c:v>
                </c:pt>
                <c:pt idx="119">
                  <c:v>44159</c:v>
                </c:pt>
                <c:pt idx="120">
                  <c:v>44166</c:v>
                </c:pt>
                <c:pt idx="121">
                  <c:v>44173</c:v>
                </c:pt>
                <c:pt idx="122">
                  <c:v>44180</c:v>
                </c:pt>
                <c:pt idx="123">
                  <c:v>44187</c:v>
                </c:pt>
                <c:pt idx="124">
                  <c:v>44194</c:v>
                </c:pt>
                <c:pt idx="125">
                  <c:v>44201</c:v>
                </c:pt>
                <c:pt idx="126">
                  <c:v>44208</c:v>
                </c:pt>
                <c:pt idx="127">
                  <c:v>44215</c:v>
                </c:pt>
                <c:pt idx="128">
                  <c:v>44222</c:v>
                </c:pt>
                <c:pt idx="129">
                  <c:v>44229</c:v>
                </c:pt>
                <c:pt idx="130">
                  <c:v>44236</c:v>
                </c:pt>
                <c:pt idx="131">
                  <c:v>44243</c:v>
                </c:pt>
                <c:pt idx="132">
                  <c:v>44250</c:v>
                </c:pt>
                <c:pt idx="133">
                  <c:v>44257</c:v>
                </c:pt>
                <c:pt idx="134">
                  <c:v>44264</c:v>
                </c:pt>
                <c:pt idx="135">
                  <c:v>44271</c:v>
                </c:pt>
                <c:pt idx="136">
                  <c:v>44278</c:v>
                </c:pt>
                <c:pt idx="137">
                  <c:v>44285</c:v>
                </c:pt>
                <c:pt idx="138">
                  <c:v>44292</c:v>
                </c:pt>
                <c:pt idx="139">
                  <c:v>44299</c:v>
                </c:pt>
                <c:pt idx="140">
                  <c:v>44306</c:v>
                </c:pt>
                <c:pt idx="141">
                  <c:v>44313</c:v>
                </c:pt>
                <c:pt idx="142">
                  <c:v>44320</c:v>
                </c:pt>
                <c:pt idx="143">
                  <c:v>44327</c:v>
                </c:pt>
                <c:pt idx="144">
                  <c:v>44334</c:v>
                </c:pt>
                <c:pt idx="145">
                  <c:v>44341</c:v>
                </c:pt>
                <c:pt idx="146">
                  <c:v>44348</c:v>
                </c:pt>
                <c:pt idx="147">
                  <c:v>44355</c:v>
                </c:pt>
                <c:pt idx="148">
                  <c:v>44362</c:v>
                </c:pt>
                <c:pt idx="149">
                  <c:v>44369</c:v>
                </c:pt>
                <c:pt idx="150">
                  <c:v>44376</c:v>
                </c:pt>
                <c:pt idx="151">
                  <c:v>44383</c:v>
                </c:pt>
                <c:pt idx="152">
                  <c:v>44390</c:v>
                </c:pt>
                <c:pt idx="153">
                  <c:v>44397</c:v>
                </c:pt>
                <c:pt idx="154">
                  <c:v>44404</c:v>
                </c:pt>
                <c:pt idx="155">
                  <c:v>44411</c:v>
                </c:pt>
                <c:pt idx="156">
                  <c:v>44418</c:v>
                </c:pt>
                <c:pt idx="157">
                  <c:v>44425</c:v>
                </c:pt>
                <c:pt idx="158">
                  <c:v>44432</c:v>
                </c:pt>
                <c:pt idx="159">
                  <c:v>44439</c:v>
                </c:pt>
                <c:pt idx="160">
                  <c:v>44446</c:v>
                </c:pt>
                <c:pt idx="161">
                  <c:v>44453</c:v>
                </c:pt>
                <c:pt idx="162">
                  <c:v>44460</c:v>
                </c:pt>
                <c:pt idx="163">
                  <c:v>44467</c:v>
                </c:pt>
                <c:pt idx="164">
                  <c:v>44474</c:v>
                </c:pt>
                <c:pt idx="165">
                  <c:v>44481</c:v>
                </c:pt>
                <c:pt idx="166">
                  <c:v>44488</c:v>
                </c:pt>
                <c:pt idx="167">
                  <c:v>44495</c:v>
                </c:pt>
                <c:pt idx="168">
                  <c:v>44502</c:v>
                </c:pt>
                <c:pt idx="169">
                  <c:v>44509</c:v>
                </c:pt>
                <c:pt idx="170">
                  <c:v>44516</c:v>
                </c:pt>
                <c:pt idx="171">
                  <c:v>44523</c:v>
                </c:pt>
                <c:pt idx="172">
                  <c:v>44530</c:v>
                </c:pt>
                <c:pt idx="173">
                  <c:v>44537</c:v>
                </c:pt>
                <c:pt idx="174">
                  <c:v>44544</c:v>
                </c:pt>
                <c:pt idx="175">
                  <c:v>44551</c:v>
                </c:pt>
                <c:pt idx="176">
                  <c:v>44558</c:v>
                </c:pt>
                <c:pt idx="177">
                  <c:v>44565</c:v>
                </c:pt>
                <c:pt idx="178">
                  <c:v>44572</c:v>
                </c:pt>
                <c:pt idx="179">
                  <c:v>44579</c:v>
                </c:pt>
                <c:pt idx="180">
                  <c:v>44586</c:v>
                </c:pt>
                <c:pt idx="181">
                  <c:v>44593</c:v>
                </c:pt>
                <c:pt idx="182">
                  <c:v>44600</c:v>
                </c:pt>
                <c:pt idx="183">
                  <c:v>44607</c:v>
                </c:pt>
                <c:pt idx="184">
                  <c:v>44614</c:v>
                </c:pt>
                <c:pt idx="185">
                  <c:v>44621</c:v>
                </c:pt>
                <c:pt idx="186">
                  <c:v>44628</c:v>
                </c:pt>
                <c:pt idx="187">
                  <c:v>44635</c:v>
                </c:pt>
                <c:pt idx="188">
                  <c:v>44642</c:v>
                </c:pt>
                <c:pt idx="189">
                  <c:v>44649</c:v>
                </c:pt>
                <c:pt idx="190">
                  <c:v>44656</c:v>
                </c:pt>
                <c:pt idx="191">
                  <c:v>44663</c:v>
                </c:pt>
                <c:pt idx="192">
                  <c:v>44670</c:v>
                </c:pt>
                <c:pt idx="193">
                  <c:v>44677</c:v>
                </c:pt>
                <c:pt idx="194">
                  <c:v>44684</c:v>
                </c:pt>
                <c:pt idx="195">
                  <c:v>44691</c:v>
                </c:pt>
                <c:pt idx="196">
                  <c:v>44698</c:v>
                </c:pt>
                <c:pt idx="197">
                  <c:v>44705</c:v>
                </c:pt>
                <c:pt idx="198">
                  <c:v>44712</c:v>
                </c:pt>
                <c:pt idx="199">
                  <c:v>44719</c:v>
                </c:pt>
                <c:pt idx="200">
                  <c:v>44726</c:v>
                </c:pt>
                <c:pt idx="201">
                  <c:v>44733</c:v>
                </c:pt>
                <c:pt idx="202">
                  <c:v>44740</c:v>
                </c:pt>
                <c:pt idx="203">
                  <c:v>44747</c:v>
                </c:pt>
                <c:pt idx="204">
                  <c:v>44754</c:v>
                </c:pt>
                <c:pt idx="205">
                  <c:v>44761</c:v>
                </c:pt>
                <c:pt idx="206">
                  <c:v>44768</c:v>
                </c:pt>
                <c:pt idx="207">
                  <c:v>44775</c:v>
                </c:pt>
                <c:pt idx="208">
                  <c:v>44782</c:v>
                </c:pt>
                <c:pt idx="209">
                  <c:v>44789</c:v>
                </c:pt>
                <c:pt idx="210">
                  <c:v>44796</c:v>
                </c:pt>
                <c:pt idx="211">
                  <c:v>44803</c:v>
                </c:pt>
                <c:pt idx="212">
                  <c:v>44810</c:v>
                </c:pt>
                <c:pt idx="213">
                  <c:v>44817</c:v>
                </c:pt>
                <c:pt idx="214">
                  <c:v>44824</c:v>
                </c:pt>
                <c:pt idx="215">
                  <c:v>44831</c:v>
                </c:pt>
                <c:pt idx="216">
                  <c:v>44838</c:v>
                </c:pt>
                <c:pt idx="217">
                  <c:v>44845</c:v>
                </c:pt>
                <c:pt idx="218">
                  <c:v>44852</c:v>
                </c:pt>
                <c:pt idx="219">
                  <c:v>44859</c:v>
                </c:pt>
                <c:pt idx="220">
                  <c:v>44866</c:v>
                </c:pt>
                <c:pt idx="221">
                  <c:v>44873</c:v>
                </c:pt>
                <c:pt idx="222">
                  <c:v>44880</c:v>
                </c:pt>
                <c:pt idx="223">
                  <c:v>44887</c:v>
                </c:pt>
                <c:pt idx="224">
                  <c:v>44894</c:v>
                </c:pt>
                <c:pt idx="225">
                  <c:v>44901</c:v>
                </c:pt>
                <c:pt idx="226">
                  <c:v>44908</c:v>
                </c:pt>
                <c:pt idx="227">
                  <c:v>44915</c:v>
                </c:pt>
                <c:pt idx="228">
                  <c:v>44922</c:v>
                </c:pt>
                <c:pt idx="229">
                  <c:v>44929</c:v>
                </c:pt>
                <c:pt idx="230">
                  <c:v>44936</c:v>
                </c:pt>
                <c:pt idx="231">
                  <c:v>44943</c:v>
                </c:pt>
                <c:pt idx="232">
                  <c:v>44950</c:v>
                </c:pt>
                <c:pt idx="233">
                  <c:v>44957</c:v>
                </c:pt>
                <c:pt idx="234">
                  <c:v>44964</c:v>
                </c:pt>
                <c:pt idx="235">
                  <c:v>44971</c:v>
                </c:pt>
                <c:pt idx="236">
                  <c:v>44978</c:v>
                </c:pt>
                <c:pt idx="237">
                  <c:v>44985</c:v>
                </c:pt>
                <c:pt idx="238">
                  <c:v>44992</c:v>
                </c:pt>
                <c:pt idx="239">
                  <c:v>44999</c:v>
                </c:pt>
                <c:pt idx="240">
                  <c:v>45006</c:v>
                </c:pt>
                <c:pt idx="241">
                  <c:v>45013</c:v>
                </c:pt>
                <c:pt idx="242">
                  <c:v>45020</c:v>
                </c:pt>
                <c:pt idx="243">
                  <c:v>45027</c:v>
                </c:pt>
                <c:pt idx="244">
                  <c:v>45034</c:v>
                </c:pt>
                <c:pt idx="245">
                  <c:v>45041</c:v>
                </c:pt>
                <c:pt idx="246">
                  <c:v>45048</c:v>
                </c:pt>
                <c:pt idx="247">
                  <c:v>45055</c:v>
                </c:pt>
                <c:pt idx="248">
                  <c:v>45062</c:v>
                </c:pt>
                <c:pt idx="249">
                  <c:v>45069</c:v>
                </c:pt>
                <c:pt idx="250">
                  <c:v>45076</c:v>
                </c:pt>
                <c:pt idx="251">
                  <c:v>45083</c:v>
                </c:pt>
                <c:pt idx="252">
                  <c:v>45090</c:v>
                </c:pt>
                <c:pt idx="253">
                  <c:v>45097</c:v>
                </c:pt>
                <c:pt idx="254">
                  <c:v>45104</c:v>
                </c:pt>
                <c:pt idx="255">
                  <c:v>45111</c:v>
                </c:pt>
                <c:pt idx="256">
                  <c:v>45118</c:v>
                </c:pt>
                <c:pt idx="257">
                  <c:v>45125</c:v>
                </c:pt>
                <c:pt idx="258">
                  <c:v>45132</c:v>
                </c:pt>
                <c:pt idx="259">
                  <c:v>45139</c:v>
                </c:pt>
                <c:pt idx="260">
                  <c:v>45146</c:v>
                </c:pt>
                <c:pt idx="261">
                  <c:v>45153</c:v>
                </c:pt>
                <c:pt idx="262">
                  <c:v>45160</c:v>
                </c:pt>
                <c:pt idx="263">
                  <c:v>45167</c:v>
                </c:pt>
                <c:pt idx="264">
                  <c:v>45174</c:v>
                </c:pt>
                <c:pt idx="265">
                  <c:v>45181</c:v>
                </c:pt>
                <c:pt idx="266">
                  <c:v>45188</c:v>
                </c:pt>
                <c:pt idx="267">
                  <c:v>45195</c:v>
                </c:pt>
                <c:pt idx="268">
                  <c:v>45202</c:v>
                </c:pt>
                <c:pt idx="269">
                  <c:v>45209</c:v>
                </c:pt>
                <c:pt idx="270">
                  <c:v>45216</c:v>
                </c:pt>
                <c:pt idx="271">
                  <c:v>45223</c:v>
                </c:pt>
                <c:pt idx="272">
                  <c:v>45230</c:v>
                </c:pt>
                <c:pt idx="273">
                  <c:v>45237</c:v>
                </c:pt>
                <c:pt idx="274">
                  <c:v>45244</c:v>
                </c:pt>
                <c:pt idx="275">
                  <c:v>45251</c:v>
                </c:pt>
                <c:pt idx="276">
                  <c:v>45258</c:v>
                </c:pt>
                <c:pt idx="277">
                  <c:v>45265</c:v>
                </c:pt>
                <c:pt idx="278">
                  <c:v>45272</c:v>
                </c:pt>
                <c:pt idx="279">
                  <c:v>45279</c:v>
                </c:pt>
                <c:pt idx="280">
                  <c:v>45286</c:v>
                </c:pt>
                <c:pt idx="281">
                  <c:v>45293</c:v>
                </c:pt>
                <c:pt idx="282">
                  <c:v>45300</c:v>
                </c:pt>
                <c:pt idx="283">
                  <c:v>45307</c:v>
                </c:pt>
                <c:pt idx="284">
                  <c:v>45314</c:v>
                </c:pt>
                <c:pt idx="285">
                  <c:v>45321</c:v>
                </c:pt>
                <c:pt idx="286">
                  <c:v>45328</c:v>
                </c:pt>
                <c:pt idx="287">
                  <c:v>45335</c:v>
                </c:pt>
                <c:pt idx="288">
                  <c:v>45342</c:v>
                </c:pt>
                <c:pt idx="289">
                  <c:v>45349</c:v>
                </c:pt>
                <c:pt idx="290">
                  <c:v>45356</c:v>
                </c:pt>
                <c:pt idx="291">
                  <c:v>45363</c:v>
                </c:pt>
                <c:pt idx="292">
                  <c:v>45370</c:v>
                </c:pt>
                <c:pt idx="293">
                  <c:v>45377</c:v>
                </c:pt>
                <c:pt idx="294">
                  <c:v>45384</c:v>
                </c:pt>
                <c:pt idx="295">
                  <c:v>45391</c:v>
                </c:pt>
                <c:pt idx="296">
                  <c:v>45398</c:v>
                </c:pt>
                <c:pt idx="297">
                  <c:v>45405</c:v>
                </c:pt>
                <c:pt idx="298">
                  <c:v>45412</c:v>
                </c:pt>
                <c:pt idx="299">
                  <c:v>45419</c:v>
                </c:pt>
                <c:pt idx="300">
                  <c:v>45426</c:v>
                </c:pt>
                <c:pt idx="301">
                  <c:v>45433</c:v>
                </c:pt>
                <c:pt idx="302">
                  <c:v>45440</c:v>
                </c:pt>
                <c:pt idx="303">
                  <c:v>45447</c:v>
                </c:pt>
                <c:pt idx="304">
                  <c:v>45454</c:v>
                </c:pt>
                <c:pt idx="305">
                  <c:v>45461</c:v>
                </c:pt>
                <c:pt idx="306">
                  <c:v>45468</c:v>
                </c:pt>
                <c:pt idx="307">
                  <c:v>45475</c:v>
                </c:pt>
                <c:pt idx="308">
                  <c:v>45482</c:v>
                </c:pt>
                <c:pt idx="309">
                  <c:v>45489</c:v>
                </c:pt>
                <c:pt idx="310">
                  <c:v>45496</c:v>
                </c:pt>
                <c:pt idx="311">
                  <c:v>45503</c:v>
                </c:pt>
                <c:pt idx="312">
                  <c:v>45510</c:v>
                </c:pt>
                <c:pt idx="313">
                  <c:v>45517</c:v>
                </c:pt>
                <c:pt idx="314">
                  <c:v>45524</c:v>
                </c:pt>
                <c:pt idx="315">
                  <c:v>45531</c:v>
                </c:pt>
                <c:pt idx="316">
                  <c:v>45538</c:v>
                </c:pt>
                <c:pt idx="317">
                  <c:v>45545</c:v>
                </c:pt>
                <c:pt idx="318">
                  <c:v>45552</c:v>
                </c:pt>
                <c:pt idx="319">
                  <c:v>45559</c:v>
                </c:pt>
                <c:pt idx="320">
                  <c:v>45566</c:v>
                </c:pt>
                <c:pt idx="321">
                  <c:v>45573</c:v>
                </c:pt>
                <c:pt idx="322">
                  <c:v>45580</c:v>
                </c:pt>
                <c:pt idx="323">
                  <c:v>45587</c:v>
                </c:pt>
                <c:pt idx="324">
                  <c:v>45594</c:v>
                </c:pt>
                <c:pt idx="325">
                  <c:v>45601</c:v>
                </c:pt>
                <c:pt idx="326">
                  <c:v>45608</c:v>
                </c:pt>
                <c:pt idx="327">
                  <c:v>45615</c:v>
                </c:pt>
                <c:pt idx="328">
                  <c:v>45622</c:v>
                </c:pt>
                <c:pt idx="329">
                  <c:v>45629</c:v>
                </c:pt>
                <c:pt idx="330">
                  <c:v>45636</c:v>
                </c:pt>
                <c:pt idx="331">
                  <c:v>45643</c:v>
                </c:pt>
                <c:pt idx="332">
                  <c:v>45650</c:v>
                </c:pt>
                <c:pt idx="333">
                  <c:v>45657</c:v>
                </c:pt>
                <c:pt idx="334">
                  <c:v>45664</c:v>
                </c:pt>
                <c:pt idx="335">
                  <c:v>45671</c:v>
                </c:pt>
                <c:pt idx="336">
                  <c:v>45678</c:v>
                </c:pt>
                <c:pt idx="337">
                  <c:v>45685</c:v>
                </c:pt>
                <c:pt idx="338">
                  <c:v>45692</c:v>
                </c:pt>
                <c:pt idx="339">
                  <c:v>45699</c:v>
                </c:pt>
                <c:pt idx="340">
                  <c:v>45706</c:v>
                </c:pt>
                <c:pt idx="341">
                  <c:v>45713</c:v>
                </c:pt>
                <c:pt idx="342">
                  <c:v>45720</c:v>
                </c:pt>
                <c:pt idx="343">
                  <c:v>45727</c:v>
                </c:pt>
                <c:pt idx="344">
                  <c:v>45734</c:v>
                </c:pt>
                <c:pt idx="345">
                  <c:v>45741</c:v>
                </c:pt>
                <c:pt idx="346">
                  <c:v>45748</c:v>
                </c:pt>
                <c:pt idx="347">
                  <c:v>45755</c:v>
                </c:pt>
                <c:pt idx="348">
                  <c:v>45762</c:v>
                </c:pt>
                <c:pt idx="349">
                  <c:v>45769</c:v>
                </c:pt>
                <c:pt idx="350">
                  <c:v>45776</c:v>
                </c:pt>
                <c:pt idx="351">
                  <c:v>45783</c:v>
                </c:pt>
                <c:pt idx="352">
                  <c:v>45790</c:v>
                </c:pt>
                <c:pt idx="353">
                  <c:v>45797</c:v>
                </c:pt>
                <c:pt idx="354">
                  <c:v>45804</c:v>
                </c:pt>
                <c:pt idx="355">
                  <c:v>45811</c:v>
                </c:pt>
                <c:pt idx="356">
                  <c:v>45818</c:v>
                </c:pt>
                <c:pt idx="357">
                  <c:v>45825</c:v>
                </c:pt>
                <c:pt idx="358">
                  <c:v>45832</c:v>
                </c:pt>
                <c:pt idx="359">
                  <c:v>45839</c:v>
                </c:pt>
                <c:pt idx="360">
                  <c:v>45846</c:v>
                </c:pt>
                <c:pt idx="361">
                  <c:v>45853</c:v>
                </c:pt>
                <c:pt idx="362">
                  <c:v>45860</c:v>
                </c:pt>
                <c:pt idx="363">
                  <c:v>45867</c:v>
                </c:pt>
                <c:pt idx="364">
                  <c:v>45874</c:v>
                </c:pt>
                <c:pt idx="365">
                  <c:v>45881</c:v>
                </c:pt>
                <c:pt idx="366">
                  <c:v>45888</c:v>
                </c:pt>
                <c:pt idx="367">
                  <c:v>45895</c:v>
                </c:pt>
                <c:pt idx="368">
                  <c:v>45902</c:v>
                </c:pt>
                <c:pt idx="369">
                  <c:v>45909</c:v>
                </c:pt>
                <c:pt idx="370">
                  <c:v>45916</c:v>
                </c:pt>
                <c:pt idx="371">
                  <c:v>45923</c:v>
                </c:pt>
                <c:pt idx="372">
                  <c:v>45930</c:v>
                </c:pt>
                <c:pt idx="373">
                  <c:v>45937</c:v>
                </c:pt>
                <c:pt idx="374">
                  <c:v>45944</c:v>
                </c:pt>
                <c:pt idx="375">
                  <c:v>45951</c:v>
                </c:pt>
                <c:pt idx="376">
                  <c:v>45958</c:v>
                </c:pt>
                <c:pt idx="377">
                  <c:v>45965</c:v>
                </c:pt>
                <c:pt idx="378">
                  <c:v>45972</c:v>
                </c:pt>
                <c:pt idx="379">
                  <c:v>45979</c:v>
                </c:pt>
                <c:pt idx="380">
                  <c:v>45986</c:v>
                </c:pt>
                <c:pt idx="381">
                  <c:v>45993</c:v>
                </c:pt>
                <c:pt idx="382">
                  <c:v>46000</c:v>
                </c:pt>
                <c:pt idx="383">
                  <c:v>46007</c:v>
                </c:pt>
                <c:pt idx="384">
                  <c:v>46014</c:v>
                </c:pt>
                <c:pt idx="385">
                  <c:v>46021</c:v>
                </c:pt>
                <c:pt idx="386">
                  <c:v>46028</c:v>
                </c:pt>
                <c:pt idx="387">
                  <c:v>46035</c:v>
                </c:pt>
                <c:pt idx="388">
                  <c:v>46042</c:v>
                </c:pt>
                <c:pt idx="389">
                  <c:v>46049</c:v>
                </c:pt>
                <c:pt idx="390">
                  <c:v>46056</c:v>
                </c:pt>
                <c:pt idx="391">
                  <c:v>46063</c:v>
                </c:pt>
                <c:pt idx="392">
                  <c:v>46070</c:v>
                </c:pt>
                <c:pt idx="393">
                  <c:v>46077</c:v>
                </c:pt>
                <c:pt idx="394">
                  <c:v>46084</c:v>
                </c:pt>
                <c:pt idx="395">
                  <c:v>46091</c:v>
                </c:pt>
                <c:pt idx="396">
                  <c:v>46098</c:v>
                </c:pt>
                <c:pt idx="397">
                  <c:v>46105</c:v>
                </c:pt>
                <c:pt idx="398">
                  <c:v>46112</c:v>
                </c:pt>
                <c:pt idx="399">
                  <c:v>46119</c:v>
                </c:pt>
                <c:pt idx="400">
                  <c:v>46126</c:v>
                </c:pt>
                <c:pt idx="401">
                  <c:v>46133</c:v>
                </c:pt>
                <c:pt idx="402">
                  <c:v>46140</c:v>
                </c:pt>
                <c:pt idx="403">
                  <c:v>46147</c:v>
                </c:pt>
                <c:pt idx="404">
                  <c:v>46154</c:v>
                </c:pt>
                <c:pt idx="405">
                  <c:v>46161</c:v>
                </c:pt>
                <c:pt idx="406">
                  <c:v>46168</c:v>
                </c:pt>
                <c:pt idx="407">
                  <c:v>46175</c:v>
                </c:pt>
                <c:pt idx="408">
                  <c:v>46182</c:v>
                </c:pt>
                <c:pt idx="409">
                  <c:v>46189</c:v>
                </c:pt>
                <c:pt idx="410">
                  <c:v>46196</c:v>
                </c:pt>
                <c:pt idx="411">
                  <c:v>46203</c:v>
                </c:pt>
                <c:pt idx="412">
                  <c:v>46210</c:v>
                </c:pt>
                <c:pt idx="413">
                  <c:v>46217</c:v>
                </c:pt>
                <c:pt idx="414">
                  <c:v>46224</c:v>
                </c:pt>
                <c:pt idx="415">
                  <c:v>46231</c:v>
                </c:pt>
                <c:pt idx="416">
                  <c:v>46238</c:v>
                </c:pt>
                <c:pt idx="417">
                  <c:v>46245</c:v>
                </c:pt>
                <c:pt idx="418">
                  <c:v>46252</c:v>
                </c:pt>
                <c:pt idx="419">
                  <c:v>46259</c:v>
                </c:pt>
                <c:pt idx="420">
                  <c:v>46266</c:v>
                </c:pt>
                <c:pt idx="421">
                  <c:v>46273</c:v>
                </c:pt>
                <c:pt idx="422">
                  <c:v>46280</c:v>
                </c:pt>
                <c:pt idx="423">
                  <c:v>46287</c:v>
                </c:pt>
                <c:pt idx="424">
                  <c:v>46294</c:v>
                </c:pt>
                <c:pt idx="425">
                  <c:v>46301</c:v>
                </c:pt>
                <c:pt idx="426">
                  <c:v>46308</c:v>
                </c:pt>
                <c:pt idx="427">
                  <c:v>46315</c:v>
                </c:pt>
                <c:pt idx="428">
                  <c:v>46322</c:v>
                </c:pt>
                <c:pt idx="429">
                  <c:v>46329</c:v>
                </c:pt>
                <c:pt idx="430">
                  <c:v>46336</c:v>
                </c:pt>
                <c:pt idx="431">
                  <c:v>46343</c:v>
                </c:pt>
                <c:pt idx="432">
                  <c:v>46350</c:v>
                </c:pt>
                <c:pt idx="433">
                  <c:v>46357</c:v>
                </c:pt>
                <c:pt idx="434">
                  <c:v>46364</c:v>
                </c:pt>
                <c:pt idx="435">
                  <c:v>46371</c:v>
                </c:pt>
                <c:pt idx="436">
                  <c:v>46378</c:v>
                </c:pt>
                <c:pt idx="437">
                  <c:v>46385</c:v>
                </c:pt>
                <c:pt idx="438">
                  <c:v>46392</c:v>
                </c:pt>
                <c:pt idx="439">
                  <c:v>46399</c:v>
                </c:pt>
                <c:pt idx="440">
                  <c:v>46406</c:v>
                </c:pt>
                <c:pt idx="441">
                  <c:v>46413</c:v>
                </c:pt>
                <c:pt idx="442">
                  <c:v>46420</c:v>
                </c:pt>
                <c:pt idx="443">
                  <c:v>46427</c:v>
                </c:pt>
                <c:pt idx="444">
                  <c:v>46434</c:v>
                </c:pt>
                <c:pt idx="445">
                  <c:v>46441</c:v>
                </c:pt>
                <c:pt idx="446">
                  <c:v>46448</c:v>
                </c:pt>
                <c:pt idx="447">
                  <c:v>46455</c:v>
                </c:pt>
                <c:pt idx="448">
                  <c:v>46462</c:v>
                </c:pt>
                <c:pt idx="449">
                  <c:v>46469</c:v>
                </c:pt>
                <c:pt idx="450">
                  <c:v>46476</c:v>
                </c:pt>
                <c:pt idx="451">
                  <c:v>46483</c:v>
                </c:pt>
                <c:pt idx="452">
                  <c:v>46490</c:v>
                </c:pt>
                <c:pt idx="453">
                  <c:v>46497</c:v>
                </c:pt>
                <c:pt idx="454">
                  <c:v>46504</c:v>
                </c:pt>
                <c:pt idx="455">
                  <c:v>46511</c:v>
                </c:pt>
                <c:pt idx="456">
                  <c:v>46518</c:v>
                </c:pt>
                <c:pt idx="457">
                  <c:v>46525</c:v>
                </c:pt>
                <c:pt idx="458">
                  <c:v>46532</c:v>
                </c:pt>
                <c:pt idx="459">
                  <c:v>46539</c:v>
                </c:pt>
                <c:pt idx="460">
                  <c:v>46546</c:v>
                </c:pt>
                <c:pt idx="461">
                  <c:v>46553</c:v>
                </c:pt>
                <c:pt idx="462">
                  <c:v>46560</c:v>
                </c:pt>
                <c:pt idx="463">
                  <c:v>46567</c:v>
                </c:pt>
                <c:pt idx="464">
                  <c:v>46574</c:v>
                </c:pt>
                <c:pt idx="465">
                  <c:v>46581</c:v>
                </c:pt>
                <c:pt idx="466">
                  <c:v>46588</c:v>
                </c:pt>
                <c:pt idx="467">
                  <c:v>46595</c:v>
                </c:pt>
                <c:pt idx="468">
                  <c:v>46602</c:v>
                </c:pt>
                <c:pt idx="469">
                  <c:v>46609</c:v>
                </c:pt>
                <c:pt idx="470">
                  <c:v>46616</c:v>
                </c:pt>
                <c:pt idx="471">
                  <c:v>46623</c:v>
                </c:pt>
                <c:pt idx="472">
                  <c:v>46630</c:v>
                </c:pt>
                <c:pt idx="473">
                  <c:v>46637</c:v>
                </c:pt>
                <c:pt idx="474">
                  <c:v>46644</c:v>
                </c:pt>
                <c:pt idx="475">
                  <c:v>46651</c:v>
                </c:pt>
                <c:pt idx="476">
                  <c:v>46658</c:v>
                </c:pt>
                <c:pt idx="477">
                  <c:v>46665</c:v>
                </c:pt>
                <c:pt idx="478">
                  <c:v>46672</c:v>
                </c:pt>
                <c:pt idx="479">
                  <c:v>46679</c:v>
                </c:pt>
                <c:pt idx="480">
                  <c:v>46686</c:v>
                </c:pt>
                <c:pt idx="481">
                  <c:v>46693</c:v>
                </c:pt>
                <c:pt idx="482">
                  <c:v>46700</c:v>
                </c:pt>
                <c:pt idx="483">
                  <c:v>46707</c:v>
                </c:pt>
                <c:pt idx="484">
                  <c:v>46714</c:v>
                </c:pt>
                <c:pt idx="485">
                  <c:v>46721</c:v>
                </c:pt>
                <c:pt idx="486">
                  <c:v>46728</c:v>
                </c:pt>
                <c:pt idx="487">
                  <c:v>46735</c:v>
                </c:pt>
                <c:pt idx="488">
                  <c:v>46742</c:v>
                </c:pt>
                <c:pt idx="489">
                  <c:v>46749</c:v>
                </c:pt>
                <c:pt idx="490">
                  <c:v>46756</c:v>
                </c:pt>
                <c:pt idx="491">
                  <c:v>46763</c:v>
                </c:pt>
              </c:numCache>
            </c:numRef>
          </c:xVal>
          <c:yVal>
            <c:numRef>
              <c:f>DISPLAY_CURVE!$D$10:$D$501</c:f>
              <c:numCache>
                <c:formatCode>0.00000%</c:formatCode>
                <c:ptCount val="492"/>
                <c:pt idx="0">
                  <c:v>2.3088466520437598E-2</c:v>
                </c:pt>
                <c:pt idx="1">
                  <c:v>2.3175566959123945E-2</c:v>
                </c:pt>
                <c:pt idx="2">
                  <c:v>2.3277184137591351E-2</c:v>
                </c:pt>
                <c:pt idx="3">
                  <c:v>2.3378801316058753E-2</c:v>
                </c:pt>
                <c:pt idx="4">
                  <c:v>2.3480418494526159E-2</c:v>
                </c:pt>
                <c:pt idx="5">
                  <c:v>2.3582035672993561E-2</c:v>
                </c:pt>
                <c:pt idx="6">
                  <c:v>2.3761159654876251E-2</c:v>
                </c:pt>
                <c:pt idx="7">
                  <c:v>2.3953201437328153E-2</c:v>
                </c:pt>
                <c:pt idx="8">
                  <c:v>2.4145243219780056E-2</c:v>
                </c:pt>
                <c:pt idx="9">
                  <c:v>2.4337285002231958E-2</c:v>
                </c:pt>
                <c:pt idx="10">
                  <c:v>2.4529326784683864E-2</c:v>
                </c:pt>
                <c:pt idx="11">
                  <c:v>2.4721368567135766E-2</c:v>
                </c:pt>
                <c:pt idx="12">
                  <c:v>2.4913410349587668E-2</c:v>
                </c:pt>
                <c:pt idx="13">
                  <c:v>2.5105452132039571E-2</c:v>
                </c:pt>
                <c:pt idx="14">
                  <c:v>2.5297016060254793E-2</c:v>
                </c:pt>
                <c:pt idx="15">
                  <c:v>2.5485712863049924E-2</c:v>
                </c:pt>
                <c:pt idx="16">
                  <c:v>2.5674409665845058E-2</c:v>
                </c:pt>
                <c:pt idx="17">
                  <c:v>2.5863106468640193E-2</c:v>
                </c:pt>
                <c:pt idx="18">
                  <c:v>2.6051803271435324E-2</c:v>
                </c:pt>
                <c:pt idx="19">
                  <c:v>2.6168496516840774E-2</c:v>
                </c:pt>
                <c:pt idx="20">
                  <c:v>2.6273189169347944E-2</c:v>
                </c:pt>
                <c:pt idx="21">
                  <c:v>2.6377881821855118E-2</c:v>
                </c:pt>
                <c:pt idx="22">
                  <c:v>2.6482574474362287E-2</c:v>
                </c:pt>
                <c:pt idx="23">
                  <c:v>2.6587267126869457E-2</c:v>
                </c:pt>
                <c:pt idx="24">
                  <c:v>2.6691959779376627E-2</c:v>
                </c:pt>
                <c:pt idx="25">
                  <c:v>2.6796652431883797E-2</c:v>
                </c:pt>
                <c:pt idx="26">
                  <c:v>2.6901345084390967E-2</c:v>
                </c:pt>
                <c:pt idx="27">
                  <c:v>2.7006037736898136E-2</c:v>
                </c:pt>
                <c:pt idx="28">
                  <c:v>2.7112824926874304E-2</c:v>
                </c:pt>
                <c:pt idx="29">
                  <c:v>2.7219612116850467E-2</c:v>
                </c:pt>
                <c:pt idx="30">
                  <c:v>2.7326399306826635E-2</c:v>
                </c:pt>
                <c:pt idx="31">
                  <c:v>2.7433186496802799E-2</c:v>
                </c:pt>
                <c:pt idx="32">
                  <c:v>2.7519766090761264E-2</c:v>
                </c:pt>
                <c:pt idx="33">
                  <c:v>2.7602977752050114E-2</c:v>
                </c:pt>
                <c:pt idx="34">
                  <c:v>2.7686189413338964E-2</c:v>
                </c:pt>
                <c:pt idx="35">
                  <c:v>2.7769401074627813E-2</c:v>
                </c:pt>
                <c:pt idx="36">
                  <c:v>2.7852612735916663E-2</c:v>
                </c:pt>
                <c:pt idx="37">
                  <c:v>2.7935824397205513E-2</c:v>
                </c:pt>
                <c:pt idx="38">
                  <c:v>2.8019036058494363E-2</c:v>
                </c:pt>
                <c:pt idx="39">
                  <c:v>2.8102247719783213E-2</c:v>
                </c:pt>
                <c:pt idx="40">
                  <c:v>2.8182512210550608E-2</c:v>
                </c:pt>
                <c:pt idx="41">
                  <c:v>2.8260566323426911E-2</c:v>
                </c:pt>
                <c:pt idx="42">
                  <c:v>2.8338620436303218E-2</c:v>
                </c:pt>
                <c:pt idx="43">
                  <c:v>2.8416674549179521E-2</c:v>
                </c:pt>
                <c:pt idx="44">
                  <c:v>2.8494728662055827E-2</c:v>
                </c:pt>
                <c:pt idx="45">
                  <c:v>2.8545463771230409E-2</c:v>
                </c:pt>
                <c:pt idx="46">
                  <c:v>2.8591645713121373E-2</c:v>
                </c:pt>
                <c:pt idx="47">
                  <c:v>2.8637827655012337E-2</c:v>
                </c:pt>
                <c:pt idx="48">
                  <c:v>2.8684009596903301E-2</c:v>
                </c:pt>
                <c:pt idx="49">
                  <c:v>2.8730191538794265E-2</c:v>
                </c:pt>
                <c:pt idx="50">
                  <c:v>2.8776373480685229E-2</c:v>
                </c:pt>
                <c:pt idx="51">
                  <c:v>2.8822555422576192E-2</c:v>
                </c:pt>
                <c:pt idx="52">
                  <c:v>2.8868737364467156E-2</c:v>
                </c:pt>
                <c:pt idx="53">
                  <c:v>2.8914756112265756E-2</c:v>
                </c:pt>
                <c:pt idx="54">
                  <c:v>2.8959795695510184E-2</c:v>
                </c:pt>
                <c:pt idx="55">
                  <c:v>2.9004835278754613E-2</c:v>
                </c:pt>
                <c:pt idx="56">
                  <c:v>2.9049874861999041E-2</c:v>
                </c:pt>
                <c:pt idx="57">
                  <c:v>2.909491444524347E-2</c:v>
                </c:pt>
                <c:pt idx="58">
                  <c:v>2.9120275715077255E-2</c:v>
                </c:pt>
                <c:pt idx="59">
                  <c:v>2.9142357266009267E-2</c:v>
                </c:pt>
                <c:pt idx="60">
                  <c:v>2.9164438816941283E-2</c:v>
                </c:pt>
                <c:pt idx="61">
                  <c:v>2.9186520367873295E-2</c:v>
                </c:pt>
                <c:pt idx="62">
                  <c:v>2.9208601918805307E-2</c:v>
                </c:pt>
                <c:pt idx="63">
                  <c:v>2.9230683469737319E-2</c:v>
                </c:pt>
                <c:pt idx="64">
                  <c:v>2.9252765020669334E-2</c:v>
                </c:pt>
                <c:pt idx="65">
                  <c:v>2.9274846571601346E-2</c:v>
                </c:pt>
                <c:pt idx="66">
                  <c:v>2.9296818550097123E-2</c:v>
                </c:pt>
                <c:pt idx="67">
                  <c:v>2.9318133093975469E-2</c:v>
                </c:pt>
                <c:pt idx="68">
                  <c:v>2.9339447637853816E-2</c:v>
                </c:pt>
                <c:pt idx="69">
                  <c:v>2.9360762181732163E-2</c:v>
                </c:pt>
                <c:pt idx="70">
                  <c:v>2.9382076725610509E-2</c:v>
                </c:pt>
                <c:pt idx="71">
                  <c:v>2.938319200104544E-2</c:v>
                </c:pt>
                <c:pt idx="72">
                  <c:v>2.9380940731739798E-2</c:v>
                </c:pt>
                <c:pt idx="73">
                  <c:v>2.9378689462434156E-2</c:v>
                </c:pt>
                <c:pt idx="74">
                  <c:v>2.9376438193128514E-2</c:v>
                </c:pt>
                <c:pt idx="75">
                  <c:v>2.9374186923822872E-2</c:v>
                </c:pt>
                <c:pt idx="76">
                  <c:v>2.937193565451723E-2</c:v>
                </c:pt>
                <c:pt idx="77">
                  <c:v>2.9369684385211592E-2</c:v>
                </c:pt>
                <c:pt idx="78">
                  <c:v>2.936743311590595E-2</c:v>
                </c:pt>
                <c:pt idx="79">
                  <c:v>2.9365181846600308E-2</c:v>
                </c:pt>
                <c:pt idx="80">
                  <c:v>2.9363319176398693E-2</c:v>
                </c:pt>
                <c:pt idx="81">
                  <c:v>2.9361456506197075E-2</c:v>
                </c:pt>
                <c:pt idx="82">
                  <c:v>2.935959383599546E-2</c:v>
                </c:pt>
                <c:pt idx="83">
                  <c:v>2.9357731165793845E-2</c:v>
                </c:pt>
                <c:pt idx="84">
                  <c:v>2.9355008804100552E-2</c:v>
                </c:pt>
                <c:pt idx="85">
                  <c:v>2.9352143160491981E-2</c:v>
                </c:pt>
                <c:pt idx="86">
                  <c:v>2.9349277516883408E-2</c:v>
                </c:pt>
                <c:pt idx="87">
                  <c:v>2.9346411873274837E-2</c:v>
                </c:pt>
                <c:pt idx="88">
                  <c:v>2.9343546229666263E-2</c:v>
                </c:pt>
                <c:pt idx="89">
                  <c:v>2.9340680586057693E-2</c:v>
                </c:pt>
                <c:pt idx="90">
                  <c:v>2.9337814942449119E-2</c:v>
                </c:pt>
                <c:pt idx="91">
                  <c:v>2.9334949298840549E-2</c:v>
                </c:pt>
                <c:pt idx="92">
                  <c:v>2.9332031301695441E-2</c:v>
                </c:pt>
                <c:pt idx="93">
                  <c:v>2.9328799183331106E-2</c:v>
                </c:pt>
                <c:pt idx="94">
                  <c:v>2.9325567064966772E-2</c:v>
                </c:pt>
                <c:pt idx="95">
                  <c:v>2.9322334946602437E-2</c:v>
                </c:pt>
                <c:pt idx="96">
                  <c:v>2.9319102828238103E-2</c:v>
                </c:pt>
                <c:pt idx="97">
                  <c:v>2.9315461289403232E-2</c:v>
                </c:pt>
                <c:pt idx="98">
                  <c:v>2.9311751513823269E-2</c:v>
                </c:pt>
                <c:pt idx="99">
                  <c:v>2.9308041738243307E-2</c:v>
                </c:pt>
                <c:pt idx="100">
                  <c:v>2.9304331962663344E-2</c:v>
                </c:pt>
                <c:pt idx="101">
                  <c:v>2.9300622187083385E-2</c:v>
                </c:pt>
                <c:pt idx="102">
                  <c:v>2.9296912411503423E-2</c:v>
                </c:pt>
                <c:pt idx="103">
                  <c:v>2.9293202635923461E-2</c:v>
                </c:pt>
                <c:pt idx="104">
                  <c:v>2.9289492860343498E-2</c:v>
                </c:pt>
                <c:pt idx="105">
                  <c:v>2.9285732862814363E-2</c:v>
                </c:pt>
                <c:pt idx="106">
                  <c:v>2.9281671533590185E-2</c:v>
                </c:pt>
                <c:pt idx="107">
                  <c:v>2.9277610204366009E-2</c:v>
                </c:pt>
                <c:pt idx="108">
                  <c:v>2.9273548875141834E-2</c:v>
                </c:pt>
                <c:pt idx="109">
                  <c:v>2.9269487545917655E-2</c:v>
                </c:pt>
                <c:pt idx="110">
                  <c:v>2.9265019857524967E-2</c:v>
                </c:pt>
                <c:pt idx="111">
                  <c:v>2.9260484442604189E-2</c:v>
                </c:pt>
                <c:pt idx="112">
                  <c:v>2.9255949027683414E-2</c:v>
                </c:pt>
                <c:pt idx="113">
                  <c:v>2.925141361276264E-2</c:v>
                </c:pt>
                <c:pt idx="114">
                  <c:v>2.9246878197841861E-2</c:v>
                </c:pt>
                <c:pt idx="115">
                  <c:v>2.9242342782921087E-2</c:v>
                </c:pt>
                <c:pt idx="116">
                  <c:v>2.9237807368000312E-2</c:v>
                </c:pt>
                <c:pt idx="117">
                  <c:v>2.9233271953079534E-2</c:v>
                </c:pt>
                <c:pt idx="118">
                  <c:v>2.9228736538158759E-2</c:v>
                </c:pt>
                <c:pt idx="119">
                  <c:v>2.9223855948530882E-2</c:v>
                </c:pt>
                <c:pt idx="120">
                  <c:v>2.9218975358903009E-2</c:v>
                </c:pt>
                <c:pt idx="121">
                  <c:v>2.9214094769275133E-2</c:v>
                </c:pt>
                <c:pt idx="122">
                  <c:v>2.9209214179647256E-2</c:v>
                </c:pt>
                <c:pt idx="123">
                  <c:v>2.9203671149727529E-2</c:v>
                </c:pt>
                <c:pt idx="124">
                  <c:v>2.9198017713092494E-2</c:v>
                </c:pt>
                <c:pt idx="125">
                  <c:v>2.9192364276457456E-2</c:v>
                </c:pt>
                <c:pt idx="126">
                  <c:v>2.9186710839822421E-2</c:v>
                </c:pt>
                <c:pt idx="127">
                  <c:v>2.9181057403187386E-2</c:v>
                </c:pt>
                <c:pt idx="128">
                  <c:v>2.9175403966552348E-2</c:v>
                </c:pt>
                <c:pt idx="129">
                  <c:v>2.9169750529917313E-2</c:v>
                </c:pt>
                <c:pt idx="130">
                  <c:v>2.9164097093282278E-2</c:v>
                </c:pt>
                <c:pt idx="131">
                  <c:v>2.9158443656647239E-2</c:v>
                </c:pt>
                <c:pt idx="132">
                  <c:v>2.9153367994056923E-2</c:v>
                </c:pt>
                <c:pt idx="133">
                  <c:v>2.9148388627140729E-2</c:v>
                </c:pt>
                <c:pt idx="134">
                  <c:v>2.9143409260224531E-2</c:v>
                </c:pt>
                <c:pt idx="135">
                  <c:v>2.9138429893308334E-2</c:v>
                </c:pt>
                <c:pt idx="136">
                  <c:v>2.9125939113657923E-2</c:v>
                </c:pt>
                <c:pt idx="137">
                  <c:v>2.9112196431885142E-2</c:v>
                </c:pt>
                <c:pt idx="138">
                  <c:v>2.9098453750112364E-2</c:v>
                </c:pt>
                <c:pt idx="139">
                  <c:v>2.9084711068339583E-2</c:v>
                </c:pt>
                <c:pt idx="140">
                  <c:v>2.9070968386566805E-2</c:v>
                </c:pt>
                <c:pt idx="141">
                  <c:v>2.9057225704794024E-2</c:v>
                </c:pt>
                <c:pt idx="142">
                  <c:v>2.9043483023021247E-2</c:v>
                </c:pt>
                <c:pt idx="143">
                  <c:v>2.9029740341248465E-2</c:v>
                </c:pt>
                <c:pt idx="144">
                  <c:v>2.9015920751950332E-2</c:v>
                </c:pt>
                <c:pt idx="145">
                  <c:v>2.900163971750009E-2</c:v>
                </c:pt>
                <c:pt idx="146">
                  <c:v>2.8987358683049844E-2</c:v>
                </c:pt>
                <c:pt idx="147">
                  <c:v>2.8973077648599598E-2</c:v>
                </c:pt>
                <c:pt idx="148">
                  <c:v>2.8958796614149355E-2</c:v>
                </c:pt>
                <c:pt idx="149">
                  <c:v>2.8941855100869912E-2</c:v>
                </c:pt>
                <c:pt idx="150">
                  <c:v>2.8924470174452273E-2</c:v>
                </c:pt>
                <c:pt idx="151">
                  <c:v>2.8907085248034634E-2</c:v>
                </c:pt>
                <c:pt idx="152">
                  <c:v>2.8889700321616994E-2</c:v>
                </c:pt>
                <c:pt idx="153">
                  <c:v>2.8872315395199352E-2</c:v>
                </c:pt>
                <c:pt idx="154">
                  <c:v>2.8854930468781712E-2</c:v>
                </c:pt>
                <c:pt idx="155">
                  <c:v>2.8837545542364073E-2</c:v>
                </c:pt>
                <c:pt idx="156">
                  <c:v>2.882016061594643E-2</c:v>
                </c:pt>
                <c:pt idx="157">
                  <c:v>2.8802775689528791E-2</c:v>
                </c:pt>
                <c:pt idx="158">
                  <c:v>2.8783474858200073E-2</c:v>
                </c:pt>
                <c:pt idx="159">
                  <c:v>2.8764174026871359E-2</c:v>
                </c:pt>
                <c:pt idx="160">
                  <c:v>2.8744873195542642E-2</c:v>
                </c:pt>
                <c:pt idx="161">
                  <c:v>2.8725089569460668E-2</c:v>
                </c:pt>
                <c:pt idx="162">
                  <c:v>2.8704625662087216E-2</c:v>
                </c:pt>
                <c:pt idx="163">
                  <c:v>2.8684981074523008E-2</c:v>
                </c:pt>
                <c:pt idx="164">
                  <c:v>2.8666155806768047E-2</c:v>
                </c:pt>
                <c:pt idx="165">
                  <c:v>2.864814985882233E-2</c:v>
                </c:pt>
                <c:pt idx="166">
                  <c:v>2.8630963230685865E-2</c:v>
                </c:pt>
                <c:pt idx="167">
                  <c:v>2.8614595922358644E-2</c:v>
                </c:pt>
                <c:pt idx="168">
                  <c:v>2.859904793384067E-2</c:v>
                </c:pt>
                <c:pt idx="169">
                  <c:v>2.8584319265131945E-2</c:v>
                </c:pt>
                <c:pt idx="170">
                  <c:v>2.8570409916232466E-2</c:v>
                </c:pt>
                <c:pt idx="171">
                  <c:v>2.8557214321992177E-2</c:v>
                </c:pt>
                <c:pt idx="172">
                  <c:v>2.8544593945200262E-2</c:v>
                </c:pt>
                <c:pt idx="173">
                  <c:v>2.8532615786993627E-2</c:v>
                </c:pt>
                <c:pt idx="174">
                  <c:v>2.8521350019555351E-2</c:v>
                </c:pt>
                <c:pt idx="175">
                  <c:v>2.8510866815068519E-2</c:v>
                </c:pt>
                <c:pt idx="176">
                  <c:v>2.8501236345716212E-2</c:v>
                </c:pt>
                <c:pt idx="177">
                  <c:v>2.8492528783681508E-2</c:v>
                </c:pt>
                <c:pt idx="178">
                  <c:v>2.8484814301147493E-2</c:v>
                </c:pt>
                <c:pt idx="179">
                  <c:v>2.8478163070297245E-2</c:v>
                </c:pt>
                <c:pt idx="180">
                  <c:v>2.8472645263313844E-2</c:v>
                </c:pt>
                <c:pt idx="181">
                  <c:v>2.846833105238037E-2</c:v>
                </c:pt>
                <c:pt idx="182">
                  <c:v>2.8465290609679911E-2</c:v>
                </c:pt>
                <c:pt idx="183">
                  <c:v>2.8463594107395542E-2</c:v>
                </c:pt>
                <c:pt idx="184">
                  <c:v>2.8463027109610083E-2</c:v>
                </c:pt>
                <c:pt idx="185">
                  <c:v>2.8462814116013618E-2</c:v>
                </c:pt>
                <c:pt idx="186">
                  <c:v>2.8462858617746559E-2</c:v>
                </c:pt>
                <c:pt idx="187">
                  <c:v>2.8463107972297137E-2</c:v>
                </c:pt>
                <c:pt idx="188">
                  <c:v>2.8463509537153573E-2</c:v>
                </c:pt>
                <c:pt idx="189">
                  <c:v>2.8464010669804096E-2</c:v>
                </c:pt>
                <c:pt idx="190">
                  <c:v>2.8464558727736931E-2</c:v>
                </c:pt>
                <c:pt idx="191">
                  <c:v>2.8465101068440302E-2</c:v>
                </c:pt>
                <c:pt idx="192">
                  <c:v>2.8465585049402439E-2</c:v>
                </c:pt>
                <c:pt idx="193">
                  <c:v>2.8465958028111565E-2</c:v>
                </c:pt>
                <c:pt idx="194">
                  <c:v>2.8466167362055903E-2</c:v>
                </c:pt>
                <c:pt idx="195">
                  <c:v>2.8466160408723688E-2</c:v>
                </c:pt>
                <c:pt idx="196">
                  <c:v>2.8465884525603134E-2</c:v>
                </c:pt>
                <c:pt idx="197">
                  <c:v>2.8465451525063811E-2</c:v>
                </c:pt>
                <c:pt idx="198">
                  <c:v>2.8464993777825201E-2</c:v>
                </c:pt>
                <c:pt idx="199">
                  <c:v>2.8464489478900411E-2</c:v>
                </c:pt>
                <c:pt idx="200">
                  <c:v>2.846391682330255E-2</c:v>
                </c:pt>
                <c:pt idx="201">
                  <c:v>2.8463254006044728E-2</c:v>
                </c:pt>
                <c:pt idx="202">
                  <c:v>2.8462479222140048E-2</c:v>
                </c:pt>
                <c:pt idx="203">
                  <c:v>2.8461570666601623E-2</c:v>
                </c:pt>
                <c:pt idx="204">
                  <c:v>2.846050653444256E-2</c:v>
                </c:pt>
                <c:pt idx="205">
                  <c:v>2.8459265020675969E-2</c:v>
                </c:pt>
                <c:pt idx="206">
                  <c:v>2.8457824320314955E-2</c:v>
                </c:pt>
                <c:pt idx="207">
                  <c:v>2.8456162628372628E-2</c:v>
                </c:pt>
                <c:pt idx="208">
                  <c:v>2.8454258139862097E-2</c:v>
                </c:pt>
                <c:pt idx="209">
                  <c:v>2.8452089049796465E-2</c:v>
                </c:pt>
                <c:pt idx="210">
                  <c:v>2.8449470868827646E-2</c:v>
                </c:pt>
                <c:pt idx="211">
                  <c:v>2.8446195112288675E-2</c:v>
                </c:pt>
                <c:pt idx="212">
                  <c:v>2.844238972316528E-2</c:v>
                </c:pt>
                <c:pt idx="213">
                  <c:v>2.8438187689961703E-2</c:v>
                </c:pt>
                <c:pt idx="214">
                  <c:v>2.843372200118217E-2</c:v>
                </c:pt>
                <c:pt idx="215">
                  <c:v>2.8429125645330924E-2</c:v>
                </c:pt>
                <c:pt idx="216">
                  <c:v>2.8424531610912195E-2</c:v>
                </c:pt>
                <c:pt idx="217">
                  <c:v>2.8420072886430222E-2</c:v>
                </c:pt>
                <c:pt idx="218">
                  <c:v>2.8415882460389234E-2</c:v>
                </c:pt>
                <c:pt idx="219">
                  <c:v>2.8412093321293474E-2</c:v>
                </c:pt>
                <c:pt idx="220">
                  <c:v>2.8408838457647169E-2</c:v>
                </c:pt>
                <c:pt idx="221">
                  <c:v>2.8406250857954563E-2</c:v>
                </c:pt>
                <c:pt idx="222">
                  <c:v>2.8404463510719881E-2</c:v>
                </c:pt>
                <c:pt idx="223">
                  <c:v>2.8403433351949527E-2</c:v>
                </c:pt>
                <c:pt idx="224">
                  <c:v>2.840275129498961E-2</c:v>
                </c:pt>
                <c:pt idx="225">
                  <c:v>2.8402409039274004E-2</c:v>
                </c:pt>
                <c:pt idx="226">
                  <c:v>2.8402424892351109E-2</c:v>
                </c:pt>
                <c:pt idx="227">
                  <c:v>2.8402817161769334E-2</c:v>
                </c:pt>
                <c:pt idx="228">
                  <c:v>2.8403604155077089E-2</c:v>
                </c:pt>
                <c:pt idx="229">
                  <c:v>2.8404804179822777E-2</c:v>
                </c:pt>
                <c:pt idx="230">
                  <c:v>2.8406435543554806E-2</c:v>
                </c:pt>
                <c:pt idx="231">
                  <c:v>2.8408516553821584E-2</c:v>
                </c:pt>
                <c:pt idx="232">
                  <c:v>2.8411065518171519E-2</c:v>
                </c:pt>
                <c:pt idx="233">
                  <c:v>2.8414100744153018E-2</c:v>
                </c:pt>
                <c:pt idx="234">
                  <c:v>2.8417640539314486E-2</c:v>
                </c:pt>
                <c:pt idx="235">
                  <c:v>2.8421703211204331E-2</c:v>
                </c:pt>
                <c:pt idx="236">
                  <c:v>2.842636268535299E-2</c:v>
                </c:pt>
                <c:pt idx="237">
                  <c:v>2.8431840343237317E-2</c:v>
                </c:pt>
                <c:pt idx="238">
                  <c:v>2.8438066399936682E-2</c:v>
                </c:pt>
                <c:pt idx="239">
                  <c:v>2.8444936015597146E-2</c:v>
                </c:pt>
                <c:pt idx="240">
                  <c:v>2.8452344350364752E-2</c:v>
                </c:pt>
                <c:pt idx="241">
                  <c:v>2.8460186564385547E-2</c:v>
                </c:pt>
                <c:pt idx="242">
                  <c:v>2.8468357817805583E-2</c:v>
                </c:pt>
                <c:pt idx="243">
                  <c:v>2.847675327077091E-2</c:v>
                </c:pt>
                <c:pt idx="244">
                  <c:v>2.8485268083427575E-2</c:v>
                </c:pt>
                <c:pt idx="245">
                  <c:v>2.8493797415921628E-2</c:v>
                </c:pt>
                <c:pt idx="246">
                  <c:v>2.8502236428399119E-2</c:v>
                </c:pt>
                <c:pt idx="247">
                  <c:v>2.8510480281006095E-2</c:v>
                </c:pt>
                <c:pt idx="248">
                  <c:v>2.8518424133888606E-2</c:v>
                </c:pt>
                <c:pt idx="249">
                  <c:v>2.8526209180478403E-2</c:v>
                </c:pt>
                <c:pt idx="250">
                  <c:v>2.8534180296858537E-2</c:v>
                </c:pt>
                <c:pt idx="251">
                  <c:v>2.8542296389133852E-2</c:v>
                </c:pt>
                <c:pt idx="252">
                  <c:v>2.8550509723389142E-2</c:v>
                </c:pt>
                <c:pt idx="253">
                  <c:v>2.8558772565709208E-2</c:v>
                </c:pt>
                <c:pt idx="254">
                  <c:v>2.8567037182178848E-2</c:v>
                </c:pt>
                <c:pt idx="255">
                  <c:v>2.8575255838882856E-2</c:v>
                </c:pt>
                <c:pt idx="256">
                  <c:v>2.8583380801906033E-2</c:v>
                </c:pt>
                <c:pt idx="257">
                  <c:v>2.8591364337333169E-2</c:v>
                </c:pt>
                <c:pt idx="258">
                  <c:v>2.859915871124907E-2</c:v>
                </c:pt>
                <c:pt idx="259">
                  <c:v>2.8606716189738524E-2</c:v>
                </c:pt>
                <c:pt idx="260">
                  <c:v>2.8613989038886338E-2</c:v>
                </c:pt>
                <c:pt idx="261">
                  <c:v>2.8620929524777301E-2</c:v>
                </c:pt>
                <c:pt idx="262">
                  <c:v>2.8627515144911211E-2</c:v>
                </c:pt>
                <c:pt idx="263">
                  <c:v>2.8633805557718314E-2</c:v>
                </c:pt>
                <c:pt idx="264">
                  <c:v>2.8639833097946023E-2</c:v>
                </c:pt>
                <c:pt idx="265">
                  <c:v>2.8645627112027585E-2</c:v>
                </c:pt>
                <c:pt idx="266">
                  <c:v>2.8651216946396243E-2</c:v>
                </c:pt>
                <c:pt idx="267">
                  <c:v>2.8656631947485234E-2</c:v>
                </c:pt>
                <c:pt idx="268">
                  <c:v>2.8661901461727809E-2</c:v>
                </c:pt>
                <c:pt idx="269">
                  <c:v>2.8667054835557204E-2</c:v>
                </c:pt>
                <c:pt idx="270">
                  <c:v>2.8672121415406666E-2</c:v>
                </c:pt>
                <c:pt idx="271">
                  <c:v>2.8677130547709435E-2</c:v>
                </c:pt>
                <c:pt idx="272">
                  <c:v>2.8682111578898755E-2</c:v>
                </c:pt>
                <c:pt idx="273">
                  <c:v>2.8687093855407866E-2</c:v>
                </c:pt>
                <c:pt idx="274">
                  <c:v>2.8692106723670015E-2</c:v>
                </c:pt>
                <c:pt idx="275">
                  <c:v>2.8697134362995508E-2</c:v>
                </c:pt>
                <c:pt idx="276">
                  <c:v>2.8702001500392892E-2</c:v>
                </c:pt>
                <c:pt idx="277">
                  <c:v>2.8706715504206143E-2</c:v>
                </c:pt>
                <c:pt idx="278">
                  <c:v>2.871130925755171E-2</c:v>
                </c:pt>
                <c:pt idx="279">
                  <c:v>2.8715815643546031E-2</c:v>
                </c:pt>
                <c:pt idx="280">
                  <c:v>2.8720267545305548E-2</c:v>
                </c:pt>
                <c:pt idx="281">
                  <c:v>2.8724697845946709E-2</c:v>
                </c:pt>
                <c:pt idx="282">
                  <c:v>2.8729139428585949E-2</c:v>
                </c:pt>
                <c:pt idx="283">
                  <c:v>2.8733625176339716E-2</c:v>
                </c:pt>
                <c:pt idx="284">
                  <c:v>2.8738187972324448E-2</c:v>
                </c:pt>
                <c:pt idx="285">
                  <c:v>2.8742860699656592E-2</c:v>
                </c:pt>
                <c:pt idx="286">
                  <c:v>2.8747676241452587E-2</c:v>
                </c:pt>
                <c:pt idx="287">
                  <c:v>2.8752667480828879E-2</c:v>
                </c:pt>
                <c:pt idx="288">
                  <c:v>2.8757867300901907E-2</c:v>
                </c:pt>
                <c:pt idx="289">
                  <c:v>2.8763291749764039E-2</c:v>
                </c:pt>
                <c:pt idx="290">
                  <c:v>2.8768912895039456E-2</c:v>
                </c:pt>
                <c:pt idx="291">
                  <c:v>2.8774697649142346E-2</c:v>
                </c:pt>
                <c:pt idx="292">
                  <c:v>2.8780612924486876E-2</c:v>
                </c:pt>
                <c:pt idx="293">
                  <c:v>2.8786625633487224E-2</c:v>
                </c:pt>
                <c:pt idx="294">
                  <c:v>2.8792702688557572E-2</c:v>
                </c:pt>
                <c:pt idx="295">
                  <c:v>2.8798811002112089E-2</c:v>
                </c:pt>
                <c:pt idx="296">
                  <c:v>2.8804917486564958E-2</c:v>
                </c:pt>
                <c:pt idx="297">
                  <c:v>2.8810989054330351E-2</c:v>
                </c:pt>
                <c:pt idx="298">
                  <c:v>2.8816992617822446E-2</c:v>
                </c:pt>
                <c:pt idx="299">
                  <c:v>2.8822895089455416E-2</c:v>
                </c:pt>
                <c:pt idx="300">
                  <c:v>2.8828663381643443E-2</c:v>
                </c:pt>
                <c:pt idx="301">
                  <c:v>2.8834276337299496E-2</c:v>
                </c:pt>
                <c:pt idx="302">
                  <c:v>2.8839775670952701E-2</c:v>
                </c:pt>
                <c:pt idx="303">
                  <c:v>2.8845182982997583E-2</c:v>
                </c:pt>
                <c:pt idx="304">
                  <c:v>2.8850514677988617E-2</c:v>
                </c:pt>
                <c:pt idx="305">
                  <c:v>2.8855787160480272E-2</c:v>
                </c:pt>
                <c:pt idx="306">
                  <c:v>2.8861016835027026E-2</c:v>
                </c:pt>
                <c:pt idx="307">
                  <c:v>2.8866220106183352E-2</c:v>
                </c:pt>
                <c:pt idx="308">
                  <c:v>2.887141337850372E-2</c:v>
                </c:pt>
                <c:pt idx="309">
                  <c:v>2.8876613056542603E-2</c:v>
                </c:pt>
                <c:pt idx="310">
                  <c:v>2.8881835544854476E-2</c:v>
                </c:pt>
                <c:pt idx="311">
                  <c:v>2.888709724799381E-2</c:v>
                </c:pt>
                <c:pt idx="312">
                  <c:v>2.8892414570515081E-2</c:v>
                </c:pt>
                <c:pt idx="313">
                  <c:v>2.8897803916972758E-2</c:v>
                </c:pt>
                <c:pt idx="314">
                  <c:v>2.890328129765023E-2</c:v>
                </c:pt>
                <c:pt idx="315">
                  <c:v>2.8908833688648345E-2</c:v>
                </c:pt>
                <c:pt idx="316">
                  <c:v>2.8914441621033345E-2</c:v>
                </c:pt>
                <c:pt idx="317">
                  <c:v>2.8920096794552163E-2</c:v>
                </c:pt>
                <c:pt idx="318">
                  <c:v>2.8925790908951716E-2</c:v>
                </c:pt>
                <c:pt idx="319">
                  <c:v>2.8931515663978929E-2</c:v>
                </c:pt>
                <c:pt idx="320">
                  <c:v>2.8937262759380723E-2</c:v>
                </c:pt>
                <c:pt idx="321">
                  <c:v>2.8943023894904028E-2</c:v>
                </c:pt>
                <c:pt idx="322">
                  <c:v>2.8948790770295763E-2</c:v>
                </c:pt>
                <c:pt idx="323">
                  <c:v>2.8954555085302851E-2</c:v>
                </c:pt>
                <c:pt idx="324">
                  <c:v>2.8960308539672217E-2</c:v>
                </c:pt>
                <c:pt idx="325">
                  <c:v>2.8966042833150789E-2</c:v>
                </c:pt>
                <c:pt idx="326">
                  <c:v>2.8971749665485481E-2</c:v>
                </c:pt>
                <c:pt idx="327">
                  <c:v>2.897742053927202E-2</c:v>
                </c:pt>
                <c:pt idx="328">
                  <c:v>2.8983039732195588E-2</c:v>
                </c:pt>
                <c:pt idx="329">
                  <c:v>2.8988610407086803E-2</c:v>
                </c:pt>
                <c:pt idx="330">
                  <c:v>2.8994145414060635E-2</c:v>
                </c:pt>
                <c:pt idx="331">
                  <c:v>2.8999657603232056E-2</c:v>
                </c:pt>
                <c:pt idx="332">
                  <c:v>2.9005159824716034E-2</c:v>
                </c:pt>
                <c:pt idx="333">
                  <c:v>2.9010664928627545E-2</c:v>
                </c:pt>
                <c:pt idx="334">
                  <c:v>2.9016185765081557E-2</c:v>
                </c:pt>
                <c:pt idx="335">
                  <c:v>2.9021735184193043E-2</c:v>
                </c:pt>
                <c:pt idx="336">
                  <c:v>2.902732603607697E-2</c:v>
                </c:pt>
                <c:pt idx="337">
                  <c:v>2.9032971170848316E-2</c:v>
                </c:pt>
                <c:pt idx="338">
                  <c:v>2.9038683438622044E-2</c:v>
                </c:pt>
                <c:pt idx="339">
                  <c:v>2.9044475689513127E-2</c:v>
                </c:pt>
                <c:pt idx="340">
                  <c:v>2.9050360773636541E-2</c:v>
                </c:pt>
                <c:pt idx="341">
                  <c:v>2.9056405550765538E-2</c:v>
                </c:pt>
                <c:pt idx="342">
                  <c:v>2.9062639875640655E-2</c:v>
                </c:pt>
                <c:pt idx="343">
                  <c:v>2.9069021090827804E-2</c:v>
                </c:pt>
                <c:pt idx="344">
                  <c:v>2.9075506538892883E-2</c:v>
                </c:pt>
                <c:pt idx="345">
                  <c:v>2.9082053562401795E-2</c:v>
                </c:pt>
                <c:pt idx="346">
                  <c:v>2.9088619503920443E-2</c:v>
                </c:pt>
                <c:pt idx="347">
                  <c:v>2.9095161706014734E-2</c:v>
                </c:pt>
                <c:pt idx="348">
                  <c:v>2.9101637511250569E-2</c:v>
                </c:pt>
                <c:pt idx="349">
                  <c:v>2.9108004262193853E-2</c:v>
                </c:pt>
                <c:pt idx="350">
                  <c:v>2.9114219301410487E-2</c:v>
                </c:pt>
                <c:pt idx="351">
                  <c:v>2.9120239971466372E-2</c:v>
                </c:pt>
                <c:pt idx="352">
                  <c:v>2.9126023614927415E-2</c:v>
                </c:pt>
                <c:pt idx="353">
                  <c:v>2.9131527872035389E-2</c:v>
                </c:pt>
                <c:pt idx="354">
                  <c:v>2.9136745436941513E-2</c:v>
                </c:pt>
                <c:pt idx="355">
                  <c:v>2.914171367926436E-2</c:v>
                </c:pt>
                <c:pt idx="356">
                  <c:v>2.9146468923554616E-2</c:v>
                </c:pt>
                <c:pt idx="357">
                  <c:v>2.915104749436297E-2</c:v>
                </c:pt>
                <c:pt idx="358">
                  <c:v>2.9155485716240111E-2</c:v>
                </c:pt>
                <c:pt idx="359">
                  <c:v>2.9159819913736725E-2</c:v>
                </c:pt>
                <c:pt idx="360">
                  <c:v>2.9164086411403493E-2</c:v>
                </c:pt>
                <c:pt idx="361">
                  <c:v>2.9168321533791113E-2</c:v>
                </c:pt>
                <c:pt idx="362">
                  <c:v>2.9172561605450262E-2</c:v>
                </c:pt>
                <c:pt idx="363">
                  <c:v>2.9176842950931633E-2</c:v>
                </c:pt>
                <c:pt idx="364">
                  <c:v>2.9181201894785916E-2</c:v>
                </c:pt>
                <c:pt idx="365">
                  <c:v>2.9185674761563789E-2</c:v>
                </c:pt>
                <c:pt idx="366">
                  <c:v>2.9190294560038858E-2</c:v>
                </c:pt>
                <c:pt idx="367">
                  <c:v>2.91948958670709E-2</c:v>
                </c:pt>
                <c:pt idx="368">
                  <c:v>2.9199397714166027E-2</c:v>
                </c:pt>
                <c:pt idx="369">
                  <c:v>2.9203838790330738E-2</c:v>
                </c:pt>
                <c:pt idx="370">
                  <c:v>2.9208257784571517E-2</c:v>
                </c:pt>
                <c:pt idx="371">
                  <c:v>2.9212693385894859E-2</c:v>
                </c:pt>
                <c:pt idx="372">
                  <c:v>2.9217184283307253E-2</c:v>
                </c:pt>
                <c:pt idx="373">
                  <c:v>2.922176916581519E-2</c:v>
                </c:pt>
                <c:pt idx="374">
                  <c:v>2.9226486722425164E-2</c:v>
                </c:pt>
                <c:pt idx="375">
                  <c:v>2.9231375642143665E-2</c:v>
                </c:pt>
                <c:pt idx="376">
                  <c:v>2.9236474613977183E-2</c:v>
                </c:pt>
                <c:pt idx="377">
                  <c:v>2.9241822326932208E-2</c:v>
                </c:pt>
                <c:pt idx="378">
                  <c:v>2.9247457470015233E-2</c:v>
                </c:pt>
                <c:pt idx="379">
                  <c:v>2.9253416335779821E-2</c:v>
                </c:pt>
                <c:pt idx="380">
                  <c:v>2.9259586290782135E-2</c:v>
                </c:pt>
                <c:pt idx="381">
                  <c:v>2.9265899035848249E-2</c:v>
                </c:pt>
                <c:pt idx="382">
                  <c:v>2.9272369653522434E-2</c:v>
                </c:pt>
                <c:pt idx="383">
                  <c:v>2.9279013226348967E-2</c:v>
                </c:pt>
                <c:pt idx="384">
                  <c:v>2.9285844836872126E-2</c:v>
                </c:pt>
                <c:pt idx="385">
                  <c:v>2.9292879567636178E-2</c:v>
                </c:pt>
                <c:pt idx="386">
                  <c:v>2.9300132501185405E-2</c:v>
                </c:pt>
                <c:pt idx="387">
                  <c:v>2.9307618720064082E-2</c:v>
                </c:pt>
                <c:pt idx="388">
                  <c:v>2.9315353306816477E-2</c:v>
                </c:pt>
                <c:pt idx="389">
                  <c:v>2.9323351343986875E-2</c:v>
                </c:pt>
                <c:pt idx="390">
                  <c:v>2.9331627914119543E-2</c:v>
                </c:pt>
                <c:pt idx="391">
                  <c:v>2.9340198099758758E-2</c:v>
                </c:pt>
                <c:pt idx="392">
                  <c:v>2.9349076983448796E-2</c:v>
                </c:pt>
                <c:pt idx="393">
                  <c:v>2.9358296195578538E-2</c:v>
                </c:pt>
                <c:pt idx="394">
                  <c:v>2.9367859735753475E-2</c:v>
                </c:pt>
                <c:pt idx="395">
                  <c:v>2.9377741240342807E-2</c:v>
                </c:pt>
                <c:pt idx="396">
                  <c:v>2.9387914345715728E-2</c:v>
                </c:pt>
                <c:pt idx="397">
                  <c:v>2.9398352688241442E-2</c:v>
                </c:pt>
                <c:pt idx="398">
                  <c:v>2.940902990428914E-2</c:v>
                </c:pt>
                <c:pt idx="399">
                  <c:v>2.9419919630228022E-2</c:v>
                </c:pt>
                <c:pt idx="400">
                  <c:v>2.9430995502427285E-2</c:v>
                </c:pt>
                <c:pt idx="401">
                  <c:v>2.9442231157256128E-2</c:v>
                </c:pt>
                <c:pt idx="402">
                  <c:v>2.9453600231083746E-2</c:v>
                </c:pt>
                <c:pt idx="403">
                  <c:v>2.9465076360279341E-2</c:v>
                </c:pt>
                <c:pt idx="404">
                  <c:v>2.9476633181212103E-2</c:v>
                </c:pt>
                <c:pt idx="405">
                  <c:v>2.9488248493686815E-2</c:v>
                </c:pt>
                <c:pt idx="406">
                  <c:v>2.9500140720795955E-2</c:v>
                </c:pt>
                <c:pt idx="407">
                  <c:v>2.9512396364238143E-2</c:v>
                </c:pt>
                <c:pt idx="408">
                  <c:v>2.9524946876679906E-2</c:v>
                </c:pt>
                <c:pt idx="409">
                  <c:v>2.9537723710787774E-2</c:v>
                </c:pt>
                <c:pt idx="410">
                  <c:v>2.9550658319228283E-2</c:v>
                </c:pt>
                <c:pt idx="411">
                  <c:v>2.956368215466796E-2</c:v>
                </c:pt>
                <c:pt idx="412">
                  <c:v>2.9576726669773339E-2</c:v>
                </c:pt>
                <c:pt idx="413">
                  <c:v>2.9589723317210947E-2</c:v>
                </c:pt>
                <c:pt idx="414">
                  <c:v>2.9602603549647322E-2</c:v>
                </c:pt>
                <c:pt idx="415">
                  <c:v>2.9615298819748989E-2</c:v>
                </c:pt>
                <c:pt idx="416">
                  <c:v>2.9627740580182482E-2</c:v>
                </c:pt>
                <c:pt idx="417">
                  <c:v>2.963986028361433E-2</c:v>
                </c:pt>
                <c:pt idx="418">
                  <c:v>2.965159386672769E-2</c:v>
                </c:pt>
                <c:pt idx="419">
                  <c:v>2.9663154239757763E-2</c:v>
                </c:pt>
                <c:pt idx="420">
                  <c:v>2.9674666258081156E-2</c:v>
                </c:pt>
                <c:pt idx="421">
                  <c:v>2.9686097814538251E-2</c:v>
                </c:pt>
                <c:pt idx="422">
                  <c:v>2.9697416801969433E-2</c:v>
                </c:pt>
                <c:pt idx="423">
                  <c:v>2.970859111321509E-2</c:v>
                </c:pt>
                <c:pt idx="424">
                  <c:v>2.9719588641115607E-2</c:v>
                </c:pt>
                <c:pt idx="425">
                  <c:v>2.9730377278511366E-2</c:v>
                </c:pt>
                <c:pt idx="426">
                  <c:v>2.9740924918242755E-2</c:v>
                </c:pt>
                <c:pt idx="427">
                  <c:v>2.9751199453150155E-2</c:v>
                </c:pt>
                <c:pt idx="428">
                  <c:v>2.976116877607396E-2</c:v>
                </c:pt>
                <c:pt idx="429">
                  <c:v>2.9770800779854546E-2</c:v>
                </c:pt>
                <c:pt idx="430">
                  <c:v>2.9780063357332298E-2</c:v>
                </c:pt>
                <c:pt idx="431">
                  <c:v>2.9788924401347609E-2</c:v>
                </c:pt>
                <c:pt idx="432">
                  <c:v>2.9797388624710226E-2</c:v>
                </c:pt>
                <c:pt idx="433">
                  <c:v>2.9805494946337004E-2</c:v>
                </c:pt>
                <c:pt idx="434">
                  <c:v>2.9813262568228985E-2</c:v>
                </c:pt>
                <c:pt idx="435">
                  <c:v>2.982071069238721E-2</c:v>
                </c:pt>
                <c:pt idx="436">
                  <c:v>2.9827858520812722E-2</c:v>
                </c:pt>
                <c:pt idx="437">
                  <c:v>2.9834725255506556E-2</c:v>
                </c:pt>
                <c:pt idx="438">
                  <c:v>2.9841330098469759E-2</c:v>
                </c:pt>
                <c:pt idx="439">
                  <c:v>2.9847692251703369E-2</c:v>
                </c:pt>
                <c:pt idx="440">
                  <c:v>2.9853830917208422E-2</c:v>
                </c:pt>
                <c:pt idx="441">
                  <c:v>2.9859765296985967E-2</c:v>
                </c:pt>
                <c:pt idx="442">
                  <c:v>2.9865514593037035E-2</c:v>
                </c:pt>
                <c:pt idx="443">
                  <c:v>2.9871098007362679E-2</c:v>
                </c:pt>
                <c:pt idx="444">
                  <c:v>2.9876534741963928E-2</c:v>
                </c:pt>
                <c:pt idx="445">
                  <c:v>2.988176059794978E-2</c:v>
                </c:pt>
                <c:pt idx="446">
                  <c:v>2.9886662408405783E-2</c:v>
                </c:pt>
                <c:pt idx="447">
                  <c:v>2.9891272574227155E-2</c:v>
                </c:pt>
                <c:pt idx="448">
                  <c:v>2.9895625865954786E-2</c:v>
                </c:pt>
                <c:pt idx="449">
                  <c:v>2.9899757054129554E-2</c:v>
                </c:pt>
                <c:pt idx="450">
                  <c:v>2.9903700909292352E-2</c:v>
                </c:pt>
                <c:pt idx="451">
                  <c:v>2.9907492201984059E-2</c:v>
                </c:pt>
                <c:pt idx="452">
                  <c:v>2.991116570274556E-2</c:v>
                </c:pt>
                <c:pt idx="453">
                  <c:v>2.9914756182117745E-2</c:v>
                </c:pt>
                <c:pt idx="454">
                  <c:v>2.9918298410641492E-2</c:v>
                </c:pt>
                <c:pt idx="455">
                  <c:v>2.9921827158857689E-2</c:v>
                </c:pt>
                <c:pt idx="456">
                  <c:v>2.9925377197307222E-2</c:v>
                </c:pt>
                <c:pt idx="457">
                  <c:v>2.9928979861472561E-2</c:v>
                </c:pt>
                <c:pt idx="458">
                  <c:v>2.993246223937036E-2</c:v>
                </c:pt>
                <c:pt idx="459">
                  <c:v>2.993574292159594E-2</c:v>
                </c:pt>
                <c:pt idx="460">
                  <c:v>2.9938865204869481E-2</c:v>
                </c:pt>
                <c:pt idx="461">
                  <c:v>2.9941872385911165E-2</c:v>
                </c:pt>
                <c:pt idx="462">
                  <c:v>2.9944807761441181E-2</c:v>
                </c:pt>
                <c:pt idx="463">
                  <c:v>2.9947714628179703E-2</c:v>
                </c:pt>
                <c:pt idx="464">
                  <c:v>2.9950636282846919E-2</c:v>
                </c:pt>
                <c:pt idx="465">
                  <c:v>2.995361602216301E-2</c:v>
                </c:pt>
                <c:pt idx="466">
                  <c:v>2.9956697142848158E-2</c:v>
                </c:pt>
                <c:pt idx="467">
                  <c:v>2.9959922941622547E-2</c:v>
                </c:pt>
                <c:pt idx="468">
                  <c:v>2.9963336715206356E-2</c:v>
                </c:pt>
                <c:pt idx="469">
                  <c:v>2.9966981760319773E-2</c:v>
                </c:pt>
                <c:pt idx="470">
                  <c:v>2.9970901373682975E-2</c:v>
                </c:pt>
                <c:pt idx="471">
                  <c:v>2.9975113036683505E-2</c:v>
                </c:pt>
                <c:pt idx="472">
                  <c:v>2.9979580251473271E-2</c:v>
                </c:pt>
                <c:pt idx="473">
                  <c:v>2.9984265345919019E-2</c:v>
                </c:pt>
                <c:pt idx="474">
                  <c:v>2.9989130647887486E-2</c:v>
                </c:pt>
                <c:pt idx="475">
                  <c:v>2.9994138485245413E-2</c:v>
                </c:pt>
                <c:pt idx="476">
                  <c:v>2.9999251185859537E-2</c:v>
                </c:pt>
                <c:pt idx="477">
                  <c:v>3.0004431077596604E-2</c:v>
                </c:pt>
                <c:pt idx="478">
                  <c:v>3.0009640488323351E-2</c:v>
                </c:pt>
                <c:pt idx="479">
                  <c:v>3.0014841745906521E-2</c:v>
                </c:pt>
                <c:pt idx="480">
                  <c:v>3.001999717821285E-2</c:v>
                </c:pt>
                <c:pt idx="481">
                  <c:v>3.0025069113109079E-2</c:v>
                </c:pt>
                <c:pt idx="482">
                  <c:v>3.0030019878461951E-2</c:v>
                </c:pt>
                <c:pt idx="483">
                  <c:v>3.0034811802138205E-2</c:v>
                </c:pt>
                <c:pt idx="484">
                  <c:v>3.0039452707404084E-2</c:v>
                </c:pt>
                <c:pt idx="485">
                  <c:v>3.0044010959267987E-2</c:v>
                </c:pt>
                <c:pt idx="486">
                  <c:v>3.0048500336815786E-2</c:v>
                </c:pt>
                <c:pt idx="487">
                  <c:v>3.0052933526660514E-2</c:v>
                </c:pt>
                <c:pt idx="488">
                  <c:v>3.005732321541521E-2</c:v>
                </c:pt>
                <c:pt idx="489">
                  <c:v>3.0061682089692909E-2</c:v>
                </c:pt>
                <c:pt idx="490">
                  <c:v>3.0066022836106644E-2</c:v>
                </c:pt>
                <c:pt idx="491">
                  <c:v>3.0070358141269446E-2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24-4396-A44A-36EC69F01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119040"/>
        <c:axId val="666674304"/>
      </c:scatterChart>
      <c:valAx>
        <c:axId val="7381190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66674304"/>
        <c:crosses val="autoZero"/>
        <c:crossBetween val="midCat"/>
      </c:valAx>
      <c:valAx>
        <c:axId val="666674304"/>
        <c:scaling>
          <c:orientation val="minMax"/>
          <c:min val="1.5000000000000003E-2"/>
        </c:scaling>
        <c:delete val="0"/>
        <c:axPos val="l"/>
        <c:majorGridlines/>
        <c:numFmt formatCode="0.00000%" sourceLinked="1"/>
        <c:majorTickMark val="out"/>
        <c:minorTickMark val="none"/>
        <c:tickLblPos val="nextTo"/>
        <c:crossAx val="73811904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9003024680531581"/>
          <c:y val="0.72104461942257214"/>
          <c:w val="0.33719126258104021"/>
          <c:h val="6.0951085659747078E-2"/>
        </c:manualLayout>
      </c:layout>
      <c:overlay val="0"/>
      <c:txPr>
        <a:bodyPr/>
        <a:lstStyle/>
        <a:p>
          <a:pPr>
            <a:defRPr sz="2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8</xdr:row>
      <xdr:rowOff>0</xdr:rowOff>
    </xdr:from>
    <xdr:to>
      <xdr:col>19</xdr:col>
      <xdr:colOff>200024</xdr:colOff>
      <xdr:row>41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00"/>
  <sheetViews>
    <sheetView showGridLines="0" tabSelected="1" workbookViewId="0"/>
  </sheetViews>
  <sheetFormatPr defaultRowHeight="15"/>
  <cols>
    <col min="1" max="1" width="4.7109375" customWidth="1"/>
    <col min="2" max="2" width="2.7109375" customWidth="1"/>
    <col min="3" max="3" width="16" customWidth="1"/>
    <col min="4" max="4" width="33" bestFit="1" customWidth="1"/>
    <col min="5" max="5" width="2.7109375" customWidth="1"/>
    <col min="6" max="6" width="4.7109375" customWidth="1"/>
    <col min="7" max="7" width="2.7109375" customWidth="1"/>
    <col min="8" max="8" width="25.28515625" bestFit="1" customWidth="1"/>
    <col min="9" max="9" width="28.28515625" customWidth="1"/>
    <col min="10" max="10" width="2.7109375" customWidth="1"/>
    <col min="12" max="12" width="9.85546875" bestFit="1" customWidth="1"/>
    <col min="13" max="13" width="2.7109375" customWidth="1"/>
    <col min="14" max="14" width="12.140625" customWidth="1"/>
    <col min="15" max="16" width="12.7109375" customWidth="1"/>
    <col min="18" max="18" width="13.5703125" customWidth="1"/>
    <col min="19" max="19" width="2.7109375" customWidth="1"/>
    <col min="21" max="21" width="10.140625" customWidth="1"/>
    <col min="23" max="23" width="2.7109375" customWidth="1"/>
  </cols>
  <sheetData>
    <row r="2" spans="2:23">
      <c r="D2" s="188"/>
    </row>
    <row r="3" spans="2:23">
      <c r="B3" s="6"/>
      <c r="C3" s="9"/>
      <c r="D3" s="9"/>
      <c r="E3" s="10"/>
      <c r="G3" s="6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</row>
    <row r="4" spans="2:23">
      <c r="B4" s="11"/>
      <c r="C4" s="25" t="s">
        <v>73</v>
      </c>
      <c r="D4" s="13"/>
      <c r="E4" s="14"/>
      <c r="G4" s="11"/>
      <c r="H4" s="15" t="s">
        <v>13</v>
      </c>
      <c r="I4" s="16"/>
      <c r="J4" s="13" t="s">
        <v>12</v>
      </c>
      <c r="K4" s="13" t="s">
        <v>12</v>
      </c>
      <c r="L4" s="13" t="s">
        <v>12</v>
      </c>
      <c r="M4" s="13" t="s">
        <v>12</v>
      </c>
      <c r="N4" s="17" t="s">
        <v>14</v>
      </c>
      <c r="O4" s="5"/>
      <c r="P4" s="5"/>
      <c r="Q4" s="5"/>
      <c r="R4" s="5"/>
      <c r="S4" s="5"/>
      <c r="T4" s="17" t="s">
        <v>15</v>
      </c>
      <c r="U4" s="17"/>
      <c r="V4" s="13"/>
      <c r="W4" s="14"/>
    </row>
    <row r="5" spans="2:23">
      <c r="B5" s="11"/>
      <c r="C5" s="69" t="s">
        <v>60</v>
      </c>
      <c r="D5" s="69" t="s">
        <v>61</v>
      </c>
      <c r="E5" s="14"/>
      <c r="G5" s="11" t="s">
        <v>12</v>
      </c>
      <c r="H5" s="69" t="s">
        <v>60</v>
      </c>
      <c r="I5" s="69" t="s">
        <v>61</v>
      </c>
      <c r="J5" s="13" t="s">
        <v>12</v>
      </c>
      <c r="K5" s="13" t="s">
        <v>12</v>
      </c>
      <c r="L5" s="13" t="s">
        <v>12</v>
      </c>
      <c r="M5" s="13" t="s">
        <v>12</v>
      </c>
      <c r="N5" s="18" t="s">
        <v>17</v>
      </c>
      <c r="O5" s="18" t="s">
        <v>18</v>
      </c>
      <c r="P5" s="18" t="s">
        <v>19</v>
      </c>
      <c r="Q5" s="18" t="s">
        <v>20</v>
      </c>
      <c r="R5" s="18" t="s">
        <v>21</v>
      </c>
      <c r="S5" s="13"/>
      <c r="T5" s="18" t="s">
        <v>17</v>
      </c>
      <c r="U5" s="18" t="s">
        <v>18</v>
      </c>
      <c r="V5" s="13"/>
      <c r="W5" s="14"/>
    </row>
    <row r="6" spans="2:23">
      <c r="B6" s="11"/>
      <c r="C6" s="12" t="s">
        <v>75</v>
      </c>
      <c r="D6" s="86" t="s">
        <v>76</v>
      </c>
      <c r="E6" s="14"/>
      <c r="G6" s="11"/>
      <c r="H6" s="36" t="s">
        <v>7</v>
      </c>
      <c r="I6" s="89" t="s">
        <v>1</v>
      </c>
      <c r="J6" s="13" t="s">
        <v>12</v>
      </c>
      <c r="K6" s="13" t="s">
        <v>12</v>
      </c>
      <c r="L6" s="189"/>
      <c r="M6" s="13" t="s">
        <v>12</v>
      </c>
      <c r="N6" s="49" t="s">
        <v>35</v>
      </c>
      <c r="O6" s="55">
        <v>1.9099999999999999E-2</v>
      </c>
      <c r="P6" s="29"/>
      <c r="Q6" s="29"/>
      <c r="R6" s="191" t="b">
        <v>1</v>
      </c>
      <c r="S6" s="53"/>
      <c r="T6" s="49" t="s">
        <v>5</v>
      </c>
      <c r="U6" s="50">
        <v>2.7499999999999998E-3</v>
      </c>
      <c r="V6" s="26"/>
      <c r="W6" s="27"/>
    </row>
    <row r="7" spans="2:23">
      <c r="B7" s="11"/>
      <c r="C7" s="79" t="s">
        <v>10</v>
      </c>
      <c r="D7" s="87" t="s">
        <v>4</v>
      </c>
      <c r="E7" s="14"/>
      <c r="G7" s="11"/>
      <c r="H7" s="39" t="s">
        <v>22</v>
      </c>
      <c r="I7" s="90" t="s">
        <v>14</v>
      </c>
      <c r="J7" s="13" t="s">
        <v>12</v>
      </c>
      <c r="K7" s="13" t="s">
        <v>12</v>
      </c>
      <c r="L7" s="190"/>
      <c r="M7" s="13" t="s">
        <v>12</v>
      </c>
      <c r="N7" s="33" t="s">
        <v>39</v>
      </c>
      <c r="O7" s="56">
        <v>2.0475E-2</v>
      </c>
      <c r="P7" s="30"/>
      <c r="Q7" s="30"/>
      <c r="R7" s="19" t="b">
        <v>1</v>
      </c>
      <c r="S7" s="53"/>
      <c r="T7" s="33" t="s">
        <v>36</v>
      </c>
      <c r="U7" s="51">
        <v>2.875E-3</v>
      </c>
      <c r="V7" s="26"/>
      <c r="W7" s="27"/>
    </row>
    <row r="8" spans="2:23">
      <c r="B8" s="11"/>
      <c r="C8" s="20" t="s">
        <v>74</v>
      </c>
      <c r="D8" s="88" t="str">
        <f ca="1">_xll.meLWOCurveEngineCalibrate(D6,D7,C12:D15,D20,D26,D21,D27)</f>
        <v>USD_CURVE@10:31</v>
      </c>
      <c r="E8" s="14"/>
      <c r="G8" s="11"/>
      <c r="H8" s="39" t="s">
        <v>23</v>
      </c>
      <c r="I8" s="90" t="s">
        <v>24</v>
      </c>
      <c r="J8" s="13" t="s">
        <v>12</v>
      </c>
      <c r="K8" s="13" t="s">
        <v>12</v>
      </c>
      <c r="L8" s="190"/>
      <c r="M8" s="13" t="s">
        <v>12</v>
      </c>
      <c r="N8" s="33" t="s">
        <v>43</v>
      </c>
      <c r="O8" s="56">
        <v>2.1610999999999998E-2</v>
      </c>
      <c r="P8" s="30"/>
      <c r="Q8" s="30"/>
      <c r="R8" s="19" t="b">
        <v>1</v>
      </c>
      <c r="S8" s="53"/>
      <c r="T8" s="33" t="s">
        <v>30</v>
      </c>
      <c r="U8" s="51">
        <v>2.96875E-3</v>
      </c>
      <c r="V8" s="26"/>
      <c r="W8" s="27"/>
    </row>
    <row r="9" spans="2:23">
      <c r="B9" s="11"/>
      <c r="C9" s="13"/>
      <c r="D9" s="13"/>
      <c r="E9" s="14"/>
      <c r="G9" s="11"/>
      <c r="H9" s="59" t="s">
        <v>9</v>
      </c>
      <c r="I9" s="91">
        <v>43327</v>
      </c>
      <c r="J9" s="13" t="s">
        <v>12</v>
      </c>
      <c r="K9" s="13" t="s">
        <v>12</v>
      </c>
      <c r="L9" s="190"/>
      <c r="M9" s="13" t="s">
        <v>12</v>
      </c>
      <c r="N9" s="33"/>
      <c r="O9" s="56"/>
      <c r="P9" s="30"/>
      <c r="Q9" s="30"/>
      <c r="R9" s="19"/>
      <c r="S9" s="53"/>
      <c r="T9" s="33" t="s">
        <v>37</v>
      </c>
      <c r="U9" s="51">
        <v>3.0625000000000001E-3</v>
      </c>
      <c r="V9" s="26"/>
      <c r="W9" s="27"/>
    </row>
    <row r="10" spans="2:23">
      <c r="B10" s="11"/>
      <c r="C10" s="13"/>
      <c r="D10" s="13"/>
      <c r="E10" s="14"/>
      <c r="G10" s="11"/>
      <c r="H10" s="16"/>
      <c r="I10" s="16"/>
      <c r="J10" s="13" t="s">
        <v>12</v>
      </c>
      <c r="K10" s="13" t="s">
        <v>12</v>
      </c>
      <c r="L10" s="190"/>
      <c r="M10" s="13" t="s">
        <v>12</v>
      </c>
      <c r="N10" s="33"/>
      <c r="O10" s="56"/>
      <c r="P10" s="30"/>
      <c r="Q10" s="30"/>
      <c r="R10" s="19"/>
      <c r="S10" s="53"/>
      <c r="T10" s="33" t="s">
        <v>6</v>
      </c>
      <c r="U10" s="51">
        <v>3.1250000000000002E-3</v>
      </c>
      <c r="V10" s="26"/>
      <c r="W10" s="27"/>
    </row>
    <row r="11" spans="2:23">
      <c r="B11" s="11"/>
      <c r="C11" s="15" t="s">
        <v>68</v>
      </c>
      <c r="D11" s="13"/>
      <c r="E11" s="14"/>
      <c r="G11" s="11"/>
      <c r="H11" s="13"/>
      <c r="I11" s="92"/>
      <c r="J11" s="13" t="s">
        <v>12</v>
      </c>
      <c r="K11" s="13" t="s">
        <v>12</v>
      </c>
      <c r="L11" s="190"/>
      <c r="M11" s="13" t="s">
        <v>12</v>
      </c>
      <c r="N11" s="33"/>
      <c r="O11" s="56"/>
      <c r="P11" s="30"/>
      <c r="Q11" s="30"/>
      <c r="R11" s="19"/>
      <c r="S11" s="53"/>
      <c r="T11" s="33" t="s">
        <v>38</v>
      </c>
      <c r="U11" s="51">
        <v>3.18125E-3</v>
      </c>
      <c r="V11" s="26"/>
      <c r="W11" s="27"/>
    </row>
    <row r="12" spans="2:23">
      <c r="B12" s="11"/>
      <c r="C12" s="36" t="s">
        <v>69</v>
      </c>
      <c r="D12" s="76" t="b">
        <v>1</v>
      </c>
      <c r="E12" s="14"/>
      <c r="G12" s="11"/>
      <c r="H12" s="24" t="s">
        <v>25</v>
      </c>
      <c r="I12" s="16"/>
      <c r="J12" s="13" t="s">
        <v>12</v>
      </c>
      <c r="K12" s="13" t="s">
        <v>12</v>
      </c>
      <c r="L12" s="190"/>
      <c r="M12" s="13" t="s">
        <v>12</v>
      </c>
      <c r="N12" s="192"/>
      <c r="O12" s="193"/>
      <c r="P12" s="193"/>
      <c r="Q12" s="193"/>
      <c r="R12" s="194"/>
      <c r="S12" s="53"/>
      <c r="T12" s="33" t="s">
        <v>40</v>
      </c>
      <c r="U12" s="51">
        <v>3.375E-3</v>
      </c>
      <c r="V12" s="26"/>
      <c r="W12" s="27"/>
    </row>
    <row r="13" spans="2:23">
      <c r="B13" s="11"/>
      <c r="C13" s="39" t="s">
        <v>103</v>
      </c>
      <c r="D13" s="77">
        <v>1.0000000000000001E-9</v>
      </c>
      <c r="E13" s="14"/>
      <c r="G13" s="11"/>
      <c r="H13" s="12" t="s">
        <v>26</v>
      </c>
      <c r="I13" s="86" t="s">
        <v>66</v>
      </c>
      <c r="J13" s="13" t="s">
        <v>12</v>
      </c>
      <c r="K13" s="13" t="s">
        <v>12</v>
      </c>
      <c r="L13" s="190"/>
      <c r="M13" s="13" t="s">
        <v>12</v>
      </c>
      <c r="N13" s="33"/>
      <c r="O13" s="56"/>
      <c r="P13" s="30"/>
      <c r="Q13" s="30"/>
      <c r="R13" s="19"/>
      <c r="S13" s="53"/>
      <c r="T13" s="33" t="s">
        <v>41</v>
      </c>
      <c r="U13" s="51">
        <v>3.4630000000000004E-3</v>
      </c>
      <c r="V13" s="26"/>
      <c r="W13" s="27"/>
    </row>
    <row r="14" spans="2:23">
      <c r="B14" s="11"/>
      <c r="C14" s="39" t="s">
        <v>104</v>
      </c>
      <c r="D14" s="77">
        <v>1.0000000000000001E-15</v>
      </c>
      <c r="E14" s="14"/>
      <c r="G14" s="11"/>
      <c r="H14" s="20" t="s">
        <v>27</v>
      </c>
      <c r="I14" s="97" t="str">
        <f ca="1">_xll.meLWOCurveMarketDataCreate(I13,H4,H6:I9,N4,N6:R20,T4,T6:U20)</f>
        <v>USD_OIS_MARKETDATA@7:31</v>
      </c>
      <c r="J14" s="13" t="s">
        <v>12</v>
      </c>
      <c r="K14" s="13" t="s">
        <v>12</v>
      </c>
      <c r="L14" s="190"/>
      <c r="M14" s="13" t="s">
        <v>12</v>
      </c>
      <c r="N14" s="33"/>
      <c r="O14" s="56"/>
      <c r="P14" s="30"/>
      <c r="Q14" s="30"/>
      <c r="R14" s="19"/>
      <c r="S14" s="53"/>
      <c r="T14" s="33" t="s">
        <v>42</v>
      </c>
      <c r="U14" s="51">
        <v>3.5875E-3</v>
      </c>
      <c r="V14" s="26"/>
      <c r="W14" s="27"/>
    </row>
    <row r="15" spans="2:23">
      <c r="B15" s="11"/>
      <c r="C15" s="59" t="s">
        <v>105</v>
      </c>
      <c r="D15" s="78">
        <v>1E-10</v>
      </c>
      <c r="E15" s="14"/>
      <c r="G15" s="11"/>
      <c r="H15" s="13"/>
      <c r="I15" s="13"/>
      <c r="J15" s="13" t="s">
        <v>12</v>
      </c>
      <c r="K15" s="13" t="s">
        <v>12</v>
      </c>
      <c r="L15" s="190"/>
      <c r="M15" s="13" t="s">
        <v>12</v>
      </c>
      <c r="N15" s="192"/>
      <c r="O15" s="193"/>
      <c r="P15" s="193"/>
      <c r="Q15" s="193"/>
      <c r="R15" s="194"/>
      <c r="S15" s="53"/>
      <c r="T15" s="33" t="s">
        <v>44</v>
      </c>
      <c r="U15" s="51">
        <v>3.7624999999999998E-3</v>
      </c>
      <c r="V15" s="26"/>
      <c r="W15" s="27"/>
    </row>
    <row r="16" spans="2:23">
      <c r="B16" s="11"/>
      <c r="C16" s="13"/>
      <c r="D16" s="13"/>
      <c r="E16" s="14"/>
      <c r="G16" s="11"/>
      <c r="H16" s="13"/>
      <c r="I16" s="13"/>
      <c r="J16" s="13" t="s">
        <v>12</v>
      </c>
      <c r="K16" s="13" t="s">
        <v>12</v>
      </c>
      <c r="L16" s="13" t="s">
        <v>12</v>
      </c>
      <c r="M16" s="13" t="s">
        <v>12</v>
      </c>
      <c r="N16" s="33"/>
      <c r="O16" s="56"/>
      <c r="P16" s="30"/>
      <c r="Q16" s="30"/>
      <c r="R16" s="19"/>
      <c r="S16" s="53"/>
      <c r="T16" s="33" t="s">
        <v>45</v>
      </c>
      <c r="U16" s="51">
        <v>3.8500000000000001E-3</v>
      </c>
      <c r="V16" s="26"/>
      <c r="W16" s="27"/>
    </row>
    <row r="17" spans="2:23">
      <c r="B17" s="11"/>
      <c r="C17" s="13"/>
      <c r="D17" s="13"/>
      <c r="E17" s="14"/>
      <c r="G17" s="11"/>
      <c r="H17" s="13"/>
      <c r="I17" s="13"/>
      <c r="J17" s="13" t="s">
        <v>12</v>
      </c>
      <c r="K17" s="13" t="s">
        <v>12</v>
      </c>
      <c r="L17" s="13" t="s">
        <v>12</v>
      </c>
      <c r="M17" s="13" t="s">
        <v>12</v>
      </c>
      <c r="N17" s="33"/>
      <c r="O17" s="56"/>
      <c r="P17" s="30"/>
      <c r="Q17" s="30"/>
      <c r="R17" s="19"/>
      <c r="S17" s="53"/>
      <c r="T17" s="33" t="s">
        <v>46</v>
      </c>
      <c r="U17" s="51">
        <v>3.9500000000000004E-3</v>
      </c>
      <c r="V17" s="26"/>
      <c r="W17" s="27"/>
    </row>
    <row r="18" spans="2:23">
      <c r="B18" s="11"/>
      <c r="C18" s="13"/>
      <c r="D18" s="13"/>
      <c r="E18" s="14"/>
      <c r="G18" s="11"/>
      <c r="H18" s="13"/>
      <c r="I18" s="13"/>
      <c r="J18" s="13" t="s">
        <v>12</v>
      </c>
      <c r="K18" s="13" t="s">
        <v>12</v>
      </c>
      <c r="L18" s="13" t="s">
        <v>12</v>
      </c>
      <c r="M18" s="13" t="s">
        <v>12</v>
      </c>
      <c r="N18" s="33"/>
      <c r="O18" s="56"/>
      <c r="P18" s="30"/>
      <c r="Q18" s="30"/>
      <c r="R18" s="19"/>
      <c r="S18" s="53"/>
      <c r="T18" s="33" t="s">
        <v>28</v>
      </c>
      <c r="U18" s="51">
        <v>3.9500000000000004E-3</v>
      </c>
      <c r="V18" s="26"/>
      <c r="W18" s="27"/>
    </row>
    <row r="19" spans="2:23">
      <c r="B19" s="11"/>
      <c r="C19" s="15" t="s">
        <v>70</v>
      </c>
      <c r="D19" s="13"/>
      <c r="E19" s="14"/>
      <c r="G19" s="11"/>
      <c r="H19" s="13"/>
      <c r="I19" s="13"/>
      <c r="J19" s="13" t="s">
        <v>12</v>
      </c>
      <c r="K19" s="13" t="s">
        <v>12</v>
      </c>
      <c r="L19" s="13" t="s">
        <v>12</v>
      </c>
      <c r="M19" s="13" t="s">
        <v>12</v>
      </c>
      <c r="N19" s="33"/>
      <c r="O19" s="56"/>
      <c r="P19" s="30"/>
      <c r="Q19" s="30"/>
      <c r="R19" s="19"/>
      <c r="S19" s="53"/>
      <c r="T19" s="33" t="s">
        <v>29</v>
      </c>
      <c r="U19" s="51">
        <v>3.9500000000000004E-3</v>
      </c>
      <c r="V19" s="26"/>
      <c r="W19" s="27"/>
    </row>
    <row r="20" spans="2:23">
      <c r="B20" s="11"/>
      <c r="C20" s="36" t="s">
        <v>14</v>
      </c>
      <c r="D20" s="12" t="str">
        <f ca="1">H44</f>
        <v>USD_OIS_NEW_GENERATOR@6:31</v>
      </c>
      <c r="E20" s="14"/>
      <c r="G20" s="11"/>
      <c r="H20" s="13"/>
      <c r="I20" s="13"/>
      <c r="J20" s="13"/>
      <c r="K20" s="13"/>
      <c r="L20" s="13"/>
      <c r="M20" s="13"/>
      <c r="N20" s="45"/>
      <c r="O20" s="57"/>
      <c r="P20" s="58"/>
      <c r="Q20" s="58"/>
      <c r="R20" s="54"/>
      <c r="S20" s="53"/>
      <c r="T20" s="185" t="s">
        <v>107</v>
      </c>
      <c r="U20" s="186">
        <v>3.9500000000000004E-3</v>
      </c>
      <c r="V20" s="187" t="s">
        <v>108</v>
      </c>
      <c r="W20" s="27"/>
    </row>
    <row r="21" spans="2:23">
      <c r="B21" s="11"/>
      <c r="C21" s="59" t="s">
        <v>71</v>
      </c>
      <c r="D21" s="20" t="str">
        <f ca="1">N44</f>
        <v>USD_SWAP_NEW_GENERATOR@9:29</v>
      </c>
      <c r="E21" s="14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3"/>
    </row>
    <row r="22" spans="2:23">
      <c r="B22" s="11"/>
      <c r="C22" s="13"/>
      <c r="D22" s="13"/>
      <c r="E22" s="14"/>
    </row>
    <row r="23" spans="2:23">
      <c r="B23" s="11"/>
      <c r="C23" s="13"/>
      <c r="D23" s="13"/>
      <c r="E23" s="14"/>
    </row>
    <row r="24" spans="2:23">
      <c r="B24" s="11"/>
      <c r="C24" s="13"/>
      <c r="D24" s="13"/>
      <c r="E24" s="14"/>
      <c r="G24" s="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</row>
    <row r="25" spans="2:23">
      <c r="B25" s="11"/>
      <c r="C25" s="15" t="s">
        <v>72</v>
      </c>
      <c r="D25" s="13"/>
      <c r="E25" s="14"/>
      <c r="G25" s="11"/>
      <c r="H25" s="15" t="s">
        <v>13</v>
      </c>
      <c r="I25" s="13"/>
      <c r="J25" s="13"/>
      <c r="K25" s="15" t="s">
        <v>32</v>
      </c>
      <c r="L25" s="13"/>
      <c r="M25" s="13"/>
      <c r="N25" s="15" t="s">
        <v>33</v>
      </c>
      <c r="O25" s="35"/>
      <c r="P25" s="13"/>
      <c r="Q25" s="13"/>
      <c r="R25" s="13"/>
      <c r="S25" s="13"/>
      <c r="T25" s="15" t="s">
        <v>16</v>
      </c>
      <c r="U25" s="13"/>
      <c r="V25" s="13"/>
      <c r="W25" s="14"/>
    </row>
    <row r="26" spans="2:23">
      <c r="B26" s="11"/>
      <c r="C26" s="36" t="s">
        <v>14</v>
      </c>
      <c r="D26" s="81" t="str">
        <f ca="1">I14</f>
        <v>USD_OIS_MARKETDATA@7:31</v>
      </c>
      <c r="E26" s="14"/>
      <c r="G26" s="11"/>
      <c r="H26" s="69" t="s">
        <v>60</v>
      </c>
      <c r="I26" s="69" t="s">
        <v>61</v>
      </c>
      <c r="J26" s="13" t="s">
        <v>12</v>
      </c>
      <c r="K26" s="16" t="s">
        <v>17</v>
      </c>
      <c r="L26" s="16" t="s">
        <v>18</v>
      </c>
      <c r="M26" s="34"/>
      <c r="N26" s="37" t="s">
        <v>17</v>
      </c>
      <c r="O26" s="37" t="s">
        <v>19</v>
      </c>
      <c r="P26" s="37" t="s">
        <v>20</v>
      </c>
      <c r="Q26" s="37" t="s">
        <v>18</v>
      </c>
      <c r="R26" s="37" t="s">
        <v>11</v>
      </c>
      <c r="S26" s="34"/>
      <c r="T26" s="38" t="s">
        <v>17</v>
      </c>
      <c r="U26" s="16" t="s">
        <v>18</v>
      </c>
      <c r="V26" s="16" t="s">
        <v>21</v>
      </c>
      <c r="W26" s="14"/>
    </row>
    <row r="27" spans="2:23">
      <c r="B27" s="11"/>
      <c r="C27" s="59" t="s">
        <v>71</v>
      </c>
      <c r="D27" s="80" t="str">
        <f ca="1">I35</f>
        <v>USD_3M_MARKETDATA@8:31</v>
      </c>
      <c r="E27" s="14"/>
      <c r="G27" s="11"/>
      <c r="H27" s="36" t="s">
        <v>7</v>
      </c>
      <c r="I27" s="93" t="s">
        <v>1</v>
      </c>
      <c r="J27" s="13" t="s">
        <v>12</v>
      </c>
      <c r="K27" s="49" t="s">
        <v>39</v>
      </c>
      <c r="L27" s="60">
        <v>2.3117499999999999E-2</v>
      </c>
      <c r="M27" s="26"/>
      <c r="N27" s="61" t="s">
        <v>47</v>
      </c>
      <c r="O27" s="72">
        <v>43362</v>
      </c>
      <c r="P27" s="72">
        <v>43453</v>
      </c>
      <c r="Q27" s="62">
        <v>97.64</v>
      </c>
      <c r="R27" s="40">
        <v>1.4500000000000001E-2</v>
      </c>
      <c r="S27" s="26"/>
      <c r="T27" s="61" t="s">
        <v>37</v>
      </c>
      <c r="U27" s="63">
        <v>2.8679999999999997E-2</v>
      </c>
      <c r="V27" s="41" t="b">
        <v>1</v>
      </c>
      <c r="W27" s="27"/>
    </row>
    <row r="28" spans="2:23">
      <c r="B28" s="11"/>
      <c r="C28" s="13"/>
      <c r="D28" s="13"/>
      <c r="E28" s="14"/>
      <c r="G28" s="11"/>
      <c r="H28" s="39" t="s">
        <v>22</v>
      </c>
      <c r="I28" s="94" t="s">
        <v>34</v>
      </c>
      <c r="J28" s="13" t="s">
        <v>12</v>
      </c>
      <c r="K28" s="33"/>
      <c r="L28" s="64"/>
      <c r="M28" s="26"/>
      <c r="N28" s="65" t="s">
        <v>48</v>
      </c>
      <c r="O28" s="73">
        <v>43453</v>
      </c>
      <c r="P28" s="73">
        <v>43544</v>
      </c>
      <c r="Q28" s="66">
        <v>97.39</v>
      </c>
      <c r="R28" s="42">
        <v>1.4500000000000001E-2</v>
      </c>
      <c r="S28" s="26"/>
      <c r="T28" s="65" t="s">
        <v>6</v>
      </c>
      <c r="U28" s="67">
        <v>2.8729000000000001E-2</v>
      </c>
      <c r="V28" s="43" t="b">
        <v>1</v>
      </c>
      <c r="W28" s="27"/>
    </row>
    <row r="29" spans="2:23">
      <c r="B29" s="11"/>
      <c r="C29" s="13"/>
      <c r="D29" s="13"/>
      <c r="E29" s="14"/>
      <c r="G29" s="11"/>
      <c r="H29" s="39" t="s">
        <v>23</v>
      </c>
      <c r="I29" s="94" t="s">
        <v>31</v>
      </c>
      <c r="J29" s="13" t="s">
        <v>12</v>
      </c>
      <c r="K29" s="33"/>
      <c r="L29" s="64"/>
      <c r="M29" s="26"/>
      <c r="N29" s="65" t="s">
        <v>49</v>
      </c>
      <c r="O29" s="74">
        <v>43544</v>
      </c>
      <c r="P29" s="74">
        <v>43635</v>
      </c>
      <c r="Q29" s="66">
        <v>97.25</v>
      </c>
      <c r="R29" s="44">
        <v>1.4500000000000001E-2</v>
      </c>
      <c r="S29" s="26"/>
      <c r="T29" s="65" t="s">
        <v>38</v>
      </c>
      <c r="U29" s="67">
        <v>2.8910000000000002E-2</v>
      </c>
      <c r="V29" s="43" t="b">
        <v>1</v>
      </c>
      <c r="W29" s="27"/>
    </row>
    <row r="30" spans="2:23">
      <c r="B30" s="11"/>
      <c r="C30" s="13"/>
      <c r="D30" s="13"/>
      <c r="E30" s="14"/>
      <c r="G30" s="11"/>
      <c r="H30" s="39" t="s">
        <v>9</v>
      </c>
      <c r="I30" s="95">
        <v>43327</v>
      </c>
      <c r="J30" s="13" t="s">
        <v>12</v>
      </c>
      <c r="K30" s="33"/>
      <c r="L30" s="64"/>
      <c r="M30" s="26"/>
      <c r="N30" s="65" t="s">
        <v>50</v>
      </c>
      <c r="O30" s="74">
        <v>43635</v>
      </c>
      <c r="P30" s="74">
        <v>43726</v>
      </c>
      <c r="Q30" s="66">
        <v>97.14</v>
      </c>
      <c r="R30" s="44">
        <v>1.4500000000000001E-2</v>
      </c>
      <c r="S30" s="26"/>
      <c r="T30" s="65" t="s">
        <v>52</v>
      </c>
      <c r="U30" s="67">
        <v>2.9014000000000002E-2</v>
      </c>
      <c r="V30" s="43" t="b">
        <v>1</v>
      </c>
      <c r="W30" s="27"/>
    </row>
    <row r="31" spans="2:23">
      <c r="B31" s="11"/>
      <c r="C31" s="24" t="s">
        <v>195</v>
      </c>
      <c r="D31" s="13"/>
      <c r="E31" s="14"/>
      <c r="G31" s="11"/>
      <c r="H31" s="59"/>
      <c r="I31" s="96"/>
      <c r="J31" s="13" t="s">
        <v>12</v>
      </c>
      <c r="K31" s="45"/>
      <c r="L31" s="52"/>
      <c r="M31" s="26"/>
      <c r="N31" s="65" t="s">
        <v>51</v>
      </c>
      <c r="O31" s="74">
        <v>43726</v>
      </c>
      <c r="P31" s="74">
        <v>43817</v>
      </c>
      <c r="Q31" s="66">
        <v>97.075000000000003</v>
      </c>
      <c r="R31" s="44">
        <v>1.4500000000000001E-2</v>
      </c>
      <c r="S31" s="26"/>
      <c r="T31" s="65" t="s">
        <v>54</v>
      </c>
      <c r="U31" s="67">
        <v>2.9144999999999997E-2</v>
      </c>
      <c r="V31" s="43" t="b">
        <v>1</v>
      </c>
      <c r="W31" s="27"/>
    </row>
    <row r="32" spans="2:23">
      <c r="B32" s="11"/>
      <c r="C32" s="5"/>
      <c r="D32" s="13"/>
      <c r="E32" s="14"/>
      <c r="G32" s="11"/>
      <c r="H32" s="13"/>
      <c r="I32" s="92"/>
      <c r="J32" s="13" t="s">
        <v>12</v>
      </c>
      <c r="K32" s="26"/>
      <c r="L32" s="26"/>
      <c r="M32" s="26"/>
      <c r="N32" s="65" t="s">
        <v>53</v>
      </c>
      <c r="O32" s="74">
        <v>43817</v>
      </c>
      <c r="P32" s="74">
        <v>43908</v>
      </c>
      <c r="Q32" s="66">
        <v>97.04</v>
      </c>
      <c r="R32" s="44">
        <v>1.4500000000000001E-2</v>
      </c>
      <c r="S32" s="26"/>
      <c r="T32" s="65" t="s">
        <v>40</v>
      </c>
      <c r="U32" s="67">
        <v>2.928E-2</v>
      </c>
      <c r="V32" s="43" t="b">
        <v>1</v>
      </c>
      <c r="W32" s="27"/>
    </row>
    <row r="33" spans="2:23">
      <c r="B33" s="11"/>
      <c r="C33" s="199" t="s">
        <v>196</v>
      </c>
      <c r="D33" s="13"/>
      <c r="E33" s="14"/>
      <c r="G33" s="11"/>
      <c r="H33" s="25" t="s">
        <v>25</v>
      </c>
      <c r="I33" s="16"/>
      <c r="J33" s="13" t="s">
        <v>12</v>
      </c>
      <c r="K33" s="26"/>
      <c r="L33" s="26"/>
      <c r="M33" s="26"/>
      <c r="N33" s="65" t="s">
        <v>55</v>
      </c>
      <c r="O33" s="74">
        <v>43908</v>
      </c>
      <c r="P33" s="74">
        <v>43999</v>
      </c>
      <c r="Q33" s="66">
        <v>97.034999999999997</v>
      </c>
      <c r="R33" s="44">
        <v>1.4500000000000001E-2</v>
      </c>
      <c r="S33" s="26"/>
      <c r="T33" s="65" t="s">
        <v>41</v>
      </c>
      <c r="U33" s="67">
        <v>2.9523000000000001E-2</v>
      </c>
      <c r="V33" s="43" t="b">
        <v>1</v>
      </c>
      <c r="W33" s="27"/>
    </row>
    <row r="34" spans="2:23">
      <c r="B34" s="11"/>
      <c r="C34" s="201" t="s">
        <v>118</v>
      </c>
      <c r="D34" s="202"/>
      <c r="E34" s="14"/>
      <c r="G34" s="11"/>
      <c r="H34" s="12" t="s">
        <v>26</v>
      </c>
      <c r="I34" s="86" t="s">
        <v>67</v>
      </c>
      <c r="J34" s="13" t="s">
        <v>12</v>
      </c>
      <c r="K34" s="26"/>
      <c r="L34" s="26"/>
      <c r="M34" s="26"/>
      <c r="N34" s="65" t="s">
        <v>56</v>
      </c>
      <c r="O34" s="74">
        <v>43999</v>
      </c>
      <c r="P34" s="74">
        <v>44090</v>
      </c>
      <c r="Q34" s="66">
        <v>97.03</v>
      </c>
      <c r="R34" s="44">
        <v>1.4500000000000001E-2</v>
      </c>
      <c r="S34" s="26"/>
      <c r="T34" s="65" t="s">
        <v>42</v>
      </c>
      <c r="U34" s="67">
        <v>2.9727999999999997E-2</v>
      </c>
      <c r="V34" s="43" t="b">
        <v>1</v>
      </c>
      <c r="W34" s="27"/>
    </row>
    <row r="35" spans="2:23">
      <c r="B35" s="11"/>
      <c r="C35" s="5"/>
      <c r="D35" s="13"/>
      <c r="E35" s="14"/>
      <c r="G35" s="11"/>
      <c r="H35" s="20" t="s">
        <v>27</v>
      </c>
      <c r="I35" s="97" t="str">
        <f ca="1">_xll.meLWOCurveMarketDataCreate(I34,H25,H27:I31,K25,K27:L31,N25,N27:R40,T25,T27:V40)</f>
        <v>USD_3M_MARKETDATA@8:31</v>
      </c>
      <c r="J35" s="13" t="s">
        <v>12</v>
      </c>
      <c r="K35" s="26"/>
      <c r="L35" s="26"/>
      <c r="M35" s="70"/>
      <c r="N35" s="65" t="s">
        <v>62</v>
      </c>
      <c r="O35" s="74">
        <v>44090</v>
      </c>
      <c r="P35" s="74">
        <v>44181</v>
      </c>
      <c r="Q35" s="66">
        <v>97.025000000000006</v>
      </c>
      <c r="R35" s="44">
        <v>1.4500000000000001E-2</v>
      </c>
      <c r="S35" s="26"/>
      <c r="T35" s="65" t="s">
        <v>44</v>
      </c>
      <c r="U35" s="67">
        <v>2.9832999999999998E-2</v>
      </c>
      <c r="V35" s="43" t="b">
        <v>1</v>
      </c>
      <c r="W35" s="27"/>
    </row>
    <row r="36" spans="2:23">
      <c r="B36" s="11"/>
      <c r="C36" s="199" t="s">
        <v>197</v>
      </c>
      <c r="D36" s="13"/>
      <c r="E36" s="14"/>
      <c r="G36" s="11"/>
      <c r="H36" s="13"/>
      <c r="I36" s="13"/>
      <c r="J36" s="13" t="s">
        <v>12</v>
      </c>
      <c r="K36" s="26"/>
      <c r="L36" s="26"/>
      <c r="M36" s="71"/>
      <c r="N36" s="65" t="s">
        <v>63</v>
      </c>
      <c r="O36" s="74">
        <v>44181</v>
      </c>
      <c r="P36" s="74">
        <v>44272</v>
      </c>
      <c r="Q36" s="66">
        <v>97.02000000000001</v>
      </c>
      <c r="R36" s="44">
        <v>1.4500000000000001E-2</v>
      </c>
      <c r="S36" s="26"/>
      <c r="T36" s="65" t="s">
        <v>45</v>
      </c>
      <c r="U36" s="67">
        <v>2.9750000000000002E-2</v>
      </c>
      <c r="V36" s="43" t="b">
        <v>1</v>
      </c>
      <c r="W36" s="27"/>
    </row>
    <row r="37" spans="2:23">
      <c r="B37" s="11"/>
      <c r="C37" s="201" t="s">
        <v>190</v>
      </c>
      <c r="D37" s="202"/>
      <c r="E37" s="14"/>
      <c r="G37" s="11"/>
      <c r="H37" s="13"/>
      <c r="I37" s="13"/>
      <c r="J37" s="13" t="s">
        <v>12</v>
      </c>
      <c r="K37" s="26"/>
      <c r="L37" s="26"/>
      <c r="M37" s="71"/>
      <c r="N37" s="65" t="s">
        <v>64</v>
      </c>
      <c r="O37" s="74">
        <v>44272</v>
      </c>
      <c r="P37" s="74">
        <v>44363</v>
      </c>
      <c r="Q37" s="66">
        <v>97.015000000000015</v>
      </c>
      <c r="R37" s="44">
        <v>1.4500000000000001E-2</v>
      </c>
      <c r="S37" s="26"/>
      <c r="T37" s="65" t="s">
        <v>46</v>
      </c>
      <c r="U37" s="67">
        <v>2.9618000000000002E-2</v>
      </c>
      <c r="V37" s="43" t="b">
        <v>1</v>
      </c>
      <c r="W37" s="27"/>
    </row>
    <row r="38" spans="2:23">
      <c r="B38" s="11"/>
      <c r="C38" s="13"/>
      <c r="D38" s="13"/>
      <c r="E38" s="14"/>
      <c r="G38" s="11"/>
      <c r="H38" s="13"/>
      <c r="I38" s="13"/>
      <c r="J38" s="13" t="s">
        <v>12</v>
      </c>
      <c r="K38" s="26"/>
      <c r="L38" s="26"/>
      <c r="M38" s="71"/>
      <c r="N38" s="65" t="s">
        <v>65</v>
      </c>
      <c r="O38" s="74">
        <v>44363</v>
      </c>
      <c r="P38" s="74">
        <v>44454</v>
      </c>
      <c r="Q38" s="66">
        <v>97.02</v>
      </c>
      <c r="R38" s="44">
        <v>1.4500000000000001E-2</v>
      </c>
      <c r="S38" s="26"/>
      <c r="T38" s="65" t="s">
        <v>28</v>
      </c>
      <c r="U38" s="67">
        <v>2.9618000000000002E-2</v>
      </c>
      <c r="V38" s="43" t="b">
        <v>1</v>
      </c>
      <c r="W38" s="27"/>
    </row>
    <row r="39" spans="2:23">
      <c r="B39" s="11"/>
      <c r="C39" s="13"/>
      <c r="D39" s="13"/>
      <c r="E39" s="14"/>
      <c r="G39" s="11"/>
      <c r="H39" s="13"/>
      <c r="I39" s="13"/>
      <c r="J39" s="13" t="s">
        <v>12</v>
      </c>
      <c r="K39" s="26"/>
      <c r="L39" s="26"/>
      <c r="M39" s="26"/>
      <c r="N39" s="65"/>
      <c r="O39" s="74"/>
      <c r="P39" s="74"/>
      <c r="Q39" s="66"/>
      <c r="R39" s="44"/>
      <c r="S39" s="26"/>
      <c r="T39" s="65" t="s">
        <v>29</v>
      </c>
      <c r="U39" s="67">
        <v>2.9618000000000002E-2</v>
      </c>
      <c r="V39" s="43" t="b">
        <v>1</v>
      </c>
      <c r="W39" s="27"/>
    </row>
    <row r="40" spans="2:23">
      <c r="B40" s="11"/>
      <c r="C40" s="13"/>
      <c r="D40" s="13"/>
      <c r="E40" s="14"/>
      <c r="G40" s="11"/>
      <c r="H40" s="13"/>
      <c r="I40" s="13"/>
      <c r="J40" s="13"/>
      <c r="K40" s="13"/>
      <c r="L40" s="13"/>
      <c r="M40" s="13"/>
      <c r="N40" s="46"/>
      <c r="O40" s="75"/>
      <c r="P40" s="75"/>
      <c r="Q40" s="47"/>
      <c r="R40" s="48"/>
      <c r="S40" s="13"/>
      <c r="T40" s="164" t="s">
        <v>107</v>
      </c>
      <c r="U40" s="165">
        <f ca="1">U39</f>
        <v>2.9618000000000002E-2</v>
      </c>
      <c r="V40" s="166" t="b">
        <v>1</v>
      </c>
      <c r="W40" s="167" t="s">
        <v>108</v>
      </c>
    </row>
    <row r="41" spans="2:23">
      <c r="B41" s="21"/>
      <c r="C41" s="22"/>
      <c r="D41" s="22"/>
      <c r="E41" s="23"/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3"/>
    </row>
    <row r="43" spans="2:23">
      <c r="H43" t="s">
        <v>193</v>
      </c>
      <c r="N43" t="s">
        <v>194</v>
      </c>
    </row>
    <row r="44" spans="2:23">
      <c r="H44" s="200" t="str">
        <f ca="1">_xll.meLWOCurveGeneratorCreate(H43,H47,H48:I54,H56,H57:I73,H75,H76:I79,H81,H82:I85)</f>
        <v>USD_OIS_NEW_GENERATOR@6:31</v>
      </c>
      <c r="N44" s="200" t="str">
        <f ca="1">_xll.meLWOCurveGeneratorCreate(N43,N47,N48:O61,N63,N64:O66,N68,N69:O73,N75,N76:O76,N78,N79:O85,N87,N88:O100)</f>
        <v>USD_SWAP_NEW_GENERATOR@9:29</v>
      </c>
    </row>
    <row r="46" spans="2:23">
      <c r="C46" t="s">
        <v>198</v>
      </c>
    </row>
    <row r="47" spans="2:23">
      <c r="C47" s="53" t="s">
        <v>191</v>
      </c>
      <c r="D47" s="53"/>
      <c r="H47" t="s">
        <v>112</v>
      </c>
      <c r="I47" t="s">
        <v>113</v>
      </c>
      <c r="N47" t="s">
        <v>112</v>
      </c>
      <c r="O47" t="s">
        <v>113</v>
      </c>
    </row>
    <row r="48" spans="2:23">
      <c r="C48" s="53" t="s">
        <v>118</v>
      </c>
      <c r="D48" s="53"/>
      <c r="H48" t="s">
        <v>22</v>
      </c>
      <c r="I48" t="s">
        <v>14</v>
      </c>
      <c r="N48" t="s">
        <v>22</v>
      </c>
      <c r="O48" t="s">
        <v>34</v>
      </c>
    </row>
    <row r="49" spans="3:18">
      <c r="C49" s="53" t="s">
        <v>187</v>
      </c>
      <c r="D49" s="53"/>
      <c r="H49" t="s">
        <v>23</v>
      </c>
      <c r="I49" t="s">
        <v>24</v>
      </c>
      <c r="N49" t="s">
        <v>23</v>
      </c>
      <c r="O49" t="s">
        <v>31</v>
      </c>
    </row>
    <row r="50" spans="3:18">
      <c r="C50" s="53" t="s">
        <v>188</v>
      </c>
      <c r="D50" s="53"/>
      <c r="H50" t="s">
        <v>114</v>
      </c>
      <c r="I50" t="s">
        <v>14</v>
      </c>
      <c r="N50" t="s">
        <v>114</v>
      </c>
      <c r="O50" t="s">
        <v>160</v>
      </c>
    </row>
    <row r="51" spans="3:18">
      <c r="C51" s="53" t="s">
        <v>162</v>
      </c>
      <c r="D51" s="53"/>
      <c r="H51" t="s">
        <v>115</v>
      </c>
      <c r="I51" t="s">
        <v>116</v>
      </c>
      <c r="N51" t="s">
        <v>115</v>
      </c>
      <c r="O51" t="s">
        <v>161</v>
      </c>
    </row>
    <row r="52" spans="3:18">
      <c r="C52" s="53" t="s">
        <v>189</v>
      </c>
      <c r="D52" s="53"/>
      <c r="H52" t="s">
        <v>7</v>
      </c>
      <c r="I52" t="s">
        <v>1</v>
      </c>
      <c r="N52" t="s">
        <v>7</v>
      </c>
      <c r="O52" t="s">
        <v>1</v>
      </c>
    </row>
    <row r="53" spans="3:18">
      <c r="C53" s="53" t="s">
        <v>190</v>
      </c>
      <c r="D53" s="53"/>
      <c r="H53" t="s">
        <v>117</v>
      </c>
      <c r="I53" s="197" t="str">
        <f ca="1">$C$34</f>
        <v>FN_SPLINEINTERPOLATION</v>
      </c>
      <c r="J53" s="195"/>
      <c r="K53" s="195"/>
      <c r="L53" s="195"/>
      <c r="N53" t="s">
        <v>117</v>
      </c>
      <c r="O53" s="197" t="str">
        <f ca="1">$C$37</f>
        <v>FN_LINEARMONOTONEPARABOLICINTERPOLATION</v>
      </c>
      <c r="P53" s="196"/>
      <c r="Q53" s="196"/>
      <c r="R53" s="196"/>
    </row>
    <row r="54" spans="3:18">
      <c r="H54" t="s">
        <v>119</v>
      </c>
      <c r="I54" s="197" t="str">
        <f ca="1">$C$34</f>
        <v>FN_SPLINEINTERPOLATION</v>
      </c>
      <c r="J54" s="195"/>
      <c r="K54" s="195"/>
      <c r="L54" s="195"/>
      <c r="N54" t="s">
        <v>119</v>
      </c>
      <c r="O54" s="197" t="str">
        <f ca="1">$C$37</f>
        <v>FN_LINEARMONOTONEPARABOLICINTERPOLATION</v>
      </c>
      <c r="P54" s="196"/>
      <c r="Q54" s="196"/>
      <c r="R54" s="196"/>
    </row>
    <row r="55" spans="3:18">
      <c r="H55" t="s">
        <v>113</v>
      </c>
      <c r="I55" t="s">
        <v>113</v>
      </c>
      <c r="N55" t="s">
        <v>163</v>
      </c>
      <c r="O55" s="197" t="str">
        <f ca="1">$C$37</f>
        <v>FN_LINEARMONOTONEPARABOLICINTERPOLATION</v>
      </c>
      <c r="P55" s="196"/>
      <c r="Q55" s="196"/>
      <c r="R55" s="196"/>
    </row>
    <row r="56" spans="3:18">
      <c r="H56" t="s">
        <v>14</v>
      </c>
      <c r="I56" t="s">
        <v>113</v>
      </c>
      <c r="N56" t="s">
        <v>164</v>
      </c>
      <c r="O56" t="s">
        <v>150</v>
      </c>
    </row>
    <row r="57" spans="3:18">
      <c r="H57" t="s">
        <v>120</v>
      </c>
      <c r="I57" t="s">
        <v>121</v>
      </c>
      <c r="N57" t="s">
        <v>165</v>
      </c>
      <c r="O57" t="s">
        <v>136</v>
      </c>
    </row>
    <row r="58" spans="3:18">
      <c r="C58" s="198"/>
      <c r="H58" t="s">
        <v>122</v>
      </c>
      <c r="I58" t="s">
        <v>123</v>
      </c>
      <c r="N58" t="s">
        <v>154</v>
      </c>
      <c r="O58" t="s">
        <v>166</v>
      </c>
    </row>
    <row r="59" spans="3:18">
      <c r="H59" t="s">
        <v>124</v>
      </c>
      <c r="I59" t="s">
        <v>125</v>
      </c>
      <c r="N59" t="s">
        <v>167</v>
      </c>
      <c r="O59" t="s">
        <v>14</v>
      </c>
    </row>
    <row r="60" spans="3:18">
      <c r="H60" t="s">
        <v>126</v>
      </c>
      <c r="I60" t="s">
        <v>127</v>
      </c>
      <c r="N60" t="s">
        <v>168</v>
      </c>
      <c r="O60" t="s">
        <v>136</v>
      </c>
    </row>
    <row r="61" spans="3:18">
      <c r="H61" t="s">
        <v>128</v>
      </c>
      <c r="I61" t="s">
        <v>58</v>
      </c>
      <c r="N61" t="s">
        <v>69</v>
      </c>
      <c r="O61" t="s">
        <v>136</v>
      </c>
    </row>
    <row r="62" spans="3:18">
      <c r="H62" t="s">
        <v>129</v>
      </c>
      <c r="I62" t="s">
        <v>130</v>
      </c>
      <c r="N62" t="s">
        <v>113</v>
      </c>
      <c r="O62" t="s">
        <v>113</v>
      </c>
    </row>
    <row r="63" spans="3:18">
      <c r="H63" t="s">
        <v>131</v>
      </c>
      <c r="I63" t="s">
        <v>132</v>
      </c>
      <c r="N63" t="s">
        <v>169</v>
      </c>
      <c r="O63" t="s">
        <v>113</v>
      </c>
    </row>
    <row r="64" spans="3:18">
      <c r="H64" t="s">
        <v>133</v>
      </c>
      <c r="I64" t="s">
        <v>134</v>
      </c>
      <c r="N64" t="s">
        <v>120</v>
      </c>
      <c r="O64" t="s">
        <v>121</v>
      </c>
    </row>
    <row r="65" spans="8:15">
      <c r="H65" t="s">
        <v>135</v>
      </c>
      <c r="I65" t="s">
        <v>136</v>
      </c>
      <c r="N65" t="s">
        <v>122</v>
      </c>
      <c r="O65" t="s">
        <v>170</v>
      </c>
    </row>
    <row r="66" spans="8:15">
      <c r="H66" t="s">
        <v>137</v>
      </c>
      <c r="I66" t="s">
        <v>138</v>
      </c>
      <c r="N66" t="s">
        <v>131</v>
      </c>
      <c r="O66" t="s">
        <v>171</v>
      </c>
    </row>
    <row r="67" spans="8:15">
      <c r="H67" t="s">
        <v>139</v>
      </c>
      <c r="I67" t="s">
        <v>140</v>
      </c>
      <c r="N67" t="s">
        <v>113</v>
      </c>
      <c r="O67" t="s">
        <v>113</v>
      </c>
    </row>
    <row r="68" spans="8:15">
      <c r="H68" t="s">
        <v>141</v>
      </c>
      <c r="I68" t="s">
        <v>5</v>
      </c>
      <c r="N68" t="s">
        <v>32</v>
      </c>
      <c r="O68" t="s">
        <v>113</v>
      </c>
    </row>
    <row r="69" spans="8:15">
      <c r="H69" t="s">
        <v>142</v>
      </c>
      <c r="I69" t="s">
        <v>143</v>
      </c>
      <c r="N69" t="s">
        <v>120</v>
      </c>
      <c r="O69" t="s">
        <v>152</v>
      </c>
    </row>
    <row r="70" spans="8:15">
      <c r="H70" t="s">
        <v>103</v>
      </c>
      <c r="I70" t="s">
        <v>144</v>
      </c>
      <c r="N70" t="s">
        <v>122</v>
      </c>
      <c r="O70" t="s">
        <v>170</v>
      </c>
    </row>
    <row r="71" spans="8:15">
      <c r="H71" t="s">
        <v>145</v>
      </c>
      <c r="I71" t="s">
        <v>146</v>
      </c>
      <c r="N71" t="s">
        <v>124</v>
      </c>
      <c r="O71" t="s">
        <v>172</v>
      </c>
    </row>
    <row r="72" spans="8:15">
      <c r="H72" t="s">
        <v>147</v>
      </c>
      <c r="I72" t="s">
        <v>148</v>
      </c>
      <c r="N72" t="s">
        <v>128</v>
      </c>
      <c r="O72">
        <v>2</v>
      </c>
    </row>
    <row r="73" spans="8:15">
      <c r="H73" t="s">
        <v>149</v>
      </c>
      <c r="I73" t="s">
        <v>150</v>
      </c>
      <c r="N73" t="s">
        <v>131</v>
      </c>
      <c r="O73" t="s">
        <v>132</v>
      </c>
    </row>
    <row r="74" spans="8:15">
      <c r="H74" t="s">
        <v>113</v>
      </c>
      <c r="I74" t="s">
        <v>113</v>
      </c>
      <c r="N74" t="s">
        <v>113</v>
      </c>
      <c r="O74" t="s">
        <v>113</v>
      </c>
    </row>
    <row r="75" spans="8:15">
      <c r="H75" t="s">
        <v>151</v>
      </c>
      <c r="I75" t="s">
        <v>113</v>
      </c>
      <c r="N75" t="s">
        <v>173</v>
      </c>
      <c r="O75" t="s">
        <v>113</v>
      </c>
    </row>
    <row r="76" spans="8:15">
      <c r="H76" t="s">
        <v>106</v>
      </c>
      <c r="I76" t="s">
        <v>152</v>
      </c>
      <c r="N76" t="s">
        <v>106</v>
      </c>
      <c r="O76" t="s">
        <v>152</v>
      </c>
    </row>
    <row r="77" spans="8:15">
      <c r="H77" t="s">
        <v>153</v>
      </c>
      <c r="I77" t="s">
        <v>123</v>
      </c>
      <c r="N77" t="s">
        <v>113</v>
      </c>
      <c r="O77" t="s">
        <v>113</v>
      </c>
    </row>
    <row r="78" spans="8:15">
      <c r="H78" t="s">
        <v>154</v>
      </c>
      <c r="I78" t="s">
        <v>31</v>
      </c>
      <c r="N78" t="s">
        <v>33</v>
      </c>
      <c r="O78" t="s">
        <v>113</v>
      </c>
    </row>
    <row r="79" spans="8:15">
      <c r="H79" t="s">
        <v>155</v>
      </c>
      <c r="I79" t="s">
        <v>132</v>
      </c>
      <c r="N79" t="s">
        <v>120</v>
      </c>
      <c r="O79" t="s">
        <v>121</v>
      </c>
    </row>
    <row r="80" spans="8:15">
      <c r="H80" t="s">
        <v>113</v>
      </c>
      <c r="I80" t="s">
        <v>113</v>
      </c>
      <c r="N80" t="s">
        <v>122</v>
      </c>
      <c r="O80" t="s">
        <v>170</v>
      </c>
    </row>
    <row r="81" spans="8:15">
      <c r="H81" t="s">
        <v>16</v>
      </c>
      <c r="I81" t="s">
        <v>113</v>
      </c>
      <c r="N81" t="s">
        <v>128</v>
      </c>
      <c r="O81">
        <v>2</v>
      </c>
    </row>
    <row r="82" spans="8:15">
      <c r="H82" t="s">
        <v>120</v>
      </c>
      <c r="I82" t="s">
        <v>152</v>
      </c>
      <c r="N82" t="s">
        <v>131</v>
      </c>
      <c r="O82" t="s">
        <v>132</v>
      </c>
    </row>
    <row r="83" spans="8:15">
      <c r="H83" t="s">
        <v>156</v>
      </c>
      <c r="I83" t="s">
        <v>157</v>
      </c>
      <c r="N83" t="s">
        <v>174</v>
      </c>
      <c r="O83">
        <v>0.03</v>
      </c>
    </row>
    <row r="84" spans="8:15">
      <c r="H84" t="s">
        <v>158</v>
      </c>
      <c r="I84" t="s">
        <v>159</v>
      </c>
      <c r="N84" t="s">
        <v>175</v>
      </c>
      <c r="O84" t="s">
        <v>150</v>
      </c>
    </row>
    <row r="85" spans="8:15">
      <c r="H85" t="s">
        <v>131</v>
      </c>
      <c r="I85" t="s">
        <v>132</v>
      </c>
      <c r="N85" t="s">
        <v>176</v>
      </c>
      <c r="O85">
        <v>2</v>
      </c>
    </row>
    <row r="86" spans="8:15">
      <c r="N86" t="s">
        <v>113</v>
      </c>
      <c r="O86" t="s">
        <v>113</v>
      </c>
    </row>
    <row r="87" spans="8:15">
      <c r="N87" t="s">
        <v>16</v>
      </c>
      <c r="O87" t="s">
        <v>113</v>
      </c>
    </row>
    <row r="88" spans="8:15">
      <c r="N88" t="s">
        <v>106</v>
      </c>
      <c r="O88" t="s">
        <v>152</v>
      </c>
    </row>
    <row r="89" spans="8:15">
      <c r="N89" t="s">
        <v>177</v>
      </c>
      <c r="O89" t="s">
        <v>157</v>
      </c>
    </row>
    <row r="90" spans="8:15">
      <c r="N90" t="s">
        <v>178</v>
      </c>
      <c r="O90" t="s">
        <v>123</v>
      </c>
    </row>
    <row r="91" spans="8:15">
      <c r="N91" t="s">
        <v>154</v>
      </c>
      <c r="O91" t="s">
        <v>179</v>
      </c>
    </row>
    <row r="92" spans="8:15">
      <c r="N92" t="s">
        <v>180</v>
      </c>
      <c r="O92" t="s">
        <v>181</v>
      </c>
    </row>
    <row r="93" spans="8:15">
      <c r="N93" t="s">
        <v>182</v>
      </c>
      <c r="O93" t="s">
        <v>136</v>
      </c>
    </row>
    <row r="94" spans="8:15">
      <c r="N94" t="s">
        <v>183</v>
      </c>
      <c r="O94">
        <v>31</v>
      </c>
    </row>
    <row r="95" spans="8:15">
      <c r="N95" t="s">
        <v>184</v>
      </c>
      <c r="O95" t="s">
        <v>136</v>
      </c>
    </row>
    <row r="96" spans="8:15">
      <c r="N96" t="s">
        <v>185</v>
      </c>
      <c r="O96">
        <v>2</v>
      </c>
    </row>
    <row r="97" spans="14:15">
      <c r="N97" t="s">
        <v>155</v>
      </c>
      <c r="O97" t="s">
        <v>132</v>
      </c>
    </row>
    <row r="98" spans="14:15">
      <c r="N98" t="s">
        <v>186</v>
      </c>
      <c r="O98" t="s">
        <v>136</v>
      </c>
    </row>
    <row r="99" spans="14:15">
      <c r="N99" t="s">
        <v>103</v>
      </c>
      <c r="O99">
        <v>1.0000000000000003E-9</v>
      </c>
    </row>
    <row r="100" spans="14:15">
      <c r="N100" t="s">
        <v>145</v>
      </c>
      <c r="O100">
        <v>1000</v>
      </c>
    </row>
  </sheetData>
  <mergeCells count="2">
    <mergeCell ref="C34:D34"/>
    <mergeCell ref="C37:D37"/>
  </mergeCells>
  <dataValidations count="2">
    <dataValidation type="list" allowBlank="1" showInputMessage="1" showErrorMessage="1" sqref="C34">
      <formula1>$C$47:$C$50</formula1>
    </dataValidation>
    <dataValidation type="list" allowBlank="1" showInputMessage="1" showErrorMessage="1" sqref="C37">
      <formula1>$C$47:$C$53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1"/>
  <sheetViews>
    <sheetView showGridLines="0" workbookViewId="0"/>
  </sheetViews>
  <sheetFormatPr defaultRowHeight="15"/>
  <cols>
    <col min="2" max="2" width="15.28515625" bestFit="1" customWidth="1"/>
    <col min="3" max="3" width="15.140625" customWidth="1"/>
    <col min="4" max="5" width="12.7109375" customWidth="1"/>
  </cols>
  <sheetData>
    <row r="2" spans="2:5">
      <c r="B2" s="2" t="s">
        <v>84</v>
      </c>
      <c r="E2" s="2" t="s">
        <v>77</v>
      </c>
    </row>
    <row r="3" spans="2:5">
      <c r="B3" s="28" t="s">
        <v>10</v>
      </c>
      <c r="C3" s="83" t="s">
        <v>4</v>
      </c>
      <c r="E3" s="83" t="s">
        <v>82</v>
      </c>
    </row>
    <row r="4" spans="2:5">
      <c r="B4" s="31" t="s">
        <v>78</v>
      </c>
      <c r="C4" s="84" t="s">
        <v>81</v>
      </c>
      <c r="E4" s="84" t="s">
        <v>83</v>
      </c>
    </row>
    <row r="5" spans="2:5">
      <c r="B5" s="31" t="s">
        <v>79</v>
      </c>
      <c r="C5" s="84" t="s">
        <v>40</v>
      </c>
      <c r="E5" s="84"/>
    </row>
    <row r="6" spans="2:5">
      <c r="B6" s="32" t="s">
        <v>80</v>
      </c>
      <c r="C6" s="85" t="s">
        <v>192</v>
      </c>
      <c r="E6" s="85"/>
    </row>
    <row r="9" spans="2:5">
      <c r="B9" s="3" t="str">
        <f t="array" aca="1" ref="B9:D501" ca="1">_xll.meLWOCurveForwardRatesTable($C$3,$E$3:$E$4,C4,C5,,,,C6)</f>
        <v>Fixing Dates</v>
      </c>
      <c r="C9" s="3" t="str">
        <f ca="1"/>
        <v>USDOIS</v>
      </c>
      <c r="D9" s="3" t="str">
        <f ca="1"/>
        <v>USD3ML</v>
      </c>
    </row>
    <row r="10" spans="2:5">
      <c r="B10" s="98">
        <f ca="1"/>
        <v>43327</v>
      </c>
      <c r="C10" s="99">
        <f ca="1"/>
        <v>1.9100000000005224E-2</v>
      </c>
      <c r="D10" s="99">
        <f ca="1"/>
        <v>2.3088466520437598E-2</v>
      </c>
      <c r="E10" s="100"/>
    </row>
    <row r="11" spans="2:5">
      <c r="B11" s="101">
        <f ca="1"/>
        <v>43333</v>
      </c>
      <c r="C11" s="102">
        <f ca="1"/>
        <v>1.9245754635166531E-2</v>
      </c>
      <c r="D11" s="102">
        <f ca="1"/>
        <v>2.3175566959123945E-2</v>
      </c>
      <c r="E11" s="103"/>
    </row>
    <row r="12" spans="2:5">
      <c r="B12" s="101">
        <f ca="1"/>
        <v>43340</v>
      </c>
      <c r="C12" s="102">
        <f ca="1"/>
        <v>1.9456812901470472E-2</v>
      </c>
      <c r="D12" s="102">
        <f ca="1"/>
        <v>2.3277184137591351E-2</v>
      </c>
      <c r="E12" s="103"/>
    </row>
    <row r="13" spans="2:5">
      <c r="B13" s="101">
        <f ca="1"/>
        <v>43347</v>
      </c>
      <c r="C13" s="102">
        <f ca="1"/>
        <v>1.9665569146560785E-2</v>
      </c>
      <c r="D13" s="102">
        <f ca="1"/>
        <v>2.3378801316058753E-2</v>
      </c>
      <c r="E13" s="103"/>
    </row>
    <row r="14" spans="2:5">
      <c r="B14" s="101">
        <f ca="1"/>
        <v>43354</v>
      </c>
      <c r="C14" s="102">
        <f ca="1"/>
        <v>1.9872022225193547E-2</v>
      </c>
      <c r="D14" s="102">
        <f ca="1"/>
        <v>2.3480418494526159E-2</v>
      </c>
      <c r="E14" s="103"/>
    </row>
    <row r="15" spans="2:5">
      <c r="B15" s="101">
        <f ca="1"/>
        <v>43361</v>
      </c>
      <c r="C15" s="102">
        <f ca="1"/>
        <v>2.0076170895402229E-2</v>
      </c>
      <c r="D15" s="102">
        <f ca="1"/>
        <v>2.3582035672993561E-2</v>
      </c>
      <c r="E15" s="103"/>
    </row>
    <row r="16" spans="2:5">
      <c r="B16" s="101">
        <f ca="1"/>
        <v>43368</v>
      </c>
      <c r="C16" s="102">
        <f ca="1"/>
        <v>2.0278013819456903E-2</v>
      </c>
      <c r="D16" s="102">
        <f ca="1"/>
        <v>2.3761159654876251E-2</v>
      </c>
      <c r="E16" s="103"/>
    </row>
    <row r="17" spans="2:5">
      <c r="B17" s="101">
        <f ca="1"/>
        <v>43375</v>
      </c>
      <c r="C17" s="102">
        <f ca="1"/>
        <v>2.0477549565223258E-2</v>
      </c>
      <c r="D17" s="102">
        <f ca="1"/>
        <v>2.3953201437328153E-2</v>
      </c>
      <c r="E17" s="103"/>
    </row>
    <row r="18" spans="2:5">
      <c r="B18" s="101">
        <f ca="1"/>
        <v>43382</v>
      </c>
      <c r="C18" s="102">
        <f ca="1"/>
        <v>2.0674776606721752E-2</v>
      </c>
      <c r="D18" s="102">
        <f ca="1"/>
        <v>2.4145243219780056E-2</v>
      </c>
      <c r="E18" s="103"/>
    </row>
    <row r="19" spans="2:5">
      <c r="B19" s="101">
        <f ca="1"/>
        <v>43389</v>
      </c>
      <c r="C19" s="102">
        <f ca="1"/>
        <v>2.0869693324847633E-2</v>
      </c>
      <c r="D19" s="102">
        <f ca="1"/>
        <v>2.4337285002231958E-2</v>
      </c>
      <c r="E19" s="103"/>
    </row>
    <row r="20" spans="2:5">
      <c r="B20" s="101">
        <f ca="1"/>
        <v>43396</v>
      </c>
      <c r="C20" s="102">
        <f ca="1"/>
        <v>2.1062298008649526E-2</v>
      </c>
      <c r="D20" s="102">
        <f ca="1"/>
        <v>2.4529326784683864E-2</v>
      </c>
      <c r="E20" s="103"/>
    </row>
    <row r="21" spans="2:5">
      <c r="B21" s="101">
        <f ca="1"/>
        <v>43403</v>
      </c>
      <c r="C21" s="102">
        <f ca="1"/>
        <v>2.1252588855969E-2</v>
      </c>
      <c r="D21" s="102">
        <f ca="1"/>
        <v>2.4721368567135766E-2</v>
      </c>
      <c r="E21" s="103"/>
    </row>
    <row r="22" spans="2:5">
      <c r="B22" s="101">
        <f ca="1"/>
        <v>43410</v>
      </c>
      <c r="C22" s="102">
        <f ca="1"/>
        <v>2.1440563974399827E-2</v>
      </c>
      <c r="D22" s="102">
        <f ca="1"/>
        <v>2.4913410349587668E-2</v>
      </c>
      <c r="E22" s="103"/>
    </row>
    <row r="23" spans="2:5">
      <c r="B23" s="101">
        <f ca="1"/>
        <v>43417</v>
      </c>
      <c r="C23" s="102">
        <f ca="1"/>
        <v>2.1626221382087328E-2</v>
      </c>
      <c r="D23" s="102">
        <f ca="1"/>
        <v>2.5105452132039571E-2</v>
      </c>
      <c r="E23" s="103"/>
    </row>
    <row r="24" spans="2:5">
      <c r="B24" s="101">
        <f ca="1"/>
        <v>43424</v>
      </c>
      <c r="C24" s="102">
        <f ca="1"/>
        <v>2.1809449719230121E-2</v>
      </c>
      <c r="D24" s="102">
        <f ca="1"/>
        <v>2.5297016060254793E-2</v>
      </c>
      <c r="E24" s="103"/>
    </row>
    <row r="25" spans="2:5">
      <c r="B25" s="101">
        <f ca="1"/>
        <v>43431</v>
      </c>
      <c r="C25" s="102">
        <f ca="1"/>
        <v>2.1987184805158572E-2</v>
      </c>
      <c r="D25" s="102">
        <f ca="1"/>
        <v>2.5485712863049924E-2</v>
      </c>
      <c r="E25" s="103"/>
    </row>
    <row r="26" spans="2:5">
      <c r="B26" s="101">
        <f ca="1"/>
        <v>43438</v>
      </c>
      <c r="C26" s="102">
        <f ca="1"/>
        <v>2.215799654495151E-2</v>
      </c>
      <c r="D26" s="102">
        <f ca="1"/>
        <v>2.5674409665845058E-2</v>
      </c>
      <c r="E26" s="103"/>
    </row>
    <row r="27" spans="2:5">
      <c r="B27" s="101">
        <f ca="1"/>
        <v>43445</v>
      </c>
      <c r="C27" s="102">
        <f ca="1"/>
        <v>2.232187454971787E-2</v>
      </c>
      <c r="D27" s="102">
        <f ca="1"/>
        <v>2.5863106468640193E-2</v>
      </c>
      <c r="E27" s="103"/>
    </row>
    <row r="28" spans="2:5">
      <c r="B28" s="101">
        <f ca="1"/>
        <v>43452</v>
      </c>
      <c r="C28" s="102">
        <f ca="1"/>
        <v>2.2478808192758572E-2</v>
      </c>
      <c r="D28" s="102">
        <f ca="1"/>
        <v>2.6051803271435324E-2</v>
      </c>
      <c r="E28" s="103"/>
    </row>
    <row r="29" spans="2:5">
      <c r="B29" s="101">
        <f ca="1"/>
        <v>43459</v>
      </c>
      <c r="C29" s="102">
        <f ca="1"/>
        <v>2.2628786617237735E-2</v>
      </c>
      <c r="D29" s="102">
        <f ca="1"/>
        <v>2.6168496516840774E-2</v>
      </c>
      <c r="E29" s="103"/>
    </row>
    <row r="30" spans="2:5">
      <c r="B30" s="101">
        <f ca="1"/>
        <v>43466</v>
      </c>
      <c r="C30" s="102">
        <f ca="1"/>
        <v>2.277179874569776E-2</v>
      </c>
      <c r="D30" s="102">
        <f ca="1"/>
        <v>2.6273189169347944E-2</v>
      </c>
      <c r="E30" s="103"/>
    </row>
    <row r="31" spans="2:5">
      <c r="B31" s="101">
        <f ca="1"/>
        <v>43473</v>
      </c>
      <c r="C31" s="102">
        <f ca="1"/>
        <v>2.290783328948728E-2</v>
      </c>
      <c r="D31" s="102">
        <f ca="1"/>
        <v>2.6377881821855118E-2</v>
      </c>
      <c r="E31" s="103"/>
    </row>
    <row r="32" spans="2:5">
      <c r="B32" s="101">
        <f ca="1"/>
        <v>43480</v>
      </c>
      <c r="C32" s="102">
        <f ca="1"/>
        <v>2.3036878756599405E-2</v>
      </c>
      <c r="D32" s="102">
        <f ca="1"/>
        <v>2.6482574474362287E-2</v>
      </c>
      <c r="E32" s="103"/>
    </row>
    <row r="33" spans="2:5">
      <c r="B33" s="101">
        <f ca="1"/>
        <v>43487</v>
      </c>
      <c r="C33" s="102">
        <f ca="1"/>
        <v>2.3158923461261312E-2</v>
      </c>
      <c r="D33" s="102">
        <f ca="1"/>
        <v>2.6587267126869457E-2</v>
      </c>
      <c r="E33" s="103"/>
    </row>
    <row r="34" spans="2:5">
      <c r="B34" s="101">
        <f ca="1"/>
        <v>43494</v>
      </c>
      <c r="C34" s="102">
        <f ca="1"/>
        <v>2.3273955533209628E-2</v>
      </c>
      <c r="D34" s="102">
        <f ca="1"/>
        <v>2.6691959779376627E-2</v>
      </c>
      <c r="E34" s="103"/>
    </row>
    <row r="35" spans="2:5">
      <c r="B35" s="101">
        <f ca="1"/>
        <v>43501</v>
      </c>
      <c r="C35" s="102">
        <f ca="1"/>
        <v>2.3381962926398797E-2</v>
      </c>
      <c r="D35" s="102">
        <f ca="1"/>
        <v>2.6796652431883797E-2</v>
      </c>
      <c r="E35" s="103"/>
    </row>
    <row r="36" spans="2:5">
      <c r="B36" s="101">
        <f ca="1"/>
        <v>43508</v>
      </c>
      <c r="C36" s="102">
        <f ca="1"/>
        <v>2.3482933428038505E-2</v>
      </c>
      <c r="D36" s="102">
        <f ca="1"/>
        <v>2.6901345084390967E-2</v>
      </c>
      <c r="E36" s="103"/>
    </row>
    <row r="37" spans="2:5">
      <c r="B37" s="101">
        <f ca="1"/>
        <v>43515</v>
      </c>
      <c r="C37" s="102">
        <f ca="1"/>
        <v>2.3576870703276936E-2</v>
      </c>
      <c r="D37" s="102">
        <f ca="1"/>
        <v>2.7006037736898136E-2</v>
      </c>
      <c r="E37" s="103"/>
    </row>
    <row r="38" spans="2:5">
      <c r="B38" s="101">
        <f ca="1"/>
        <v>43522</v>
      </c>
      <c r="C38" s="102">
        <f ca="1"/>
        <v>2.3666425630111204E-2</v>
      </c>
      <c r="D38" s="102">
        <f ca="1"/>
        <v>2.7112824926874304E-2</v>
      </c>
      <c r="E38" s="103"/>
    </row>
    <row r="39" spans="2:5">
      <c r="B39" s="101">
        <f ca="1"/>
        <v>43529</v>
      </c>
      <c r="C39" s="102">
        <f ca="1"/>
        <v>2.3753629384888425E-2</v>
      </c>
      <c r="D39" s="102">
        <f ca="1"/>
        <v>2.7219612116850467E-2</v>
      </c>
      <c r="E39" s="103"/>
    </row>
    <row r="40" spans="2:5">
      <c r="B40" s="101">
        <f ca="1"/>
        <v>43536</v>
      </c>
      <c r="C40" s="102">
        <f ca="1"/>
        <v>2.3838477961373256E-2</v>
      </c>
      <c r="D40" s="102">
        <f ca="1"/>
        <v>2.7326399306826635E-2</v>
      </c>
      <c r="E40" s="103"/>
    </row>
    <row r="41" spans="2:5">
      <c r="B41" s="101">
        <f ca="1"/>
        <v>43543</v>
      </c>
      <c r="C41" s="102">
        <f ca="1"/>
        <v>2.392096730856616E-2</v>
      </c>
      <c r="D41" s="102">
        <f ca="1"/>
        <v>2.7433186496802799E-2</v>
      </c>
      <c r="E41" s="103"/>
    </row>
    <row r="42" spans="2:5">
      <c r="B42" s="101">
        <f ca="1"/>
        <v>43550</v>
      </c>
      <c r="C42" s="102">
        <f ca="1"/>
        <v>2.4001093332222199E-2</v>
      </c>
      <c r="D42" s="102">
        <f ca="1"/>
        <v>2.7519766090761264E-2</v>
      </c>
      <c r="E42" s="103"/>
    </row>
    <row r="43" spans="2:5">
      <c r="B43" s="101">
        <f ca="1"/>
        <v>43557</v>
      </c>
      <c r="C43" s="102">
        <f ca="1"/>
        <v>2.4078851895009922E-2</v>
      </c>
      <c r="D43" s="102">
        <f ca="1"/>
        <v>2.7602977752050114E-2</v>
      </c>
      <c r="E43" s="103"/>
    </row>
    <row r="44" spans="2:5">
      <c r="B44" s="101">
        <f ca="1"/>
        <v>43564</v>
      </c>
      <c r="C44" s="102">
        <f ca="1"/>
        <v>2.4154238818434679E-2</v>
      </c>
      <c r="D44" s="102">
        <f ca="1"/>
        <v>2.7686189413338964E-2</v>
      </c>
      <c r="E44" s="103"/>
    </row>
    <row r="45" spans="2:5">
      <c r="B45" s="101">
        <f ca="1"/>
        <v>43571</v>
      </c>
      <c r="C45" s="102">
        <f ca="1"/>
        <v>2.4227249883148703E-2</v>
      </c>
      <c r="D45" s="102">
        <f ca="1"/>
        <v>2.7769401074627813E-2</v>
      </c>
      <c r="E45" s="103"/>
    </row>
    <row r="46" spans="2:5">
      <c r="B46" s="101">
        <f ca="1"/>
        <v>43578</v>
      </c>
      <c r="C46" s="102">
        <f ca="1"/>
        <v>2.4297880830399608E-2</v>
      </c>
      <c r="D46" s="102">
        <f ca="1"/>
        <v>2.7852612735916663E-2</v>
      </c>
      <c r="E46" s="103"/>
    </row>
    <row r="47" spans="2:5">
      <c r="B47" s="101">
        <f ca="1"/>
        <v>43585</v>
      </c>
      <c r="C47" s="102">
        <f ca="1"/>
        <v>2.4366127362505183E-2</v>
      </c>
      <c r="D47" s="102">
        <f ca="1"/>
        <v>2.7935824397205513E-2</v>
      </c>
      <c r="E47" s="103"/>
    </row>
    <row r="48" spans="2:5">
      <c r="B48" s="101">
        <f ca="1"/>
        <v>43592</v>
      </c>
      <c r="C48" s="102">
        <f ca="1"/>
        <v>2.4431985144453081E-2</v>
      </c>
      <c r="D48" s="102">
        <f ca="1"/>
        <v>2.8019036058494363E-2</v>
      </c>
      <c r="E48" s="103"/>
    </row>
    <row r="49" spans="2:5">
      <c r="B49" s="101">
        <f ca="1"/>
        <v>43599</v>
      </c>
      <c r="C49" s="102">
        <f ca="1"/>
        <v>2.4495449804380429E-2</v>
      </c>
      <c r="D49" s="102">
        <f ca="1"/>
        <v>2.8102247719783213E-2</v>
      </c>
      <c r="E49" s="103"/>
    </row>
    <row r="50" spans="2:5">
      <c r="B50" s="101">
        <f ca="1"/>
        <v>43606</v>
      </c>
      <c r="C50" s="102">
        <f ca="1"/>
        <v>2.4556935484447793E-2</v>
      </c>
      <c r="D50" s="102">
        <f ca="1"/>
        <v>2.8182512210550608E-2</v>
      </c>
      <c r="E50" s="103"/>
    </row>
    <row r="51" spans="2:5">
      <c r="B51" s="101">
        <f ca="1"/>
        <v>43613</v>
      </c>
      <c r="C51" s="102">
        <f ca="1"/>
        <v>2.461790782866035E-2</v>
      </c>
      <c r="D51" s="102">
        <f ca="1"/>
        <v>2.8260566323426911E-2</v>
      </c>
      <c r="E51" s="103"/>
    </row>
    <row r="52" spans="2:5">
      <c r="B52" s="101">
        <f ca="1"/>
        <v>43620</v>
      </c>
      <c r="C52" s="102">
        <f ca="1"/>
        <v>2.4678496523682456E-2</v>
      </c>
      <c r="D52" s="102">
        <f ca="1"/>
        <v>2.8338620436303218E-2</v>
      </c>
      <c r="E52" s="103"/>
    </row>
    <row r="53" spans="2:5">
      <c r="B53" s="101">
        <f ca="1"/>
        <v>43627</v>
      </c>
      <c r="C53" s="102">
        <f ca="1"/>
        <v>2.4738700966313674E-2</v>
      </c>
      <c r="D53" s="102">
        <f ca="1"/>
        <v>2.8416674549179521E-2</v>
      </c>
      <c r="E53" s="103"/>
    </row>
    <row r="54" spans="2:5">
      <c r="B54" s="101">
        <f ca="1"/>
        <v>43634</v>
      </c>
      <c r="C54" s="102">
        <f ca="1"/>
        <v>2.4798520548321521E-2</v>
      </c>
      <c r="D54" s="102">
        <f ca="1"/>
        <v>2.8494728662055827E-2</v>
      </c>
      <c r="E54" s="103"/>
    </row>
    <row r="55" spans="2:5">
      <c r="B55" s="101">
        <f ca="1"/>
        <v>43641</v>
      </c>
      <c r="C55" s="102">
        <f ca="1"/>
        <v>2.4857954655717138E-2</v>
      </c>
      <c r="D55" s="102">
        <f ca="1"/>
        <v>2.8545463771230409E-2</v>
      </c>
      <c r="E55" s="103"/>
    </row>
    <row r="56" spans="2:5">
      <c r="B56" s="101">
        <f ca="1"/>
        <v>43648</v>
      </c>
      <c r="C56" s="102">
        <f ca="1"/>
        <v>2.4917002668836209E-2</v>
      </c>
      <c r="D56" s="102">
        <f ca="1"/>
        <v>2.8591645713121373E-2</v>
      </c>
      <c r="E56" s="103"/>
    </row>
    <row r="57" spans="2:5">
      <c r="B57" s="101">
        <f ca="1"/>
        <v>43655</v>
      </c>
      <c r="C57" s="102">
        <f ca="1"/>
        <v>2.4975663963218243E-2</v>
      </c>
      <c r="D57" s="102">
        <f ca="1"/>
        <v>2.8637827655012337E-2</v>
      </c>
      <c r="E57" s="103"/>
    </row>
    <row r="58" spans="2:5">
      <c r="B58" s="101">
        <f ca="1"/>
        <v>43662</v>
      </c>
      <c r="C58" s="102">
        <f ca="1"/>
        <v>2.5033937908087812E-2</v>
      </c>
      <c r="D58" s="102">
        <f ca="1"/>
        <v>2.8684009596903301E-2</v>
      </c>
      <c r="E58" s="103"/>
    </row>
    <row r="59" spans="2:5">
      <c r="B59" s="101">
        <f ca="1"/>
        <v>43669</v>
      </c>
      <c r="C59" s="102">
        <f ca="1"/>
        <v>2.5091823867873321E-2</v>
      </c>
      <c r="D59" s="102">
        <f ca="1"/>
        <v>2.8730191538794265E-2</v>
      </c>
      <c r="E59" s="103"/>
    </row>
    <row r="60" spans="2:5">
      <c r="B60" s="101">
        <f ca="1"/>
        <v>43676</v>
      </c>
      <c r="C60" s="102">
        <f ca="1"/>
        <v>2.5149321201087906E-2</v>
      </c>
      <c r="D60" s="102">
        <f ca="1"/>
        <v>2.8776373480685229E-2</v>
      </c>
      <c r="E60" s="103"/>
    </row>
    <row r="61" spans="2:5">
      <c r="B61" s="101">
        <f ca="1"/>
        <v>43683</v>
      </c>
      <c r="C61" s="102">
        <f ca="1"/>
        <v>2.5206429261368603E-2</v>
      </c>
      <c r="D61" s="102">
        <f ca="1"/>
        <v>2.8822555422576192E-2</v>
      </c>
      <c r="E61" s="103"/>
    </row>
    <row r="62" spans="2:5">
      <c r="B62" s="101">
        <f ca="1"/>
        <v>43690</v>
      </c>
      <c r="C62" s="102">
        <f ca="1"/>
        <v>2.5263147396437181E-2</v>
      </c>
      <c r="D62" s="102">
        <f ca="1"/>
        <v>2.8868737364467156E-2</v>
      </c>
      <c r="E62" s="103"/>
    </row>
    <row r="63" spans="2:5">
      <c r="B63" s="101">
        <f ca="1"/>
        <v>43697</v>
      </c>
      <c r="C63" s="102">
        <f ca="1"/>
        <v>2.5319449824357056E-2</v>
      </c>
      <c r="D63" s="102">
        <f ca="1"/>
        <v>2.8914756112265756E-2</v>
      </c>
      <c r="E63" s="103"/>
    </row>
    <row r="64" spans="2:5">
      <c r="B64" s="101">
        <f ca="1"/>
        <v>43704</v>
      </c>
      <c r="C64" s="102">
        <f ca="1"/>
        <v>2.5374631889514367E-2</v>
      </c>
      <c r="D64" s="102">
        <f ca="1"/>
        <v>2.8959795695510184E-2</v>
      </c>
      <c r="E64" s="103"/>
    </row>
    <row r="65" spans="2:5">
      <c r="B65" s="101">
        <f ca="1"/>
        <v>43711</v>
      </c>
      <c r="C65" s="102">
        <f ca="1"/>
        <v>2.5428364435846708E-2</v>
      </c>
      <c r="D65" s="102">
        <f ca="1"/>
        <v>2.9004835278754613E-2</v>
      </c>
      <c r="E65" s="103"/>
    </row>
    <row r="66" spans="2:5">
      <c r="B66" s="101">
        <f ca="1"/>
        <v>43718</v>
      </c>
      <c r="C66" s="102">
        <f ca="1"/>
        <v>2.548064468925313E-2</v>
      </c>
      <c r="D66" s="102">
        <f ca="1"/>
        <v>2.9049874861999041E-2</v>
      </c>
      <c r="E66" s="103"/>
    </row>
    <row r="67" spans="2:5">
      <c r="B67" s="101">
        <f ca="1"/>
        <v>43725</v>
      </c>
      <c r="C67" s="102">
        <f ca="1"/>
        <v>2.5531469856767776E-2</v>
      </c>
      <c r="D67" s="102">
        <f ca="1"/>
        <v>2.909491444524347E-2</v>
      </c>
      <c r="E67" s="103"/>
    </row>
    <row r="68" spans="2:5">
      <c r="B68" s="101">
        <f ca="1"/>
        <v>43732</v>
      </c>
      <c r="C68" s="102">
        <f ca="1"/>
        <v>2.5580837127439172E-2</v>
      </c>
      <c r="D68" s="102">
        <f ca="1"/>
        <v>2.9120275715077255E-2</v>
      </c>
      <c r="E68" s="103"/>
    </row>
    <row r="69" spans="2:5">
      <c r="B69" s="101">
        <f ca="1"/>
        <v>43739</v>
      </c>
      <c r="C69" s="102">
        <f ca="1"/>
        <v>2.5628743672090427E-2</v>
      </c>
      <c r="D69" s="102">
        <f ca="1"/>
        <v>2.9142357266009267E-2</v>
      </c>
      <c r="E69" s="103"/>
    </row>
    <row r="70" spans="2:5">
      <c r="B70" s="101">
        <f ca="1"/>
        <v>43746</v>
      </c>
      <c r="C70" s="102">
        <f ca="1"/>
        <v>2.5675186644358396E-2</v>
      </c>
      <c r="D70" s="102">
        <f ca="1"/>
        <v>2.9164438816941283E-2</v>
      </c>
      <c r="E70" s="103"/>
    </row>
    <row r="71" spans="2:5">
      <c r="B71" s="101">
        <f ca="1"/>
        <v>43753</v>
      </c>
      <c r="C71" s="102">
        <f ca="1"/>
        <v>2.5720163180533807E-2</v>
      </c>
      <c r="D71" s="102">
        <f ca="1"/>
        <v>2.9186520367873295E-2</v>
      </c>
      <c r="E71" s="103"/>
    </row>
    <row r="72" spans="2:5">
      <c r="B72" s="101">
        <f ca="1"/>
        <v>43760</v>
      </c>
      <c r="C72" s="102">
        <f ca="1"/>
        <v>2.5763670399960949E-2</v>
      </c>
      <c r="D72" s="102">
        <f ca="1"/>
        <v>2.9208601918805307E-2</v>
      </c>
      <c r="E72" s="103"/>
    </row>
    <row r="73" spans="2:5">
      <c r="B73" s="101">
        <f ca="1"/>
        <v>43767</v>
      </c>
      <c r="C73" s="102">
        <f ca="1"/>
        <v>2.580570540607683E-2</v>
      </c>
      <c r="D73" s="102">
        <f ca="1"/>
        <v>2.9230683469737319E-2</v>
      </c>
      <c r="E73" s="103"/>
    </row>
    <row r="74" spans="2:5">
      <c r="B74" s="101">
        <f ca="1"/>
        <v>43774</v>
      </c>
      <c r="C74" s="102">
        <f ca="1"/>
        <v>2.5846265285771698E-2</v>
      </c>
      <c r="D74" s="102">
        <f ca="1"/>
        <v>2.9252765020669334E-2</v>
      </c>
      <c r="E74" s="103"/>
    </row>
    <row r="75" spans="2:5">
      <c r="B75" s="101">
        <f ca="1"/>
        <v>43781</v>
      </c>
      <c r="C75" s="102">
        <f ca="1"/>
        <v>2.5885347110747952E-2</v>
      </c>
      <c r="D75" s="102">
        <f ca="1"/>
        <v>2.9274846571601346E-2</v>
      </c>
      <c r="E75" s="103"/>
    </row>
    <row r="76" spans="2:5">
      <c r="B76" s="101">
        <f ca="1"/>
        <v>43788</v>
      </c>
      <c r="C76" s="102">
        <f ca="1"/>
        <v>2.5922952129924477E-2</v>
      </c>
      <c r="D76" s="102">
        <f ca="1"/>
        <v>2.9296818550097123E-2</v>
      </c>
      <c r="E76" s="103"/>
    </row>
    <row r="77" spans="2:5">
      <c r="B77" s="101">
        <f ca="1"/>
        <v>43795</v>
      </c>
      <c r="C77" s="102">
        <f ca="1"/>
        <v>2.595919487481178E-2</v>
      </c>
      <c r="D77" s="102">
        <f ca="1"/>
        <v>2.9318133093975469E-2</v>
      </c>
      <c r="E77" s="103"/>
    </row>
    <row r="78" spans="2:5">
      <c r="B78" s="101">
        <f ca="1"/>
        <v>43802</v>
      </c>
      <c r="C78" s="102">
        <f ca="1"/>
        <v>2.5994127199604571E-2</v>
      </c>
      <c r="D78" s="102">
        <f ca="1"/>
        <v>2.9339447637853816E-2</v>
      </c>
      <c r="E78" s="103"/>
    </row>
    <row r="79" spans="2:5">
      <c r="B79" s="101">
        <f ca="1"/>
        <v>43809</v>
      </c>
      <c r="C79" s="102">
        <f ca="1"/>
        <v>2.6027746474968177E-2</v>
      </c>
      <c r="D79" s="102">
        <f ca="1"/>
        <v>2.9360762181732163E-2</v>
      </c>
      <c r="E79" s="103"/>
    </row>
    <row r="80" spans="2:5">
      <c r="B80" s="101">
        <f ca="1"/>
        <v>43816</v>
      </c>
      <c r="C80" s="102">
        <f ca="1"/>
        <v>2.6060050059255695E-2</v>
      </c>
      <c r="D80" s="102">
        <f ca="1"/>
        <v>2.9382076725610509E-2</v>
      </c>
      <c r="E80" s="103"/>
    </row>
    <row r="81" spans="2:5">
      <c r="B81" s="101">
        <f ca="1"/>
        <v>43823</v>
      </c>
      <c r="C81" s="102">
        <f ca="1"/>
        <v>2.6091035298909753E-2</v>
      </c>
      <c r="D81" s="102">
        <f ca="1"/>
        <v>2.938319200104544E-2</v>
      </c>
      <c r="E81" s="103"/>
    </row>
    <row r="82" spans="2:5">
      <c r="B82" s="101">
        <f ca="1"/>
        <v>43830</v>
      </c>
      <c r="C82" s="102">
        <f ca="1"/>
        <v>2.612069952894212E-2</v>
      </c>
      <c r="D82" s="102">
        <f ca="1"/>
        <v>2.9380940731739798E-2</v>
      </c>
      <c r="E82" s="103"/>
    </row>
    <row r="83" spans="2:5">
      <c r="B83" s="101">
        <f ca="1"/>
        <v>43837</v>
      </c>
      <c r="C83" s="102">
        <f ca="1"/>
        <v>2.6149040073093582E-2</v>
      </c>
      <c r="D83" s="102">
        <f ca="1"/>
        <v>2.9378689462434156E-2</v>
      </c>
      <c r="E83" s="103"/>
    </row>
    <row r="84" spans="2:5">
      <c r="B84" s="101">
        <f ca="1"/>
        <v>43844</v>
      </c>
      <c r="C84" s="102">
        <f ca="1"/>
        <v>2.6176054243993812E-2</v>
      </c>
      <c r="D84" s="102">
        <f ca="1"/>
        <v>2.9376438193128514E-2</v>
      </c>
      <c r="E84" s="103"/>
    </row>
    <row r="85" spans="2:5">
      <c r="B85" s="101">
        <f ca="1"/>
        <v>43851</v>
      </c>
      <c r="C85" s="102">
        <f ca="1"/>
        <v>2.6201739344040669E-2</v>
      </c>
      <c r="D85" s="102">
        <f ca="1"/>
        <v>2.9374186923822872E-2</v>
      </c>
      <c r="E85" s="103"/>
    </row>
    <row r="86" spans="2:5">
      <c r="B86" s="101">
        <f ca="1"/>
        <v>43858</v>
      </c>
      <c r="C86" s="102">
        <f ca="1"/>
        <v>2.622609266492058E-2</v>
      </c>
      <c r="D86" s="102">
        <f ca="1"/>
        <v>2.937193565451723E-2</v>
      </c>
      <c r="E86" s="103"/>
    </row>
    <row r="87" spans="2:5">
      <c r="B87" s="101">
        <f ca="1"/>
        <v>43865</v>
      </c>
      <c r="C87" s="102">
        <f ca="1"/>
        <v>2.6249111488487836E-2</v>
      </c>
      <c r="D87" s="102">
        <f ca="1"/>
        <v>2.9369684385211592E-2</v>
      </c>
      <c r="E87" s="103"/>
    </row>
    <row r="88" spans="2:5">
      <c r="B88" s="101">
        <f ca="1"/>
        <v>43872</v>
      </c>
      <c r="C88" s="102">
        <f ca="1"/>
        <v>2.6270793087084337E-2</v>
      </c>
      <c r="D88" s="102">
        <f ca="1"/>
        <v>2.936743311590595E-2</v>
      </c>
      <c r="E88" s="103"/>
    </row>
    <row r="89" spans="2:5">
      <c r="B89" s="101">
        <f ca="1"/>
        <v>43879</v>
      </c>
      <c r="C89" s="102">
        <f ca="1"/>
        <v>2.6291134715625924E-2</v>
      </c>
      <c r="D89" s="102">
        <f ca="1"/>
        <v>2.9365181846600308E-2</v>
      </c>
      <c r="E89" s="103"/>
    </row>
    <row r="90" spans="2:5">
      <c r="B90" s="101">
        <f ca="1"/>
        <v>43886</v>
      </c>
      <c r="C90" s="102">
        <f ca="1"/>
        <v>2.6310132317677409E-2</v>
      </c>
      <c r="D90" s="102">
        <f ca="1"/>
        <v>2.9363319176398693E-2</v>
      </c>
      <c r="E90" s="103"/>
    </row>
    <row r="91" spans="2:5">
      <c r="B91" s="101">
        <f ca="1"/>
        <v>43893</v>
      </c>
      <c r="C91" s="102">
        <f ca="1"/>
        <v>2.6327782132726889E-2</v>
      </c>
      <c r="D91" s="102">
        <f ca="1"/>
        <v>2.9361456506197075E-2</v>
      </c>
      <c r="E91" s="103"/>
    </row>
    <row r="92" spans="2:5">
      <c r="B92" s="101">
        <f ca="1"/>
        <v>43900</v>
      </c>
      <c r="C92" s="102">
        <f ca="1"/>
        <v>2.6344081392746452E-2</v>
      </c>
      <c r="D92" s="102">
        <f ca="1"/>
        <v>2.935959383599546E-2</v>
      </c>
      <c r="E92" s="103"/>
    </row>
    <row r="93" spans="2:5">
      <c r="B93" s="101">
        <f ca="1"/>
        <v>43907</v>
      </c>
      <c r="C93" s="102">
        <f ca="1"/>
        <v>2.6359027321962807E-2</v>
      </c>
      <c r="D93" s="102">
        <f ca="1"/>
        <v>2.9357731165793845E-2</v>
      </c>
      <c r="E93" s="103"/>
    </row>
    <row r="94" spans="2:5">
      <c r="B94" s="101">
        <f ca="1"/>
        <v>43914</v>
      </c>
      <c r="C94" s="102">
        <f ca="1"/>
        <v>2.6372617136756298E-2</v>
      </c>
      <c r="D94" s="102">
        <f ca="1"/>
        <v>2.9355008804100552E-2</v>
      </c>
      <c r="E94" s="103"/>
    </row>
    <row r="95" spans="2:5">
      <c r="B95" s="101">
        <f ca="1"/>
        <v>43921</v>
      </c>
      <c r="C95" s="102">
        <f ca="1"/>
        <v>2.6384848046081637E-2</v>
      </c>
      <c r="D95" s="102">
        <f ca="1"/>
        <v>2.9352143160491981E-2</v>
      </c>
      <c r="E95" s="103"/>
    </row>
    <row r="96" spans="2:5">
      <c r="B96" s="101">
        <f ca="1"/>
        <v>43928</v>
      </c>
      <c r="C96" s="102">
        <f ca="1"/>
        <v>2.6395717252016931E-2</v>
      </c>
      <c r="D96" s="102">
        <f ca="1"/>
        <v>2.9349277516883408E-2</v>
      </c>
      <c r="E96" s="103"/>
    </row>
    <row r="97" spans="2:5">
      <c r="B97" s="101">
        <f ca="1"/>
        <v>43935</v>
      </c>
      <c r="C97" s="102">
        <f ca="1"/>
        <v>2.6405221950085527E-2</v>
      </c>
      <c r="D97" s="102">
        <f ca="1"/>
        <v>2.9346411873274837E-2</v>
      </c>
      <c r="E97" s="103"/>
    </row>
    <row r="98" spans="2:5">
      <c r="B98" s="101">
        <f ca="1"/>
        <v>43942</v>
      </c>
      <c r="C98" s="102">
        <f ca="1"/>
        <v>2.6413359329335955E-2</v>
      </c>
      <c r="D98" s="102">
        <f ca="1"/>
        <v>2.9343546229666263E-2</v>
      </c>
      <c r="E98" s="103"/>
    </row>
    <row r="99" spans="2:5">
      <c r="B99" s="101">
        <f ca="1"/>
        <v>43949</v>
      </c>
      <c r="C99" s="102">
        <f ca="1"/>
        <v>2.6420126572901475E-2</v>
      </c>
      <c r="D99" s="102">
        <f ca="1"/>
        <v>2.9340680586057693E-2</v>
      </c>
      <c r="E99" s="103"/>
    </row>
    <row r="100" spans="2:5">
      <c r="B100" s="101">
        <f ca="1"/>
        <v>43956</v>
      </c>
      <c r="C100" s="102">
        <f ca="1"/>
        <v>2.6425520858399758E-2</v>
      </c>
      <c r="D100" s="102">
        <f ca="1"/>
        <v>2.9337814942449119E-2</v>
      </c>
      <c r="E100" s="103"/>
    </row>
    <row r="101" spans="2:5">
      <c r="B101" s="101">
        <f ca="1"/>
        <v>43963</v>
      </c>
      <c r="C101" s="102">
        <f ca="1"/>
        <v>2.6429539358172698E-2</v>
      </c>
      <c r="D101" s="102">
        <f ca="1"/>
        <v>2.9334949298840549E-2</v>
      </c>
      <c r="E101" s="103"/>
    </row>
    <row r="102" spans="2:5">
      <c r="B102" s="101">
        <f ca="1"/>
        <v>43970</v>
      </c>
      <c r="C102" s="102">
        <f ca="1"/>
        <v>2.6432180395721355E-2</v>
      </c>
      <c r="D102" s="102">
        <f ca="1"/>
        <v>2.9332031301695441E-2</v>
      </c>
      <c r="E102" s="103"/>
    </row>
    <row r="103" spans="2:5">
      <c r="B103" s="101">
        <f ca="1"/>
        <v>43977</v>
      </c>
      <c r="C103" s="102">
        <f ca="1"/>
        <v>2.6433473531080148E-2</v>
      </c>
      <c r="D103" s="102">
        <f ca="1"/>
        <v>2.9328799183331106E-2</v>
      </c>
      <c r="E103" s="103"/>
    </row>
    <row r="104" spans="2:5">
      <c r="B104" s="101">
        <f ca="1"/>
        <v>43984</v>
      </c>
      <c r="C104" s="102">
        <f ca="1"/>
        <v>2.6433431042907168E-2</v>
      </c>
      <c r="D104" s="102">
        <f ca="1"/>
        <v>2.9325567064966772E-2</v>
      </c>
      <c r="E104" s="103"/>
    </row>
    <row r="105" spans="2:5">
      <c r="B105" s="101">
        <f ca="1"/>
        <v>43991</v>
      </c>
      <c r="C105" s="102">
        <f ca="1"/>
        <v>2.6432050186198191E-2</v>
      </c>
      <c r="D105" s="102">
        <f ca="1"/>
        <v>2.9322334946602437E-2</v>
      </c>
      <c r="E105" s="103"/>
    </row>
    <row r="106" spans="2:5">
      <c r="B106" s="101">
        <f ca="1"/>
        <v>43998</v>
      </c>
      <c r="C106" s="102">
        <f ca="1"/>
        <v>2.6429328212271935E-2</v>
      </c>
      <c r="D106" s="102">
        <f ca="1"/>
        <v>2.9319102828238103E-2</v>
      </c>
      <c r="E106" s="103"/>
    </row>
    <row r="107" spans="2:5">
      <c r="B107" s="101">
        <f ca="1"/>
        <v>44005</v>
      </c>
      <c r="C107" s="102">
        <f ca="1"/>
        <v>2.6425262370368779E-2</v>
      </c>
      <c r="D107" s="102">
        <f ca="1"/>
        <v>2.9315461289403232E-2</v>
      </c>
      <c r="E107" s="103"/>
    </row>
    <row r="108" spans="2:5">
      <c r="B108" s="101">
        <f ca="1"/>
        <v>44012</v>
      </c>
      <c r="C108" s="102">
        <f ca="1"/>
        <v>2.6419849906211917E-2</v>
      </c>
      <c r="D108" s="102">
        <f ca="1"/>
        <v>2.9311751513823269E-2</v>
      </c>
      <c r="E108" s="103"/>
    </row>
    <row r="109" spans="2:5">
      <c r="B109" s="101">
        <f ca="1"/>
        <v>44019</v>
      </c>
      <c r="C109" s="102">
        <f ca="1"/>
        <v>2.6413088063686013E-2</v>
      </c>
      <c r="D109" s="102">
        <f ca="1"/>
        <v>2.9308041738243307E-2</v>
      </c>
      <c r="E109" s="103"/>
    </row>
    <row r="110" spans="2:5">
      <c r="B110" s="101">
        <f ca="1"/>
        <v>44026</v>
      </c>
      <c r="C110" s="102">
        <f ca="1"/>
        <v>2.6404974084597393E-2</v>
      </c>
      <c r="D110" s="102">
        <f ca="1"/>
        <v>2.9304331962663344E-2</v>
      </c>
      <c r="E110" s="103"/>
    </row>
    <row r="111" spans="2:5">
      <c r="B111" s="101">
        <f ca="1"/>
        <v>44033</v>
      </c>
      <c r="C111" s="102">
        <f ca="1"/>
        <v>2.6395505209393471E-2</v>
      </c>
      <c r="D111" s="102">
        <f ca="1"/>
        <v>2.9300622187083385E-2</v>
      </c>
      <c r="E111" s="103"/>
    </row>
    <row r="112" spans="2:5">
      <c r="B112" s="101">
        <f ca="1"/>
        <v>44040</v>
      </c>
      <c r="C112" s="102">
        <f ca="1"/>
        <v>2.6384678677002876E-2</v>
      </c>
      <c r="D112" s="102">
        <f ca="1"/>
        <v>2.9296912411503423E-2</v>
      </c>
      <c r="E112" s="103"/>
    </row>
    <row r="113" spans="2:5">
      <c r="B113" s="101">
        <f ca="1"/>
        <v>44047</v>
      </c>
      <c r="C113" s="102">
        <f ca="1"/>
        <v>2.6372491725794683E-2</v>
      </c>
      <c r="D113" s="102">
        <f ca="1"/>
        <v>2.9293202635923461E-2</v>
      </c>
      <c r="E113" s="103"/>
    </row>
    <row r="114" spans="2:5">
      <c r="B114" s="101">
        <f ca="1"/>
        <v>44054</v>
      </c>
      <c r="C114" s="102">
        <f ca="1"/>
        <v>2.635894159349848E-2</v>
      </c>
      <c r="D114" s="102">
        <f ca="1"/>
        <v>2.9289492860343498E-2</v>
      </c>
      <c r="E114" s="103"/>
    </row>
    <row r="115" spans="2:5">
      <c r="B115" s="101">
        <f ca="1"/>
        <v>44061</v>
      </c>
      <c r="C115" s="102">
        <f ca="1"/>
        <v>2.6344056817047084E-2</v>
      </c>
      <c r="D115" s="102">
        <f ca="1"/>
        <v>2.9285732862814363E-2</v>
      </c>
      <c r="E115" s="103"/>
    </row>
    <row r="116" spans="2:5">
      <c r="B116" s="101">
        <f ca="1"/>
        <v>44068</v>
      </c>
      <c r="C116" s="102">
        <f ca="1"/>
        <v>2.6328711667895726E-2</v>
      </c>
      <c r="D116" s="102">
        <f ca="1"/>
        <v>2.9281671533590185E-2</v>
      </c>
      <c r="E116" s="103"/>
    </row>
    <row r="117" spans="2:5">
      <c r="B117" s="101">
        <f ca="1"/>
        <v>44075</v>
      </c>
      <c r="C117" s="102">
        <f ca="1"/>
        <v>2.6313312684767092E-2</v>
      </c>
      <c r="D117" s="102">
        <f ca="1"/>
        <v>2.9277610204366009E-2</v>
      </c>
      <c r="E117" s="103"/>
    </row>
    <row r="118" spans="2:5">
      <c r="B118" s="101">
        <f ca="1"/>
        <v>44082</v>
      </c>
      <c r="C118" s="102">
        <f ca="1"/>
        <v>2.6297859798516492E-2</v>
      </c>
      <c r="D118" s="102">
        <f ca="1"/>
        <v>2.9273548875141834E-2</v>
      </c>
      <c r="E118" s="103"/>
    </row>
    <row r="119" spans="2:5">
      <c r="B119" s="101">
        <f ca="1"/>
        <v>44089</v>
      </c>
      <c r="C119" s="102">
        <f ca="1"/>
        <v>2.6282352940878533E-2</v>
      </c>
      <c r="D119" s="102">
        <f ca="1"/>
        <v>2.9269487545917655E-2</v>
      </c>
      <c r="E119" s="103"/>
    </row>
    <row r="120" spans="2:5">
      <c r="B120" s="101">
        <f ca="1"/>
        <v>44096</v>
      </c>
      <c r="C120" s="102">
        <f ca="1"/>
        <v>2.6266792043028269E-2</v>
      </c>
      <c r="D120" s="102">
        <f ca="1"/>
        <v>2.9265019857524967E-2</v>
      </c>
      <c r="E120" s="103"/>
    </row>
    <row r="121" spans="2:5">
      <c r="B121" s="101">
        <f ca="1"/>
        <v>44103</v>
      </c>
      <c r="C121" s="102">
        <f ca="1"/>
        <v>2.6251177036540434E-2</v>
      </c>
      <c r="D121" s="102">
        <f ca="1"/>
        <v>2.9260484442604189E-2</v>
      </c>
      <c r="E121" s="103"/>
    </row>
    <row r="122" spans="2:5">
      <c r="B122" s="101">
        <f ca="1"/>
        <v>44110</v>
      </c>
      <c r="C122" s="102">
        <f ca="1"/>
        <v>2.6235507853149636E-2</v>
      </c>
      <c r="D122" s="102">
        <f ca="1"/>
        <v>2.9255949027683414E-2</v>
      </c>
      <c r="E122" s="103"/>
    </row>
    <row r="123" spans="2:5">
      <c r="B123" s="101">
        <f ca="1"/>
        <v>44117</v>
      </c>
      <c r="C123" s="102">
        <f ca="1"/>
        <v>2.6219784424110864E-2</v>
      </c>
      <c r="D123" s="102">
        <f ca="1"/>
        <v>2.925141361276264E-2</v>
      </c>
      <c r="E123" s="103"/>
    </row>
    <row r="124" spans="2:5">
      <c r="B124" s="101">
        <f ca="1"/>
        <v>44124</v>
      </c>
      <c r="C124" s="102">
        <f ca="1"/>
        <v>2.6204006681638341E-2</v>
      </c>
      <c r="D124" s="102">
        <f ca="1"/>
        <v>2.9246878197841861E-2</v>
      </c>
      <c r="E124" s="103"/>
    </row>
    <row r="125" spans="2:5">
      <c r="B125" s="101">
        <f ca="1"/>
        <v>44131</v>
      </c>
      <c r="C125" s="102">
        <f ca="1"/>
        <v>2.6188174557066995E-2</v>
      </c>
      <c r="D125" s="102">
        <f ca="1"/>
        <v>2.9242342782921087E-2</v>
      </c>
      <c r="E125" s="103"/>
    </row>
    <row r="126" spans="2:5">
      <c r="B126" s="101">
        <f ca="1"/>
        <v>44138</v>
      </c>
      <c r="C126" s="102">
        <f ca="1"/>
        <v>2.6172287982690983E-2</v>
      </c>
      <c r="D126" s="102">
        <f ca="1"/>
        <v>2.9237807368000312E-2</v>
      </c>
      <c r="E126" s="103"/>
    </row>
    <row r="127" spans="2:5">
      <c r="B127" s="101">
        <f ca="1"/>
        <v>44145</v>
      </c>
      <c r="C127" s="102">
        <f ca="1"/>
        <v>2.6156346890085041E-2</v>
      </c>
      <c r="D127" s="102">
        <f ca="1"/>
        <v>2.9233271953079534E-2</v>
      </c>
      <c r="E127" s="103"/>
    </row>
    <row r="128" spans="2:5">
      <c r="B128" s="101">
        <f ca="1"/>
        <v>44152</v>
      </c>
      <c r="C128" s="102">
        <f ca="1"/>
        <v>2.6140351209145245E-2</v>
      </c>
      <c r="D128" s="102">
        <f ca="1"/>
        <v>2.9228736538158759E-2</v>
      </c>
      <c r="E128" s="103"/>
    </row>
    <row r="129" spans="2:5">
      <c r="B129" s="101">
        <f ca="1"/>
        <v>44159</v>
      </c>
      <c r="C129" s="102">
        <f ca="1"/>
        <v>2.6124300509012068E-2</v>
      </c>
      <c r="D129" s="102">
        <f ca="1"/>
        <v>2.9223855948530882E-2</v>
      </c>
      <c r="E129" s="103"/>
    </row>
    <row r="130" spans="2:5">
      <c r="B130" s="101">
        <f ca="1"/>
        <v>44166</v>
      </c>
      <c r="C130" s="102">
        <f ca="1"/>
        <v>2.6108194443095294E-2</v>
      </c>
      <c r="D130" s="102">
        <f ca="1"/>
        <v>2.9218975358903009E-2</v>
      </c>
      <c r="E130" s="103"/>
    </row>
    <row r="131" spans="2:5">
      <c r="B131" s="101">
        <f ca="1"/>
        <v>44173</v>
      </c>
      <c r="C131" s="102">
        <f ca="1"/>
        <v>2.6092032942317638E-2</v>
      </c>
      <c r="D131" s="102">
        <f ca="1"/>
        <v>2.9214094769275133E-2</v>
      </c>
      <c r="E131" s="103"/>
    </row>
    <row r="132" spans="2:5">
      <c r="B132" s="101">
        <f ca="1"/>
        <v>44180</v>
      </c>
      <c r="C132" s="102">
        <f ca="1"/>
        <v>2.6075815937538587E-2</v>
      </c>
      <c r="D132" s="102">
        <f ca="1"/>
        <v>2.9209214179647256E-2</v>
      </c>
      <c r="E132" s="103"/>
    </row>
    <row r="133" spans="2:5">
      <c r="B133" s="101">
        <f ca="1"/>
        <v>44187</v>
      </c>
      <c r="C133" s="102">
        <f ca="1"/>
        <v>2.6059543360093067E-2</v>
      </c>
      <c r="D133" s="102">
        <f ca="1"/>
        <v>2.9203671149727529E-2</v>
      </c>
      <c r="E133" s="103"/>
    </row>
    <row r="134" spans="2:5">
      <c r="B134" s="101">
        <f ca="1"/>
        <v>44194</v>
      </c>
      <c r="C134" s="102">
        <f ca="1"/>
        <v>2.6043215140996261E-2</v>
      </c>
      <c r="D134" s="102">
        <f ca="1"/>
        <v>2.9198017713092494E-2</v>
      </c>
      <c r="E134" s="103"/>
    </row>
    <row r="135" spans="2:5">
      <c r="B135" s="101">
        <f ca="1"/>
        <v>44201</v>
      </c>
      <c r="C135" s="102">
        <f ca="1"/>
        <v>2.6026831211742967E-2</v>
      </c>
      <c r="D135" s="102">
        <f ca="1"/>
        <v>2.9192364276457456E-2</v>
      </c>
      <c r="E135" s="103"/>
    </row>
    <row r="136" spans="2:5">
      <c r="B136" s="101">
        <f ca="1"/>
        <v>44208</v>
      </c>
      <c r="C136" s="102">
        <f ca="1"/>
        <v>2.6010391503508239E-2</v>
      </c>
      <c r="D136" s="102">
        <f ca="1"/>
        <v>2.9186710839822421E-2</v>
      </c>
      <c r="E136" s="103"/>
    </row>
    <row r="137" spans="2:5">
      <c r="B137" s="101">
        <f ca="1"/>
        <v>44215</v>
      </c>
      <c r="C137" s="102">
        <f ca="1"/>
        <v>2.5993895947866812E-2</v>
      </c>
      <c r="D137" s="102">
        <f ca="1"/>
        <v>2.9181057403187386E-2</v>
      </c>
      <c r="E137" s="103"/>
    </row>
    <row r="138" spans="2:5">
      <c r="B138" s="101">
        <f ca="1"/>
        <v>44222</v>
      </c>
      <c r="C138" s="102">
        <f ca="1"/>
        <v>2.5977344476073676E-2</v>
      </c>
      <c r="D138" s="102">
        <f ca="1"/>
        <v>2.9175403966552348E-2</v>
      </c>
      <c r="E138" s="103"/>
    </row>
    <row r="139" spans="2:5">
      <c r="B139" s="101">
        <f ca="1"/>
        <v>44229</v>
      </c>
      <c r="C139" s="102">
        <f ca="1"/>
        <v>2.5960737020103247E-2</v>
      </c>
      <c r="D139" s="102">
        <f ca="1"/>
        <v>2.9169750529917313E-2</v>
      </c>
      <c r="E139" s="103"/>
    </row>
    <row r="140" spans="2:5">
      <c r="B140" s="101">
        <f ca="1"/>
        <v>44236</v>
      </c>
      <c r="C140" s="102">
        <f ca="1"/>
        <v>2.5944073511290449E-2</v>
      </c>
      <c r="D140" s="102">
        <f ca="1"/>
        <v>2.9164097093282278E-2</v>
      </c>
      <c r="E140" s="103"/>
    </row>
    <row r="141" spans="2:5">
      <c r="B141" s="101">
        <f ca="1"/>
        <v>44243</v>
      </c>
      <c r="C141" s="102">
        <f ca="1"/>
        <v>2.5927353881769571E-2</v>
      </c>
      <c r="D141" s="102">
        <f ca="1"/>
        <v>2.9158443656647239E-2</v>
      </c>
      <c r="E141" s="103"/>
    </row>
    <row r="142" spans="2:5">
      <c r="B142" s="101">
        <f ca="1"/>
        <v>44250</v>
      </c>
      <c r="C142" s="102">
        <f ca="1"/>
        <v>2.5910578550325618E-2</v>
      </c>
      <c r="D142" s="102">
        <f ca="1"/>
        <v>2.9153367994056923E-2</v>
      </c>
      <c r="E142" s="103"/>
    </row>
    <row r="143" spans="2:5">
      <c r="B143" s="101">
        <f ca="1"/>
        <v>44257</v>
      </c>
      <c r="C143" s="102">
        <f ca="1"/>
        <v>2.5893748087142492E-2</v>
      </c>
      <c r="D143" s="102">
        <f ca="1"/>
        <v>2.9148388627140729E-2</v>
      </c>
      <c r="E143" s="103"/>
    </row>
    <row r="144" spans="2:5">
      <c r="B144" s="101">
        <f ca="1"/>
        <v>44264</v>
      </c>
      <c r="C144" s="102">
        <f ca="1"/>
        <v>2.587686243034968E-2</v>
      </c>
      <c r="D144" s="102">
        <f ca="1"/>
        <v>2.9143409260224531E-2</v>
      </c>
      <c r="E144" s="103"/>
    </row>
    <row r="145" spans="2:5">
      <c r="B145" s="101">
        <f ca="1"/>
        <v>44271</v>
      </c>
      <c r="C145" s="102">
        <f ca="1"/>
        <v>2.5859921514559493E-2</v>
      </c>
      <c r="D145" s="102">
        <f ca="1"/>
        <v>2.9138429893308334E-2</v>
      </c>
      <c r="E145" s="103"/>
    </row>
    <row r="146" spans="2:5">
      <c r="B146" s="101">
        <f ca="1"/>
        <v>44278</v>
      </c>
      <c r="C146" s="102">
        <f ca="1"/>
        <v>2.5842925273984553E-2</v>
      </c>
      <c r="D146" s="102">
        <f ca="1"/>
        <v>2.9125939113657923E-2</v>
      </c>
      <c r="E146" s="103"/>
    </row>
    <row r="147" spans="2:5">
      <c r="B147" s="101">
        <f ca="1"/>
        <v>44285</v>
      </c>
      <c r="C147" s="102">
        <f ca="1"/>
        <v>2.5825873643556908E-2</v>
      </c>
      <c r="D147" s="102">
        <f ca="1"/>
        <v>2.9112196431885142E-2</v>
      </c>
      <c r="E147" s="103"/>
    </row>
    <row r="148" spans="2:5">
      <c r="B148" s="101">
        <f ca="1"/>
        <v>44292</v>
      </c>
      <c r="C148" s="102">
        <f ca="1"/>
        <v>2.580876655756912E-2</v>
      </c>
      <c r="D148" s="102">
        <f ca="1"/>
        <v>2.9098453750112364E-2</v>
      </c>
      <c r="E148" s="103"/>
    </row>
    <row r="149" spans="2:5">
      <c r="B149" s="101">
        <f ca="1"/>
        <v>44299</v>
      </c>
      <c r="C149" s="102">
        <f ca="1"/>
        <v>2.5791603951113108E-2</v>
      </c>
      <c r="D149" s="102">
        <f ca="1"/>
        <v>2.9084711068339583E-2</v>
      </c>
      <c r="E149" s="103"/>
    </row>
    <row r="150" spans="2:5">
      <c r="B150" s="101">
        <f ca="1"/>
        <v>44306</v>
      </c>
      <c r="C150" s="102">
        <f ca="1"/>
        <v>2.5774385759040987E-2</v>
      </c>
      <c r="D150" s="102">
        <f ca="1"/>
        <v>2.9070968386566805E-2</v>
      </c>
      <c r="E150" s="103"/>
    </row>
    <row r="151" spans="2:5">
      <c r="B151" s="101">
        <f ca="1"/>
        <v>44313</v>
      </c>
      <c r="C151" s="102">
        <f ca="1"/>
        <v>2.5757111916204868E-2</v>
      </c>
      <c r="D151" s="102">
        <f ca="1"/>
        <v>2.9057225704794024E-2</v>
      </c>
      <c r="E151" s="103"/>
    </row>
    <row r="152" spans="2:5">
      <c r="B152" s="101">
        <f ca="1"/>
        <v>44320</v>
      </c>
      <c r="C152" s="102">
        <f ca="1"/>
        <v>2.5739782357856546E-2</v>
      </c>
      <c r="D152" s="102">
        <f ca="1"/>
        <v>2.9043483023021247E-2</v>
      </c>
      <c r="E152" s="103"/>
    </row>
    <row r="153" spans="2:5">
      <c r="B153" s="101">
        <f ca="1"/>
        <v>44327</v>
      </c>
      <c r="C153" s="102">
        <f ca="1"/>
        <v>2.5722397019008005E-2</v>
      </c>
      <c r="D153" s="102">
        <f ca="1"/>
        <v>2.9029740341248465E-2</v>
      </c>
      <c r="E153" s="103"/>
    </row>
    <row r="154" spans="2:5">
      <c r="B154" s="101">
        <f ca="1"/>
        <v>44334</v>
      </c>
      <c r="C154" s="102">
        <f ca="1"/>
        <v>2.5704955866405844E-2</v>
      </c>
      <c r="D154" s="102">
        <f ca="1"/>
        <v>2.9015920751950332E-2</v>
      </c>
      <c r="E154" s="103"/>
    </row>
    <row r="155" spans="2:5">
      <c r="B155" s="101">
        <f ca="1"/>
        <v>44341</v>
      </c>
      <c r="C155" s="102">
        <f ca="1"/>
        <v>2.5687459714118878E-2</v>
      </c>
      <c r="D155" s="102">
        <f ca="1"/>
        <v>2.900163971750009E-2</v>
      </c>
      <c r="E155" s="103"/>
    </row>
    <row r="156" spans="2:5">
      <c r="B156" s="101">
        <f ca="1"/>
        <v>44348</v>
      </c>
      <c r="C156" s="102">
        <f ca="1"/>
        <v>2.5669908907710683E-2</v>
      </c>
      <c r="D156" s="102">
        <f ca="1"/>
        <v>2.8987358683049844E-2</v>
      </c>
      <c r="E156" s="103"/>
    </row>
    <row r="157" spans="2:5">
      <c r="B157" s="101">
        <f ca="1"/>
        <v>44355</v>
      </c>
      <c r="C157" s="102">
        <f ca="1"/>
        <v>2.5652303385390686E-2</v>
      </c>
      <c r="D157" s="102">
        <f ca="1"/>
        <v>2.8973077648599598E-2</v>
      </c>
      <c r="E157" s="103"/>
    </row>
    <row r="158" spans="2:5">
      <c r="B158" s="101">
        <f ca="1"/>
        <v>44362</v>
      </c>
      <c r="C158" s="102">
        <f ca="1"/>
        <v>2.5634643085528187E-2</v>
      </c>
      <c r="D158" s="102">
        <f ca="1"/>
        <v>2.8958796614149355E-2</v>
      </c>
      <c r="E158" s="103"/>
    </row>
    <row r="159" spans="2:5">
      <c r="B159" s="101">
        <f ca="1"/>
        <v>44369</v>
      </c>
      <c r="C159" s="102">
        <f ca="1"/>
        <v>2.5616927946492486E-2</v>
      </c>
      <c r="D159" s="102">
        <f ca="1"/>
        <v>2.8941855100869912E-2</v>
      </c>
      <c r="E159" s="103"/>
    </row>
    <row r="160" spans="2:5">
      <c r="B160" s="101">
        <f ca="1"/>
        <v>44376</v>
      </c>
      <c r="C160" s="102">
        <f ca="1"/>
        <v>2.5599157906572946E-2</v>
      </c>
      <c r="D160" s="102">
        <f ca="1"/>
        <v>2.8924470174452273E-2</v>
      </c>
      <c r="E160" s="103"/>
    </row>
    <row r="161" spans="2:5">
      <c r="B161" s="101">
        <f ca="1"/>
        <v>44383</v>
      </c>
      <c r="C161" s="102">
        <f ca="1"/>
        <v>2.5581332904778355E-2</v>
      </c>
      <c r="D161" s="102">
        <f ca="1"/>
        <v>2.8907085248034634E-2</v>
      </c>
      <c r="E161" s="103"/>
    </row>
    <row r="162" spans="2:5">
      <c r="B162" s="101">
        <f ca="1"/>
        <v>44390</v>
      </c>
      <c r="C162" s="102">
        <f ca="1"/>
        <v>2.5563452879637884E-2</v>
      </c>
      <c r="D162" s="102">
        <f ca="1"/>
        <v>2.8889700321616994E-2</v>
      </c>
      <c r="E162" s="103"/>
    </row>
    <row r="163" spans="2:5">
      <c r="B163" s="101">
        <f ca="1"/>
        <v>44397</v>
      </c>
      <c r="C163" s="102">
        <f ca="1"/>
        <v>2.5545517769920513E-2</v>
      </c>
      <c r="D163" s="102">
        <f ca="1"/>
        <v>2.8872315395199352E-2</v>
      </c>
      <c r="E163" s="103"/>
    </row>
    <row r="164" spans="2:5">
      <c r="B164" s="101">
        <f ca="1"/>
        <v>44404</v>
      </c>
      <c r="C164" s="102">
        <f ca="1"/>
        <v>2.552752751463503E-2</v>
      </c>
      <c r="D164" s="102">
        <f ca="1"/>
        <v>2.8854930468781712E-2</v>
      </c>
      <c r="E164" s="103"/>
    </row>
    <row r="165" spans="2:5">
      <c r="B165" s="101">
        <f ca="1"/>
        <v>44411</v>
      </c>
      <c r="C165" s="102">
        <f ca="1"/>
        <v>2.5509482052710288E-2</v>
      </c>
      <c r="D165" s="102">
        <f ca="1"/>
        <v>2.8837545542364073E-2</v>
      </c>
      <c r="E165" s="103"/>
    </row>
    <row r="166" spans="2:5">
      <c r="B166" s="101">
        <f ca="1"/>
        <v>44418</v>
      </c>
      <c r="C166" s="102">
        <f ca="1"/>
        <v>2.5491381323474817E-2</v>
      </c>
      <c r="D166" s="102">
        <f ca="1"/>
        <v>2.882016061594643E-2</v>
      </c>
      <c r="E166" s="103"/>
    </row>
    <row r="167" spans="2:5">
      <c r="B167" s="101">
        <f ca="1"/>
        <v>44425</v>
      </c>
      <c r="C167" s="102">
        <f ca="1"/>
        <v>2.54732264696945E-2</v>
      </c>
      <c r="D167" s="102">
        <f ca="1"/>
        <v>2.8802775689528791E-2</v>
      </c>
      <c r="E167" s="103"/>
    </row>
    <row r="168" spans="2:5">
      <c r="B168" s="101">
        <f ca="1"/>
        <v>44432</v>
      </c>
      <c r="C168" s="102">
        <f ca="1"/>
        <v>2.5455217371881479E-2</v>
      </c>
      <c r="D168" s="102">
        <f ca="1"/>
        <v>2.8783474858200073E-2</v>
      </c>
      <c r="E168" s="103"/>
    </row>
    <row r="169" spans="2:5">
      <c r="B169" s="101">
        <f ca="1"/>
        <v>44439</v>
      </c>
      <c r="C169" s="102">
        <f ca="1"/>
        <v>2.5437507433086017E-2</v>
      </c>
      <c r="D169" s="102">
        <f ca="1"/>
        <v>2.8764174026871359E-2</v>
      </c>
      <c r="E169" s="103"/>
    </row>
    <row r="170" spans="2:5">
      <c r="B170" s="101">
        <f ca="1"/>
        <v>44446</v>
      </c>
      <c r="C170" s="102">
        <f ca="1"/>
        <v>2.5420097293276191E-2</v>
      </c>
      <c r="D170" s="102">
        <f ca="1"/>
        <v>2.8744873195542642E-2</v>
      </c>
      <c r="E170" s="103"/>
    </row>
    <row r="171" spans="2:5">
      <c r="B171" s="101">
        <f ca="1"/>
        <v>44453</v>
      </c>
      <c r="C171" s="102">
        <f ca="1"/>
        <v>2.5402987592100336E-2</v>
      </c>
      <c r="D171" s="102">
        <f ca="1"/>
        <v>2.8725089569460668E-2</v>
      </c>
      <c r="E171" s="103"/>
    </row>
    <row r="172" spans="2:5">
      <c r="B172" s="101">
        <f ca="1"/>
        <v>44460</v>
      </c>
      <c r="C172" s="102">
        <f ca="1"/>
        <v>2.5386178969366659E-2</v>
      </c>
      <c r="D172" s="102">
        <f ca="1"/>
        <v>2.8704625662087216E-2</v>
      </c>
      <c r="E172" s="103"/>
    </row>
    <row r="173" spans="2:5">
      <c r="B173" s="101">
        <f ca="1"/>
        <v>44467</v>
      </c>
      <c r="C173" s="102">
        <f ca="1"/>
        <v>2.5369672064323813E-2</v>
      </c>
      <c r="D173" s="102">
        <f ca="1"/>
        <v>2.8684981074523008E-2</v>
      </c>
      <c r="E173" s="103"/>
    </row>
    <row r="174" spans="2:5">
      <c r="B174" s="101">
        <f ca="1"/>
        <v>44474</v>
      </c>
      <c r="C174" s="102">
        <f ca="1"/>
        <v>2.5353467516216401E-2</v>
      </c>
      <c r="D174" s="102">
        <f ca="1"/>
        <v>2.8666155806768047E-2</v>
      </c>
      <c r="E174" s="103"/>
    </row>
    <row r="175" spans="2:5">
      <c r="B175" s="101">
        <f ca="1"/>
        <v>44481</v>
      </c>
      <c r="C175" s="102">
        <f ca="1"/>
        <v>2.5337565963985488E-2</v>
      </c>
      <c r="D175" s="102">
        <f ca="1"/>
        <v>2.864814985882233E-2</v>
      </c>
      <c r="E175" s="103"/>
    </row>
    <row r="176" spans="2:5">
      <c r="B176" s="101">
        <f ca="1"/>
        <v>44488</v>
      </c>
      <c r="C176" s="102">
        <f ca="1"/>
        <v>2.5321968046387956E-2</v>
      </c>
      <c r="D176" s="102">
        <f ca="1"/>
        <v>2.8630963230685865E-2</v>
      </c>
      <c r="E176" s="103"/>
    </row>
    <row r="177" spans="2:5">
      <c r="B177" s="101">
        <f ca="1"/>
        <v>44495</v>
      </c>
      <c r="C177" s="102">
        <f ca="1"/>
        <v>2.5306674402037023E-2</v>
      </c>
      <c r="D177" s="102">
        <f ca="1"/>
        <v>2.8614595922358644E-2</v>
      </c>
      <c r="E177" s="103"/>
    </row>
    <row r="178" spans="2:5">
      <c r="B178" s="101">
        <f ca="1"/>
        <v>44502</v>
      </c>
      <c r="C178" s="102">
        <f ca="1"/>
        <v>2.5291685669781662E-2</v>
      </c>
      <c r="D178" s="102">
        <f ca="1"/>
        <v>2.859904793384067E-2</v>
      </c>
      <c r="E178" s="103"/>
    </row>
    <row r="179" spans="2:5">
      <c r="B179" s="101">
        <f ca="1"/>
        <v>44509</v>
      </c>
      <c r="C179" s="102">
        <f ca="1"/>
        <v>2.5277002487751422E-2</v>
      </c>
      <c r="D179" s="102">
        <f ca="1"/>
        <v>2.8584319265131945E-2</v>
      </c>
      <c r="E179" s="103"/>
    </row>
    <row r="180" spans="2:5">
      <c r="B180" s="101">
        <f ca="1"/>
        <v>44516</v>
      </c>
      <c r="C180" s="102">
        <f ca="1"/>
        <v>2.5262625494475534E-2</v>
      </c>
      <c r="D180" s="102">
        <f ca="1"/>
        <v>2.8570409916232466E-2</v>
      </c>
      <c r="E180" s="103"/>
    </row>
    <row r="181" spans="2:5">
      <c r="B181" s="101">
        <f ca="1"/>
        <v>44523</v>
      </c>
      <c r="C181" s="102">
        <f ca="1"/>
        <v>2.5248551454621994E-2</v>
      </c>
      <c r="D181" s="102">
        <f ca="1"/>
        <v>2.8557214321992177E-2</v>
      </c>
      <c r="E181" s="103"/>
    </row>
    <row r="182" spans="2:5">
      <c r="B182" s="101">
        <f ca="1"/>
        <v>44530</v>
      </c>
      <c r="C182" s="102">
        <f ca="1"/>
        <v>2.523477593205934E-2</v>
      </c>
      <c r="D182" s="102">
        <f ca="1"/>
        <v>2.8544593945200262E-2</v>
      </c>
      <c r="E182" s="103"/>
    </row>
    <row r="183" spans="2:5">
      <c r="B183" s="101">
        <f ca="1"/>
        <v>44537</v>
      </c>
      <c r="C183" s="102">
        <f ca="1"/>
        <v>2.5221299517195296E-2</v>
      </c>
      <c r="D183" s="102">
        <f ca="1"/>
        <v>2.8532615786993627E-2</v>
      </c>
      <c r="E183" s="103"/>
    </row>
    <row r="184" spans="2:5">
      <c r="B184" s="101">
        <f ca="1"/>
        <v>44544</v>
      </c>
      <c r="C184" s="102">
        <f ca="1"/>
        <v>2.5208122830253733E-2</v>
      </c>
      <c r="D184" s="102">
        <f ca="1"/>
        <v>2.8521350019555351E-2</v>
      </c>
      <c r="E184" s="103"/>
    </row>
    <row r="185" spans="2:5">
      <c r="B185" s="101">
        <f ca="1"/>
        <v>44551</v>
      </c>
      <c r="C185" s="102">
        <f ca="1"/>
        <v>2.5195246491858204E-2</v>
      </c>
      <c r="D185" s="102">
        <f ca="1"/>
        <v>2.8510866815068519E-2</v>
      </c>
      <c r="E185" s="103"/>
    </row>
    <row r="186" spans="2:5">
      <c r="B186" s="101">
        <f ca="1"/>
        <v>44558</v>
      </c>
      <c r="C186" s="102">
        <f ca="1"/>
        <v>2.5182671122392454E-2</v>
      </c>
      <c r="D186" s="102">
        <f ca="1"/>
        <v>2.8501236345716212E-2</v>
      </c>
      <c r="E186" s="103"/>
    </row>
    <row r="187" spans="2:5">
      <c r="B187" s="101">
        <f ca="1"/>
        <v>44565</v>
      </c>
      <c r="C187" s="102">
        <f ca="1"/>
        <v>2.5170397342400098E-2</v>
      </c>
      <c r="D187" s="102">
        <f ca="1"/>
        <v>2.8492528783681508E-2</v>
      </c>
      <c r="E187" s="103"/>
    </row>
    <row r="188" spans="2:5">
      <c r="B188" s="101">
        <f ca="1"/>
        <v>44572</v>
      </c>
      <c r="C188" s="102">
        <f ca="1"/>
        <v>2.5158425772344818E-2</v>
      </c>
      <c r="D188" s="102">
        <f ca="1"/>
        <v>2.8484814301147493E-2</v>
      </c>
      <c r="E188" s="103"/>
    </row>
    <row r="189" spans="2:5">
      <c r="B189" s="101">
        <f ca="1"/>
        <v>44579</v>
      </c>
      <c r="C189" s="102">
        <f ca="1"/>
        <v>2.5146757032850166E-2</v>
      </c>
      <c r="D189" s="102">
        <f ca="1"/>
        <v>2.8478163070297245E-2</v>
      </c>
      <c r="E189" s="103"/>
    </row>
    <row r="190" spans="2:5">
      <c r="B190" s="101">
        <f ca="1"/>
        <v>44586</v>
      </c>
      <c r="C190" s="102">
        <f ca="1"/>
        <v>2.5135391744459758E-2</v>
      </c>
      <c r="D190" s="102">
        <f ca="1"/>
        <v>2.8472645263313844E-2</v>
      </c>
      <c r="E190" s="103"/>
    </row>
    <row r="191" spans="2:5">
      <c r="B191" s="101">
        <f ca="1"/>
        <v>44593</v>
      </c>
      <c r="C191" s="102">
        <f ca="1"/>
        <v>2.5124330527797147E-2</v>
      </c>
      <c r="D191" s="102">
        <f ca="1"/>
        <v>2.846833105238037E-2</v>
      </c>
      <c r="E191" s="103"/>
    </row>
    <row r="192" spans="2:5">
      <c r="B192" s="101">
        <f ca="1"/>
        <v>44600</v>
      </c>
      <c r="C192" s="102">
        <f ca="1"/>
        <v>2.5113574003885565E-2</v>
      </c>
      <c r="D192" s="102">
        <f ca="1"/>
        <v>2.8465290609679911E-2</v>
      </c>
      <c r="E192" s="103"/>
    </row>
    <row r="193" spans="2:5">
      <c r="B193" s="101">
        <f ca="1"/>
        <v>44607</v>
      </c>
      <c r="C193" s="102">
        <f ca="1"/>
        <v>2.5103122793348566E-2</v>
      </c>
      <c r="D193" s="102">
        <f ca="1"/>
        <v>2.8463594107395542E-2</v>
      </c>
      <c r="E193" s="103"/>
    </row>
    <row r="194" spans="2:5">
      <c r="B194" s="101">
        <f ca="1"/>
        <v>44614</v>
      </c>
      <c r="C194" s="102">
        <f ca="1"/>
        <v>2.509297513511486E-2</v>
      </c>
      <c r="D194" s="102">
        <f ca="1"/>
        <v>2.8463027109610083E-2</v>
      </c>
      <c r="E194" s="103"/>
    </row>
    <row r="195" spans="2:5">
      <c r="B195" s="101">
        <f ca="1"/>
        <v>44621</v>
      </c>
      <c r="C195" s="102">
        <f ca="1"/>
        <v>2.5083126510558974E-2</v>
      </c>
      <c r="D195" s="102">
        <f ca="1"/>
        <v>2.8462814116013618E-2</v>
      </c>
      <c r="E195" s="103"/>
    </row>
    <row r="196" spans="2:5">
      <c r="B196" s="101">
        <f ca="1"/>
        <v>44628</v>
      </c>
      <c r="C196" s="102">
        <f ca="1"/>
        <v>2.5073577343182142E-2</v>
      </c>
      <c r="D196" s="102">
        <f ca="1"/>
        <v>2.8462858617746559E-2</v>
      </c>
      <c r="E196" s="103"/>
    </row>
    <row r="197" spans="2:5">
      <c r="B197" s="101">
        <f ca="1"/>
        <v>44635</v>
      </c>
      <c r="C197" s="102">
        <f ca="1"/>
        <v>2.5064328239299362E-2</v>
      </c>
      <c r="D197" s="102">
        <f ca="1"/>
        <v>2.8463107972297137E-2</v>
      </c>
      <c r="E197" s="103"/>
    </row>
    <row r="198" spans="2:5">
      <c r="B198" s="101">
        <f ca="1"/>
        <v>44642</v>
      </c>
      <c r="C198" s="102">
        <f ca="1"/>
        <v>2.5055379805705248E-2</v>
      </c>
      <c r="D198" s="102">
        <f ca="1"/>
        <v>2.8463509537153573E-2</v>
      </c>
      <c r="E198" s="103"/>
    </row>
    <row r="199" spans="2:5">
      <c r="B199" s="101">
        <f ca="1"/>
        <v>44649</v>
      </c>
      <c r="C199" s="102">
        <f ca="1"/>
        <v>2.5046732649194416E-2</v>
      </c>
      <c r="D199" s="102">
        <f ca="1"/>
        <v>2.8464010669804096E-2</v>
      </c>
      <c r="E199" s="103"/>
    </row>
    <row r="200" spans="2:5">
      <c r="B200" s="101">
        <f ca="1"/>
        <v>44656</v>
      </c>
      <c r="C200" s="102">
        <f ca="1"/>
        <v>2.5038387376881223E-2</v>
      </c>
      <c r="D200" s="102">
        <f ca="1"/>
        <v>2.8464558727736931E-2</v>
      </c>
      <c r="E200" s="103"/>
    </row>
    <row r="201" spans="2:5">
      <c r="B201" s="101">
        <f ca="1"/>
        <v>44663</v>
      </c>
      <c r="C201" s="102">
        <f ca="1"/>
        <v>2.5030344596359645E-2</v>
      </c>
      <c r="D201" s="102">
        <f ca="1"/>
        <v>2.8465101068440302E-2</v>
      </c>
      <c r="E201" s="103"/>
    </row>
    <row r="202" spans="2:5">
      <c r="B202" s="101">
        <f ca="1"/>
        <v>44670</v>
      </c>
      <c r="C202" s="102">
        <f ca="1"/>
        <v>2.5022604915063786E-2</v>
      </c>
      <c r="D202" s="102">
        <f ca="1"/>
        <v>2.8465585049402439E-2</v>
      </c>
      <c r="E202" s="103"/>
    </row>
    <row r="203" spans="2:5">
      <c r="B203" s="101">
        <f ca="1"/>
        <v>44677</v>
      </c>
      <c r="C203" s="102">
        <f ca="1"/>
        <v>2.5015168940907363E-2</v>
      </c>
      <c r="D203" s="102">
        <f ca="1"/>
        <v>2.8465958028111565E-2</v>
      </c>
      <c r="E203" s="103"/>
    </row>
    <row r="204" spans="2:5">
      <c r="B204" s="101">
        <f ca="1"/>
        <v>44684</v>
      </c>
      <c r="C204" s="102">
        <f ca="1"/>
        <v>2.5008037282203778E-2</v>
      </c>
      <c r="D204" s="102">
        <f ca="1"/>
        <v>2.8466167362055903E-2</v>
      </c>
      <c r="E204" s="103"/>
    </row>
    <row r="205" spans="2:5">
      <c r="B205" s="101">
        <f ca="1"/>
        <v>44691</v>
      </c>
      <c r="C205" s="102">
        <f ca="1"/>
        <v>2.5001210547346366E-2</v>
      </c>
      <c r="D205" s="102">
        <f ca="1"/>
        <v>2.8466160408723688E-2</v>
      </c>
      <c r="E205" s="103"/>
    </row>
    <row r="206" spans="2:5">
      <c r="B206" s="101">
        <f ca="1"/>
        <v>44698</v>
      </c>
      <c r="C206" s="102">
        <f ca="1"/>
        <v>2.4994689318349562E-2</v>
      </c>
      <c r="D206" s="102">
        <f ca="1"/>
        <v>2.8465884525603134E-2</v>
      </c>
      <c r="E206" s="103"/>
    </row>
    <row r="207" spans="2:5">
      <c r="B207" s="101">
        <f ca="1"/>
        <v>44705</v>
      </c>
      <c r="C207" s="102">
        <f ca="1"/>
        <v>2.4988469732862929E-2</v>
      </c>
      <c r="D207" s="102">
        <f ca="1"/>
        <v>2.8465451525063811E-2</v>
      </c>
      <c r="E207" s="103"/>
    </row>
    <row r="208" spans="2:5">
      <c r="B208" s="101">
        <f ca="1"/>
        <v>44712</v>
      </c>
      <c r="C208" s="102">
        <f ca="1"/>
        <v>2.498254896866401E-2</v>
      </c>
      <c r="D208" s="102">
        <f ca="1"/>
        <v>2.8464993777825201E-2</v>
      </c>
      <c r="E208" s="103"/>
    </row>
    <row r="209" spans="2:5">
      <c r="B209" s="101">
        <f ca="1"/>
        <v>44719</v>
      </c>
      <c r="C209" s="102">
        <f ca="1"/>
        <v>2.4976927620237267E-2</v>
      </c>
      <c r="D209" s="102">
        <f ca="1"/>
        <v>2.8464489478900411E-2</v>
      </c>
      <c r="E209" s="103"/>
    </row>
    <row r="210" spans="2:5">
      <c r="B210" s="101">
        <f ca="1"/>
        <v>44726</v>
      </c>
      <c r="C210" s="102">
        <f ca="1"/>
        <v>2.4971606282546778E-2</v>
      </c>
      <c r="D210" s="102">
        <f ca="1"/>
        <v>2.846391682330255E-2</v>
      </c>
      <c r="E210" s="103"/>
    </row>
    <row r="211" spans="2:5">
      <c r="B211" s="101">
        <f ca="1"/>
        <v>44733</v>
      </c>
      <c r="C211" s="102">
        <f ca="1"/>
        <v>2.4966585550876365E-2</v>
      </c>
      <c r="D211" s="102">
        <f ca="1"/>
        <v>2.8463254006044728E-2</v>
      </c>
      <c r="E211" s="103"/>
    </row>
    <row r="212" spans="2:5">
      <c r="B212" s="101">
        <f ca="1"/>
        <v>44740</v>
      </c>
      <c r="C212" s="102">
        <f ca="1"/>
        <v>2.4961866021069402E-2</v>
      </c>
      <c r="D212" s="102">
        <f ca="1"/>
        <v>2.8462479222140048E-2</v>
      </c>
      <c r="E212" s="103"/>
    </row>
    <row r="213" spans="2:5">
      <c r="B213" s="101">
        <f ca="1"/>
        <v>44747</v>
      </c>
      <c r="C213" s="102">
        <f ca="1"/>
        <v>2.4957448289209073E-2</v>
      </c>
      <c r="D213" s="102">
        <f ca="1"/>
        <v>2.8461570666601623E-2</v>
      </c>
      <c r="E213" s="103"/>
    </row>
    <row r="214" spans="2:5">
      <c r="B214" s="101">
        <f ca="1"/>
        <v>44754</v>
      </c>
      <c r="C214" s="102">
        <f ca="1"/>
        <v>2.4953332952018049E-2</v>
      </c>
      <c r="D214" s="102">
        <f ca="1"/>
        <v>2.846050653444256E-2</v>
      </c>
      <c r="E214" s="103"/>
    </row>
    <row r="215" spans="2:5">
      <c r="B215" s="101">
        <f ca="1"/>
        <v>44761</v>
      </c>
      <c r="C215" s="102">
        <f ca="1"/>
        <v>2.4949520606778554E-2</v>
      </c>
      <c r="D215" s="102">
        <f ca="1"/>
        <v>2.8459265020675969E-2</v>
      </c>
      <c r="E215" s="103"/>
    </row>
    <row r="216" spans="2:5">
      <c r="B216" s="101">
        <f ca="1"/>
        <v>44768</v>
      </c>
      <c r="C216" s="102">
        <f ca="1"/>
        <v>2.4946011850936669E-2</v>
      </c>
      <c r="D216" s="102">
        <f ca="1"/>
        <v>2.8457824320314955E-2</v>
      </c>
      <c r="E216" s="103"/>
    </row>
    <row r="217" spans="2:5">
      <c r="B217" s="101">
        <f ca="1"/>
        <v>44775</v>
      </c>
      <c r="C217" s="102">
        <f ca="1"/>
        <v>2.4942807282717902E-2</v>
      </c>
      <c r="D217" s="102">
        <f ca="1"/>
        <v>2.8456162628372628E-2</v>
      </c>
      <c r="E217" s="103"/>
    </row>
    <row r="218" spans="2:5">
      <c r="B218" s="101">
        <f ca="1"/>
        <v>44782</v>
      </c>
      <c r="C218" s="102">
        <f ca="1"/>
        <v>2.4939907500871241E-2</v>
      </c>
      <c r="D218" s="102">
        <f ca="1"/>
        <v>2.8454258139862097E-2</v>
      </c>
      <c r="E218" s="103"/>
    </row>
    <row r="219" spans="2:5">
      <c r="B219" s="101">
        <f ca="1"/>
        <v>44789</v>
      </c>
      <c r="C219" s="102">
        <f ca="1"/>
        <v>2.4937313104405598E-2</v>
      </c>
      <c r="D219" s="102">
        <f ca="1"/>
        <v>2.8452089049796465E-2</v>
      </c>
      <c r="E219" s="103"/>
    </row>
    <row r="220" spans="2:5">
      <c r="B220" s="101">
        <f ca="1"/>
        <v>44796</v>
      </c>
      <c r="C220" s="102">
        <f ca="1"/>
        <v>2.493499219007286E-2</v>
      </c>
      <c r="D220" s="102">
        <f ca="1"/>
        <v>2.8449470868827646E-2</v>
      </c>
      <c r="E220" s="103"/>
    </row>
    <row r="221" spans="2:5">
      <c r="B221" s="101">
        <f ca="1"/>
        <v>44803</v>
      </c>
      <c r="C221" s="102">
        <f ca="1"/>
        <v>2.4932902782937572E-2</v>
      </c>
      <c r="D221" s="102">
        <f ca="1"/>
        <v>2.8446195112288675E-2</v>
      </c>
      <c r="E221" s="103"/>
    </row>
    <row r="222" spans="2:5">
      <c r="B222" s="101">
        <f ca="1"/>
        <v>44810</v>
      </c>
      <c r="C222" s="102">
        <f ca="1"/>
        <v>2.4931045082152346E-2</v>
      </c>
      <c r="D222" s="102">
        <f ca="1"/>
        <v>2.844238972316528E-2</v>
      </c>
      <c r="E222" s="103"/>
    </row>
    <row r="223" spans="2:5">
      <c r="B223" s="101">
        <f ca="1"/>
        <v>44817</v>
      </c>
      <c r="C223" s="102">
        <f ca="1"/>
        <v>2.4929419543168928E-2</v>
      </c>
      <c r="D223" s="102">
        <f ca="1"/>
        <v>2.8438187689961703E-2</v>
      </c>
      <c r="E223" s="103"/>
    </row>
    <row r="224" spans="2:5">
      <c r="B224" s="101">
        <f ca="1"/>
        <v>44824</v>
      </c>
      <c r="C224" s="102">
        <f ca="1"/>
        <v>2.4928026622022526E-2</v>
      </c>
      <c r="D224" s="102">
        <f ca="1"/>
        <v>2.843372200118217E-2</v>
      </c>
      <c r="E224" s="103"/>
    </row>
    <row r="225" spans="2:5">
      <c r="B225" s="101">
        <f ca="1"/>
        <v>44831</v>
      </c>
      <c r="C225" s="102">
        <f ca="1"/>
        <v>2.4926866774852195E-2</v>
      </c>
      <c r="D225" s="102">
        <f ca="1"/>
        <v>2.8429125645330924E-2</v>
      </c>
      <c r="E225" s="103"/>
    </row>
    <row r="226" spans="2:5">
      <c r="B226" s="101">
        <f ca="1"/>
        <v>44838</v>
      </c>
      <c r="C226" s="102">
        <f ca="1"/>
        <v>2.49259404586205E-2</v>
      </c>
      <c r="D226" s="102">
        <f ca="1"/>
        <v>2.8424531610912195E-2</v>
      </c>
      <c r="E226" s="103"/>
    </row>
    <row r="227" spans="2:5">
      <c r="B227" s="101">
        <f ca="1"/>
        <v>44845</v>
      </c>
      <c r="C227" s="102">
        <f ca="1"/>
        <v>2.4925248130593568E-2</v>
      </c>
      <c r="D227" s="102">
        <f ca="1"/>
        <v>2.8420072886430222E-2</v>
      </c>
      <c r="E227" s="103"/>
    </row>
    <row r="228" spans="2:5">
      <c r="B228" s="101">
        <f ca="1"/>
        <v>44852</v>
      </c>
      <c r="C228" s="102">
        <f ca="1"/>
        <v>2.4924790248933005E-2</v>
      </c>
      <c r="D228" s="102">
        <f ca="1"/>
        <v>2.8415882460389234E-2</v>
      </c>
      <c r="E228" s="103"/>
    </row>
    <row r="229" spans="2:5">
      <c r="B229" s="101">
        <f ca="1"/>
        <v>44859</v>
      </c>
      <c r="C229" s="102">
        <f ca="1"/>
        <v>2.492456727169633E-2</v>
      </c>
      <c r="D229" s="102">
        <f ca="1"/>
        <v>2.8412093321293474E-2</v>
      </c>
      <c r="E229" s="103"/>
    </row>
    <row r="230" spans="2:5">
      <c r="B230" s="101">
        <f ca="1"/>
        <v>44866</v>
      </c>
      <c r="C230" s="102">
        <f ca="1"/>
        <v>2.4924579658116196E-2</v>
      </c>
      <c r="D230" s="102">
        <f ca="1"/>
        <v>2.8408838457647169E-2</v>
      </c>
      <c r="E230" s="103"/>
    </row>
    <row r="231" spans="2:5">
      <c r="B231" s="101">
        <f ca="1"/>
        <v>44873</v>
      </c>
      <c r="C231" s="102">
        <f ca="1"/>
        <v>2.4924827867641153E-2</v>
      </c>
      <c r="D231" s="102">
        <f ca="1"/>
        <v>2.8406250857954563E-2</v>
      </c>
      <c r="E231" s="103"/>
    </row>
    <row r="232" spans="2:5">
      <c r="B232" s="101">
        <f ca="1"/>
        <v>44880</v>
      </c>
      <c r="C232" s="102">
        <f ca="1"/>
        <v>2.4925312360335093E-2</v>
      </c>
      <c r="D232" s="102">
        <f ca="1"/>
        <v>2.8404463510719881E-2</v>
      </c>
      <c r="E232" s="103"/>
    </row>
    <row r="233" spans="2:5">
      <c r="B233" s="101">
        <f ca="1"/>
        <v>44887</v>
      </c>
      <c r="C233" s="102">
        <f ca="1"/>
        <v>2.4926031759986967E-2</v>
      </c>
      <c r="D233" s="102">
        <f ca="1"/>
        <v>2.8403433351949527E-2</v>
      </c>
      <c r="E233" s="103"/>
    </row>
    <row r="234" spans="2:5">
      <c r="B234" s="101">
        <f ca="1"/>
        <v>44894</v>
      </c>
      <c r="C234" s="102">
        <f ca="1"/>
        <v>2.492698256566913E-2</v>
      </c>
      <c r="D234" s="102">
        <f ca="1"/>
        <v>2.840275129498961E-2</v>
      </c>
      <c r="E234" s="103"/>
    </row>
    <row r="235" spans="2:5">
      <c r="B235" s="101">
        <f ca="1"/>
        <v>44901</v>
      </c>
      <c r="C235" s="102">
        <f ca="1"/>
        <v>2.4928165086382504E-2</v>
      </c>
      <c r="D235" s="102">
        <f ca="1"/>
        <v>2.8402409039274004E-2</v>
      </c>
      <c r="E235" s="103"/>
    </row>
    <row r="236" spans="2:5">
      <c r="B236" s="101">
        <f ca="1"/>
        <v>44908</v>
      </c>
      <c r="C236" s="102">
        <f ca="1"/>
        <v>2.4929579773230171E-2</v>
      </c>
      <c r="D236" s="102">
        <f ca="1"/>
        <v>2.8402424892351109E-2</v>
      </c>
      <c r="E236" s="103"/>
    </row>
    <row r="237" spans="2:5">
      <c r="B237" s="101">
        <f ca="1"/>
        <v>44915</v>
      </c>
      <c r="C237" s="102">
        <f ca="1"/>
        <v>2.4931227077451178E-2</v>
      </c>
      <c r="D237" s="102">
        <f ca="1"/>
        <v>2.8402817161769334E-2</v>
      </c>
      <c r="E237" s="103"/>
    </row>
    <row r="238" spans="2:5">
      <c r="B238" s="101">
        <f ca="1"/>
        <v>44922</v>
      </c>
      <c r="C238" s="102">
        <f ca="1"/>
        <v>2.4933107451459702E-2</v>
      </c>
      <c r="D238" s="102">
        <f ca="1"/>
        <v>2.8403604155077089E-2</v>
      </c>
      <c r="E238" s="103"/>
    </row>
    <row r="239" spans="2:5">
      <c r="B239" s="101">
        <f ca="1"/>
        <v>44929</v>
      </c>
      <c r="C239" s="102">
        <f ca="1"/>
        <v>2.4935221347965521E-2</v>
      </c>
      <c r="D239" s="102">
        <f ca="1"/>
        <v>2.8404804179822777E-2</v>
      </c>
      <c r="E239" s="103"/>
    </row>
    <row r="240" spans="2:5">
      <c r="B240" s="101">
        <f ca="1"/>
        <v>44936</v>
      </c>
      <c r="C240" s="102">
        <f ca="1"/>
        <v>2.4937569220254127E-2</v>
      </c>
      <c r="D240" s="102">
        <f ca="1"/>
        <v>2.8406435543554806E-2</v>
      </c>
      <c r="E240" s="103"/>
    </row>
    <row r="241" spans="2:5">
      <c r="B241" s="101">
        <f ca="1"/>
        <v>44943</v>
      </c>
      <c r="C241" s="102">
        <f ca="1"/>
        <v>2.4940151522713973E-2</v>
      </c>
      <c r="D241" s="102">
        <f ca="1"/>
        <v>2.8408516553821584E-2</v>
      </c>
      <c r="E241" s="103"/>
    </row>
    <row r="242" spans="2:5">
      <c r="B242" s="101">
        <f ca="1"/>
        <v>44950</v>
      </c>
      <c r="C242" s="102">
        <f ca="1"/>
        <v>2.4942968709837556E-2</v>
      </c>
      <c r="D242" s="102">
        <f ca="1"/>
        <v>2.8411065518171519E-2</v>
      </c>
      <c r="E242" s="103"/>
    </row>
    <row r="243" spans="2:5">
      <c r="B243" s="101">
        <f ca="1"/>
        <v>44957</v>
      </c>
      <c r="C243" s="102">
        <f ca="1"/>
        <v>2.4946021237020596E-2</v>
      </c>
      <c r="D243" s="102">
        <f ca="1"/>
        <v>2.8414100744153018E-2</v>
      </c>
      <c r="E243" s="103"/>
    </row>
    <row r="244" spans="2:5">
      <c r="B244" s="101">
        <f ca="1"/>
        <v>44964</v>
      </c>
      <c r="C244" s="102">
        <f ca="1"/>
        <v>2.4949309560562041E-2</v>
      </c>
      <c r="D244" s="102">
        <f ca="1"/>
        <v>2.8417640539314486E-2</v>
      </c>
      <c r="E244" s="103"/>
    </row>
    <row r="245" spans="2:5">
      <c r="B245" s="101">
        <f ca="1"/>
        <v>44971</v>
      </c>
      <c r="C245" s="102">
        <f ca="1"/>
        <v>2.4952834137104682E-2</v>
      </c>
      <c r="D245" s="102">
        <f ca="1"/>
        <v>2.8421703211204331E-2</v>
      </c>
      <c r="E245" s="103"/>
    </row>
    <row r="246" spans="2:5">
      <c r="B246" s="101">
        <f ca="1"/>
        <v>44978</v>
      </c>
      <c r="C246" s="102">
        <f ca="1"/>
        <v>2.4956594240701152E-2</v>
      </c>
      <c r="D246" s="102">
        <f ca="1"/>
        <v>2.842636268535299E-2</v>
      </c>
      <c r="E246" s="103"/>
    </row>
    <row r="247" spans="2:5">
      <c r="B247" s="101">
        <f ca="1"/>
        <v>44985</v>
      </c>
      <c r="C247" s="102">
        <f ca="1"/>
        <v>2.4960586172917947E-2</v>
      </c>
      <c r="D247" s="102">
        <f ca="1"/>
        <v>2.8431840343237317E-2</v>
      </c>
      <c r="E247" s="103"/>
    </row>
    <row r="248" spans="2:5">
      <c r="B248" s="101">
        <f ca="1"/>
        <v>44992</v>
      </c>
      <c r="C248" s="102">
        <f ca="1"/>
        <v>2.4964810013075583E-2</v>
      </c>
      <c r="D248" s="102">
        <f ca="1"/>
        <v>2.8438066399936682E-2</v>
      </c>
      <c r="E248" s="103"/>
    </row>
    <row r="249" spans="2:5">
      <c r="B249" s="101">
        <f ca="1"/>
        <v>44999</v>
      </c>
      <c r="C249" s="102">
        <f ca="1"/>
        <v>2.4969266209775215E-2</v>
      </c>
      <c r="D249" s="102">
        <f ca="1"/>
        <v>2.8444936015597146E-2</v>
      </c>
      <c r="E249" s="103"/>
    </row>
    <row r="250" spans="2:5">
      <c r="B250" s="101">
        <f ca="1"/>
        <v>45006</v>
      </c>
      <c r="C250" s="102">
        <f ca="1"/>
        <v>2.4973955212553283E-2</v>
      </c>
      <c r="D250" s="102">
        <f ca="1"/>
        <v>2.8452344350364752E-2</v>
      </c>
      <c r="E250" s="103"/>
    </row>
    <row r="251" spans="2:5">
      <c r="B251" s="101">
        <f ca="1"/>
        <v>45013</v>
      </c>
      <c r="C251" s="102">
        <f ca="1"/>
        <v>2.4978877471401793E-2</v>
      </c>
      <c r="D251" s="102">
        <f ca="1"/>
        <v>2.8460186564385547E-2</v>
      </c>
      <c r="E251" s="103"/>
    </row>
    <row r="252" spans="2:5">
      <c r="B252" s="101">
        <f ca="1"/>
        <v>45020</v>
      </c>
      <c r="C252" s="102">
        <f ca="1"/>
        <v>2.4984033437048227E-2</v>
      </c>
      <c r="D252" s="102">
        <f ca="1"/>
        <v>2.8468357817805583E-2</v>
      </c>
      <c r="E252" s="103"/>
    </row>
    <row r="253" spans="2:5">
      <c r="B253" s="101">
        <f ca="1"/>
        <v>45027</v>
      </c>
      <c r="C253" s="102">
        <f ca="1"/>
        <v>2.4989423561483013E-2</v>
      </c>
      <c r="D253" s="102">
        <f ca="1"/>
        <v>2.847675327077091E-2</v>
      </c>
      <c r="E253" s="103"/>
    </row>
    <row r="254" spans="2:5">
      <c r="B254" s="101">
        <f ca="1"/>
        <v>45034</v>
      </c>
      <c r="C254" s="102">
        <f ca="1"/>
        <v>2.4995048296792534E-2</v>
      </c>
      <c r="D254" s="102">
        <f ca="1"/>
        <v>2.8485268083427575E-2</v>
      </c>
      <c r="E254" s="103"/>
    </row>
    <row r="255" spans="2:5">
      <c r="B255" s="101">
        <f ca="1"/>
        <v>45041</v>
      </c>
      <c r="C255" s="102">
        <f ca="1"/>
        <v>2.5000908096398079E-2</v>
      </c>
      <c r="D255" s="102">
        <f ca="1"/>
        <v>2.8493797415921628E-2</v>
      </c>
      <c r="E255" s="103"/>
    </row>
    <row r="256" spans="2:5">
      <c r="B256" s="101">
        <f ca="1"/>
        <v>45048</v>
      </c>
      <c r="C256" s="102">
        <f ca="1"/>
        <v>2.5007003414336461E-2</v>
      </c>
      <c r="D256" s="102">
        <f ca="1"/>
        <v>2.8502236428399119E-2</v>
      </c>
      <c r="E256" s="103"/>
    </row>
    <row r="257" spans="2:5">
      <c r="B257" s="101">
        <f ca="1"/>
        <v>45055</v>
      </c>
      <c r="C257" s="102">
        <f ca="1"/>
        <v>2.5013334705259991E-2</v>
      </c>
      <c r="D257" s="102">
        <f ca="1"/>
        <v>2.8510480281006095E-2</v>
      </c>
      <c r="E257" s="103"/>
    </row>
    <row r="258" spans="2:5">
      <c r="B258" s="101">
        <f ca="1"/>
        <v>45062</v>
      </c>
      <c r="C258" s="102">
        <f ca="1"/>
        <v>2.5019902425155931E-2</v>
      </c>
      <c r="D258" s="102">
        <f ca="1"/>
        <v>2.8518424133888606E-2</v>
      </c>
      <c r="E258" s="103"/>
    </row>
    <row r="259" spans="2:5">
      <c r="B259" s="101">
        <f ca="1"/>
        <v>45069</v>
      </c>
      <c r="C259" s="102">
        <f ca="1"/>
        <v>2.5026704274711514E-2</v>
      </c>
      <c r="D259" s="102">
        <f ca="1"/>
        <v>2.8526209180478403E-2</v>
      </c>
      <c r="E259" s="103"/>
    </row>
    <row r="260" spans="2:5">
      <c r="B260" s="101">
        <f ca="1"/>
        <v>45076</v>
      </c>
      <c r="C260" s="102">
        <f ca="1"/>
        <v>2.503373710255961E-2</v>
      </c>
      <c r="D260" s="102">
        <f ca="1"/>
        <v>2.8534180296858537E-2</v>
      </c>
      <c r="E260" s="103"/>
    </row>
    <row r="261" spans="2:5">
      <c r="B261" s="101">
        <f ca="1"/>
        <v>45083</v>
      </c>
      <c r="C261" s="102">
        <f ca="1"/>
        <v>2.5041001332177446E-2</v>
      </c>
      <c r="D261" s="102">
        <f ca="1"/>
        <v>2.8542296389133852E-2</v>
      </c>
      <c r="E261" s="103"/>
    </row>
    <row r="262" spans="2:5">
      <c r="B262" s="101">
        <f ca="1"/>
        <v>45090</v>
      </c>
      <c r="C262" s="102">
        <f ca="1"/>
        <v>2.5048497410647377E-2</v>
      </c>
      <c r="D262" s="102">
        <f ca="1"/>
        <v>2.8550509723389142E-2</v>
      </c>
      <c r="E262" s="103"/>
    </row>
    <row r="263" spans="2:5">
      <c r="B263" s="101">
        <f ca="1"/>
        <v>45097</v>
      </c>
      <c r="C263" s="102">
        <f ca="1"/>
        <v>2.5056225785475492E-2</v>
      </c>
      <c r="D263" s="102">
        <f ca="1"/>
        <v>2.8558772565709208E-2</v>
      </c>
      <c r="E263" s="103"/>
    </row>
    <row r="264" spans="2:5">
      <c r="B264" s="101">
        <f ca="1"/>
        <v>45104</v>
      </c>
      <c r="C264" s="102">
        <f ca="1"/>
        <v>2.5064186905071031E-2</v>
      </c>
      <c r="D264" s="102">
        <f ca="1"/>
        <v>2.8567037182178848E-2</v>
      </c>
      <c r="E264" s="103"/>
    </row>
    <row r="265" spans="2:5">
      <c r="B265" s="101">
        <f ca="1"/>
        <v>45111</v>
      </c>
      <c r="C265" s="102">
        <f ca="1"/>
        <v>2.5072381218786622E-2</v>
      </c>
      <c r="D265" s="102">
        <f ca="1"/>
        <v>2.8575255838882856E-2</v>
      </c>
      <c r="E265" s="103"/>
    </row>
    <row r="266" spans="2:5">
      <c r="B266" s="101">
        <f ca="1"/>
        <v>45118</v>
      </c>
      <c r="C266" s="102">
        <f ca="1"/>
        <v>2.5080809176949957E-2</v>
      </c>
      <c r="D266" s="102">
        <f ca="1"/>
        <v>2.8583380801906033E-2</v>
      </c>
      <c r="E266" s="103"/>
    </row>
    <row r="267" spans="2:5">
      <c r="B267" s="101">
        <f ca="1"/>
        <v>45125</v>
      </c>
      <c r="C267" s="102">
        <f ca="1"/>
        <v>2.508947123051241E-2</v>
      </c>
      <c r="D267" s="102">
        <f ca="1"/>
        <v>2.8591364337333169E-2</v>
      </c>
      <c r="E267" s="103"/>
    </row>
    <row r="268" spans="2:5">
      <c r="B268" s="101">
        <f ca="1"/>
        <v>45132</v>
      </c>
      <c r="C268" s="102">
        <f ca="1"/>
        <v>2.509836783180807E-2</v>
      </c>
      <c r="D268" s="102">
        <f ca="1"/>
        <v>2.859915871124907E-2</v>
      </c>
      <c r="E268" s="103"/>
    </row>
    <row r="269" spans="2:5">
      <c r="B269" s="101">
        <f ca="1"/>
        <v>45139</v>
      </c>
      <c r="C269" s="102">
        <f ca="1"/>
        <v>2.5107499433754638E-2</v>
      </c>
      <c r="D269" s="102">
        <f ca="1"/>
        <v>2.8606716189738524E-2</v>
      </c>
      <c r="E269" s="103"/>
    </row>
    <row r="270" spans="2:5">
      <c r="B270" s="101">
        <f ca="1"/>
        <v>45146</v>
      </c>
      <c r="C270" s="102">
        <f ca="1"/>
        <v>2.5116866490492936E-2</v>
      </c>
      <c r="D270" s="102">
        <f ca="1"/>
        <v>2.8613989038886338E-2</v>
      </c>
      <c r="E270" s="103"/>
    </row>
    <row r="271" spans="2:5">
      <c r="B271" s="101">
        <f ca="1"/>
        <v>45153</v>
      </c>
      <c r="C271" s="102">
        <f ca="1"/>
        <v>2.5126469456747083E-2</v>
      </c>
      <c r="D271" s="102">
        <f ca="1"/>
        <v>2.8620929524777301E-2</v>
      </c>
      <c r="E271" s="103"/>
    </row>
    <row r="272" spans="2:5">
      <c r="B272" s="101">
        <f ca="1"/>
        <v>45160</v>
      </c>
      <c r="C272" s="102">
        <f ca="1"/>
        <v>2.5136203988655681E-2</v>
      </c>
      <c r="D272" s="102">
        <f ca="1"/>
        <v>2.8627515144911211E-2</v>
      </c>
      <c r="E272" s="103"/>
    </row>
    <row r="273" spans="2:5">
      <c r="B273" s="101">
        <f ca="1"/>
        <v>45167</v>
      </c>
      <c r="C273" s="102">
        <f ca="1"/>
        <v>2.5145844468182309E-2</v>
      </c>
      <c r="D273" s="102">
        <f ca="1"/>
        <v>2.8633805557718314E-2</v>
      </c>
      <c r="E273" s="103"/>
    </row>
    <row r="274" spans="2:5">
      <c r="B274" s="101">
        <f ca="1"/>
        <v>45174</v>
      </c>
      <c r="C274" s="102">
        <f ca="1"/>
        <v>2.5155382633879574E-2</v>
      </c>
      <c r="D274" s="102">
        <f ca="1"/>
        <v>2.8639833097946023E-2</v>
      </c>
      <c r="E274" s="103"/>
    </row>
    <row r="275" spans="2:5">
      <c r="B275" s="101">
        <f ca="1"/>
        <v>45181</v>
      </c>
      <c r="C275" s="102">
        <f ca="1"/>
        <v>2.5164818279992066E-2</v>
      </c>
      <c r="D275" s="102">
        <f ca="1"/>
        <v>2.8645627112027585E-2</v>
      </c>
      <c r="E275" s="103"/>
    </row>
    <row r="276" spans="2:5">
      <c r="B276" s="101">
        <f ca="1"/>
        <v>45188</v>
      </c>
      <c r="C276" s="102">
        <f ca="1"/>
        <v>2.5174151200260626E-2</v>
      </c>
      <c r="D276" s="102">
        <f ca="1"/>
        <v>2.8651216946396243E-2</v>
      </c>
      <c r="E276" s="103"/>
    </row>
    <row r="277" spans="2:5">
      <c r="B277" s="101">
        <f ca="1"/>
        <v>45195</v>
      </c>
      <c r="C277" s="102">
        <f ca="1"/>
        <v>2.5183381187922856E-2</v>
      </c>
      <c r="D277" s="102">
        <f ca="1"/>
        <v>2.8656631947485234E-2</v>
      </c>
      <c r="E277" s="103"/>
    </row>
    <row r="278" spans="2:5">
      <c r="B278" s="101">
        <f ca="1"/>
        <v>45202</v>
      </c>
      <c r="C278" s="102">
        <f ca="1"/>
        <v>2.5192508035992104E-2</v>
      </c>
      <c r="D278" s="102">
        <f ca="1"/>
        <v>2.8661901461727809E-2</v>
      </c>
      <c r="E278" s="103"/>
    </row>
    <row r="279" spans="2:5">
      <c r="B279" s="101">
        <f ca="1"/>
        <v>45209</v>
      </c>
      <c r="C279" s="102">
        <f ca="1"/>
        <v>2.520153153690664E-2</v>
      </c>
      <c r="D279" s="102">
        <f ca="1"/>
        <v>2.8667054835557204E-2</v>
      </c>
      <c r="E279" s="103"/>
    </row>
    <row r="280" spans="2:5">
      <c r="B280" s="101">
        <f ca="1"/>
        <v>45216</v>
      </c>
      <c r="C280" s="102">
        <f ca="1"/>
        <v>2.5210451482640617E-2</v>
      </c>
      <c r="D280" s="102">
        <f ca="1"/>
        <v>2.8672121415406666E-2</v>
      </c>
      <c r="E280" s="103"/>
    </row>
    <row r="281" spans="2:5">
      <c r="B281" s="101">
        <f ca="1"/>
        <v>45223</v>
      </c>
      <c r="C281" s="102">
        <f ca="1"/>
        <v>2.5219267664425227E-2</v>
      </c>
      <c r="D281" s="102">
        <f ca="1"/>
        <v>2.8677130547709435E-2</v>
      </c>
      <c r="E281" s="103"/>
    </row>
    <row r="282" spans="2:5">
      <c r="B282" s="101">
        <f ca="1"/>
        <v>45230</v>
      </c>
      <c r="C282" s="102">
        <f ca="1"/>
        <v>2.5227979873787235E-2</v>
      </c>
      <c r="D282" s="102">
        <f ca="1"/>
        <v>2.8682111578898755E-2</v>
      </c>
      <c r="E282" s="103"/>
    </row>
    <row r="283" spans="2:5">
      <c r="B283" s="101">
        <f ca="1"/>
        <v>45237</v>
      </c>
      <c r="C283" s="102">
        <f ca="1"/>
        <v>2.5236587901110104E-2</v>
      </c>
      <c r="D283" s="102">
        <f ca="1"/>
        <v>2.8687093855407866E-2</v>
      </c>
      <c r="E283" s="103"/>
    </row>
    <row r="284" spans="2:5">
      <c r="B284" s="101">
        <f ca="1"/>
        <v>45244</v>
      </c>
      <c r="C284" s="102">
        <f ca="1"/>
        <v>2.5245091536673887E-2</v>
      </c>
      <c r="D284" s="102">
        <f ca="1"/>
        <v>2.8692106723670015E-2</v>
      </c>
      <c r="E284" s="103"/>
    </row>
    <row r="285" spans="2:5">
      <c r="B285" s="101">
        <f ca="1"/>
        <v>45251</v>
      </c>
      <c r="C285" s="102">
        <f ca="1"/>
        <v>2.525349127341197E-2</v>
      </c>
      <c r="D285" s="102">
        <f ca="1"/>
        <v>2.8697134362995508E-2</v>
      </c>
      <c r="E285" s="103"/>
    </row>
    <row r="286" spans="2:5">
      <c r="B286" s="101">
        <f ca="1"/>
        <v>45258</v>
      </c>
      <c r="C286" s="102">
        <f ca="1"/>
        <v>2.5261789371149E-2</v>
      </c>
      <c r="D286" s="102">
        <f ca="1"/>
        <v>2.8702001500392892E-2</v>
      </c>
      <c r="E286" s="103"/>
    </row>
    <row r="287" spans="2:5">
      <c r="B287" s="101">
        <f ca="1"/>
        <v>45265</v>
      </c>
      <c r="C287" s="102">
        <f ca="1"/>
        <v>2.5269985844169306E-2</v>
      </c>
      <c r="D287" s="102">
        <f ca="1"/>
        <v>2.8706715504206143E-2</v>
      </c>
      <c r="E287" s="103"/>
    </row>
    <row r="288" spans="2:5">
      <c r="B288" s="101">
        <f ca="1"/>
        <v>45272</v>
      </c>
      <c r="C288" s="102">
        <f ca="1"/>
        <v>2.5278080487676702E-2</v>
      </c>
      <c r="D288" s="102">
        <f ca="1"/>
        <v>2.871130925755171E-2</v>
      </c>
      <c r="E288" s="103"/>
    </row>
    <row r="289" spans="2:5">
      <c r="B289" s="101">
        <f ca="1"/>
        <v>45279</v>
      </c>
      <c r="C289" s="102">
        <f ca="1"/>
        <v>2.5286073096339703E-2</v>
      </c>
      <c r="D289" s="102">
        <f ca="1"/>
        <v>2.8715815643546031E-2</v>
      </c>
      <c r="E289" s="103"/>
    </row>
    <row r="290" spans="2:5">
      <c r="B290" s="101">
        <f ca="1"/>
        <v>45286</v>
      </c>
      <c r="C290" s="102">
        <f ca="1"/>
        <v>2.5293963464610367E-2</v>
      </c>
      <c r="D290" s="102">
        <f ca="1"/>
        <v>2.8720267545305548E-2</v>
      </c>
      <c r="E290" s="103"/>
    </row>
    <row r="291" spans="2:5">
      <c r="B291" s="101">
        <f ca="1"/>
        <v>45293</v>
      </c>
      <c r="C291" s="102">
        <f ca="1"/>
        <v>2.5301751386286014E-2</v>
      </c>
      <c r="D291" s="102">
        <f ca="1"/>
        <v>2.8724697845946709E-2</v>
      </c>
      <c r="E291" s="103"/>
    </row>
    <row r="292" spans="2:5">
      <c r="B292" s="101">
        <f ca="1"/>
        <v>45300</v>
      </c>
      <c r="C292" s="102">
        <f ca="1"/>
        <v>2.5309436654779513E-2</v>
      </c>
      <c r="D292" s="102">
        <f ca="1"/>
        <v>2.8729139428585949E-2</v>
      </c>
      <c r="E292" s="103"/>
    </row>
    <row r="293" spans="2:5">
      <c r="B293" s="101">
        <f ca="1"/>
        <v>45307</v>
      </c>
      <c r="C293" s="102">
        <f ca="1"/>
        <v>2.5317019063240614E-2</v>
      </c>
      <c r="D293" s="102">
        <f ca="1"/>
        <v>2.8733625176339716E-2</v>
      </c>
      <c r="E293" s="103"/>
    </row>
    <row r="294" spans="2:5">
      <c r="B294" s="101">
        <f ca="1"/>
        <v>45314</v>
      </c>
      <c r="C294" s="102">
        <f ca="1"/>
        <v>2.5324498404075389E-2</v>
      </c>
      <c r="D294" s="102">
        <f ca="1"/>
        <v>2.8738187972324448E-2</v>
      </c>
      <c r="E294" s="103"/>
    </row>
    <row r="295" spans="2:5">
      <c r="B295" s="101">
        <f ca="1"/>
        <v>45321</v>
      </c>
      <c r="C295" s="102">
        <f ca="1"/>
        <v>2.5331874469745535E-2</v>
      </c>
      <c r="D295" s="102">
        <f ca="1"/>
        <v>2.8742860699656592E-2</v>
      </c>
      <c r="E295" s="103"/>
    </row>
    <row r="296" spans="2:5">
      <c r="B296" s="101">
        <f ca="1"/>
        <v>45328</v>
      </c>
      <c r="C296" s="102">
        <f ca="1"/>
        <v>2.5339147052050016E-2</v>
      </c>
      <c r="D296" s="102">
        <f ca="1"/>
        <v>2.8747676241452587E-2</v>
      </c>
      <c r="E296" s="103"/>
    </row>
    <row r="297" spans="2:5">
      <c r="B297" s="101">
        <f ca="1"/>
        <v>45335</v>
      </c>
      <c r="C297" s="102">
        <f ca="1"/>
        <v>2.5346315942243382E-2</v>
      </c>
      <c r="D297" s="102">
        <f ca="1"/>
        <v>2.8752667480828879E-2</v>
      </c>
      <c r="E297" s="103"/>
    </row>
    <row r="298" spans="2:5">
      <c r="B298" s="101">
        <f ca="1"/>
        <v>45342</v>
      </c>
      <c r="C298" s="102">
        <f ca="1"/>
        <v>2.5353380940118221E-2</v>
      </c>
      <c r="D298" s="102">
        <f ca="1"/>
        <v>2.8757867300901907E-2</v>
      </c>
      <c r="E298" s="103"/>
    </row>
    <row r="299" spans="2:5">
      <c r="B299" s="101">
        <f ca="1"/>
        <v>45349</v>
      </c>
      <c r="C299" s="102">
        <f ca="1"/>
        <v>2.5360343258831661E-2</v>
      </c>
      <c r="D299" s="102">
        <f ca="1"/>
        <v>2.8763291749764039E-2</v>
      </c>
      <c r="E299" s="103"/>
    </row>
    <row r="300" spans="2:5">
      <c r="B300" s="101">
        <f ca="1"/>
        <v>45356</v>
      </c>
      <c r="C300" s="102">
        <f ca="1"/>
        <v>2.5367203780582357E-2</v>
      </c>
      <c r="D300" s="102">
        <f ca="1"/>
        <v>2.8768912895039456E-2</v>
      </c>
      <c r="E300" s="103"/>
    </row>
    <row r="301" spans="2:5">
      <c r="B301" s="101">
        <f ca="1"/>
        <v>45363</v>
      </c>
      <c r="C301" s="102">
        <f ca="1"/>
        <v>2.5373962300174451E-2</v>
      </c>
      <c r="D301" s="102">
        <f ca="1"/>
        <v>2.8774697649142346E-2</v>
      </c>
      <c r="E301" s="103"/>
    </row>
    <row r="302" spans="2:5">
      <c r="B302" s="101">
        <f ca="1"/>
        <v>45370</v>
      </c>
      <c r="C302" s="102">
        <f ca="1"/>
        <v>2.5380618611988065E-2</v>
      </c>
      <c r="D302" s="102">
        <f ca="1"/>
        <v>2.8780612924486876E-2</v>
      </c>
      <c r="E302" s="103"/>
    </row>
    <row r="303" spans="2:5">
      <c r="B303" s="101">
        <f ca="1"/>
        <v>45377</v>
      </c>
      <c r="C303" s="102">
        <f ca="1"/>
        <v>2.5387172510060438E-2</v>
      </c>
      <c r="D303" s="102">
        <f ca="1"/>
        <v>2.8786625633487224E-2</v>
      </c>
      <c r="E303" s="103"/>
    </row>
    <row r="304" spans="2:5">
      <c r="B304" s="101">
        <f ca="1"/>
        <v>45384</v>
      </c>
      <c r="C304" s="102">
        <f ca="1"/>
        <v>2.5393623787884262E-2</v>
      </c>
      <c r="D304" s="102">
        <f ca="1"/>
        <v>2.8792702688557572E-2</v>
      </c>
      <c r="E304" s="103"/>
    </row>
    <row r="305" spans="2:5">
      <c r="B305" s="101">
        <f ca="1"/>
        <v>45391</v>
      </c>
      <c r="C305" s="102">
        <f ca="1"/>
        <v>2.5399972238777366E-2</v>
      </c>
      <c r="D305" s="102">
        <f ca="1"/>
        <v>2.8798811002112089E-2</v>
      </c>
      <c r="E305" s="103"/>
    </row>
    <row r="306" spans="2:5">
      <c r="B306" s="101">
        <f ca="1"/>
        <v>45398</v>
      </c>
      <c r="C306" s="102">
        <f ca="1"/>
        <v>2.5406217655281327E-2</v>
      </c>
      <c r="D306" s="102">
        <f ca="1"/>
        <v>2.8804917486564958E-2</v>
      </c>
      <c r="E306" s="103"/>
    </row>
    <row r="307" spans="2:5">
      <c r="B307" s="101">
        <f ca="1"/>
        <v>45405</v>
      </c>
      <c r="C307" s="102">
        <f ca="1"/>
        <v>2.5412359830041999E-2</v>
      </c>
      <c r="D307" s="102">
        <f ca="1"/>
        <v>2.8810989054330351E-2</v>
      </c>
      <c r="E307" s="103"/>
    </row>
    <row r="308" spans="2:5">
      <c r="B308" s="101">
        <f ca="1"/>
        <v>45412</v>
      </c>
      <c r="C308" s="102">
        <f ca="1"/>
        <v>2.5418398554930267E-2</v>
      </c>
      <c r="D308" s="102">
        <f ca="1"/>
        <v>2.8816992617822446E-2</v>
      </c>
      <c r="E308" s="103"/>
    </row>
    <row r="309" spans="2:5">
      <c r="B309" s="101">
        <f ca="1"/>
        <v>45419</v>
      </c>
      <c r="C309" s="102">
        <f ca="1"/>
        <v>2.542433362176013E-2</v>
      </c>
      <c r="D309" s="102">
        <f ca="1"/>
        <v>2.8822895089455416E-2</v>
      </c>
      <c r="E309" s="103"/>
    </row>
    <row r="310" spans="2:5">
      <c r="B310" s="101">
        <f ca="1"/>
        <v>45426</v>
      </c>
      <c r="C310" s="102">
        <f ca="1"/>
        <v>2.5430164821691185E-2</v>
      </c>
      <c r="D310" s="102">
        <f ca="1"/>
        <v>2.8828663381643443E-2</v>
      </c>
      <c r="E310" s="103"/>
    </row>
    <row r="311" spans="2:5">
      <c r="B311" s="101">
        <f ca="1"/>
        <v>45433</v>
      </c>
      <c r="C311" s="102">
        <f ca="1"/>
        <v>2.5435892505850009E-2</v>
      </c>
      <c r="D311" s="102">
        <f ca="1"/>
        <v>2.8834276337299496E-2</v>
      </c>
      <c r="E311" s="103"/>
    </row>
    <row r="312" spans="2:5">
      <c r="B312" s="101">
        <f ca="1"/>
        <v>45440</v>
      </c>
      <c r="C312" s="102">
        <f ca="1"/>
        <v>2.544151843270253E-2</v>
      </c>
      <c r="D312" s="102">
        <f ca="1"/>
        <v>2.8839775670952701E-2</v>
      </c>
      <c r="E312" s="103"/>
    </row>
    <row r="313" spans="2:5">
      <c r="B313" s="101">
        <f ca="1"/>
        <v>45447</v>
      </c>
      <c r="C313" s="102">
        <f ca="1"/>
        <v>2.5447042572008523E-2</v>
      </c>
      <c r="D313" s="102">
        <f ca="1"/>
        <v>2.8845182982997583E-2</v>
      </c>
      <c r="E313" s="103"/>
    </row>
    <row r="314" spans="2:5">
      <c r="B314" s="101">
        <f ca="1"/>
        <v>45454</v>
      </c>
      <c r="C314" s="102">
        <f ca="1"/>
        <v>2.5452464719051732E-2</v>
      </c>
      <c r="D314" s="102">
        <f ca="1"/>
        <v>2.8850514677988617E-2</v>
      </c>
      <c r="E314" s="103"/>
    </row>
    <row r="315" spans="2:5">
      <c r="B315" s="101">
        <f ca="1"/>
        <v>45461</v>
      </c>
      <c r="C315" s="102">
        <f ca="1"/>
        <v>2.5457784668261037E-2</v>
      </c>
      <c r="D315" s="102">
        <f ca="1"/>
        <v>2.8855787160480272E-2</v>
      </c>
      <c r="E315" s="103"/>
    </row>
    <row r="316" spans="2:5">
      <c r="B316" s="101">
        <f ca="1"/>
        <v>45468</v>
      </c>
      <c r="C316" s="102">
        <f ca="1"/>
        <v>2.5463002214248149E-2</v>
      </c>
      <c r="D316" s="102">
        <f ca="1"/>
        <v>2.8861016835027026E-2</v>
      </c>
      <c r="E316" s="103"/>
    </row>
    <row r="317" spans="2:5">
      <c r="B317" s="101">
        <f ca="1"/>
        <v>45475</v>
      </c>
      <c r="C317" s="102">
        <f ca="1"/>
        <v>2.5468117151050407E-2</v>
      </c>
      <c r="D317" s="102">
        <f ca="1"/>
        <v>2.8866220106183352E-2</v>
      </c>
      <c r="E317" s="103"/>
    </row>
    <row r="318" spans="2:5">
      <c r="B318" s="101">
        <f ca="1"/>
        <v>45482</v>
      </c>
      <c r="C318" s="102">
        <f ca="1"/>
        <v>2.5473129272320275E-2</v>
      </c>
      <c r="D318" s="102">
        <f ca="1"/>
        <v>2.887141337850372E-2</v>
      </c>
      <c r="E318" s="103"/>
    </row>
    <row r="319" spans="2:5">
      <c r="B319" s="101">
        <f ca="1"/>
        <v>45489</v>
      </c>
      <c r="C319" s="102">
        <f ca="1"/>
        <v>2.5478038371287606E-2</v>
      </c>
      <c r="D319" s="102">
        <f ca="1"/>
        <v>2.8876613056542603E-2</v>
      </c>
      <c r="E319" s="103"/>
    </row>
    <row r="320" spans="2:5">
      <c r="B320" s="101">
        <f ca="1"/>
        <v>45496</v>
      </c>
      <c r="C320" s="102">
        <f ca="1"/>
        <v>2.5482844240918012E-2</v>
      </c>
      <c r="D320" s="102">
        <f ca="1"/>
        <v>2.8881835544854476E-2</v>
      </c>
      <c r="E320" s="103"/>
    </row>
    <row r="321" spans="2:5">
      <c r="B321" s="101">
        <f ca="1"/>
        <v>45503</v>
      </c>
      <c r="C321" s="102">
        <f ca="1"/>
        <v>2.5487546673752984E-2</v>
      </c>
      <c r="D321" s="102">
        <f ca="1"/>
        <v>2.888709724799381E-2</v>
      </c>
      <c r="E321" s="103"/>
    </row>
    <row r="322" spans="2:5">
      <c r="B322" s="101">
        <f ca="1"/>
        <v>45510</v>
      </c>
      <c r="C322" s="102">
        <f ca="1"/>
        <v>2.5492145461911423E-2</v>
      </c>
      <c r="D322" s="102">
        <f ca="1"/>
        <v>2.8892414570515081E-2</v>
      </c>
      <c r="E322" s="103"/>
    </row>
    <row r="323" spans="2:5">
      <c r="B323" s="101">
        <f ca="1"/>
        <v>45517</v>
      </c>
      <c r="C323" s="102">
        <f ca="1"/>
        <v>2.5496640397686853E-2</v>
      </c>
      <c r="D323" s="102">
        <f ca="1"/>
        <v>2.8897803916972758E-2</v>
      </c>
      <c r="E323" s="103"/>
    </row>
    <row r="324" spans="2:5">
      <c r="B324" s="101">
        <f ca="1"/>
        <v>45524</v>
      </c>
      <c r="C324" s="102">
        <f ca="1"/>
        <v>2.5501031337386851E-2</v>
      </c>
      <c r="D324" s="102">
        <f ca="1"/>
        <v>2.890328129765023E-2</v>
      </c>
      <c r="E324" s="103"/>
    </row>
    <row r="325" spans="2:5">
      <c r="B325" s="101">
        <f ca="1"/>
        <v>45531</v>
      </c>
      <c r="C325" s="102">
        <f ca="1"/>
        <v>2.5505319899204359E-2</v>
      </c>
      <c r="D325" s="102">
        <f ca="1"/>
        <v>2.8908833688648345E-2</v>
      </c>
      <c r="E325" s="103"/>
    </row>
    <row r="326" spans="2:5">
      <c r="B326" s="101">
        <f ca="1"/>
        <v>45538</v>
      </c>
      <c r="C326" s="102">
        <f ca="1"/>
        <v>2.5509506726409292E-2</v>
      </c>
      <c r="D326" s="102">
        <f ca="1"/>
        <v>2.8914441621033345E-2</v>
      </c>
      <c r="E326" s="103"/>
    </row>
    <row r="327" spans="2:5">
      <c r="B327" s="101">
        <f ca="1"/>
        <v>45545</v>
      </c>
      <c r="C327" s="102">
        <f ca="1"/>
        <v>2.551359161468509E-2</v>
      </c>
      <c r="D327" s="102">
        <f ca="1"/>
        <v>2.8920096794552163E-2</v>
      </c>
      <c r="E327" s="103"/>
    </row>
    <row r="328" spans="2:5">
      <c r="B328" s="101">
        <f ca="1"/>
        <v>45552</v>
      </c>
      <c r="C328" s="102">
        <f ca="1"/>
        <v>2.5517574359930524E-2</v>
      </c>
      <c r="D328" s="102">
        <f ca="1"/>
        <v>2.8925790908951716E-2</v>
      </c>
      <c r="E328" s="103"/>
    </row>
    <row r="329" spans="2:5">
      <c r="B329" s="101">
        <f ca="1"/>
        <v>45559</v>
      </c>
      <c r="C329" s="102">
        <f ca="1"/>
        <v>2.5521454757302116E-2</v>
      </c>
      <c r="D329" s="102">
        <f ca="1"/>
        <v>2.8931515663978929E-2</v>
      </c>
      <c r="E329" s="103"/>
    </row>
    <row r="330" spans="2:5">
      <c r="B330" s="101">
        <f ca="1"/>
        <v>45566</v>
      </c>
      <c r="C330" s="102">
        <f ca="1"/>
        <v>2.5525232601731236E-2</v>
      </c>
      <c r="D330" s="102">
        <f ca="1"/>
        <v>2.8937262759380723E-2</v>
      </c>
      <c r="E330" s="103"/>
    </row>
    <row r="331" spans="2:5">
      <c r="B331" s="101">
        <f ca="1"/>
        <v>45573</v>
      </c>
      <c r="C331" s="102">
        <f ca="1"/>
        <v>2.5528907687654988E-2</v>
      </c>
      <c r="D331" s="102">
        <f ca="1"/>
        <v>2.8943023894904028E-2</v>
      </c>
      <c r="E331" s="103"/>
    </row>
    <row r="332" spans="2:5">
      <c r="B332" s="101">
        <f ca="1"/>
        <v>45580</v>
      </c>
      <c r="C332" s="102">
        <f ca="1"/>
        <v>2.5532479809453345E-2</v>
      </c>
      <c r="D332" s="102">
        <f ca="1"/>
        <v>2.8948790770295763E-2</v>
      </c>
      <c r="E332" s="103"/>
    </row>
    <row r="333" spans="2:5">
      <c r="B333" s="101">
        <f ca="1"/>
        <v>45587</v>
      </c>
      <c r="C333" s="102">
        <f ca="1"/>
        <v>2.5535948761051145E-2</v>
      </c>
      <c r="D333" s="102">
        <f ca="1"/>
        <v>2.8954555085302851E-2</v>
      </c>
      <c r="E333" s="103"/>
    </row>
    <row r="334" spans="2:5">
      <c r="B334" s="101">
        <f ca="1"/>
        <v>45594</v>
      </c>
      <c r="C334" s="102">
        <f ca="1"/>
        <v>2.5539314336077989E-2</v>
      </c>
      <c r="D334" s="102">
        <f ca="1"/>
        <v>2.8960308539672217E-2</v>
      </c>
      <c r="E334" s="103"/>
    </row>
    <row r="335" spans="2:5">
      <c r="B335" s="101">
        <f ca="1"/>
        <v>45601</v>
      </c>
      <c r="C335" s="102">
        <f ca="1"/>
        <v>2.5542576327786563E-2</v>
      </c>
      <c r="D335" s="102">
        <f ca="1"/>
        <v>2.8966042833150789E-2</v>
      </c>
      <c r="E335" s="103"/>
    </row>
    <row r="336" spans="2:5">
      <c r="B336" s="101">
        <f ca="1"/>
        <v>45608</v>
      </c>
      <c r="C336" s="102">
        <f ca="1"/>
        <v>2.5545734529175145E-2</v>
      </c>
      <c r="D336" s="102">
        <f ca="1"/>
        <v>2.8971749665485481E-2</v>
      </c>
      <c r="E336" s="103"/>
    </row>
    <row r="337" spans="2:5">
      <c r="B337" s="101">
        <f ca="1"/>
        <v>45615</v>
      </c>
      <c r="C337" s="102">
        <f ca="1"/>
        <v>2.5548788796645908E-2</v>
      </c>
      <c r="D337" s="102">
        <f ca="1"/>
        <v>2.897742053927202E-2</v>
      </c>
      <c r="E337" s="103"/>
    </row>
    <row r="338" spans="2:5">
      <c r="B338" s="101">
        <f ca="1"/>
        <v>45622</v>
      </c>
      <c r="C338" s="102">
        <f ca="1"/>
        <v>2.5551740717993269E-2</v>
      </c>
      <c r="D338" s="102">
        <f ca="1"/>
        <v>2.8983039732195588E-2</v>
      </c>
      <c r="E338" s="103"/>
    </row>
    <row r="339" spans="2:5">
      <c r="B339" s="101">
        <f ca="1"/>
        <v>45629</v>
      </c>
      <c r="C339" s="102">
        <f ca="1"/>
        <v>2.5554590922473877E-2</v>
      </c>
      <c r="D339" s="102">
        <f ca="1"/>
        <v>2.8988610407086803E-2</v>
      </c>
      <c r="E339" s="103"/>
    </row>
    <row r="340" spans="2:5">
      <c r="B340" s="101">
        <f ca="1"/>
        <v>45636</v>
      </c>
      <c r="C340" s="102">
        <f ca="1"/>
        <v>2.5557339207505247E-2</v>
      </c>
      <c r="D340" s="102">
        <f ca="1"/>
        <v>2.8994145414060635E-2</v>
      </c>
      <c r="E340" s="103"/>
    </row>
    <row r="341" spans="2:5">
      <c r="B341" s="101">
        <f ca="1"/>
        <v>45643</v>
      </c>
      <c r="C341" s="102">
        <f ca="1"/>
        <v>2.5559985369442997E-2</v>
      </c>
      <c r="D341" s="102">
        <f ca="1"/>
        <v>2.8999657603232056E-2</v>
      </c>
      <c r="E341" s="103"/>
    </row>
    <row r="342" spans="2:5">
      <c r="B342" s="101">
        <f ca="1"/>
        <v>45650</v>
      </c>
      <c r="C342" s="102">
        <f ca="1"/>
        <v>2.5562529204817164E-2</v>
      </c>
      <c r="D342" s="102">
        <f ca="1"/>
        <v>2.9005159824716034E-2</v>
      </c>
      <c r="E342" s="103"/>
    </row>
    <row r="343" spans="2:5">
      <c r="B343" s="101">
        <f ca="1"/>
        <v>45657</v>
      </c>
      <c r="C343" s="102">
        <f ca="1"/>
        <v>2.5564970509823495E-2</v>
      </c>
      <c r="D343" s="102">
        <f ca="1"/>
        <v>2.9010664928627545E-2</v>
      </c>
      <c r="E343" s="103"/>
    </row>
    <row r="344" spans="2:5">
      <c r="B344" s="101">
        <f ca="1"/>
        <v>45664</v>
      </c>
      <c r="C344" s="102">
        <f ca="1"/>
        <v>2.5567309080192668E-2</v>
      </c>
      <c r="D344" s="102">
        <f ca="1"/>
        <v>2.9016185765081557E-2</v>
      </c>
      <c r="E344" s="103"/>
    </row>
    <row r="345" spans="2:5">
      <c r="B345" s="101">
        <f ca="1"/>
        <v>45671</v>
      </c>
      <c r="C345" s="102">
        <f ca="1"/>
        <v>2.5569544711552705E-2</v>
      </c>
      <c r="D345" s="102">
        <f ca="1"/>
        <v>2.9021735184193043E-2</v>
      </c>
      <c r="E345" s="103"/>
    </row>
    <row r="346" spans="2:5">
      <c r="B346" s="101">
        <f ca="1"/>
        <v>45678</v>
      </c>
      <c r="C346" s="102">
        <f ca="1"/>
        <v>2.5571677198867621E-2</v>
      </c>
      <c r="D346" s="102">
        <f ca="1"/>
        <v>2.902732603607697E-2</v>
      </c>
      <c r="E346" s="103"/>
    </row>
    <row r="347" spans="2:5">
      <c r="B347" s="101">
        <f ca="1"/>
        <v>45685</v>
      </c>
      <c r="C347" s="102">
        <f ca="1"/>
        <v>2.557370633739664E-2</v>
      </c>
      <c r="D347" s="102">
        <f ca="1"/>
        <v>2.9032971170848316E-2</v>
      </c>
      <c r="E347" s="103"/>
    </row>
    <row r="348" spans="2:5">
      <c r="B348" s="101">
        <f ca="1"/>
        <v>45692</v>
      </c>
      <c r="C348" s="102">
        <f ca="1"/>
        <v>2.5575631921417059E-2</v>
      </c>
      <c r="D348" s="102">
        <f ca="1"/>
        <v>2.9038683438622044E-2</v>
      </c>
      <c r="E348" s="103"/>
    </row>
    <row r="349" spans="2:5">
      <c r="B349" s="101">
        <f ca="1"/>
        <v>45699</v>
      </c>
      <c r="C349" s="102">
        <f ca="1"/>
        <v>2.5577453745460499E-2</v>
      </c>
      <c r="D349" s="102">
        <f ca="1"/>
        <v>2.9044475689513127E-2</v>
      </c>
      <c r="E349" s="103"/>
    </row>
    <row r="350" spans="2:5">
      <c r="B350" s="101">
        <f ca="1"/>
        <v>45706</v>
      </c>
      <c r="C350" s="102">
        <f ca="1"/>
        <v>2.5579171612197544E-2</v>
      </c>
      <c r="D350" s="102">
        <f ca="1"/>
        <v>2.9050360773636541E-2</v>
      </c>
      <c r="E350" s="103"/>
    </row>
    <row r="351" spans="2:5">
      <c r="B351" s="101">
        <f ca="1"/>
        <v>45713</v>
      </c>
      <c r="C351" s="102">
        <f ca="1"/>
        <v>2.5580786773162518E-2</v>
      </c>
      <c r="D351" s="102">
        <f ca="1"/>
        <v>2.9056405550765538E-2</v>
      </c>
      <c r="E351" s="103"/>
    </row>
    <row r="352" spans="2:5">
      <c r="B352" s="101">
        <f ca="1"/>
        <v>45720</v>
      </c>
      <c r="C352" s="102">
        <f ca="1"/>
        <v>2.5582300140665645E-2</v>
      </c>
      <c r="D352" s="102">
        <f ca="1"/>
        <v>2.9062639875640655E-2</v>
      </c>
      <c r="E352" s="103"/>
    </row>
    <row r="353" spans="2:5">
      <c r="B353" s="101">
        <f ca="1"/>
        <v>45727</v>
      </c>
      <c r="C353" s="102">
        <f ca="1"/>
        <v>2.5583711512972857E-2</v>
      </c>
      <c r="D353" s="102">
        <f ca="1"/>
        <v>2.9069021090827804E-2</v>
      </c>
      <c r="E353" s="103"/>
    </row>
    <row r="354" spans="2:5">
      <c r="B354" s="101">
        <f ca="1"/>
        <v>45734</v>
      </c>
      <c r="C354" s="102">
        <f ca="1"/>
        <v>2.5585020688212886E-2</v>
      </c>
      <c r="D354" s="102">
        <f ca="1"/>
        <v>2.9075506538892883E-2</v>
      </c>
      <c r="E354" s="103"/>
    </row>
    <row r="355" spans="2:5">
      <c r="B355" s="101">
        <f ca="1"/>
        <v>45741</v>
      </c>
      <c r="C355" s="102">
        <f ca="1"/>
        <v>2.558622746394042E-2</v>
      </c>
      <c r="D355" s="102">
        <f ca="1"/>
        <v>2.9082053562401795E-2</v>
      </c>
      <c r="E355" s="103"/>
    </row>
    <row r="356" spans="2:5">
      <c r="B356" s="101">
        <f ca="1"/>
        <v>45748</v>
      </c>
      <c r="C356" s="102">
        <f ca="1"/>
        <v>2.558733163788451E-2</v>
      </c>
      <c r="D356" s="102">
        <f ca="1"/>
        <v>2.9088619503920443E-2</v>
      </c>
      <c r="E356" s="103"/>
    </row>
    <row r="357" spans="2:5">
      <c r="B357" s="101">
        <f ca="1"/>
        <v>45755</v>
      </c>
      <c r="C357" s="102">
        <f ca="1"/>
        <v>2.5588333007040293E-2</v>
      </c>
      <c r="D357" s="102">
        <f ca="1"/>
        <v>2.9095161706014734E-2</v>
      </c>
      <c r="E357" s="103"/>
    </row>
    <row r="358" spans="2:5">
      <c r="B358" s="101">
        <f ca="1"/>
        <v>45762</v>
      </c>
      <c r="C358" s="102">
        <f ca="1"/>
        <v>2.5589231368585447E-2</v>
      </c>
      <c r="D358" s="102">
        <f ca="1"/>
        <v>2.9101637511250569E-2</v>
      </c>
      <c r="E358" s="103"/>
    </row>
    <row r="359" spans="2:5">
      <c r="B359" s="101">
        <f ca="1"/>
        <v>45769</v>
      </c>
      <c r="C359" s="102">
        <f ca="1"/>
        <v>2.5590026518762961E-2</v>
      </c>
      <c r="D359" s="102">
        <f ca="1"/>
        <v>2.9108004262193853E-2</v>
      </c>
      <c r="E359" s="103"/>
    </row>
    <row r="360" spans="2:5">
      <c r="B360" s="101">
        <f ca="1"/>
        <v>45776</v>
      </c>
      <c r="C360" s="102">
        <f ca="1"/>
        <v>2.5590718254319984E-2</v>
      </c>
      <c r="D360" s="102">
        <f ca="1"/>
        <v>2.9114219301410487E-2</v>
      </c>
      <c r="E360" s="103"/>
    </row>
    <row r="361" spans="2:5">
      <c r="B361" s="101">
        <f ca="1"/>
        <v>45783</v>
      </c>
      <c r="C361" s="102">
        <f ca="1"/>
        <v>2.559130637122697E-2</v>
      </c>
      <c r="D361" s="102">
        <f ca="1"/>
        <v>2.9120239971466372E-2</v>
      </c>
      <c r="E361" s="103"/>
    </row>
    <row r="362" spans="2:5">
      <c r="B362" s="101">
        <f ca="1"/>
        <v>45790</v>
      </c>
      <c r="C362" s="102">
        <f ca="1"/>
        <v>2.559179066543989E-2</v>
      </c>
      <c r="D362" s="102">
        <f ca="1"/>
        <v>2.9126023614927415E-2</v>
      </c>
      <c r="E362" s="103"/>
    </row>
    <row r="363" spans="2:5">
      <c r="B363" s="101">
        <f ca="1"/>
        <v>45797</v>
      </c>
      <c r="C363" s="102">
        <f ca="1"/>
        <v>2.5592171001034721E-2</v>
      </c>
      <c r="D363" s="102">
        <f ca="1"/>
        <v>2.9131527872035389E-2</v>
      </c>
      <c r="E363" s="103"/>
    </row>
    <row r="364" spans="2:5">
      <c r="B364" s="101">
        <f ca="1"/>
        <v>45804</v>
      </c>
      <c r="C364" s="102">
        <f ca="1"/>
        <v>2.5592449095222399E-2</v>
      </c>
      <c r="D364" s="102">
        <f ca="1"/>
        <v>2.9136745436941513E-2</v>
      </c>
      <c r="E364" s="103"/>
    </row>
    <row r="365" spans="2:5">
      <c r="B365" s="101">
        <f ca="1"/>
        <v>45811</v>
      </c>
      <c r="C365" s="102">
        <f ca="1"/>
        <v>2.559262564000938E-2</v>
      </c>
      <c r="D365" s="102">
        <f ca="1"/>
        <v>2.914171367926436E-2</v>
      </c>
      <c r="E365" s="103"/>
    </row>
    <row r="366" spans="2:5">
      <c r="B366" s="101">
        <f ca="1"/>
        <v>45818</v>
      </c>
      <c r="C366" s="102">
        <f ca="1"/>
        <v>2.5592700435530965E-2</v>
      </c>
      <c r="D366" s="102">
        <f ca="1"/>
        <v>2.9146468923554616E-2</v>
      </c>
      <c r="E366" s="103"/>
    </row>
    <row r="367" spans="2:5">
      <c r="B367" s="101">
        <f ca="1"/>
        <v>45825</v>
      </c>
      <c r="C367" s="102">
        <f ca="1"/>
        <v>2.5592673282619237E-2</v>
      </c>
      <c r="D367" s="102">
        <f ca="1"/>
        <v>2.915104749436297E-2</v>
      </c>
      <c r="E367" s="103"/>
    </row>
    <row r="368" spans="2:5">
      <c r="B368" s="101">
        <f ca="1"/>
        <v>45832</v>
      </c>
      <c r="C368" s="102">
        <f ca="1"/>
        <v>2.5592543980841761E-2</v>
      </c>
      <c r="D368" s="102">
        <f ca="1"/>
        <v>2.9155485716240111E-2</v>
      </c>
      <c r="E368" s="103"/>
    </row>
    <row r="369" spans="2:5">
      <c r="B369" s="101">
        <f ca="1"/>
        <v>45839</v>
      </c>
      <c r="C369" s="102">
        <f ca="1"/>
        <v>2.559231233039113E-2</v>
      </c>
      <c r="D369" s="102">
        <f ca="1"/>
        <v>2.9159819913736725E-2</v>
      </c>
      <c r="E369" s="103"/>
    </row>
    <row r="370" spans="2:5">
      <c r="B370" s="101">
        <f ca="1"/>
        <v>45846</v>
      </c>
      <c r="C370" s="102">
        <f ca="1"/>
        <v>2.5591978130754974E-2</v>
      </c>
      <c r="D370" s="102">
        <f ca="1"/>
        <v>2.9164086411403493E-2</v>
      </c>
      <c r="E370" s="103"/>
    </row>
    <row r="371" spans="2:5">
      <c r="B371" s="101">
        <f ca="1"/>
        <v>45853</v>
      </c>
      <c r="C371" s="102">
        <f ca="1"/>
        <v>2.5591541181158469E-2</v>
      </c>
      <c r="D371" s="102">
        <f ca="1"/>
        <v>2.9168321533791113E-2</v>
      </c>
      <c r="E371" s="103"/>
    </row>
    <row r="372" spans="2:5">
      <c r="B372" s="101">
        <f ca="1"/>
        <v>45860</v>
      </c>
      <c r="C372" s="102">
        <f ca="1"/>
        <v>2.559100128088217E-2</v>
      </c>
      <c r="D372" s="102">
        <f ca="1"/>
        <v>2.9172561605450262E-2</v>
      </c>
      <c r="E372" s="103"/>
    </row>
    <row r="373" spans="2:5">
      <c r="B373" s="101">
        <f ca="1"/>
        <v>45867</v>
      </c>
      <c r="C373" s="102">
        <f ca="1"/>
        <v>2.5590358228782414E-2</v>
      </c>
      <c r="D373" s="102">
        <f ca="1"/>
        <v>2.9176842950931633E-2</v>
      </c>
      <c r="E373" s="103"/>
    </row>
    <row r="374" spans="2:5">
      <c r="B374" s="101">
        <f ca="1"/>
        <v>45874</v>
      </c>
      <c r="C374" s="102">
        <f ca="1"/>
        <v>2.5589611823213249E-2</v>
      </c>
      <c r="D374" s="102">
        <f ca="1"/>
        <v>2.9181201894785916E-2</v>
      </c>
      <c r="E374" s="103"/>
    </row>
    <row r="375" spans="2:5">
      <c r="B375" s="101">
        <f ca="1"/>
        <v>45881</v>
      </c>
      <c r="C375" s="102">
        <f ca="1"/>
        <v>2.558876186286296E-2</v>
      </c>
      <c r="D375" s="102">
        <f ca="1"/>
        <v>2.9185674761563789E-2</v>
      </c>
      <c r="E375" s="103"/>
    </row>
    <row r="376" spans="2:5">
      <c r="B376" s="101">
        <f ca="1"/>
        <v>45888</v>
      </c>
      <c r="C376" s="102">
        <f ca="1"/>
        <v>2.5587812026421648E-2</v>
      </c>
      <c r="D376" s="102">
        <f ca="1"/>
        <v>2.9190294560038858E-2</v>
      </c>
      <c r="E376" s="103"/>
    </row>
    <row r="377" spans="2:5">
      <c r="B377" s="101">
        <f ca="1"/>
        <v>45895</v>
      </c>
      <c r="C377" s="102">
        <f ca="1"/>
        <v>2.5586870848965677E-2</v>
      </c>
      <c r="D377" s="102">
        <f ca="1"/>
        <v>2.91948958670709E-2</v>
      </c>
      <c r="E377" s="103"/>
    </row>
    <row r="378" spans="2:5">
      <c r="B378" s="101">
        <f ca="1"/>
        <v>45902</v>
      </c>
      <c r="C378" s="102">
        <f ca="1"/>
        <v>2.5585988867269812E-2</v>
      </c>
      <c r="D378" s="102">
        <f ca="1"/>
        <v>2.9199397714166027E-2</v>
      </c>
      <c r="E378" s="103"/>
    </row>
    <row r="379" spans="2:5">
      <c r="B379" s="101">
        <f ca="1"/>
        <v>45909</v>
      </c>
      <c r="C379" s="102">
        <f ca="1"/>
        <v>2.5585166203660765E-2</v>
      </c>
      <c r="D379" s="102">
        <f ca="1"/>
        <v>2.9203838790330738E-2</v>
      </c>
      <c r="E379" s="103"/>
    </row>
    <row r="380" spans="2:5">
      <c r="B380" s="101">
        <f ca="1"/>
        <v>45916</v>
      </c>
      <c r="C380" s="102">
        <f ca="1"/>
        <v>2.5584402980647788E-2</v>
      </c>
      <c r="D380" s="102">
        <f ca="1"/>
        <v>2.9208257784571517E-2</v>
      </c>
      <c r="E380" s="103"/>
    </row>
    <row r="381" spans="2:5">
      <c r="B381" s="101">
        <f ca="1"/>
        <v>45923</v>
      </c>
      <c r="C381" s="102">
        <f ca="1"/>
        <v>2.5583699321205262E-2</v>
      </c>
      <c r="D381" s="102">
        <f ca="1"/>
        <v>2.9212693385894859E-2</v>
      </c>
      <c r="E381" s="103"/>
    </row>
    <row r="382" spans="2:5">
      <c r="B382" s="101">
        <f ca="1"/>
        <v>45930</v>
      </c>
      <c r="C382" s="102">
        <f ca="1"/>
        <v>2.5583055347922375E-2</v>
      </c>
      <c r="D382" s="102">
        <f ca="1"/>
        <v>2.9217184283307253E-2</v>
      </c>
      <c r="E382" s="103"/>
    </row>
    <row r="383" spans="2:5">
      <c r="B383" s="101">
        <f ca="1"/>
        <v>45937</v>
      </c>
      <c r="C383" s="102">
        <f ca="1"/>
        <v>2.5582471183845264E-2</v>
      </c>
      <c r="D383" s="102">
        <f ca="1"/>
        <v>2.922176916581519E-2</v>
      </c>
      <c r="E383" s="103"/>
    </row>
    <row r="384" spans="2:5">
      <c r="B384" s="101">
        <f ca="1"/>
        <v>45944</v>
      </c>
      <c r="C384" s="102">
        <f ca="1"/>
        <v>2.558194695223533E-2</v>
      </c>
      <c r="D384" s="102">
        <f ca="1"/>
        <v>2.9226486722425164E-2</v>
      </c>
      <c r="E384" s="103"/>
    </row>
    <row r="385" spans="2:5">
      <c r="B385" s="101">
        <f ca="1"/>
        <v>45951</v>
      </c>
      <c r="C385" s="102">
        <f ca="1"/>
        <v>2.5581482776409366E-2</v>
      </c>
      <c r="D385" s="102">
        <f ca="1"/>
        <v>2.9231375642143665E-2</v>
      </c>
      <c r="E385" s="103"/>
    </row>
    <row r="386" spans="2:5">
      <c r="B386" s="101">
        <f ca="1"/>
        <v>45958</v>
      </c>
      <c r="C386" s="102">
        <f ca="1"/>
        <v>2.5581078779901307E-2</v>
      </c>
      <c r="D386" s="102">
        <f ca="1"/>
        <v>2.9236474613977183E-2</v>
      </c>
      <c r="E386" s="103"/>
    </row>
    <row r="387" spans="2:5">
      <c r="B387" s="101">
        <f ca="1"/>
        <v>45965</v>
      </c>
      <c r="C387" s="102">
        <f ca="1"/>
        <v>2.5580735086099701E-2</v>
      </c>
      <c r="D387" s="102">
        <f ca="1"/>
        <v>2.9241822326932208E-2</v>
      </c>
      <c r="E387" s="103"/>
    </row>
    <row r="388" spans="2:5">
      <c r="B388" s="101">
        <f ca="1"/>
        <v>45972</v>
      </c>
      <c r="C388" s="102">
        <f ca="1"/>
        <v>2.5580451818938161E-2</v>
      </c>
      <c r="D388" s="102">
        <f ca="1"/>
        <v>2.9247457470015233E-2</v>
      </c>
      <c r="E388" s="103"/>
    </row>
    <row r="389" spans="2:5">
      <c r="B389" s="101">
        <f ca="1"/>
        <v>45979</v>
      </c>
      <c r="C389" s="102">
        <f ca="1"/>
        <v>2.5580229057360789E-2</v>
      </c>
      <c r="D389" s="102">
        <f ca="1"/>
        <v>2.9253416335779821E-2</v>
      </c>
      <c r="E389" s="103"/>
    </row>
    <row r="390" spans="2:5">
      <c r="B390" s="101">
        <f ca="1"/>
        <v>45986</v>
      </c>
      <c r="C390" s="102">
        <f ca="1"/>
        <v>2.5580065667099468E-2</v>
      </c>
      <c r="D390" s="102">
        <f ca="1"/>
        <v>2.9259586290782135E-2</v>
      </c>
      <c r="E390" s="103"/>
    </row>
    <row r="391" spans="2:5">
      <c r="B391" s="101">
        <f ca="1"/>
        <v>45993</v>
      </c>
      <c r="C391" s="102">
        <f ca="1"/>
        <v>2.5579961185564232E-2</v>
      </c>
      <c r="D391" s="102">
        <f ca="1"/>
        <v>2.9265899035848249E-2</v>
      </c>
      <c r="E391" s="103"/>
    </row>
    <row r="392" spans="2:5">
      <c r="B392" s="101">
        <f ca="1"/>
        <v>46000</v>
      </c>
      <c r="C392" s="102">
        <f ca="1"/>
        <v>2.5579915733034305E-2</v>
      </c>
      <c r="D392" s="102">
        <f ca="1"/>
        <v>2.9272369653522434E-2</v>
      </c>
      <c r="E392" s="103"/>
    </row>
    <row r="393" spans="2:5">
      <c r="B393" s="101">
        <f ca="1"/>
        <v>46007</v>
      </c>
      <c r="C393" s="102">
        <f ca="1"/>
        <v>2.5579929430485666E-2</v>
      </c>
      <c r="D393" s="102">
        <f ca="1"/>
        <v>2.9279013226348967E-2</v>
      </c>
      <c r="E393" s="103"/>
    </row>
    <row r="394" spans="2:5">
      <c r="B394" s="101">
        <f ca="1"/>
        <v>46014</v>
      </c>
      <c r="C394" s="102">
        <f ca="1"/>
        <v>2.5580002398828846E-2</v>
      </c>
      <c r="D394" s="102">
        <f ca="1"/>
        <v>2.9285844836872126E-2</v>
      </c>
      <c r="E394" s="103"/>
    </row>
    <row r="395" spans="2:5">
      <c r="B395" s="101">
        <f ca="1"/>
        <v>46021</v>
      </c>
      <c r="C395" s="102">
        <f ca="1"/>
        <v>2.5580134758959889E-2</v>
      </c>
      <c r="D395" s="102">
        <f ca="1"/>
        <v>2.9292879567636178E-2</v>
      </c>
      <c r="E395" s="103"/>
    </row>
    <row r="396" spans="2:5">
      <c r="B396" s="101">
        <f ca="1"/>
        <v>46028</v>
      </c>
      <c r="C396" s="102">
        <f ca="1"/>
        <v>2.5580326632277123E-2</v>
      </c>
      <c r="D396" s="102">
        <f ca="1"/>
        <v>2.9300132501185405E-2</v>
      </c>
      <c r="E396" s="103"/>
    </row>
    <row r="397" spans="2:5">
      <c r="B397" s="101">
        <f ca="1"/>
        <v>46035</v>
      </c>
      <c r="C397" s="102">
        <f ca="1"/>
        <v>2.5580578140283357E-2</v>
      </c>
      <c r="D397" s="102">
        <f ca="1"/>
        <v>2.9307618720064082E-2</v>
      </c>
      <c r="E397" s="103"/>
    </row>
    <row r="398" spans="2:5">
      <c r="B398" s="101">
        <f ca="1"/>
        <v>46042</v>
      </c>
      <c r="C398" s="102">
        <f ca="1"/>
        <v>2.5580889404186197E-2</v>
      </c>
      <c r="D398" s="102">
        <f ca="1"/>
        <v>2.9315353306816477E-2</v>
      </c>
      <c r="E398" s="103"/>
    </row>
    <row r="399" spans="2:5">
      <c r="B399" s="101">
        <f ca="1"/>
        <v>46049</v>
      </c>
      <c r="C399" s="102">
        <f ca="1"/>
        <v>2.558126054601528E-2</v>
      </c>
      <c r="D399" s="102">
        <f ca="1"/>
        <v>2.9323351343986875E-2</v>
      </c>
      <c r="E399" s="103"/>
    </row>
    <row r="400" spans="2:5">
      <c r="B400" s="101">
        <f ca="1"/>
        <v>46056</v>
      </c>
      <c r="C400" s="102">
        <f ca="1"/>
        <v>2.5581691687466008E-2</v>
      </c>
      <c r="D400" s="102">
        <f ca="1"/>
        <v>2.9331627914119543E-2</v>
      </c>
      <c r="E400" s="103"/>
    </row>
    <row r="401" spans="2:5">
      <c r="B401" s="101">
        <f ca="1"/>
        <v>46063</v>
      </c>
      <c r="C401" s="102">
        <f ca="1"/>
        <v>2.5582182950568019E-2</v>
      </c>
      <c r="D401" s="102">
        <f ca="1"/>
        <v>2.9340198099758758E-2</v>
      </c>
      <c r="E401" s="103"/>
    </row>
    <row r="402" spans="2:5">
      <c r="B402" s="101">
        <f ca="1"/>
        <v>46070</v>
      </c>
      <c r="C402" s="102">
        <f ca="1"/>
        <v>2.5582734452300488E-2</v>
      </c>
      <c r="D402" s="102">
        <f ca="1"/>
        <v>2.9349076983448796E-2</v>
      </c>
      <c r="E402" s="103"/>
    </row>
    <row r="403" spans="2:5">
      <c r="B403" s="101">
        <f ca="1"/>
        <v>46077</v>
      </c>
      <c r="C403" s="102">
        <f ca="1"/>
        <v>2.5583345469777103E-2</v>
      </c>
      <c r="D403" s="102">
        <f ca="1"/>
        <v>2.9358296195578538E-2</v>
      </c>
      <c r="E403" s="103"/>
    </row>
    <row r="404" spans="2:5">
      <c r="B404" s="101">
        <f ca="1"/>
        <v>46084</v>
      </c>
      <c r="C404" s="102">
        <f ca="1"/>
        <v>2.5584015476219243E-2</v>
      </c>
      <c r="D404" s="102">
        <f ca="1"/>
        <v>2.9367859735753475E-2</v>
      </c>
      <c r="E404" s="103"/>
    </row>
    <row r="405" spans="2:5">
      <c r="B405" s="101">
        <f ca="1"/>
        <v>46091</v>
      </c>
      <c r="C405" s="102">
        <f ca="1"/>
        <v>2.5584744591315729E-2</v>
      </c>
      <c r="D405" s="102">
        <f ca="1"/>
        <v>2.9377741240342807E-2</v>
      </c>
      <c r="E405" s="103"/>
    </row>
    <row r="406" spans="2:5">
      <c r="B406" s="101">
        <f ca="1"/>
        <v>46098</v>
      </c>
      <c r="C406" s="102">
        <f ca="1"/>
        <v>2.5585532935017859E-2</v>
      </c>
      <c r="D406" s="102">
        <f ca="1"/>
        <v>2.9387914345715728E-2</v>
      </c>
      <c r="E406" s="103"/>
    </row>
    <row r="407" spans="2:5">
      <c r="B407" s="101">
        <f ca="1"/>
        <v>46105</v>
      </c>
      <c r="C407" s="102">
        <f ca="1"/>
        <v>2.5586380627262446E-2</v>
      </c>
      <c r="D407" s="102">
        <f ca="1"/>
        <v>2.9398352688241442E-2</v>
      </c>
      <c r="E407" s="103"/>
    </row>
    <row r="408" spans="2:5">
      <c r="B408" s="101">
        <f ca="1"/>
        <v>46112</v>
      </c>
      <c r="C408" s="102">
        <f ca="1"/>
        <v>2.5587287788240595E-2</v>
      </c>
      <c r="D408" s="102">
        <f ca="1"/>
        <v>2.940902990428914E-2</v>
      </c>
      <c r="E408" s="103"/>
    </row>
    <row r="409" spans="2:5">
      <c r="B409" s="101">
        <f ca="1"/>
        <v>46119</v>
      </c>
      <c r="C409" s="102">
        <f ca="1"/>
        <v>2.558825453820068E-2</v>
      </c>
      <c r="D409" s="102">
        <f ca="1"/>
        <v>2.9419919630228022E-2</v>
      </c>
      <c r="E409" s="103"/>
    </row>
    <row r="410" spans="2:5">
      <c r="B410" s="101">
        <f ca="1"/>
        <v>46126</v>
      </c>
      <c r="C410" s="102">
        <f ca="1"/>
        <v>2.5589280997686276E-2</v>
      </c>
      <c r="D410" s="102">
        <f ca="1"/>
        <v>2.9430995502427285E-2</v>
      </c>
      <c r="E410" s="103"/>
    </row>
    <row r="411" spans="2:5">
      <c r="B411" s="101">
        <f ca="1"/>
        <v>46133</v>
      </c>
      <c r="C411" s="102">
        <f ca="1"/>
        <v>2.5590367287296353E-2</v>
      </c>
      <c r="D411" s="102">
        <f ca="1"/>
        <v>2.9442231157256128E-2</v>
      </c>
      <c r="E411" s="103"/>
    </row>
    <row r="412" spans="2:5">
      <c r="B412" s="101">
        <f ca="1"/>
        <v>46140</v>
      </c>
      <c r="C412" s="102">
        <f ca="1"/>
        <v>2.5591513527847016E-2</v>
      </c>
      <c r="D412" s="102">
        <f ca="1"/>
        <v>2.9453600231083746E-2</v>
      </c>
      <c r="E412" s="103"/>
    </row>
    <row r="413" spans="2:5">
      <c r="B413" s="101">
        <f ca="1"/>
        <v>46147</v>
      </c>
      <c r="C413" s="102">
        <f ca="1"/>
        <v>2.5592719840328734E-2</v>
      </c>
      <c r="D413" s="102">
        <f ca="1"/>
        <v>2.9465076360279341E-2</v>
      </c>
      <c r="E413" s="103"/>
    </row>
    <row r="414" spans="2:5">
      <c r="B414" s="101">
        <f ca="1"/>
        <v>46154</v>
      </c>
      <c r="C414" s="102">
        <f ca="1"/>
        <v>2.5593986345797425E-2</v>
      </c>
      <c r="D414" s="102">
        <f ca="1"/>
        <v>2.9476633181212103E-2</v>
      </c>
      <c r="E414" s="103"/>
    </row>
    <row r="415" spans="2:5">
      <c r="B415" s="101">
        <f ca="1"/>
        <v>46161</v>
      </c>
      <c r="C415" s="102">
        <f ca="1"/>
        <v>2.5595313128552896E-2</v>
      </c>
      <c r="D415" s="102">
        <f ca="1"/>
        <v>2.9488248493686815E-2</v>
      </c>
      <c r="E415" s="103"/>
    </row>
    <row r="416" spans="2:5">
      <c r="B416" s="101">
        <f ca="1"/>
        <v>46168</v>
      </c>
      <c r="C416" s="102">
        <f ca="1"/>
        <v>2.5596699265518105E-2</v>
      </c>
      <c r="D416" s="102">
        <f ca="1"/>
        <v>2.9500140720795955E-2</v>
      </c>
      <c r="E416" s="103"/>
    </row>
    <row r="417" spans="2:5">
      <c r="B417" s="101">
        <f ca="1"/>
        <v>46175</v>
      </c>
      <c r="C417" s="102">
        <f ca="1"/>
        <v>2.5598144391705012E-2</v>
      </c>
      <c r="D417" s="102">
        <f ca="1"/>
        <v>2.9512396364238143E-2</v>
      </c>
      <c r="E417" s="103"/>
    </row>
    <row r="418" spans="2:5">
      <c r="B418" s="101">
        <f ca="1"/>
        <v>46182</v>
      </c>
      <c r="C418" s="102">
        <f ca="1"/>
        <v>2.559964862539443E-2</v>
      </c>
      <c r="D418" s="102">
        <f ca="1"/>
        <v>2.9524946876679906E-2</v>
      </c>
      <c r="E418" s="103"/>
    </row>
    <row r="419" spans="2:5">
      <c r="B419" s="101">
        <f ca="1"/>
        <v>46189</v>
      </c>
      <c r="C419" s="102">
        <f ca="1"/>
        <v>2.5601212085643886E-2</v>
      </c>
      <c r="D419" s="102">
        <f ca="1"/>
        <v>2.9537723710787774E-2</v>
      </c>
      <c r="E419" s="103"/>
    </row>
    <row r="420" spans="2:5">
      <c r="B420" s="101">
        <f ca="1"/>
        <v>46196</v>
      </c>
      <c r="C420" s="102">
        <f ca="1"/>
        <v>2.5602834891525365E-2</v>
      </c>
      <c r="D420" s="102">
        <f ca="1"/>
        <v>2.9550658319228283E-2</v>
      </c>
      <c r="E420" s="103"/>
    </row>
    <row r="421" spans="2:5">
      <c r="B421" s="101">
        <f ca="1"/>
        <v>46203</v>
      </c>
      <c r="C421" s="102">
        <f ca="1"/>
        <v>2.5604517162096406E-2</v>
      </c>
      <c r="D421" s="102">
        <f ca="1"/>
        <v>2.956368215466796E-2</v>
      </c>
      <c r="E421" s="103"/>
    </row>
    <row r="422" spans="2:5">
      <c r="B422" s="101">
        <f ca="1"/>
        <v>46210</v>
      </c>
      <c r="C422" s="102">
        <f ca="1"/>
        <v>2.5606259016668791E-2</v>
      </c>
      <c r="D422" s="102">
        <f ca="1"/>
        <v>2.9576726669773339E-2</v>
      </c>
      <c r="E422" s="103"/>
    </row>
    <row r="423" spans="2:5">
      <c r="B423" s="101">
        <f ca="1"/>
        <v>46217</v>
      </c>
      <c r="C423" s="102">
        <f ca="1"/>
        <v>2.5608060574947737E-2</v>
      </c>
      <c r="D423" s="102">
        <f ca="1"/>
        <v>2.9589723317210947E-2</v>
      </c>
      <c r="E423" s="103"/>
    </row>
    <row r="424" spans="2:5">
      <c r="B424" s="101">
        <f ca="1"/>
        <v>46224</v>
      </c>
      <c r="C424" s="102">
        <f ca="1"/>
        <v>2.5609921956460273E-2</v>
      </c>
      <c r="D424" s="102">
        <f ca="1"/>
        <v>2.9602603549647322E-2</v>
      </c>
      <c r="E424" s="103"/>
    </row>
    <row r="425" spans="2:5">
      <c r="B425" s="101">
        <f ca="1"/>
        <v>46231</v>
      </c>
      <c r="C425" s="102">
        <f ca="1"/>
        <v>2.5611843281239548E-2</v>
      </c>
      <c r="D425" s="102">
        <f ca="1"/>
        <v>2.9615298819748989E-2</v>
      </c>
      <c r="E425" s="103"/>
    </row>
    <row r="426" spans="2:5">
      <c r="B426" s="101">
        <f ca="1"/>
        <v>46238</v>
      </c>
      <c r="C426" s="102">
        <f ca="1"/>
        <v>2.5613824669013401E-2</v>
      </c>
      <c r="D426" s="102">
        <f ca="1"/>
        <v>2.9627740580182482E-2</v>
      </c>
      <c r="E426" s="103"/>
    </row>
    <row r="427" spans="2:5">
      <c r="B427" s="101">
        <f ca="1"/>
        <v>46245</v>
      </c>
      <c r="C427" s="102">
        <f ca="1"/>
        <v>2.5615866240421722E-2</v>
      </c>
      <c r="D427" s="102">
        <f ca="1"/>
        <v>2.963986028361433E-2</v>
      </c>
      <c r="E427" s="103"/>
    </row>
    <row r="428" spans="2:5">
      <c r="B428" s="101">
        <f ca="1"/>
        <v>46252</v>
      </c>
      <c r="C428" s="102">
        <f ca="1"/>
        <v>2.5617968078548874E-2</v>
      </c>
      <c r="D428" s="102">
        <f ca="1"/>
        <v>2.965159386672769E-2</v>
      </c>
      <c r="E428" s="103"/>
    </row>
    <row r="429" spans="2:5">
      <c r="B429" s="101">
        <f ca="1"/>
        <v>46259</v>
      </c>
      <c r="C429" s="102">
        <f ca="1"/>
        <v>2.5620129268415941E-2</v>
      </c>
      <c r="D429" s="102">
        <f ca="1"/>
        <v>2.9663154239757763E-2</v>
      </c>
      <c r="E429" s="103"/>
    </row>
    <row r="430" spans="2:5">
      <c r="B430" s="101">
        <f ca="1"/>
        <v>46266</v>
      </c>
      <c r="C430" s="102">
        <f ca="1"/>
        <v>2.5622349447432968E-2</v>
      </c>
      <c r="D430" s="102">
        <f ca="1"/>
        <v>2.9674666258081156E-2</v>
      </c>
      <c r="E430" s="103"/>
    </row>
    <row r="431" spans="2:5">
      <c r="B431" s="101">
        <f ca="1"/>
        <v>46273</v>
      </c>
      <c r="C431" s="102">
        <f ca="1"/>
        <v>2.5624628733376554E-2</v>
      </c>
      <c r="D431" s="102">
        <f ca="1"/>
        <v>2.9686097814538251E-2</v>
      </c>
      <c r="E431" s="103"/>
    </row>
    <row r="432" spans="2:5">
      <c r="B432" s="101">
        <f ca="1"/>
        <v>46280</v>
      </c>
      <c r="C432" s="102">
        <f ca="1"/>
        <v>2.5626967244201538E-2</v>
      </c>
      <c r="D432" s="102">
        <f ca="1"/>
        <v>2.9697416801969433E-2</v>
      </c>
      <c r="E432" s="103"/>
    </row>
    <row r="433" spans="2:5">
      <c r="B433" s="101">
        <f ca="1"/>
        <v>46287</v>
      </c>
      <c r="C433" s="102">
        <f ca="1"/>
        <v>2.56293650981969E-2</v>
      </c>
      <c r="D433" s="102">
        <f ca="1"/>
        <v>2.970859111321509E-2</v>
      </c>
      <c r="E433" s="103"/>
    </row>
    <row r="434" spans="2:5">
      <c r="B434" s="101">
        <f ca="1"/>
        <v>46294</v>
      </c>
      <c r="C434" s="102">
        <f ca="1"/>
        <v>2.5631822413684398E-2</v>
      </c>
      <c r="D434" s="102">
        <f ca="1"/>
        <v>2.9719588641115607E-2</v>
      </c>
      <c r="E434" s="103"/>
    </row>
    <row r="435" spans="2:5">
      <c r="B435" s="101">
        <f ca="1"/>
        <v>46301</v>
      </c>
      <c r="C435" s="102">
        <f ca="1"/>
        <v>2.5634339308920218E-2</v>
      </c>
      <c r="D435" s="102">
        <f ca="1"/>
        <v>2.9730377278511366E-2</v>
      </c>
      <c r="E435" s="103"/>
    </row>
    <row r="436" spans="2:5">
      <c r="B436" s="101">
        <f ca="1"/>
        <v>46308</v>
      </c>
      <c r="C436" s="102">
        <f ca="1"/>
        <v>2.5636915903138203E-2</v>
      </c>
      <c r="D436" s="102">
        <f ca="1"/>
        <v>2.9740924918242755E-2</v>
      </c>
      <c r="E436" s="103"/>
    </row>
    <row r="437" spans="2:5">
      <c r="B437" s="101">
        <f ca="1"/>
        <v>46315</v>
      </c>
      <c r="C437" s="102">
        <f ca="1"/>
        <v>2.563955231464372E-2</v>
      </c>
      <c r="D437" s="102">
        <f ca="1"/>
        <v>2.9751199453150155E-2</v>
      </c>
      <c r="E437" s="103"/>
    </row>
    <row r="438" spans="2:5">
      <c r="B438" s="101">
        <f ca="1"/>
        <v>46322</v>
      </c>
      <c r="C438" s="102">
        <f ca="1"/>
        <v>2.5642248662652179E-2</v>
      </c>
      <c r="D438" s="102">
        <f ca="1"/>
        <v>2.976116877607396E-2</v>
      </c>
      <c r="E438" s="103"/>
    </row>
    <row r="439" spans="2:5">
      <c r="B439" s="101">
        <f ca="1"/>
        <v>46329</v>
      </c>
      <c r="C439" s="102">
        <f ca="1"/>
        <v>2.5645005066557303E-2</v>
      </c>
      <c r="D439" s="102">
        <f ca="1"/>
        <v>2.9770800779854546E-2</v>
      </c>
      <c r="E439" s="103"/>
    </row>
    <row r="440" spans="2:5">
      <c r="B440" s="101">
        <f ca="1"/>
        <v>46336</v>
      </c>
      <c r="C440" s="102">
        <f ca="1"/>
        <v>2.5647821645607291E-2</v>
      </c>
      <c r="D440" s="102">
        <f ca="1"/>
        <v>2.9780063357332298E-2</v>
      </c>
      <c r="E440" s="103"/>
    </row>
    <row r="441" spans="2:5">
      <c r="B441" s="101">
        <f ca="1"/>
        <v>46343</v>
      </c>
      <c r="C441" s="102">
        <f ca="1"/>
        <v>2.5650698514030776E-2</v>
      </c>
      <c r="D441" s="102">
        <f ca="1"/>
        <v>2.9788924401347609E-2</v>
      </c>
      <c r="E441" s="103"/>
    </row>
    <row r="442" spans="2:5">
      <c r="B442" s="101">
        <f ca="1"/>
        <v>46350</v>
      </c>
      <c r="C442" s="102">
        <f ca="1"/>
        <v>2.5653634907159426E-2</v>
      </c>
      <c r="D442" s="102">
        <f ca="1"/>
        <v>2.9797388624710226E-2</v>
      </c>
      <c r="E442" s="103"/>
    </row>
    <row r="443" spans="2:5">
      <c r="B443" s="101">
        <f ca="1"/>
        <v>46357</v>
      </c>
      <c r="C443" s="102">
        <f ca="1"/>
        <v>2.5656630265680644E-2</v>
      </c>
      <c r="D443" s="102">
        <f ca="1"/>
        <v>2.9805494946337004E-2</v>
      </c>
      <c r="E443" s="103"/>
    </row>
    <row r="444" spans="2:5">
      <c r="B444" s="101">
        <f ca="1"/>
        <v>46364</v>
      </c>
      <c r="C444" s="102">
        <f ca="1"/>
        <v>2.5659684706637226E-2</v>
      </c>
      <c r="D444" s="102">
        <f ca="1"/>
        <v>2.9813262568228985E-2</v>
      </c>
      <c r="E444" s="103"/>
    </row>
    <row r="445" spans="2:5">
      <c r="B445" s="101">
        <f ca="1"/>
        <v>46371</v>
      </c>
      <c r="C445" s="102">
        <f ca="1"/>
        <v>2.5662798347246149E-2</v>
      </c>
      <c r="D445" s="102">
        <f ca="1"/>
        <v>2.982071069238721E-2</v>
      </c>
      <c r="E445" s="103"/>
    </row>
    <row r="446" spans="2:5">
      <c r="B446" s="101">
        <f ca="1"/>
        <v>46378</v>
      </c>
      <c r="C446" s="102">
        <f ca="1"/>
        <v>2.5665971304822829E-2</v>
      </c>
      <c r="D446" s="102">
        <f ca="1"/>
        <v>2.9827858520812722E-2</v>
      </c>
      <c r="E446" s="103"/>
    </row>
    <row r="447" spans="2:5">
      <c r="B447" s="101">
        <f ca="1"/>
        <v>46385</v>
      </c>
      <c r="C447" s="102">
        <f ca="1"/>
        <v>2.5669203696936798E-2</v>
      </c>
      <c r="D447" s="102">
        <f ca="1"/>
        <v>2.9834725255506556E-2</v>
      </c>
      <c r="E447" s="103"/>
    </row>
    <row r="448" spans="2:5">
      <c r="B448" s="101">
        <f ca="1"/>
        <v>46392</v>
      </c>
      <c r="C448" s="102">
        <f ca="1"/>
        <v>2.5672495641333875E-2</v>
      </c>
      <c r="D448" s="102">
        <f ca="1"/>
        <v>2.9841330098469759E-2</v>
      </c>
      <c r="E448" s="103"/>
    </row>
    <row r="449" spans="2:5">
      <c r="B449" s="101">
        <f ca="1"/>
        <v>46399</v>
      </c>
      <c r="C449" s="102">
        <f ca="1"/>
        <v>2.5675847255919742E-2</v>
      </c>
      <c r="D449" s="102">
        <f ca="1"/>
        <v>2.9847692251703369E-2</v>
      </c>
      <c r="E449" s="103"/>
    </row>
    <row r="450" spans="2:5">
      <c r="B450" s="101">
        <f ca="1"/>
        <v>46406</v>
      </c>
      <c r="C450" s="102">
        <f ca="1"/>
        <v>2.5679258658999764E-2</v>
      </c>
      <c r="D450" s="102">
        <f ca="1"/>
        <v>2.9853830917208422E-2</v>
      </c>
      <c r="E450" s="103"/>
    </row>
    <row r="451" spans="2:5">
      <c r="B451" s="101">
        <f ca="1"/>
        <v>46413</v>
      </c>
      <c r="C451" s="102">
        <f ca="1"/>
        <v>2.5682729968655924E-2</v>
      </c>
      <c r="D451" s="102">
        <f ca="1"/>
        <v>2.9859765296985967E-2</v>
      </c>
      <c r="E451" s="103"/>
    </row>
    <row r="452" spans="2:5">
      <c r="B452" s="101">
        <f ca="1"/>
        <v>46420</v>
      </c>
      <c r="C452" s="102">
        <f ca="1"/>
        <v>2.568626130322425E-2</v>
      </c>
      <c r="D452" s="102">
        <f ca="1"/>
        <v>2.9865514593037035E-2</v>
      </c>
      <c r="E452" s="103"/>
    </row>
    <row r="453" spans="2:5">
      <c r="B453" s="101">
        <f ca="1"/>
        <v>46427</v>
      </c>
      <c r="C453" s="102">
        <f ca="1"/>
        <v>2.5689852781618932E-2</v>
      </c>
      <c r="D453" s="102">
        <f ca="1"/>
        <v>2.9871098007362679E-2</v>
      </c>
      <c r="E453" s="103"/>
    </row>
    <row r="454" spans="2:5">
      <c r="B454" s="101">
        <f ca="1"/>
        <v>46434</v>
      </c>
      <c r="C454" s="102">
        <f ca="1"/>
        <v>2.5693504522784828E-2</v>
      </c>
      <c r="D454" s="102">
        <f ca="1"/>
        <v>2.9876534741963928E-2</v>
      </c>
      <c r="E454" s="103"/>
    </row>
    <row r="455" spans="2:5">
      <c r="B455" s="101">
        <f ca="1"/>
        <v>46441</v>
      </c>
      <c r="C455" s="102">
        <f ca="1"/>
        <v>2.5697215991500745E-2</v>
      </c>
      <c r="D455" s="102">
        <f ca="1"/>
        <v>2.988176059794978E-2</v>
      </c>
      <c r="E455" s="103"/>
    </row>
    <row r="456" spans="2:5">
      <c r="B456" s="101">
        <f ca="1"/>
        <v>46448</v>
      </c>
      <c r="C456" s="102">
        <f ca="1"/>
        <v>2.5700986450485776E-2</v>
      </c>
      <c r="D456" s="102">
        <f ca="1"/>
        <v>2.9886662408405783E-2</v>
      </c>
      <c r="E456" s="103"/>
    </row>
    <row r="457" spans="2:5">
      <c r="B457" s="101">
        <f ca="1"/>
        <v>46455</v>
      </c>
      <c r="C457" s="102">
        <f ca="1"/>
        <v>2.5704816011074418E-2</v>
      </c>
      <c r="D457" s="102">
        <f ca="1"/>
        <v>2.9891272574227155E-2</v>
      </c>
      <c r="E457" s="103"/>
    </row>
    <row r="458" spans="2:5">
      <c r="B458" s="101">
        <f ca="1"/>
        <v>46462</v>
      </c>
      <c r="C458" s="102">
        <f ca="1"/>
        <v>2.5708704789670009E-2</v>
      </c>
      <c r="D458" s="102">
        <f ca="1"/>
        <v>2.9895625865954786E-2</v>
      </c>
      <c r="E458" s="103"/>
    </row>
    <row r="459" spans="2:5">
      <c r="B459" s="101">
        <f ca="1"/>
        <v>46469</v>
      </c>
      <c r="C459" s="102">
        <f ca="1"/>
        <v>2.5712652903169684E-2</v>
      </c>
      <c r="D459" s="102">
        <f ca="1"/>
        <v>2.9899757054129554E-2</v>
      </c>
      <c r="E459" s="103"/>
    </row>
    <row r="460" spans="2:5">
      <c r="B460" s="101">
        <f ca="1"/>
        <v>46476</v>
      </c>
      <c r="C460" s="102">
        <f ca="1"/>
        <v>2.5716660468409345E-2</v>
      </c>
      <c r="D460" s="102">
        <f ca="1"/>
        <v>2.9903700909292352E-2</v>
      </c>
      <c r="E460" s="103"/>
    </row>
    <row r="461" spans="2:5">
      <c r="B461" s="101">
        <f ca="1"/>
        <v>46483</v>
      </c>
      <c r="C461" s="102">
        <f ca="1"/>
        <v>2.5720727602655195E-2</v>
      </c>
      <c r="D461" s="102">
        <f ca="1"/>
        <v>2.9907492201984059E-2</v>
      </c>
      <c r="E461" s="103"/>
    </row>
    <row r="462" spans="2:5">
      <c r="B462" s="101">
        <f ca="1"/>
        <v>46490</v>
      </c>
      <c r="C462" s="102">
        <f ca="1"/>
        <v>2.5724854423283958E-2</v>
      </c>
      <c r="D462" s="102">
        <f ca="1"/>
        <v>2.991116570274556E-2</v>
      </c>
      <c r="E462" s="103"/>
    </row>
    <row r="463" spans="2:5">
      <c r="B463" s="101">
        <f ca="1"/>
        <v>46497</v>
      </c>
      <c r="C463" s="102">
        <f ca="1"/>
        <v>2.5729041047771049E-2</v>
      </c>
      <c r="D463" s="102">
        <f ca="1"/>
        <v>2.9914756182117745E-2</v>
      </c>
      <c r="E463" s="103"/>
    </row>
    <row r="464" spans="2:5">
      <c r="B464" s="101">
        <f ca="1"/>
        <v>46504</v>
      </c>
      <c r="C464" s="102">
        <f ca="1"/>
        <v>2.5733287593845831E-2</v>
      </c>
      <c r="D464" s="102">
        <f ca="1"/>
        <v>2.9918298410641492E-2</v>
      </c>
      <c r="E464" s="103"/>
    </row>
    <row r="465" spans="2:5">
      <c r="B465" s="101">
        <f ca="1"/>
        <v>46511</v>
      </c>
      <c r="C465" s="102">
        <f ca="1"/>
        <v>2.5737594179670253E-2</v>
      </c>
      <c r="D465" s="102">
        <f ca="1"/>
        <v>2.9921827158857689E-2</v>
      </c>
      <c r="E465" s="103"/>
    </row>
    <row r="466" spans="2:5">
      <c r="B466" s="101">
        <f ca="1"/>
        <v>46518</v>
      </c>
      <c r="C466" s="102">
        <f ca="1"/>
        <v>2.5741960923020696E-2</v>
      </c>
      <c r="D466" s="102">
        <f ca="1"/>
        <v>2.9925377197307222E-2</v>
      </c>
      <c r="E466" s="103"/>
    </row>
    <row r="467" spans="2:5">
      <c r="B467" s="101">
        <f ca="1"/>
        <v>46525</v>
      </c>
      <c r="C467" s="102">
        <f ca="1"/>
        <v>2.5746387906520479E-2</v>
      </c>
      <c r="D467" s="102">
        <f ca="1"/>
        <v>2.9928979861472561E-2</v>
      </c>
      <c r="E467" s="103"/>
    </row>
    <row r="468" spans="2:5">
      <c r="B468" s="101">
        <f ca="1"/>
        <v>46532</v>
      </c>
      <c r="C468" s="102">
        <f ca="1"/>
        <v>2.575087424144052E-2</v>
      </c>
      <c r="D468" s="102">
        <f ca="1"/>
        <v>2.993246223937036E-2</v>
      </c>
      <c r="E468" s="103"/>
    </row>
    <row r="469" spans="2:5">
      <c r="B469" s="101">
        <f ca="1"/>
        <v>46539</v>
      </c>
      <c r="C469" s="102">
        <f ca="1"/>
        <v>2.5755419576812127E-2</v>
      </c>
      <c r="D469" s="102">
        <f ca="1"/>
        <v>2.993574292159594E-2</v>
      </c>
      <c r="E469" s="103"/>
    </row>
    <row r="470" spans="2:5">
      <c r="B470" s="101">
        <f ca="1"/>
        <v>46546</v>
      </c>
      <c r="C470" s="102">
        <f ca="1"/>
        <v>2.5760024028352171E-2</v>
      </c>
      <c r="D470" s="102">
        <f ca="1"/>
        <v>2.9938865204869481E-2</v>
      </c>
      <c r="E470" s="103"/>
    </row>
    <row r="471" spans="2:5">
      <c r="B471" s="101">
        <f ca="1"/>
        <v>46553</v>
      </c>
      <c r="C471" s="102">
        <f ca="1"/>
        <v>2.5764687712191283E-2</v>
      </c>
      <c r="D471" s="102">
        <f ca="1"/>
        <v>2.9941872385911165E-2</v>
      </c>
      <c r="E471" s="103"/>
    </row>
    <row r="472" spans="2:5">
      <c r="B472" s="101">
        <f ca="1"/>
        <v>46560</v>
      </c>
      <c r="C472" s="102">
        <f ca="1"/>
        <v>2.5769410744732841E-2</v>
      </c>
      <c r="D472" s="102">
        <f ca="1"/>
        <v>2.9944807761441181E-2</v>
      </c>
      <c r="E472" s="103"/>
    </row>
    <row r="473" spans="2:5">
      <c r="B473" s="101">
        <f ca="1"/>
        <v>46567</v>
      </c>
      <c r="C473" s="102">
        <f ca="1"/>
        <v>2.5774193242394241E-2</v>
      </c>
      <c r="D473" s="102">
        <f ca="1"/>
        <v>2.9947714628179703E-2</v>
      </c>
      <c r="E473" s="103"/>
    </row>
    <row r="474" spans="2:5">
      <c r="B474" s="101">
        <f ca="1"/>
        <v>46574</v>
      </c>
      <c r="C474" s="102">
        <f ca="1"/>
        <v>2.5779035321691755E-2</v>
      </c>
      <c r="D474" s="102">
        <f ca="1"/>
        <v>2.9950636282846919E-2</v>
      </c>
      <c r="E474" s="103"/>
    </row>
    <row r="475" spans="2:5">
      <c r="B475" s="101">
        <f ca="1"/>
        <v>46581</v>
      </c>
      <c r="C475" s="102">
        <f ca="1"/>
        <v>2.5783937099811662E-2</v>
      </c>
      <c r="D475" s="102">
        <f ca="1"/>
        <v>2.995361602216301E-2</v>
      </c>
      <c r="E475" s="103"/>
    </row>
    <row r="476" spans="2:5">
      <c r="B476" s="101">
        <f ca="1"/>
        <v>46588</v>
      </c>
      <c r="C476" s="102">
        <f ca="1"/>
        <v>2.5788898693491068E-2</v>
      </c>
      <c r="D476" s="102">
        <f ca="1"/>
        <v>2.9956697142848158E-2</v>
      </c>
      <c r="E476" s="103"/>
    </row>
    <row r="477" spans="2:5">
      <c r="B477" s="101">
        <f ca="1"/>
        <v>46595</v>
      </c>
      <c r="C477" s="102">
        <f ca="1"/>
        <v>2.579392022044532E-2</v>
      </c>
      <c r="D477" s="102">
        <f ca="1"/>
        <v>2.9959922941622547E-2</v>
      </c>
      <c r="E477" s="103"/>
    </row>
    <row r="478" spans="2:5">
      <c r="B478" s="101">
        <f ca="1"/>
        <v>46602</v>
      </c>
      <c r="C478" s="102">
        <f ca="1"/>
        <v>2.579900179760438E-2</v>
      </c>
      <c r="D478" s="102">
        <f ca="1"/>
        <v>2.9963336715206356E-2</v>
      </c>
      <c r="E478" s="103"/>
    </row>
    <row r="479" spans="2:5">
      <c r="B479" s="101">
        <f ca="1"/>
        <v>46609</v>
      </c>
      <c r="C479" s="102">
        <f ca="1"/>
        <v>2.580414354321018E-2</v>
      </c>
      <c r="D479" s="102">
        <f ca="1"/>
        <v>2.9966981760319773E-2</v>
      </c>
      <c r="E479" s="103"/>
    </row>
    <row r="480" spans="2:5">
      <c r="B480" s="101">
        <f ca="1"/>
        <v>46616</v>
      </c>
      <c r="C480" s="102">
        <f ca="1"/>
        <v>2.580934556960331E-2</v>
      </c>
      <c r="D480" s="102">
        <f ca="1"/>
        <v>2.9970901373682975E-2</v>
      </c>
      <c r="E480" s="103"/>
    </row>
    <row r="481" spans="2:5">
      <c r="B481" s="101">
        <f ca="1"/>
        <v>46623</v>
      </c>
      <c r="C481" s="102">
        <f ca="1"/>
        <v>2.5814607128631779E-2</v>
      </c>
      <c r="D481" s="102">
        <f ca="1"/>
        <v>2.9975113036683505E-2</v>
      </c>
      <c r="E481" s="103"/>
    </row>
    <row r="482" spans="2:5">
      <c r="B482" s="101">
        <f ca="1"/>
        <v>46630</v>
      </c>
      <c r="C482" s="102">
        <f ca="1"/>
        <v>2.5819927673532958E-2</v>
      </c>
      <c r="D482" s="102">
        <f ca="1"/>
        <v>2.9979580251473271E-2</v>
      </c>
      <c r="E482" s="103"/>
    </row>
    <row r="483" spans="2:5">
      <c r="B483" s="101">
        <f ca="1"/>
        <v>46637</v>
      </c>
      <c r="C483" s="102">
        <f ca="1"/>
        <v>2.5825307319525106E-2</v>
      </c>
      <c r="D483" s="102">
        <f ca="1"/>
        <v>2.9984265345919019E-2</v>
      </c>
      <c r="E483" s="103"/>
    </row>
    <row r="484" spans="2:5">
      <c r="B484" s="101">
        <f ca="1"/>
        <v>46644</v>
      </c>
      <c r="C484" s="102">
        <f ca="1"/>
        <v>2.5830746182565048E-2</v>
      </c>
      <c r="D484" s="102">
        <f ca="1"/>
        <v>2.9989130647887486E-2</v>
      </c>
      <c r="E484" s="103"/>
    </row>
    <row r="485" spans="2:5">
      <c r="B485" s="101">
        <f ca="1"/>
        <v>46651</v>
      </c>
      <c r="C485" s="102">
        <f ca="1"/>
        <v>2.583624437838368E-2</v>
      </c>
      <c r="D485" s="102">
        <f ca="1"/>
        <v>2.9994138485245413E-2</v>
      </c>
      <c r="E485" s="103"/>
    </row>
    <row r="486" spans="2:5">
      <c r="B486" s="101">
        <f ca="1"/>
        <v>46658</v>
      </c>
      <c r="C486" s="102">
        <f ca="1"/>
        <v>2.5841802022968222E-2</v>
      </c>
      <c r="D486" s="102">
        <f ca="1"/>
        <v>2.9999251185859537E-2</v>
      </c>
      <c r="E486" s="103"/>
    </row>
    <row r="487" spans="2:5">
      <c r="B487" s="101">
        <f ca="1"/>
        <v>46665</v>
      </c>
      <c r="C487" s="102">
        <f ca="1"/>
        <v>2.5847419232545698E-2</v>
      </c>
      <c r="D487" s="102">
        <f ca="1"/>
        <v>3.0004431077596604E-2</v>
      </c>
      <c r="E487" s="103"/>
    </row>
    <row r="488" spans="2:5">
      <c r="B488" s="101">
        <f ca="1"/>
        <v>46672</v>
      </c>
      <c r="C488" s="102">
        <f ca="1"/>
        <v>2.5853096123582952E-2</v>
      </c>
      <c r="D488" s="102">
        <f ca="1"/>
        <v>3.0009640488323351E-2</v>
      </c>
      <c r="E488" s="103"/>
    </row>
    <row r="489" spans="2:5">
      <c r="B489" s="101">
        <f ca="1"/>
        <v>46679</v>
      </c>
      <c r="C489" s="102">
        <f ca="1"/>
        <v>2.5858832812883096E-2</v>
      </c>
      <c r="D489" s="102">
        <f ca="1"/>
        <v>3.0014841745906521E-2</v>
      </c>
      <c r="E489" s="103"/>
    </row>
    <row r="490" spans="2:5">
      <c r="B490" s="101">
        <f ca="1"/>
        <v>46686</v>
      </c>
      <c r="C490" s="102">
        <f ca="1"/>
        <v>2.5864629417183104E-2</v>
      </c>
      <c r="D490" s="102">
        <f ca="1"/>
        <v>3.001999717821285E-2</v>
      </c>
      <c r="E490" s="103"/>
    </row>
    <row r="491" spans="2:5">
      <c r="B491" s="101">
        <f ca="1"/>
        <v>46693</v>
      </c>
      <c r="C491" s="102">
        <f ca="1"/>
        <v>2.587048605371884E-2</v>
      </c>
      <c r="D491" s="102">
        <f ca="1"/>
        <v>3.0025069113109079E-2</v>
      </c>
      <c r="E491" s="103"/>
    </row>
    <row r="492" spans="2:5">
      <c r="B492" s="101">
        <f ca="1"/>
        <v>46700</v>
      </c>
      <c r="C492" s="102">
        <f ca="1"/>
        <v>2.58764028395801E-2</v>
      </c>
      <c r="D492" s="102">
        <f ca="1"/>
        <v>3.0030019878461951E-2</v>
      </c>
      <c r="E492" s="103"/>
    </row>
    <row r="493" spans="2:5">
      <c r="B493" s="101">
        <f ca="1"/>
        <v>46707</v>
      </c>
      <c r="C493" s="102">
        <f ca="1"/>
        <v>2.5882379892352821E-2</v>
      </c>
      <c r="D493" s="102">
        <f ca="1"/>
        <v>3.0034811802138205E-2</v>
      </c>
      <c r="E493" s="103"/>
    </row>
    <row r="494" spans="2:5">
      <c r="B494" s="101">
        <f ca="1"/>
        <v>46714</v>
      </c>
      <c r="C494" s="102">
        <f ca="1"/>
        <v>2.5888416657440634E-2</v>
      </c>
      <c r="D494" s="102">
        <f ca="1"/>
        <v>3.0039452707404084E-2</v>
      </c>
      <c r="E494" s="103"/>
    </row>
    <row r="495" spans="2:5">
      <c r="B495" s="101">
        <f ca="1"/>
        <v>46721</v>
      </c>
      <c r="C495" s="102">
        <f ca="1"/>
        <v>2.5894512371853865E-2</v>
      </c>
      <c r="D495" s="102">
        <f ca="1"/>
        <v>3.0044010959267987E-2</v>
      </c>
      <c r="E495" s="103"/>
    </row>
    <row r="496" spans="2:5">
      <c r="B496" s="101">
        <f ca="1"/>
        <v>46728</v>
      </c>
      <c r="C496" s="102">
        <f ca="1"/>
        <v>2.5900667145201419E-2</v>
      </c>
      <c r="D496" s="102">
        <f ca="1"/>
        <v>3.0048500336815786E-2</v>
      </c>
      <c r="E496" s="103"/>
    </row>
    <row r="497" spans="2:5">
      <c r="B497" s="101">
        <f ca="1"/>
        <v>46735</v>
      </c>
      <c r="C497" s="102">
        <f ca="1"/>
        <v>2.5906881092701398E-2</v>
      </c>
      <c r="D497" s="102">
        <f ca="1"/>
        <v>3.0052933526660514E-2</v>
      </c>
      <c r="E497" s="103"/>
    </row>
    <row r="498" spans="2:5">
      <c r="B498" s="101">
        <f ca="1"/>
        <v>46742</v>
      </c>
      <c r="C498" s="102">
        <f ca="1"/>
        <v>2.5913154329911092E-2</v>
      </c>
      <c r="D498" s="102">
        <f ca="1"/>
        <v>3.005732321541521E-2</v>
      </c>
      <c r="E498" s="103"/>
    </row>
    <row r="499" spans="2:5">
      <c r="B499" s="101">
        <f ca="1"/>
        <v>46749</v>
      </c>
      <c r="C499" s="102">
        <f ca="1"/>
        <v>2.5919486972418061E-2</v>
      </c>
      <c r="D499" s="102">
        <f ca="1"/>
        <v>3.0061682089692909E-2</v>
      </c>
      <c r="E499" s="103"/>
    </row>
    <row r="500" spans="2:5">
      <c r="B500" s="101">
        <f ca="1"/>
        <v>46756</v>
      </c>
      <c r="C500" s="102">
        <f ca="1"/>
        <v>2.5925879136159791E-2</v>
      </c>
      <c r="D500" s="102">
        <f ca="1"/>
        <v>3.0066022836106644E-2</v>
      </c>
      <c r="E500" s="103"/>
    </row>
    <row r="501" spans="2:5">
      <c r="B501" s="104">
        <f ca="1"/>
        <v>46763</v>
      </c>
      <c r="C501" s="105">
        <f ca="1"/>
        <v>2.5932330937253167E-2</v>
      </c>
      <c r="D501" s="105">
        <f ca="1"/>
        <v>3.0070358141269446E-2</v>
      </c>
      <c r="E501" s="106"/>
    </row>
  </sheetData>
  <dataValidations count="1">
    <dataValidation type="list" allowBlank="1" showInputMessage="1" showErrorMessage="1" sqref="C6">
      <formula1>"SEMI-ANNUAL,QUARTERLY,MONTHLY,WEEKLY,BUSINESS_DAYS"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0"/>
  <sheetViews>
    <sheetView showGridLines="0" workbookViewId="0"/>
  </sheetViews>
  <sheetFormatPr defaultRowHeight="15"/>
  <cols>
    <col min="1" max="1" width="4.7109375" customWidth="1"/>
    <col min="2" max="2" width="14.28515625" bestFit="1" customWidth="1"/>
    <col min="3" max="3" width="14.28515625" customWidth="1"/>
    <col min="4" max="4" width="17" bestFit="1" customWidth="1"/>
    <col min="5" max="5" width="4.7109375" customWidth="1"/>
    <col min="6" max="12" width="12.7109375" customWidth="1"/>
    <col min="13" max="13" width="4.7109375" customWidth="1"/>
    <col min="14" max="14" width="22.42578125" bestFit="1" customWidth="1"/>
    <col min="15" max="15" width="15.28515625" bestFit="1" customWidth="1"/>
    <col min="16" max="16" width="15.28515625" customWidth="1"/>
    <col min="17" max="17" width="13.28515625" customWidth="1"/>
    <col min="20" max="20" width="11.140625" bestFit="1" customWidth="1"/>
  </cols>
  <sheetData>
    <row r="2" spans="1:21">
      <c r="B2" s="68" t="s">
        <v>85</v>
      </c>
      <c r="C2" s="68"/>
      <c r="F2" s="107" t="s">
        <v>86</v>
      </c>
      <c r="M2" s="108"/>
      <c r="N2" s="68" t="s">
        <v>87</v>
      </c>
      <c r="S2" s="2" t="s">
        <v>110</v>
      </c>
    </row>
    <row r="3" spans="1:21">
      <c r="D3" s="109" t="s">
        <v>88</v>
      </c>
      <c r="H3" s="109" t="s">
        <v>89</v>
      </c>
      <c r="M3" s="108"/>
    </row>
    <row r="4" spans="1:21">
      <c r="B4" s="1" t="s">
        <v>57</v>
      </c>
      <c r="C4" s="1" t="s">
        <v>106</v>
      </c>
      <c r="D4" s="4" t="s">
        <v>90</v>
      </c>
      <c r="E4" s="4"/>
      <c r="F4" s="4" t="s">
        <v>97</v>
      </c>
      <c r="G4" s="1" t="s">
        <v>91</v>
      </c>
      <c r="H4" s="1" t="s">
        <v>92</v>
      </c>
      <c r="I4" s="1" t="s">
        <v>93</v>
      </c>
      <c r="J4" s="1" t="s">
        <v>0</v>
      </c>
      <c r="K4" s="1" t="s">
        <v>94</v>
      </c>
      <c r="L4" s="1" t="s">
        <v>95</v>
      </c>
      <c r="M4" s="108"/>
      <c r="N4" s="1" t="s">
        <v>3</v>
      </c>
      <c r="O4" s="1" t="s">
        <v>10</v>
      </c>
      <c r="P4" s="1" t="s">
        <v>8</v>
      </c>
      <c r="Q4" s="1" t="s">
        <v>59</v>
      </c>
    </row>
    <row r="5" spans="1:21">
      <c r="B5" s="110">
        <f ca="1">_xll.meDateFromTenor('USD GLOBAL CURVE'!$I$9,F5,"MOD_FOLLOWING",C5)</f>
        <v>43329</v>
      </c>
      <c r="C5" s="159" t="str">
        <f ca="1">VLOOKUP("PAYMENTCALENDAR",_xll.meLWOSwapGeneratorDisplay($H5),2,FALSE)</f>
        <v>NYB:LNB</v>
      </c>
      <c r="D5" s="111">
        <f ca="1">_xll.meDateFromTenor(B5,G5,)</f>
        <v>43694</v>
      </c>
      <c r="E5" s="162" t="s">
        <v>12</v>
      </c>
      <c r="F5" s="112" t="s">
        <v>58</v>
      </c>
      <c r="G5" s="113" t="s">
        <v>5</v>
      </c>
      <c r="H5" s="114" t="s">
        <v>2</v>
      </c>
      <c r="I5" s="115" t="s">
        <v>96</v>
      </c>
      <c r="J5" s="116">
        <v>1000000</v>
      </c>
      <c r="K5" s="117">
        <v>0.01</v>
      </c>
      <c r="L5" s="118">
        <v>0</v>
      </c>
      <c r="M5" s="163">
        <v>1</v>
      </c>
      <c r="N5" s="119" t="str">
        <f ca="1">_xll.meLWOSwapCreateFromGenerator("USDSWAP"&amp;M5&amp;"_"&amp;G5,$H5,$I5,$J5,$B$8,$G5,$K5,$L5)</f>
        <v>USDSWAP1_1Y@5:1</v>
      </c>
      <c r="O5" s="120" t="s">
        <v>4</v>
      </c>
      <c r="P5" s="143">
        <f ca="1">_xll.meLWOSwapPV(N5,O5)</f>
        <v>16097.643345653149</v>
      </c>
      <c r="Q5" s="100">
        <f ca="1">_xll.meLWOSwapParRate(N5,O5)</f>
        <v>2.628938427139969E-2</v>
      </c>
      <c r="S5" s="178" t="s">
        <v>111</v>
      </c>
      <c r="T5" s="176"/>
      <c r="U5" s="177"/>
    </row>
    <row r="6" spans="1:21">
      <c r="B6" s="121">
        <f ca="1">_xll.meDateFromTenor('USD GLOBAL CURVE'!$I$9,F6,"MOD_FOLLOWING",C6)</f>
        <v>43329</v>
      </c>
      <c r="C6" s="160" t="str">
        <f ca="1">VLOOKUP("PAYMENTCALENDAR",_xll.meLWOSwapGeneratorDisplay($H6),2,FALSE)</f>
        <v>NYB:LNB</v>
      </c>
      <c r="D6" s="122">
        <f ca="1">_xll.meDateFromTenor(B6,G6,)</f>
        <v>44060</v>
      </c>
      <c r="E6" s="162" t="s">
        <v>12</v>
      </c>
      <c r="F6" s="123" t="s">
        <v>58</v>
      </c>
      <c r="G6" s="124" t="s">
        <v>36</v>
      </c>
      <c r="H6" s="125" t="s">
        <v>2</v>
      </c>
      <c r="I6" s="126" t="s">
        <v>96</v>
      </c>
      <c r="J6" s="127">
        <v>1000000</v>
      </c>
      <c r="K6" s="128">
        <v>0.01</v>
      </c>
      <c r="L6" s="129">
        <v>0</v>
      </c>
      <c r="M6" s="163">
        <v>2</v>
      </c>
      <c r="N6" s="130" t="str">
        <f ca="1">_xll.meLWOSwapCreateFromGenerator("USDSWAP"&amp;M6&amp;"_"&amp;G6,$H6,$I6,$J6,$B$8,$G6,$K6,$L6)</f>
        <v>USDSWAP2_2Y@11:1</v>
      </c>
      <c r="O6" s="131" t="s">
        <v>4</v>
      </c>
      <c r="P6" s="144">
        <f ca="1">_xll.meLWOSwapPV(N6,O6)</f>
        <v>34966.028057578027</v>
      </c>
      <c r="Q6" s="103">
        <f ca="1">_xll.meLWOSwapParRate(N6,O6)</f>
        <v>2.8018948119836639E-2</v>
      </c>
      <c r="S6" s="176"/>
      <c r="T6" s="176"/>
      <c r="U6" s="177"/>
    </row>
    <row r="7" spans="1:21">
      <c r="B7" s="121">
        <f ca="1">_xll.meDateFromTenor('USD GLOBAL CURVE'!$I$9,F7,"MOD_FOLLOWING",C7)</f>
        <v>43329</v>
      </c>
      <c r="C7" s="160" t="str">
        <f ca="1">VLOOKUP("PAYMENTCALENDAR",_xll.meLWOSwapGeneratorDisplay($H7),2,FALSE)</f>
        <v>NYB:LNB</v>
      </c>
      <c r="D7" s="122">
        <f ca="1">_xll.meDateFromTenor(B7,G7,)</f>
        <v>44425</v>
      </c>
      <c r="E7" s="162" t="s">
        <v>12</v>
      </c>
      <c r="F7" s="123" t="s">
        <v>58</v>
      </c>
      <c r="G7" s="124" t="s">
        <v>30</v>
      </c>
      <c r="H7" s="125" t="s">
        <v>2</v>
      </c>
      <c r="I7" s="126" t="s">
        <v>96</v>
      </c>
      <c r="J7" s="127">
        <v>1000000</v>
      </c>
      <c r="K7" s="128">
        <v>0.01</v>
      </c>
      <c r="L7" s="129">
        <v>0</v>
      </c>
      <c r="M7" s="163">
        <v>3</v>
      </c>
      <c r="N7" s="130" t="str">
        <f ca="1">_xll.meLWOSwapCreateFromGenerator("USDSWAP"&amp;M7&amp;"_"&amp;G7,$H7,$I7,$J7,$B$8,$G7,$K7,$L7)</f>
        <v>USDSWAP3_3Y@9:1</v>
      </c>
      <c r="O7" s="131" t="s">
        <v>4</v>
      </c>
      <c r="P7" s="144">
        <f ca="1">_xll.meLWOSwapPV(N7,O7)</f>
        <v>53331.7775115853</v>
      </c>
      <c r="Q7" s="103">
        <f ca="1">_xll.meLWOSwapParRate(N7,O7)</f>
        <v>2.8562770102084096E-2</v>
      </c>
      <c r="S7" s="176" t="s">
        <v>102</v>
      </c>
      <c r="T7" s="176" t="s">
        <v>59</v>
      </c>
      <c r="U7" s="177" t="s">
        <v>109</v>
      </c>
    </row>
    <row r="8" spans="1:21">
      <c r="A8" s="4" t="s">
        <v>12</v>
      </c>
      <c r="B8" s="121">
        <f ca="1">_xll.meDateFromTenor('USD GLOBAL CURVE'!$I$9,F8,"MOD_FOLLOWING",C8)</f>
        <v>43329</v>
      </c>
      <c r="C8" s="160" t="str">
        <f ca="1">VLOOKUP("PAYMENTCALENDAR",_xll.meLWOSwapGeneratorDisplay($H8),2,FALSE)</f>
        <v>NYB:LNB</v>
      </c>
      <c r="D8" s="122">
        <f ca="1">_xll.meDateFromTenor(B8,G8,)</f>
        <v>44790</v>
      </c>
      <c r="E8" s="162" t="s">
        <v>12</v>
      </c>
      <c r="F8" s="123" t="s">
        <v>58</v>
      </c>
      <c r="G8" s="124" t="s">
        <v>37</v>
      </c>
      <c r="H8" s="125" t="s">
        <v>2</v>
      </c>
      <c r="I8" s="126" t="s">
        <v>96</v>
      </c>
      <c r="J8" s="127">
        <v>1000000</v>
      </c>
      <c r="K8" s="128">
        <v>0.01</v>
      </c>
      <c r="L8" s="129">
        <v>0</v>
      </c>
      <c r="M8" s="163">
        <v>4</v>
      </c>
      <c r="N8" s="130" t="str">
        <f ca="1">_xll.meLWOSwapCreateFromGenerator("USDSWAP"&amp;M8&amp;"_"&amp;G8,$H8,$I8,$J8,$B$8,$G8,$K8,$L8)</f>
        <v>USDSWAP4_4Y@13:1</v>
      </c>
      <c r="O8" s="131" t="s">
        <v>4</v>
      </c>
      <c r="P8" s="144">
        <f ca="1">_xll.meLWOSwapPV(N8,O8)</f>
        <v>70647.406174162868</v>
      </c>
      <c r="Q8" s="103">
        <f ca="1">_xll.meLWOSwapParRate(N8,O8)</f>
        <v>2.867999999999964E-2</v>
      </c>
      <c r="R8" s="4" t="s">
        <v>12</v>
      </c>
      <c r="S8" s="168" t="str">
        <f ca="1">'USD GLOBAL CURVE'!T27</f>
        <v>4Y</v>
      </c>
      <c r="T8" s="169">
        <f ca="1">'USD GLOBAL CURVE'!U27</f>
        <v>2.8679999999999997E-2</v>
      </c>
      <c r="U8" s="170">
        <f t="shared" ref="U8:U20" ca="1" si="0">ABS(Q8-T8)*10000</f>
        <v>3.5735303605122226E-12</v>
      </c>
    </row>
    <row r="9" spans="1:21">
      <c r="A9" t="s">
        <v>12</v>
      </c>
      <c r="B9" s="121">
        <f ca="1">_xll.meDateFromTenor('USD GLOBAL CURVE'!$I$9,F9,"MOD_FOLLOWING",C9)</f>
        <v>43329</v>
      </c>
      <c r="C9" s="160" t="str">
        <f ca="1">C8</f>
        <v>NYB:LNB</v>
      </c>
      <c r="D9" s="122">
        <f ca="1">_xll.meDateFromTenor(B9,G9,)</f>
        <v>45155</v>
      </c>
      <c r="E9" t="s">
        <v>12</v>
      </c>
      <c r="F9" s="123" t="s">
        <v>58</v>
      </c>
      <c r="G9" s="124" t="s">
        <v>6</v>
      </c>
      <c r="H9" s="125" t="s">
        <v>2</v>
      </c>
      <c r="I9" s="126" t="s">
        <v>96</v>
      </c>
      <c r="J9" s="127">
        <v>1000000</v>
      </c>
      <c r="K9" s="128">
        <v>0.01</v>
      </c>
      <c r="L9" s="129">
        <v>0</v>
      </c>
      <c r="M9" s="108">
        <v>5</v>
      </c>
      <c r="N9" s="130" t="str">
        <f ca="1">_xll.meLWOSwapCreateFromGenerator("USDSWAP"&amp;M9&amp;"_"&amp;G9,$H9,$I9,$J9,$B$8,$G9,$K9,$L9)</f>
        <v>USDSWAP5_5Y@14:1</v>
      </c>
      <c r="O9" s="131" t="s">
        <v>4</v>
      </c>
      <c r="P9" s="144">
        <f ca="1">_xll.meLWOSwapPV(N9,O9)</f>
        <v>87430.507788982693</v>
      </c>
      <c r="Q9" s="103">
        <f ca="1">_xll.meLWOSwapParRate(N9,O9)</f>
        <v>2.8728999999999817E-2</v>
      </c>
      <c r="R9" t="s">
        <v>12</v>
      </c>
      <c r="S9" s="171" t="str">
        <f ca="1">'USD GLOBAL CURVE'!T28</f>
        <v>5Y</v>
      </c>
      <c r="T9" s="102">
        <f ca="1">'USD GLOBAL CURVE'!U28</f>
        <v>2.8729000000000001E-2</v>
      </c>
      <c r="U9" s="172">
        <f t="shared" ca="1" si="0"/>
        <v>1.8388068845354155E-12</v>
      </c>
    </row>
    <row r="10" spans="1:21">
      <c r="A10" t="s">
        <v>12</v>
      </c>
      <c r="B10" s="121">
        <f ca="1">_xll.meDateFromTenor('USD GLOBAL CURVE'!$I$9,F10,"MOD_FOLLOWING",C10)</f>
        <v>43329</v>
      </c>
      <c r="C10" s="160" t="str">
        <f t="shared" ref="C10:C15" ca="1" si="1">C9</f>
        <v>NYB:LNB</v>
      </c>
      <c r="D10" s="122">
        <f ca="1">_xll.meDateFromTenor(B10,G10,)</f>
        <v>45886</v>
      </c>
      <c r="E10" t="s">
        <v>12</v>
      </c>
      <c r="F10" s="123" t="s">
        <v>58</v>
      </c>
      <c r="G10" s="124" t="s">
        <v>38</v>
      </c>
      <c r="H10" s="125" t="s">
        <v>2</v>
      </c>
      <c r="I10" s="126" t="s">
        <v>96</v>
      </c>
      <c r="J10" s="127">
        <v>1000000</v>
      </c>
      <c r="K10" s="128">
        <v>0.01</v>
      </c>
      <c r="L10" s="129">
        <v>0</v>
      </c>
      <c r="M10" s="108">
        <v>6</v>
      </c>
      <c r="N10" s="130" t="str">
        <f ca="1">_xll.meLWOSwapCreateFromGenerator("USDSWAP"&amp;M10&amp;"_"&amp;G10,$H10,$I10,$J10,$B$8,$G10,$K10,$L10)</f>
        <v>USDSWAP6_7Y@17:1</v>
      </c>
      <c r="O10" s="131" t="s">
        <v>4</v>
      </c>
      <c r="P10" s="144">
        <f ca="1">_xll.meLWOSwapPV(N10,O10)</f>
        <v>120569.47968271069</v>
      </c>
      <c r="Q10" s="103">
        <f ca="1">_xll.meLWOSwapParRate(N10,O10)</f>
        <v>2.8909999999999669E-2</v>
      </c>
      <c r="R10" t="s">
        <v>12</v>
      </c>
      <c r="S10" s="171" t="str">
        <f ca="1">'USD GLOBAL CURVE'!T29</f>
        <v>7Y</v>
      </c>
      <c r="T10" s="102">
        <f ca="1">'USD GLOBAL CURVE'!U29</f>
        <v>2.8910000000000002E-2</v>
      </c>
      <c r="U10" s="172">
        <f t="shared" ca="1" si="0"/>
        <v>3.3306690738754696E-12</v>
      </c>
    </row>
    <row r="11" spans="1:21">
      <c r="A11" t="s">
        <v>12</v>
      </c>
      <c r="B11" s="121">
        <f ca="1">_xll.meDateFromTenor('USD GLOBAL CURVE'!$I$9,F11,"MOD_FOLLOWING",C11)</f>
        <v>43329</v>
      </c>
      <c r="C11" s="160" t="str">
        <f t="shared" ca="1" si="1"/>
        <v>NYB:LNB</v>
      </c>
      <c r="D11" s="122">
        <f ca="1">_xll.meDateFromTenor(B11,G11,)</f>
        <v>46251</v>
      </c>
      <c r="E11" t="s">
        <v>12</v>
      </c>
      <c r="F11" s="123" t="s">
        <v>58</v>
      </c>
      <c r="G11" s="124" t="s">
        <v>52</v>
      </c>
      <c r="H11" s="125" t="s">
        <v>2</v>
      </c>
      <c r="I11" s="126" t="s">
        <v>96</v>
      </c>
      <c r="J11" s="127">
        <v>1000000</v>
      </c>
      <c r="K11" s="128">
        <v>0.01</v>
      </c>
      <c r="L11" s="129">
        <v>0</v>
      </c>
      <c r="M11" s="108">
        <v>7</v>
      </c>
      <c r="N11" s="130" t="str">
        <f ca="1">_xll.meLWOSwapCreateFromGenerator("USDSWAP"&amp;M11&amp;"_"&amp;G11,$H11,$I11,$J11,$B$8,$G11,$K11,$L11)</f>
        <v>USDSWAP7_8Y@18:1</v>
      </c>
      <c r="O11" s="131" t="s">
        <v>4</v>
      </c>
      <c r="P11" s="144">
        <f ca="1">_xll.meLWOSwapPV(N11,O11)</f>
        <v>136783.07476941342</v>
      </c>
      <c r="Q11" s="103">
        <f ca="1">_xll.meLWOSwapParRate(N11,O11)</f>
        <v>2.9013999999999717E-2</v>
      </c>
      <c r="R11" t="s">
        <v>12</v>
      </c>
      <c r="S11" s="171" t="str">
        <f ca="1">'USD GLOBAL CURVE'!T30</f>
        <v>8Y</v>
      </c>
      <c r="T11" s="102">
        <f ca="1">'USD GLOBAL CURVE'!U30</f>
        <v>2.9014000000000002E-2</v>
      </c>
      <c r="U11" s="172">
        <f t="shared" ca="1" si="0"/>
        <v>2.8449465006019636E-12</v>
      </c>
    </row>
    <row r="12" spans="1:21">
      <c r="A12" t="s">
        <v>12</v>
      </c>
      <c r="B12" s="121">
        <f ca="1">_xll.meDateFromTenor('USD GLOBAL CURVE'!$I$9,F12,"MOD_FOLLOWING",C12)</f>
        <v>43329</v>
      </c>
      <c r="C12" s="160" t="str">
        <f t="shared" ca="1" si="1"/>
        <v>NYB:LNB</v>
      </c>
      <c r="D12" s="122">
        <f ca="1">_xll.meDateFromTenor(B12,G12,)</f>
        <v>46616</v>
      </c>
      <c r="E12" t="s">
        <v>12</v>
      </c>
      <c r="F12" s="123" t="s">
        <v>58</v>
      </c>
      <c r="G12" s="124" t="s">
        <v>54</v>
      </c>
      <c r="H12" s="125" t="s">
        <v>2</v>
      </c>
      <c r="I12" s="126" t="s">
        <v>96</v>
      </c>
      <c r="J12" s="127">
        <v>1000000</v>
      </c>
      <c r="K12" s="128">
        <v>0.01</v>
      </c>
      <c r="L12" s="129">
        <v>0</v>
      </c>
      <c r="M12" s="108">
        <v>8</v>
      </c>
      <c r="N12" s="130" t="str">
        <f ca="1">_xll.meLWOSwapCreateFromGenerator("USDSWAP"&amp;M12&amp;"_"&amp;G12,$H12,$I12,$J12,$B$8,$G12,$K12,$L12)</f>
        <v>USDSWAP8_9Y@12:1</v>
      </c>
      <c r="O12" s="131" t="s">
        <v>4</v>
      </c>
      <c r="P12" s="144">
        <f ca="1">_xll.meLWOSwapPV(N12,O12)</f>
        <v>153023.74637789108</v>
      </c>
      <c r="Q12" s="103">
        <f ca="1">_xll.meLWOSwapParRate(N12,O12)</f>
        <v>2.9144999999999772E-2</v>
      </c>
      <c r="R12" t="s">
        <v>12</v>
      </c>
      <c r="S12" s="171" t="str">
        <f ca="1">'USD GLOBAL CURVE'!T31</f>
        <v>9Y</v>
      </c>
      <c r="T12" s="102">
        <f ca="1">'USD GLOBAL CURVE'!U31</f>
        <v>2.9144999999999997E-2</v>
      </c>
      <c r="U12" s="172">
        <f t="shared" ca="1" si="0"/>
        <v>2.2551405187698492E-12</v>
      </c>
    </row>
    <row r="13" spans="1:21">
      <c r="A13" t="s">
        <v>12</v>
      </c>
      <c r="B13" s="121">
        <f ca="1">_xll.meDateFromTenor('USD GLOBAL CURVE'!$I$9,F13,"MOD_FOLLOWING",C13)</f>
        <v>43329</v>
      </c>
      <c r="C13" s="160" t="str">
        <f t="shared" ca="1" si="1"/>
        <v>NYB:LNB</v>
      </c>
      <c r="D13" s="122">
        <f ca="1">_xll.meDateFromTenor(B13,G13,)</f>
        <v>46982</v>
      </c>
      <c r="E13" t="s">
        <v>12</v>
      </c>
      <c r="F13" s="123" t="s">
        <v>58</v>
      </c>
      <c r="G13" s="124" t="s">
        <v>40</v>
      </c>
      <c r="H13" s="125" t="s">
        <v>2</v>
      </c>
      <c r="I13" s="126" t="s">
        <v>96</v>
      </c>
      <c r="J13" s="127">
        <v>1000000</v>
      </c>
      <c r="K13" s="128">
        <v>0.01</v>
      </c>
      <c r="L13" s="129">
        <v>0</v>
      </c>
      <c r="M13" s="108">
        <v>9</v>
      </c>
      <c r="N13" s="130" t="str">
        <f ca="1">_xll.meLWOSwapCreateFromGenerator("USDSWAP"&amp;M13&amp;"_"&amp;G13,$H13,$I13,$J13,$B$8,$G13,$K13,$L13)</f>
        <v>USDSWAP9_10Y@16:1</v>
      </c>
      <c r="O13" s="131" t="s">
        <v>4</v>
      </c>
      <c r="P13" s="144">
        <f ca="1">_xll.meLWOSwapPV(N13,O13)</f>
        <v>169109.20933381136</v>
      </c>
      <c r="Q13" s="103">
        <f ca="1">_xll.meLWOSwapParRate(N13,O13)</f>
        <v>2.9279999999999792E-2</v>
      </c>
      <c r="R13" t="s">
        <v>12</v>
      </c>
      <c r="S13" s="171" t="str">
        <f ca="1">'USD GLOBAL CURVE'!T32</f>
        <v>10Y</v>
      </c>
      <c r="T13" s="102">
        <f ca="1">'USD GLOBAL CURVE'!U32</f>
        <v>2.928E-2</v>
      </c>
      <c r="U13" s="172">
        <f t="shared" ca="1" si="0"/>
        <v>2.0816681711721685E-12</v>
      </c>
    </row>
    <row r="14" spans="1:21">
      <c r="A14" t="s">
        <v>12</v>
      </c>
      <c r="B14" s="121">
        <f ca="1">_xll.meDateFromTenor('USD GLOBAL CURVE'!$I$9,F14,"MOD_FOLLOWING",C14)</f>
        <v>43329</v>
      </c>
      <c r="C14" s="160" t="str">
        <f t="shared" ca="1" si="1"/>
        <v>NYB:LNB</v>
      </c>
      <c r="D14" s="122">
        <f ca="1">_xll.meDateFromTenor(B14,G14,)</f>
        <v>47712</v>
      </c>
      <c r="E14" t="s">
        <v>12</v>
      </c>
      <c r="F14" s="123" t="s">
        <v>58</v>
      </c>
      <c r="G14" s="124" t="s">
        <v>41</v>
      </c>
      <c r="H14" s="125" t="s">
        <v>2</v>
      </c>
      <c r="I14" s="126" t="s">
        <v>96</v>
      </c>
      <c r="J14" s="127">
        <v>1000000</v>
      </c>
      <c r="K14" s="128">
        <v>0.01</v>
      </c>
      <c r="L14" s="129">
        <v>0</v>
      </c>
      <c r="M14" s="108">
        <v>10</v>
      </c>
      <c r="N14" s="130" t="str">
        <f ca="1">_xll.meLWOSwapCreateFromGenerator("USDSWAP"&amp;M14&amp;"_"&amp;G14,$H14,$I14,$J14,$B$8,$G14,$K14,$L14)</f>
        <v>USDSWAP10_12Y@15:1</v>
      </c>
      <c r="O14" s="131" t="s">
        <v>4</v>
      </c>
      <c r="P14" s="144">
        <f ca="1">_xll.meLWOSwapPV(N14,O14)</f>
        <v>200520.58820975598</v>
      </c>
      <c r="Q14" s="103">
        <f ca="1">_xll.meLWOSwapParRate(N14,O14)</f>
        <v>2.9522999999999834E-2</v>
      </c>
      <c r="R14" t="s">
        <v>12</v>
      </c>
      <c r="S14" s="171" t="str">
        <f ca="1">'USD GLOBAL CURVE'!T33</f>
        <v>12Y</v>
      </c>
      <c r="T14" s="102">
        <f ca="1">'USD GLOBAL CURVE'!U33</f>
        <v>2.9523000000000001E-2</v>
      </c>
      <c r="U14" s="172">
        <f t="shared" ca="1" si="0"/>
        <v>1.6653345369377348E-12</v>
      </c>
    </row>
    <row r="15" spans="1:21">
      <c r="A15" t="s">
        <v>12</v>
      </c>
      <c r="B15" s="121">
        <f ca="1">_xll.meDateFromTenor('USD GLOBAL CURVE'!$I$9,F15,"MOD_FOLLOWING",C15)</f>
        <v>43329</v>
      </c>
      <c r="C15" s="160" t="str">
        <f t="shared" ca="1" si="1"/>
        <v>NYB:LNB</v>
      </c>
      <c r="D15" s="122">
        <f ca="1">_xll.meDateFromTenor(B15,G15,)</f>
        <v>48808</v>
      </c>
      <c r="E15" t="s">
        <v>12</v>
      </c>
      <c r="F15" s="123" t="s">
        <v>58</v>
      </c>
      <c r="G15" s="124" t="s">
        <v>42</v>
      </c>
      <c r="H15" s="125" t="s">
        <v>2</v>
      </c>
      <c r="I15" s="126" t="s">
        <v>96</v>
      </c>
      <c r="J15" s="127">
        <v>1000000</v>
      </c>
      <c r="K15" s="128">
        <v>0.01</v>
      </c>
      <c r="L15" s="129">
        <v>0</v>
      </c>
      <c r="M15" s="108">
        <v>11</v>
      </c>
      <c r="N15" s="130" t="str">
        <f ca="1">_xll.meLWOSwapCreateFromGenerator("USDSWAP"&amp;M15&amp;"_"&amp;G15,$H15,$I15,$J15,$B$8,$G15,$K15,$L15)</f>
        <v>USDSWAP11_15Y@19:1</v>
      </c>
      <c r="O15" s="131" t="s">
        <v>4</v>
      </c>
      <c r="P15" s="144">
        <f ca="1">_xll.meLWOSwapPV(N15,O15)</f>
        <v>243978.8377623983</v>
      </c>
      <c r="Q15" s="103">
        <f ca="1">_xll.meLWOSwapParRate(N15,O15)</f>
        <v>2.9727999999999824E-2</v>
      </c>
      <c r="R15" t="s">
        <v>12</v>
      </c>
      <c r="S15" s="171" t="str">
        <f ca="1">'USD GLOBAL CURVE'!T34</f>
        <v>15Y</v>
      </c>
      <c r="T15" s="102">
        <f ca="1">'USD GLOBAL CURVE'!U34</f>
        <v>2.9727999999999997E-2</v>
      </c>
      <c r="U15" s="172">
        <f t="shared" ca="1" si="0"/>
        <v>1.7347234759768071E-12</v>
      </c>
    </row>
    <row r="16" spans="1:21">
      <c r="A16" t="s">
        <v>12</v>
      </c>
      <c r="B16" s="121">
        <f ca="1">_xll.meDateFromTenor('USD GLOBAL CURVE'!$I$9,F16,"MOD_FOLLOWING",C16)</f>
        <v>43329</v>
      </c>
      <c r="C16" s="160" t="str">
        <f t="shared" ref="C16:C19" ca="1" si="2">C15</f>
        <v>NYB:LNB</v>
      </c>
      <c r="D16" s="122">
        <f ca="1">_xll.meDateFromTenor(B16,G16,)</f>
        <v>50634</v>
      </c>
      <c r="E16" t="s">
        <v>12</v>
      </c>
      <c r="F16" s="123" t="s">
        <v>58</v>
      </c>
      <c r="G16" s="124" t="s">
        <v>44</v>
      </c>
      <c r="H16" s="125" t="s">
        <v>2</v>
      </c>
      <c r="I16" s="126" t="s">
        <v>96</v>
      </c>
      <c r="J16" s="127">
        <v>1000000</v>
      </c>
      <c r="K16" s="128">
        <v>0.01</v>
      </c>
      <c r="L16" s="129">
        <v>0</v>
      </c>
      <c r="M16" s="108">
        <v>12</v>
      </c>
      <c r="N16" s="130" t="str">
        <f ca="1">_xll.meLWOSwapCreateFromGenerator("USDSWAP"&amp;M16&amp;"_"&amp;G16,$H16,$I16,$J16,$B$8,$G16,$K16,$L16)</f>
        <v>USDSWAP12_20Y@10:1</v>
      </c>
      <c r="O16" s="131" t="s">
        <v>4</v>
      </c>
      <c r="P16" s="144">
        <f ca="1">_xll.meLWOSwapPV(N16,O16)</f>
        <v>307916.53055776621</v>
      </c>
      <c r="Q16" s="103">
        <f ca="1">_xll.meLWOSwapParRate(N16,O16)</f>
        <v>2.9832999999999915E-2</v>
      </c>
      <c r="R16" t="s">
        <v>12</v>
      </c>
      <c r="S16" s="171" t="str">
        <f ca="1">'USD GLOBAL CURVE'!T35</f>
        <v>20Y</v>
      </c>
      <c r="T16" s="102">
        <f ca="1">'USD GLOBAL CURVE'!U35</f>
        <v>2.9832999999999998E-2</v>
      </c>
      <c r="U16" s="172">
        <f t="shared" ca="1" si="0"/>
        <v>8.3266726846886741E-13</v>
      </c>
    </row>
    <row r="17" spans="2:21">
      <c r="B17" s="121">
        <f ca="1">_xll.meDateFromTenor('USD GLOBAL CURVE'!$I$9,F17,"MOD_FOLLOWING",C17)</f>
        <v>43329</v>
      </c>
      <c r="C17" s="160" t="str">
        <f t="shared" ca="1" si="2"/>
        <v>NYB:LNB</v>
      </c>
      <c r="D17" s="122">
        <f ca="1">_xll.meDateFromTenor(B17,G17,)</f>
        <v>52460</v>
      </c>
      <c r="E17" t="s">
        <v>12</v>
      </c>
      <c r="F17" s="123" t="s">
        <v>58</v>
      </c>
      <c r="G17" s="124" t="s">
        <v>45</v>
      </c>
      <c r="H17" s="125" t="s">
        <v>2</v>
      </c>
      <c r="I17" s="126" t="s">
        <v>96</v>
      </c>
      <c r="J17" s="127">
        <v>1000000</v>
      </c>
      <c r="K17" s="128">
        <v>0.01</v>
      </c>
      <c r="L17" s="129">
        <v>0</v>
      </c>
      <c r="M17" s="108">
        <v>13</v>
      </c>
      <c r="N17" s="130" t="str">
        <f ca="1">_xll.meLWOSwapCreateFromGenerator("USDSWAP"&amp;M17&amp;"_"&amp;G17,$H17,$I17,$J17,$B$8,$G17,$K17,$L17)</f>
        <v>USDSWAP13_25Y@4:1</v>
      </c>
      <c r="O17" s="131" t="s">
        <v>4</v>
      </c>
      <c r="P17" s="144">
        <f ca="1">_xll.meLWOSwapPV(N17,O17)</f>
        <v>361637.81880602165</v>
      </c>
      <c r="Q17" s="103">
        <f ca="1">_xll.meLWOSwapParRate(N17,O17)</f>
        <v>2.9749999999999791E-2</v>
      </c>
      <c r="S17" s="171" t="str">
        <f ca="1">'USD GLOBAL CURVE'!T36</f>
        <v>25Y</v>
      </c>
      <c r="T17" s="102">
        <f ca="1">'USD GLOBAL CURVE'!U36</f>
        <v>2.9750000000000002E-2</v>
      </c>
      <c r="U17" s="172">
        <f t="shared" ca="1" si="0"/>
        <v>2.1163626406917047E-12</v>
      </c>
    </row>
    <row r="18" spans="2:21">
      <c r="B18" s="121">
        <f ca="1">_xll.meDateFromTenor('USD GLOBAL CURVE'!$I$9,F18,"MOD_FOLLOWING",C18)</f>
        <v>43329</v>
      </c>
      <c r="C18" s="160" t="str">
        <f t="shared" ca="1" si="2"/>
        <v>NYB:LNB</v>
      </c>
      <c r="D18" s="122">
        <f ca="1">_xll.meDateFromTenor(B18,G18,)</f>
        <v>54287</v>
      </c>
      <c r="E18" t="s">
        <v>12</v>
      </c>
      <c r="F18" s="123" t="s">
        <v>58</v>
      </c>
      <c r="G18" s="124" t="s">
        <v>46</v>
      </c>
      <c r="H18" s="125" t="s">
        <v>2</v>
      </c>
      <c r="I18" s="126" t="s">
        <v>96</v>
      </c>
      <c r="J18" s="127">
        <v>1000000</v>
      </c>
      <c r="K18" s="128">
        <v>0.01</v>
      </c>
      <c r="L18" s="129">
        <v>0</v>
      </c>
      <c r="M18" s="108">
        <v>14</v>
      </c>
      <c r="N18" s="130" t="str">
        <f ca="1">_xll.meLWOSwapCreateFromGenerator("USDSWAP"&amp;M18&amp;"_"&amp;G18,$H18,$I18,$J18,$B$8,$G18,$K18,$L18)</f>
        <v>USDSWAP14_30Y@8:1</v>
      </c>
      <c r="O18" s="131" t="s">
        <v>4</v>
      </c>
      <c r="P18" s="144">
        <f ca="1">_xll.meLWOSwapPV(N18,O18)</f>
        <v>407671.31620790594</v>
      </c>
      <c r="Q18" s="103">
        <f ca="1">_xll.meLWOSwapParRate(N18,O18)</f>
        <v>2.9617999999999894E-2</v>
      </c>
      <c r="S18" s="171" t="str">
        <f ca="1">'USD GLOBAL CURVE'!T37</f>
        <v>30Y</v>
      </c>
      <c r="T18" s="102">
        <f ca="1">'USD GLOBAL CURVE'!U37</f>
        <v>2.9618000000000002E-2</v>
      </c>
      <c r="U18" s="172">
        <f t="shared" ca="1" si="0"/>
        <v>1.0755285551056204E-12</v>
      </c>
    </row>
    <row r="19" spans="2:21">
      <c r="B19" s="121">
        <f ca="1">_xll.meDateFromTenor('USD GLOBAL CURVE'!$I$9,F19,"MOD_FOLLOWING",C19)</f>
        <v>43329</v>
      </c>
      <c r="C19" s="160" t="str">
        <f t="shared" ca="1" si="2"/>
        <v>NYB:LNB</v>
      </c>
      <c r="D19" s="122">
        <f ca="1">_xll.meDateFromTenor(B19,G19,)</f>
        <v>57939</v>
      </c>
      <c r="E19" t="s">
        <v>12</v>
      </c>
      <c r="F19" s="123" t="s">
        <v>58</v>
      </c>
      <c r="G19" s="124" t="s">
        <v>28</v>
      </c>
      <c r="H19" s="125" t="s">
        <v>2</v>
      </c>
      <c r="I19" s="126" t="s">
        <v>96</v>
      </c>
      <c r="J19" s="127">
        <v>1000000</v>
      </c>
      <c r="K19" s="128">
        <v>0.01</v>
      </c>
      <c r="L19" s="129">
        <v>0</v>
      </c>
      <c r="M19" s="108">
        <v>15</v>
      </c>
      <c r="N19" s="130" t="str">
        <f ca="1">_xll.meLWOSwapCreateFromGenerator("USDSWAP"&amp;M19&amp;"_"&amp;G19,$H19,$I19,$J19,$B$8,$G19,$K19,$L19)</f>
        <v>USDSWAP15_40Y@7:1</v>
      </c>
      <c r="O19" s="131" t="s">
        <v>4</v>
      </c>
      <c r="P19" s="144">
        <f ca="1">_xll.meLWOSwapPV(N19,O19)</f>
        <v>488351.61966588022</v>
      </c>
      <c r="Q19" s="103">
        <f ca="1">_xll.meLWOSwapParRate(N19,O19)</f>
        <v>2.9617999999999894E-2</v>
      </c>
      <c r="S19" s="171" t="str">
        <f ca="1">'USD GLOBAL CURVE'!T38</f>
        <v>40Y</v>
      </c>
      <c r="T19" s="102">
        <f ca="1">'USD GLOBAL CURVE'!U38</f>
        <v>2.9618000000000002E-2</v>
      </c>
      <c r="U19" s="172">
        <f t="shared" ca="1" si="0"/>
        <v>1.0755285551056204E-12</v>
      </c>
    </row>
    <row r="20" spans="2:21">
      <c r="B20" s="132">
        <f ca="1">_xll.meDateFromTenor('USD GLOBAL CURVE'!$I$9,F20,"MOD_FOLLOWING",C20)</f>
        <v>43329</v>
      </c>
      <c r="C20" s="161" t="str">
        <f t="shared" ref="C20" ca="1" si="3">C19</f>
        <v>NYB:LNB</v>
      </c>
      <c r="D20" s="133">
        <f ca="1">_xll.meDateFromTenor(B20,G20,)</f>
        <v>61592</v>
      </c>
      <c r="E20" t="s">
        <v>12</v>
      </c>
      <c r="F20" s="134" t="s">
        <v>58</v>
      </c>
      <c r="G20" s="135" t="s">
        <v>29</v>
      </c>
      <c r="H20" s="136" t="s">
        <v>2</v>
      </c>
      <c r="I20" s="137" t="s">
        <v>96</v>
      </c>
      <c r="J20" s="138">
        <v>1000000</v>
      </c>
      <c r="K20" s="139">
        <v>0.01</v>
      </c>
      <c r="L20" s="140">
        <v>0</v>
      </c>
      <c r="M20" s="108">
        <v>16</v>
      </c>
      <c r="N20" s="141" t="str">
        <f ca="1">_xll.meLWOSwapCreateFromGenerator("USDSWAP"&amp;M20&amp;"_"&amp;G20,$H20,$I20,$J20,$B$8,$G20,$K20,$L20)</f>
        <v>USDSWAP16_50Y@6:1</v>
      </c>
      <c r="O20" s="142" t="s">
        <v>4</v>
      </c>
      <c r="P20" s="145">
        <f ca="1">_xll.meLWOSwapPV(N20,O20)</f>
        <v>550732.26782789454</v>
      </c>
      <c r="Q20" s="106">
        <f ca="1">_xll.meLWOSwapParRate(N20,O20)</f>
        <v>2.9617999999999849E-2</v>
      </c>
      <c r="S20" s="173" t="str">
        <f ca="1">'USD GLOBAL CURVE'!T39</f>
        <v>50Y</v>
      </c>
      <c r="T20" s="174">
        <f ca="1">'USD GLOBAL CURVE'!U39</f>
        <v>2.9618000000000002E-2</v>
      </c>
      <c r="U20" s="175">
        <f t="shared" ca="1" si="0"/>
        <v>1.5265566588595902E-12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5"/>
  <sheetViews>
    <sheetView showGridLines="0" workbookViewId="0"/>
  </sheetViews>
  <sheetFormatPr defaultRowHeight="15"/>
  <cols>
    <col min="2" max="2" width="22.42578125" customWidth="1"/>
    <col min="7" max="7" width="32.28515625" bestFit="1" customWidth="1"/>
    <col min="8" max="8" width="12.7109375" bestFit="1" customWidth="1"/>
    <col min="9" max="9" width="49.140625" bestFit="1" customWidth="1"/>
    <col min="10" max="10" width="12.7109375" bestFit="1" customWidth="1"/>
  </cols>
  <sheetData>
    <row r="2" spans="1:12">
      <c r="B2" s="82" t="s">
        <v>98</v>
      </c>
      <c r="C2" s="82" t="s">
        <v>99</v>
      </c>
      <c r="D2" s="1" t="s">
        <v>102</v>
      </c>
      <c r="E2" s="1" t="s">
        <v>101</v>
      </c>
      <c r="F2" s="1"/>
      <c r="G2" s="146" t="s">
        <v>100</v>
      </c>
      <c r="H2" s="146"/>
      <c r="I2" s="146"/>
      <c r="J2" s="146"/>
      <c r="K2" s="146"/>
      <c r="L2" s="146"/>
    </row>
    <row r="3" spans="1:12">
      <c r="A3" s="156">
        <v>1</v>
      </c>
      <c r="B3" s="179" t="str">
        <f ca="1">IF($E3,PRICING!$N5,"")</f>
        <v/>
      </c>
      <c r="C3" s="182" t="str">
        <f t="shared" ref="C3:C18" ca="1" si="0">IF($E3,"USDYC","")</f>
        <v/>
      </c>
      <c r="D3" s="157" t="str">
        <f ca="1">PRICING!$G5</f>
        <v>1Y</v>
      </c>
      <c r="E3" s="158" t="b">
        <v>0</v>
      </c>
      <c r="F3" s="1"/>
      <c r="G3" s="147" t="str">
        <f t="array" aca="1" ref="G3:L38" ca="1">_xll.meUtilityResize(_xll.meLWOSwapDeltaLadder(_xll.meUtilityClean(B3:B18),_xll.meUtilityClean(C3:C18)),100,10)</f>
        <v>USD : Pillars</v>
      </c>
      <c r="H3" s="120" t="str">
        <f ca="1"/>
        <v>USD : Total</v>
      </c>
      <c r="I3" s="148" t="str">
        <f ca="1"/>
        <v>USD : Pillars</v>
      </c>
      <c r="J3" s="120" t="str">
        <f ca="1"/>
        <v>USD : Total</v>
      </c>
      <c r="K3" s="148" t="str">
        <f ca="1"/>
        <v/>
      </c>
      <c r="L3" s="153" t="str">
        <f ca="1"/>
        <v/>
      </c>
    </row>
    <row r="4" spans="1:12">
      <c r="A4" s="156">
        <f t="shared" ref="A4:A18" ca="1" si="1">A3+1</f>
        <v>2</v>
      </c>
      <c r="B4" s="180" t="str">
        <f ca="1">IF($E4,PRICING!$N6,"")</f>
        <v/>
      </c>
      <c r="C4" s="183" t="str">
        <f t="shared" ca="1" si="0"/>
        <v/>
      </c>
      <c r="D4" s="157" t="str">
        <f ca="1">PRICING!$G6</f>
        <v>2Y</v>
      </c>
      <c r="E4" s="158" t="b">
        <v>0</v>
      </c>
      <c r="F4" s="1"/>
      <c r="G4" s="149" t="str">
        <f ca="1"/>
        <v>USDYC.OIS.OUTRIGHTOISSWAP.ON</v>
      </c>
      <c r="H4" s="144">
        <f ca="1"/>
        <v>-7.5986448791809394E-2</v>
      </c>
      <c r="I4" s="150" t="str">
        <f ca="1"/>
        <v>USDYC.STD.O_N</v>
      </c>
      <c r="J4" s="144">
        <f ca="1"/>
        <v>7.5669959187507603E-8</v>
      </c>
      <c r="K4" s="150" t="str">
        <f ca="1"/>
        <v/>
      </c>
      <c r="L4" s="154" t="str">
        <f ca="1"/>
        <v/>
      </c>
    </row>
    <row r="5" spans="1:12">
      <c r="A5" s="156">
        <f t="shared" ca="1" si="1"/>
        <v>3</v>
      </c>
      <c r="B5" s="180" t="str">
        <f ca="1">IF($E5,PRICING!$N7,"")</f>
        <v/>
      </c>
      <c r="C5" s="183" t="str">
        <f t="shared" ca="1" si="0"/>
        <v/>
      </c>
      <c r="D5" s="157" t="str">
        <f ca="1">PRICING!$G7</f>
        <v>3Y</v>
      </c>
      <c r="E5" s="158" t="b">
        <v>0</v>
      </c>
      <c r="F5" s="1"/>
      <c r="G5" s="149" t="str">
        <f ca="1"/>
        <v>USDYC.OIS.OUTRIGHTOISSWAP.1W</v>
      </c>
      <c r="H5" s="144">
        <f ca="1"/>
        <v>-8.7427906692027995E-6</v>
      </c>
      <c r="I5" s="150" t="str">
        <f ca="1"/>
        <v>USDYC.STD.T_N</v>
      </c>
      <c r="J5" s="144">
        <f ca="1"/>
        <v>-1.16415321826935E-8</v>
      </c>
      <c r="K5" s="150" t="str">
        <f ca="1"/>
        <v/>
      </c>
      <c r="L5" s="154" t="str">
        <f ca="1"/>
        <v/>
      </c>
    </row>
    <row r="6" spans="1:12">
      <c r="A6" s="156">
        <f t="shared" ca="1" si="1"/>
        <v>4</v>
      </c>
      <c r="B6" s="180" t="str">
        <f ca="1">IF($E6,PRICING!$N8,"")</f>
        <v/>
      </c>
      <c r="C6" s="183" t="str">
        <f t="shared" ca="1" si="0"/>
        <v/>
      </c>
      <c r="D6" s="157" t="str">
        <f ca="1">PRICING!$G8</f>
        <v>4Y</v>
      </c>
      <c r="E6" s="158" t="b">
        <v>0</v>
      </c>
      <c r="F6" s="1"/>
      <c r="G6" s="149" t="str">
        <f ca="1"/>
        <v>USDYC.OIS.OUTRIGHTOISSWAP.2W</v>
      </c>
      <c r="H6" s="144">
        <f ca="1"/>
        <v>6.2334584072232206E-5</v>
      </c>
      <c r="I6" s="150" t="str">
        <f ca="1"/>
        <v>USDYC.STD.LIBOR.3M</v>
      </c>
      <c r="J6" s="144">
        <f ca="1"/>
        <v>-1.2340995541308</v>
      </c>
      <c r="K6" s="150" t="str">
        <f ca="1"/>
        <v/>
      </c>
      <c r="L6" s="154" t="str">
        <f ca="1"/>
        <v/>
      </c>
    </row>
    <row r="7" spans="1:12">
      <c r="A7" s="156">
        <f t="shared" ca="1" si="1"/>
        <v>5</v>
      </c>
      <c r="B7" s="180" t="str">
        <f ca="1">IF($E7,PRICING!$N9,"")</f>
        <v/>
      </c>
      <c r="C7" s="183" t="str">
        <f t="shared" ca="1" si="0"/>
        <v/>
      </c>
      <c r="D7" s="157" t="str">
        <f ca="1">PRICING!$G9</f>
        <v>5Y</v>
      </c>
      <c r="E7" s="158" t="b">
        <v>0</v>
      </c>
      <c r="F7" s="1"/>
      <c r="G7" s="149" t="str">
        <f ca="1"/>
        <v>USDYC.OIS.OUTRIGHTOISSWAP.3W</v>
      </c>
      <c r="H7" s="144">
        <f ca="1"/>
        <v>-2.5462650228291701E-4</v>
      </c>
      <c r="I7" s="150" t="str">
        <f ca="1"/>
        <v>USDYC.STD.FUTURE.ED1 COMDTY.20180919.20181219</v>
      </c>
      <c r="J7" s="144">
        <f ca="1"/>
        <v>-0.39189055969473002</v>
      </c>
      <c r="K7" s="150" t="str">
        <f ca="1"/>
        <v/>
      </c>
      <c r="L7" s="154" t="str">
        <f ca="1"/>
        <v/>
      </c>
    </row>
    <row r="8" spans="1:12">
      <c r="A8" s="156">
        <f t="shared" ca="1" si="1"/>
        <v>6</v>
      </c>
      <c r="B8" s="180" t="str">
        <f ca="1">IF($E8,PRICING!$N10,"")</f>
        <v/>
      </c>
      <c r="C8" s="183" t="str">
        <f t="shared" ca="1" si="0"/>
        <v/>
      </c>
      <c r="D8" s="157" t="str">
        <f ca="1">PRICING!$G10</f>
        <v>7Y</v>
      </c>
      <c r="E8" s="158" t="b">
        <v>0</v>
      </c>
      <c r="F8" s="1"/>
      <c r="G8" s="149" t="str">
        <f ca="1"/>
        <v>USDYC.OIS.OUTRIGHTOISSWAP.1M</v>
      </c>
      <c r="H8" s="144">
        <f ca="1"/>
        <v>4.9443624448031198E-4</v>
      </c>
      <c r="I8" s="150" t="str">
        <f ca="1"/>
        <v>USDYC.STD.FUTURE.ED2 COMDTY.20181219.20190320</v>
      </c>
      <c r="J8" s="144">
        <f ca="1"/>
        <v>-1.17300918500405</v>
      </c>
      <c r="K8" s="150" t="str">
        <f ca="1"/>
        <v/>
      </c>
      <c r="L8" s="154" t="str">
        <f ca="1"/>
        <v/>
      </c>
    </row>
    <row r="9" spans="1:12">
      <c r="A9" s="156">
        <f t="shared" ca="1" si="1"/>
        <v>7</v>
      </c>
      <c r="B9" s="180" t="str">
        <f ca="1">IF($E9,PRICING!$N11,"")</f>
        <v>USDSWAP7_8Y@18:1</v>
      </c>
      <c r="C9" s="183" t="str">
        <f t="shared" ca="1" si="0"/>
        <v>USDYC</v>
      </c>
      <c r="D9" s="157" t="str">
        <f ca="1">PRICING!$G11</f>
        <v>8Y</v>
      </c>
      <c r="E9" s="158" t="b">
        <v>1</v>
      </c>
      <c r="F9" s="1"/>
      <c r="G9" s="149" t="str">
        <f ca="1"/>
        <v>USDYC.OIS.OUTRIGHTOISSWAP.2M</v>
      </c>
      <c r="H9" s="144">
        <f ca="1"/>
        <v>-1.85702228918672E-3</v>
      </c>
      <c r="I9" s="150" t="str">
        <f ca="1"/>
        <v>USDYC.STD.FUTURE.ED3 COMDTY.20190320.20190619</v>
      </c>
      <c r="J9" s="144">
        <f ca="1"/>
        <v>-1.19070734654088</v>
      </c>
      <c r="K9" s="150" t="str">
        <f ca="1"/>
        <v/>
      </c>
      <c r="L9" s="154" t="str">
        <f ca="1"/>
        <v/>
      </c>
    </row>
    <row r="10" spans="1:12">
      <c r="A10" s="156">
        <f t="shared" ca="1" si="1"/>
        <v>8</v>
      </c>
      <c r="B10" s="180" t="str">
        <f ca="1">IF($E10,PRICING!$N12,"")</f>
        <v/>
      </c>
      <c r="C10" s="183" t="str">
        <f t="shared" ca="1" si="0"/>
        <v/>
      </c>
      <c r="D10" s="157" t="str">
        <f ca="1">PRICING!$G12</f>
        <v>9Y</v>
      </c>
      <c r="E10" s="158" t="b">
        <v>0</v>
      </c>
      <c r="F10" s="1"/>
      <c r="G10" s="149" t="str">
        <f ca="1"/>
        <v>USDYC.OIS.OUTRIGHTOISSWAP.3M</v>
      </c>
      <c r="H10" s="144">
        <f ca="1"/>
        <v>1.6624640556983601E-2</v>
      </c>
      <c r="I10" s="150" t="str">
        <f ca="1"/>
        <v>USDYC.STD.FUTURE.ED4 COMDTY.20190619.20190918</v>
      </c>
      <c r="J10" s="144">
        <f ca="1"/>
        <v>-1.0556594206718699</v>
      </c>
      <c r="K10" s="150" t="str">
        <f ca="1"/>
        <v/>
      </c>
      <c r="L10" s="154" t="str">
        <f ca="1"/>
        <v/>
      </c>
    </row>
    <row r="11" spans="1:12">
      <c r="A11" s="156">
        <f t="shared" ca="1" si="1"/>
        <v>9</v>
      </c>
      <c r="B11" s="180" t="str">
        <f ca="1">IF($E11,PRICING!$N13,"")</f>
        <v/>
      </c>
      <c r="C11" s="183" t="str">
        <f t="shared" ca="1" si="0"/>
        <v/>
      </c>
      <c r="D11" s="157" t="str">
        <f ca="1">PRICING!$G13</f>
        <v>10Y</v>
      </c>
      <c r="E11" s="158" t="b">
        <v>0</v>
      </c>
      <c r="F11" s="1"/>
      <c r="G11" s="149" t="str">
        <f ca="1"/>
        <v>USDYC.OIS.OUTRIGHTOISSWAP.4M</v>
      </c>
      <c r="H11" s="144">
        <f ca="1"/>
        <v>-5.45729300938547E-2</v>
      </c>
      <c r="I11" s="150" t="str">
        <f ca="1"/>
        <v>USDYC.STD.FUTURE.ED5 COMDTY.20190918.20191218</v>
      </c>
      <c r="J11" s="144">
        <f ca="1"/>
        <v>-0.82597120199352503</v>
      </c>
      <c r="K11" s="150" t="str">
        <f ca="1"/>
        <v/>
      </c>
      <c r="L11" s="154" t="str">
        <f ca="1"/>
        <v/>
      </c>
    </row>
    <row r="12" spans="1:12">
      <c r="A12" s="156">
        <f t="shared" ca="1" si="1"/>
        <v>10</v>
      </c>
      <c r="B12" s="180" t="str">
        <f ca="1">IF($E12,PRICING!$N14,"")</f>
        <v/>
      </c>
      <c r="C12" s="183" t="str">
        <f t="shared" ca="1" si="0"/>
        <v/>
      </c>
      <c r="D12" s="157" t="str">
        <f ca="1">PRICING!$G14</f>
        <v>12Y</v>
      </c>
      <c r="E12" s="158" t="b">
        <v>0</v>
      </c>
      <c r="F12" s="1"/>
      <c r="G12" s="149" t="str">
        <f ca="1"/>
        <v>USDYC.OIS.OUTRIGHTOISSWAP.5M</v>
      </c>
      <c r="H12" s="144">
        <f ca="1"/>
        <v>0.23073203628882799</v>
      </c>
      <c r="I12" s="150" t="str">
        <f ca="1"/>
        <v>USDYC.STD.FUTURE.ED6 COMDTY.20191218.20200318</v>
      </c>
      <c r="J12" s="144">
        <f ca="1"/>
        <v>-0.817582017043605</v>
      </c>
      <c r="K12" s="150" t="str">
        <f ca="1"/>
        <v/>
      </c>
      <c r="L12" s="154" t="str">
        <f ca="1"/>
        <v/>
      </c>
    </row>
    <row r="13" spans="1:12">
      <c r="A13" s="156">
        <f t="shared" ca="1" si="1"/>
        <v>11</v>
      </c>
      <c r="B13" s="180" t="str">
        <f ca="1">IF($E13,PRICING!$N15,"")</f>
        <v/>
      </c>
      <c r="C13" s="183" t="str">
        <f t="shared" ca="1" si="0"/>
        <v/>
      </c>
      <c r="D13" s="157" t="str">
        <f ca="1">PRICING!$G15</f>
        <v>15Y</v>
      </c>
      <c r="E13" s="158" t="b">
        <v>0</v>
      </c>
      <c r="F13" s="1"/>
      <c r="G13" s="149" t="str">
        <f ca="1"/>
        <v>USDYC.OIS.OUTRIGHTOISSWAP.6M</v>
      </c>
      <c r="H13" s="144">
        <f ca="1"/>
        <v>-0.64800564723554999</v>
      </c>
      <c r="I13" s="150" t="str">
        <f ca="1"/>
        <v>USDYC.STD.FUTURE.ED7 COMDTY.20200318.20200617</v>
      </c>
      <c r="J13" s="144">
        <f ca="1"/>
        <v>-0.81053510657511596</v>
      </c>
      <c r="K13" s="150" t="str">
        <f ca="1"/>
        <v/>
      </c>
      <c r="L13" s="154" t="str">
        <f ca="1"/>
        <v/>
      </c>
    </row>
    <row r="14" spans="1:12">
      <c r="A14" s="156">
        <f t="shared" ca="1" si="1"/>
        <v>12</v>
      </c>
      <c r="B14" s="180" t="str">
        <f ca="1">IF($E14,PRICING!$N16,"")</f>
        <v/>
      </c>
      <c r="C14" s="183" t="str">
        <f t="shared" ca="1" si="0"/>
        <v/>
      </c>
      <c r="D14" s="157" t="str">
        <f ca="1">PRICING!$G16</f>
        <v>20Y</v>
      </c>
      <c r="E14" s="158" t="b">
        <v>0</v>
      </c>
      <c r="F14" s="1"/>
      <c r="G14" s="149" t="str">
        <f ca="1"/>
        <v>USDYC.OIS.OUTRIGHTOISSWAP.9M</v>
      </c>
      <c r="H14" s="144">
        <f ca="1"/>
        <v>0.19765085889957801</v>
      </c>
      <c r="I14" s="150" t="str">
        <f ca="1"/>
        <v>USDYC.STD.FUTURE.ED8 COMDTY.20200617.20200916</v>
      </c>
      <c r="J14" s="144">
        <f ca="1"/>
        <v>-0.68174648622516498</v>
      </c>
      <c r="K14" s="150" t="str">
        <f ca="1"/>
        <v/>
      </c>
      <c r="L14" s="154" t="str">
        <f ca="1"/>
        <v/>
      </c>
    </row>
    <row r="15" spans="1:12">
      <c r="A15" s="156">
        <f t="shared" ca="1" si="1"/>
        <v>13</v>
      </c>
      <c r="B15" s="180" t="str">
        <f ca="1">IF($E15,PRICING!$N17,"")</f>
        <v/>
      </c>
      <c r="C15" s="183" t="str">
        <f t="shared" ca="1" si="0"/>
        <v/>
      </c>
      <c r="D15" s="157" t="str">
        <f ca="1">PRICING!$G17</f>
        <v>25Y</v>
      </c>
      <c r="E15" s="158" t="b">
        <v>0</v>
      </c>
      <c r="F15" s="1"/>
      <c r="G15" s="149" t="str">
        <f ca="1"/>
        <v>USDYC.OIS.BASISRATE.1Y</v>
      </c>
      <c r="H15" s="144">
        <f ca="1"/>
        <v>1.3974858651636199</v>
      </c>
      <c r="I15" s="150" t="str">
        <f ca="1"/>
        <v>USDYC.STD.FUTURE.ED9 COMDTY.20200916.20201216</v>
      </c>
      <c r="J15" s="144">
        <f ca="1"/>
        <v>-0.418657943373546</v>
      </c>
      <c r="K15" s="150" t="str">
        <f ca="1"/>
        <v/>
      </c>
      <c r="L15" s="154" t="str">
        <f ca="1"/>
        <v/>
      </c>
    </row>
    <row r="16" spans="1:12">
      <c r="A16" s="156">
        <f t="shared" ca="1" si="1"/>
        <v>14</v>
      </c>
      <c r="B16" s="180" t="str">
        <f ca="1">IF($E16,PRICING!$N18,"")</f>
        <v/>
      </c>
      <c r="C16" s="183" t="str">
        <f t="shared" ca="1" si="0"/>
        <v/>
      </c>
      <c r="D16" s="157" t="str">
        <f ca="1">PRICING!$G18</f>
        <v>30Y</v>
      </c>
      <c r="E16" s="158" t="b">
        <v>0</v>
      </c>
      <c r="F16" s="1"/>
      <c r="G16" s="149" t="str">
        <f ca="1"/>
        <v>USDYC.OIS.BASISRATE.2Y</v>
      </c>
      <c r="H16" s="144">
        <f ca="1"/>
        <v>3.1733764830278202</v>
      </c>
      <c r="I16" s="150" t="str">
        <f ca="1"/>
        <v>USDYC.STD.FUTURE.ED10 COMDTY.20201216.20210317</v>
      </c>
      <c r="J16" s="144">
        <f ca="1"/>
        <v>-0.41591902263462499</v>
      </c>
      <c r="K16" s="150" t="str">
        <f ca="1"/>
        <v/>
      </c>
      <c r="L16" s="154" t="str">
        <f ca="1"/>
        <v/>
      </c>
    </row>
    <row r="17" spans="1:12">
      <c r="A17" s="156">
        <f t="shared" ca="1" si="1"/>
        <v>15</v>
      </c>
      <c r="B17" s="180" t="str">
        <f ca="1">IF($E17,PRICING!$N19,"")</f>
        <v/>
      </c>
      <c r="C17" s="183" t="str">
        <f t="shared" ca="1" si="0"/>
        <v/>
      </c>
      <c r="D17" s="157" t="str">
        <f ca="1">PRICING!$G19</f>
        <v>40Y</v>
      </c>
      <c r="E17" s="158" t="b">
        <v>0</v>
      </c>
      <c r="F17" s="1"/>
      <c r="G17" s="149" t="str">
        <f ca="1"/>
        <v>USDYC.OIS.BASISRATE.3Y</v>
      </c>
      <c r="H17" s="144">
        <f ca="1"/>
        <v>5.1366403407882801</v>
      </c>
      <c r="I17" s="150" t="str">
        <f ca="1"/>
        <v>USDYC.STD.FUTURE.ED11 COMDTY.20210317.20210616</v>
      </c>
      <c r="J17" s="144">
        <f ca="1"/>
        <v>-0.41380627662874803</v>
      </c>
      <c r="K17" s="150" t="str">
        <f ca="1"/>
        <v/>
      </c>
      <c r="L17" s="154" t="str">
        <f ca="1"/>
        <v/>
      </c>
    </row>
    <row r="18" spans="1:12">
      <c r="A18" s="156">
        <f t="shared" ca="1" si="1"/>
        <v>16</v>
      </c>
      <c r="B18" s="181" t="str">
        <f ca="1">IF($E18,PRICING!$N20,"")</f>
        <v/>
      </c>
      <c r="C18" s="184" t="str">
        <f t="shared" ca="1" si="0"/>
        <v/>
      </c>
      <c r="D18" s="157" t="str">
        <f ca="1">PRICING!$G20</f>
        <v>50Y</v>
      </c>
      <c r="E18" s="158" t="b">
        <v>0</v>
      </c>
      <c r="F18" s="1"/>
      <c r="G18" s="149" t="str">
        <f ca="1"/>
        <v>USDYC.OIS.BASISRATE.4Y</v>
      </c>
      <c r="H18" s="144">
        <f ca="1"/>
        <v>4.9790367862442499</v>
      </c>
      <c r="I18" s="150" t="str">
        <f ca="1"/>
        <v>USDYC.STD.FUTURE.ED12 COMDTY.20210616.20210915</v>
      </c>
      <c r="J18" s="144">
        <f ca="1"/>
        <v>-0.280230949283578</v>
      </c>
      <c r="K18" s="150" t="str">
        <f ca="1"/>
        <v/>
      </c>
      <c r="L18" s="154" t="str">
        <f ca="1"/>
        <v/>
      </c>
    </row>
    <row r="19" spans="1:12">
      <c r="F19" s="1"/>
      <c r="G19" s="149" t="str">
        <f ca="1"/>
        <v>USDYC.OIS.BASISRATE.5Y</v>
      </c>
      <c r="H19" s="144">
        <f ca="1"/>
        <v>13.1539862661156</v>
      </c>
      <c r="I19" s="150" t="str">
        <f ca="1"/>
        <v>USDYC.STD.3MLIBORSWAP.4Y</v>
      </c>
      <c r="J19" s="144">
        <f ca="1"/>
        <v>-4.8932638514088502</v>
      </c>
      <c r="K19" s="150" t="str">
        <f ca="1"/>
        <v/>
      </c>
      <c r="L19" s="154" t="str">
        <f ca="1"/>
        <v/>
      </c>
    </row>
    <row r="20" spans="1:12">
      <c r="F20" s="1"/>
      <c r="G20" s="149" t="str">
        <f ca="1"/>
        <v>USDYC.OIS.BASISRATE.7Y</v>
      </c>
      <c r="H20" s="144">
        <f ca="1"/>
        <v>26.147847660467999</v>
      </c>
      <c r="I20" s="150" t="str">
        <f ca="1"/>
        <v>USDYC.STD.3MLIBORSWAP.5Y</v>
      </c>
      <c r="J20" s="144">
        <f ca="1"/>
        <v>-12.9148127249209</v>
      </c>
      <c r="K20" s="150" t="str">
        <f ca="1"/>
        <v/>
      </c>
      <c r="L20" s="154" t="str">
        <f ca="1"/>
        <v/>
      </c>
    </row>
    <row r="21" spans="1:12">
      <c r="F21" s="1"/>
      <c r="G21" s="149" t="str">
        <f ca="1"/>
        <v>USDYC.OIS.BASISRATE.10Y</v>
      </c>
      <c r="H21" s="144">
        <f ca="1"/>
        <v>3.4842124528950098</v>
      </c>
      <c r="I21" s="150" t="str">
        <f ca="1"/>
        <v>USDYC.STD.3MLIBORSWAP.7Y</v>
      </c>
      <c r="J21" s="144">
        <f ca="1"/>
        <v>-25.7052602537441</v>
      </c>
      <c r="K21" s="150" t="str">
        <f ca="1"/>
        <v/>
      </c>
      <c r="L21" s="154" t="str">
        <f ca="1"/>
        <v/>
      </c>
    </row>
    <row r="22" spans="1:12">
      <c r="F22" s="1"/>
      <c r="G22" s="149" t="str">
        <f ca="1"/>
        <v>USDYC.OIS.BASISRATE.12Y</v>
      </c>
      <c r="H22" s="144">
        <f ca="1"/>
        <v>-1.31433889910113</v>
      </c>
      <c r="I22" s="150" t="str">
        <f ca="1"/>
        <v>USDYC.STD.3MLIBORSWAP.8Y</v>
      </c>
      <c r="J22" s="144">
        <f ca="1"/>
        <v>719.39383421558796</v>
      </c>
      <c r="K22" s="150" t="str">
        <f ca="1"/>
        <v/>
      </c>
      <c r="L22" s="154" t="str">
        <f ca="1"/>
        <v/>
      </c>
    </row>
    <row r="23" spans="1:12">
      <c r="F23" s="1"/>
      <c r="G23" s="149" t="str">
        <f ca="1"/>
        <v>USDYC.OIS.BASISRATE.15Y</v>
      </c>
      <c r="H23" s="144">
        <f ca="1"/>
        <v>0.23564890725538101</v>
      </c>
      <c r="I23" s="150" t="str">
        <f ca="1"/>
        <v>USDYC.STD.3MLIBORSWAP.9Y</v>
      </c>
      <c r="J23" s="144">
        <f ca="1"/>
        <v>-7.7564676757901898E-3</v>
      </c>
      <c r="K23" s="150" t="str">
        <f ca="1"/>
        <v/>
      </c>
      <c r="L23" s="154" t="str">
        <f ca="1"/>
        <v/>
      </c>
    </row>
    <row r="24" spans="1:12">
      <c r="F24" s="1"/>
      <c r="G24" s="149" t="str">
        <f ca="1"/>
        <v>USDYC.OIS.BASISRATE.20Y</v>
      </c>
      <c r="H24" s="144">
        <f ca="1"/>
        <v>-4.5689957914873999E-2</v>
      </c>
      <c r="I24" s="150" t="str">
        <f ca="1"/>
        <v>USDYC.STD.3MLIBORSWAP.10Y</v>
      </c>
      <c r="J24" s="144">
        <f ca="1"/>
        <v>-3.4196282591437899</v>
      </c>
      <c r="K24" s="150" t="str">
        <f ca="1"/>
        <v/>
      </c>
      <c r="L24" s="154" t="str">
        <f ca="1"/>
        <v/>
      </c>
    </row>
    <row r="25" spans="1:12">
      <c r="F25" s="1"/>
      <c r="G25" s="149" t="str">
        <f ca="1"/>
        <v>USDYC.OIS.BASISRATE.25Y</v>
      </c>
      <c r="H25" s="144">
        <f ca="1"/>
        <v>1.48859922774136E-2</v>
      </c>
      <c r="I25" s="150" t="str">
        <f ca="1"/>
        <v>USDYC.STD.3MLIBORSWAP.12Y</v>
      </c>
      <c r="J25" s="144">
        <f ca="1"/>
        <v>1.2937365274410599</v>
      </c>
      <c r="K25" s="150" t="str">
        <f ca="1"/>
        <v/>
      </c>
      <c r="L25" s="154" t="str">
        <f ca="1"/>
        <v/>
      </c>
    </row>
    <row r="26" spans="1:12">
      <c r="F26" s="1"/>
      <c r="G26" s="149" t="str">
        <f ca="1"/>
        <v>USDYC.OIS.BASISRATE.30Y</v>
      </c>
      <c r="H26" s="144">
        <f ca="1"/>
        <v>-1.8737802747637001E-3</v>
      </c>
      <c r="I26" s="150" t="str">
        <f ca="1"/>
        <v>USDYC.STD.3MLIBORSWAP.15Y</v>
      </c>
      <c r="J26" s="144">
        <f ca="1"/>
        <v>-0.23759035975672299</v>
      </c>
      <c r="K26" s="150" t="str">
        <f ca="1"/>
        <v/>
      </c>
      <c r="L26" s="154" t="str">
        <f ca="1"/>
        <v/>
      </c>
    </row>
    <row r="27" spans="1:12">
      <c r="F27" s="1"/>
      <c r="G27" s="149" t="str">
        <f ca="1"/>
        <v>USDYC.OIS.BASISRATE.40Y</v>
      </c>
      <c r="H27" s="144">
        <f ca="1"/>
        <v>-3.0434428481385099E-3</v>
      </c>
      <c r="I27" s="150" t="str">
        <f ca="1"/>
        <v>USDYC.STD.3MLIBORSWAP.20Y</v>
      </c>
      <c r="J27" s="144">
        <f ca="1"/>
        <v>5.39493776159361E-2</v>
      </c>
      <c r="K27" s="150" t="str">
        <f ca="1"/>
        <v/>
      </c>
      <c r="L27" s="154" t="str">
        <f ca="1"/>
        <v/>
      </c>
    </row>
    <row r="28" spans="1:12">
      <c r="F28" s="1"/>
      <c r="G28" s="149" t="str">
        <f ca="1"/>
        <v>USDYC.OIS.BASISRATE.50Y</v>
      </c>
      <c r="H28" s="144">
        <f ca="1"/>
        <v>-1.0066811228171E-3</v>
      </c>
      <c r="I28" s="150" t="str">
        <f ca="1"/>
        <v>USDYC.STD.3MLIBORSWAP.25Y</v>
      </c>
      <c r="J28" s="144">
        <f ca="1"/>
        <v>-2.7269020210951601E-2</v>
      </c>
      <c r="K28" s="150" t="str">
        <f ca="1"/>
        <v/>
      </c>
      <c r="L28" s="154" t="str">
        <f ca="1"/>
        <v/>
      </c>
    </row>
    <row r="29" spans="1:12">
      <c r="F29" s="1"/>
      <c r="G29" s="149" t="str">
        <f ca="1"/>
        <v>USDYC.OIS.BASISRATE.51Y</v>
      </c>
      <c r="H29" s="144">
        <f ca="1"/>
        <v>7.8400189522653796E-4</v>
      </c>
      <c r="I29" s="150" t="str">
        <f ca="1"/>
        <v>USDYC.STD.3MLIBORSWAP.30Y</v>
      </c>
      <c r="J29" s="144">
        <f ca="1"/>
        <v>2.04125506570563E-2</v>
      </c>
      <c r="K29" s="150" t="str">
        <f ca="1"/>
        <v/>
      </c>
      <c r="L29" s="154" t="str">
        <f ca="1"/>
        <v/>
      </c>
    </row>
    <row r="30" spans="1:12">
      <c r="F30" s="1"/>
      <c r="G30" s="149" t="str">
        <f ca="1"/>
        <v/>
      </c>
      <c r="H30" s="144" t="str">
        <f ca="1"/>
        <v/>
      </c>
      <c r="I30" s="150" t="str">
        <f ca="1"/>
        <v>USDYC.STD.3MLIBORSWAP.40Y</v>
      </c>
      <c r="J30" s="144">
        <f ca="1"/>
        <v>-1.7852053861133799E-2</v>
      </c>
      <c r="K30" s="150" t="str">
        <f ca="1"/>
        <v/>
      </c>
      <c r="L30" s="154" t="str">
        <f ca="1"/>
        <v/>
      </c>
    </row>
    <row r="31" spans="1:12">
      <c r="F31" s="1"/>
      <c r="G31" s="149" t="str">
        <f ca="1"/>
        <v/>
      </c>
      <c r="H31" s="144" t="str">
        <f ca="1"/>
        <v/>
      </c>
      <c r="I31" s="150" t="str">
        <f ca="1"/>
        <v>USDYC.STD.3MLIBORSWAP.50Y</v>
      </c>
      <c r="J31" s="144">
        <f ca="1"/>
        <v>9.9028402473777489E-4</v>
      </c>
      <c r="K31" s="150" t="str">
        <f ca="1"/>
        <v/>
      </c>
      <c r="L31" s="154" t="str">
        <f ca="1"/>
        <v/>
      </c>
    </row>
    <row r="32" spans="1:12">
      <c r="F32" s="1"/>
      <c r="G32" s="149" t="str">
        <f ca="1"/>
        <v/>
      </c>
      <c r="H32" s="144" t="str">
        <f ca="1"/>
        <v/>
      </c>
      <c r="I32" s="150" t="str">
        <f ca="1"/>
        <v>USDYC.STD.3MLIBORSWAP.51Y</v>
      </c>
      <c r="J32" s="144">
        <f ca="1"/>
        <v>-7.7187141869217201E-4</v>
      </c>
      <c r="K32" s="150" t="str">
        <f ca="1"/>
        <v/>
      </c>
      <c r="L32" s="154" t="str">
        <f ca="1"/>
        <v/>
      </c>
    </row>
    <row r="33" spans="6:12">
      <c r="F33" s="1"/>
      <c r="G33" s="149" t="str">
        <f ca="1"/>
        <v/>
      </c>
      <c r="H33" s="144" t="str">
        <f ca="1"/>
        <v/>
      </c>
      <c r="I33" s="150" t="str">
        <f ca="1"/>
        <v/>
      </c>
      <c r="J33" s="144" t="str">
        <f ca="1"/>
        <v/>
      </c>
      <c r="K33" s="150" t="str">
        <f ca="1"/>
        <v/>
      </c>
      <c r="L33" s="154" t="str">
        <f ca="1"/>
        <v/>
      </c>
    </row>
    <row r="34" spans="6:12">
      <c r="F34" s="1"/>
      <c r="G34" s="149" t="str">
        <f ca="1"/>
        <v/>
      </c>
      <c r="H34" s="144" t="str">
        <f ca="1"/>
        <v/>
      </c>
      <c r="I34" s="150" t="str">
        <f ca="1"/>
        <v/>
      </c>
      <c r="J34" s="144" t="str">
        <f ca="1"/>
        <v/>
      </c>
      <c r="K34" s="150" t="str">
        <f ca="1"/>
        <v/>
      </c>
      <c r="L34" s="154" t="str">
        <f ca="1"/>
        <v/>
      </c>
    </row>
    <row r="35" spans="6:12">
      <c r="F35" s="1"/>
      <c r="G35" s="149" t="str">
        <f ca="1"/>
        <v/>
      </c>
      <c r="H35" s="144" t="str">
        <f ca="1"/>
        <v/>
      </c>
      <c r="I35" s="150" t="str">
        <f ca="1"/>
        <v/>
      </c>
      <c r="J35" s="144" t="str">
        <f ca="1"/>
        <v/>
      </c>
      <c r="K35" s="150" t="str">
        <f ca="1"/>
        <v/>
      </c>
      <c r="L35" s="154" t="str">
        <f ca="1"/>
        <v/>
      </c>
    </row>
    <row r="36" spans="6:12">
      <c r="F36" s="1"/>
      <c r="G36" s="149" t="str">
        <f ca="1"/>
        <v/>
      </c>
      <c r="H36" s="144" t="str">
        <f ca="1"/>
        <v/>
      </c>
      <c r="I36" s="150" t="str">
        <f ca="1"/>
        <v/>
      </c>
      <c r="J36" s="144" t="str">
        <f ca="1"/>
        <v/>
      </c>
      <c r="K36" s="150" t="str">
        <f ca="1"/>
        <v/>
      </c>
      <c r="L36" s="154" t="str">
        <f ca="1"/>
        <v/>
      </c>
    </row>
    <row r="37" spans="6:12">
      <c r="F37" s="1"/>
      <c r="G37" s="149" t="str">
        <f ca="1"/>
        <v/>
      </c>
      <c r="H37" s="144" t="str">
        <f ca="1"/>
        <v/>
      </c>
      <c r="I37" s="150" t="str">
        <f ca="1"/>
        <v/>
      </c>
      <c r="J37" s="144" t="str">
        <f ca="1"/>
        <v/>
      </c>
      <c r="K37" s="150" t="str">
        <f ca="1"/>
        <v/>
      </c>
      <c r="L37" s="154" t="str">
        <f ca="1"/>
        <v/>
      </c>
    </row>
    <row r="38" spans="6:12">
      <c r="F38" s="1"/>
      <c r="G38" s="151" t="str">
        <f ca="1"/>
        <v/>
      </c>
      <c r="H38" s="145" t="str">
        <f ca="1"/>
        <v/>
      </c>
      <c r="I38" s="152" t="str">
        <f ca="1"/>
        <v/>
      </c>
      <c r="J38" s="145" t="str">
        <f ca="1"/>
        <v/>
      </c>
      <c r="K38" s="152" t="str">
        <f ca="1"/>
        <v/>
      </c>
      <c r="L38" s="155" t="str">
        <f ca="1"/>
        <v/>
      </c>
    </row>
    <row r="39" spans="6:12">
      <c r="F39" s="1"/>
    </row>
    <row r="40" spans="6:12">
      <c r="F40" s="1"/>
    </row>
    <row r="41" spans="6:12">
      <c r="F41" s="1"/>
    </row>
    <row r="42" spans="6:12">
      <c r="F42" s="1"/>
    </row>
    <row r="43" spans="6:12">
      <c r="F43" s="1"/>
    </row>
    <row r="44" spans="6:12">
      <c r="F44" s="1"/>
    </row>
    <row r="45" spans="6:12">
      <c r="F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USD GLOBAL CURVE</vt:lpstr>
      <vt:lpstr>DISPLAY_CURVE</vt:lpstr>
      <vt:lpstr>PRICING</vt:lpstr>
      <vt:lpstr>RISK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Burgess Nicholas</cp:lastModifiedBy>
  <dcterms:created xsi:type="dcterms:W3CDTF">2017-08-10T11:56:55Z</dcterms:created>
  <dcterms:modified xsi:type="dcterms:W3CDTF">2019-09-27T16:50:03Z</dcterms:modified>
</cp:coreProperties>
</file>