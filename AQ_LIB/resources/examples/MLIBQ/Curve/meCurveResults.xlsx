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0700" windowHeight="11760"/>
  </bookViews>
  <sheets>
    <sheet name="DiscountFactors" sheetId="1" r:id="rId1"/>
  </sheets>
  <externalReferences>
    <externalReference r:id="rId2"/>
  </externalReferences>
  <definedNames>
    <definedName name="BUMP_SIZE">[1]Settings!$B$6</definedName>
    <definedName name="CurveJacobian_FlatShift_DiscountFactors">[1]USD_CURVE_OIS_DF_JACOBIAN!$AF$4:$AG$11</definedName>
  </definedNames>
  <calcPr calcId="145621" calcMode="manual" calcCompleted="0" calcOnSave="0" concurrentCalc="0"/>
</workbook>
</file>

<file path=xl/calcChain.xml><?xml version="1.0" encoding="utf-8"?>
<calcChain xmlns="http://schemas.openxmlformats.org/spreadsheetml/2006/main">
  <c r="O25" i="1" l="1" a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L25" i="1" a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H25" i="1" a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C15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B3" i="1" a="1"/>
  <c r="B3" i="1"/>
  <c r="B4" i="1"/>
  <c r="F15" i="1"/>
  <c r="F8" i="1"/>
  <c r="F7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</calcChain>
</file>

<file path=xl/sharedStrings.xml><?xml version="1.0" encoding="utf-8"?>
<sst xmlns="http://schemas.openxmlformats.org/spreadsheetml/2006/main" count="86" uniqueCount="35">
  <si>
    <t>CurveCollection</t>
  </si>
  <si>
    <t>CurveIndex</t>
  </si>
  <si>
    <t>AsOfDate</t>
  </si>
  <si>
    <t>JoinDate</t>
  </si>
  <si>
    <t>InterpolationMethod</t>
  </si>
  <si>
    <t>PaymentDate</t>
  </si>
  <si>
    <t>DiscountFactor</t>
  </si>
  <si>
    <t>ForwardRate</t>
  </si>
  <si>
    <t>SPLINE</t>
  </si>
  <si>
    <t>USDYC</t>
  </si>
  <si>
    <t>OIS</t>
  </si>
  <si>
    <t>Interpolation</t>
  </si>
  <si>
    <t>DELETE / DELETE ALL</t>
  </si>
  <si>
    <t>UPDATE CURVE RESULTS</t>
  </si>
  <si>
    <t>PARAMETER LVB</t>
  </si>
  <si>
    <t>CURVE LVB</t>
  </si>
  <si>
    <t>DISCOUNT FACTOR LVB</t>
  </si>
  <si>
    <t>FORWARD RATE LVB</t>
  </si>
  <si>
    <t>DISPLAY DISCOUNT FACTORS</t>
  </si>
  <si>
    <t>ENABLE</t>
  </si>
  <si>
    <t xml:space="preserve"> </t>
  </si>
  <si>
    <t>CurveTenor</t>
  </si>
  <si>
    <t>1D</t>
  </si>
  <si>
    <t>CurveType</t>
  </si>
  <si>
    <t>OIS_CURVE</t>
  </si>
  <si>
    <t>SpotDate</t>
  </si>
  <si>
    <t>Daycount</t>
  </si>
  <si>
    <t>ACT/360</t>
  </si>
  <si>
    <t>FixingDate</t>
  </si>
  <si>
    <t>FixingBusinessDayAdjustment</t>
  </si>
  <si>
    <t>FixingCalendar</t>
  </si>
  <si>
    <t>MOD_FOLLOWING</t>
  </si>
  <si>
    <t>NYB</t>
  </si>
  <si>
    <t>DISPLAY ALL DISCOUNT FACTORS</t>
  </si>
  <si>
    <t>DISPLAY IMPLIED FORWARD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</si>
</sst>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d\,\ d\-mmm\-yy"/>
    <numFmt numFmtId="165" formatCode="0.000%"/>
    <numFmt numFmtId="166" formatCode="#,##0.000000"/>
    <numFmt numFmtId="167" formatCode="0.00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2" fillId="4" borderId="0" xfId="0" applyFont="1" applyFill="1"/>
    <xf numFmtId="0" fontId="1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166" fontId="2" fillId="4" borderId="0" xfId="0" applyNumberFormat="1" applyFon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167" fontId="2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SD_SWAP_CURVE_JACOBIA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USD_OIS_CURVE"/>
      <sheetName val="USD_CURVE_DISPLAY"/>
      <sheetName val="USD_CURVE_OIS_DF_JACOBIAN"/>
      <sheetName val="USD_CURVE_OIS_FWD_JACOBIAN"/>
      <sheetName val="USD_OIS_JACOBIAN_IMPLIED_FWDS"/>
      <sheetName val="USD_OIS_SWAPS"/>
      <sheetName val="USD_5Y_OIS_RISK"/>
      <sheetName val="USD_OIS_JACOBIAN_RISK"/>
      <sheetName val="USD_SWAP_CURVE"/>
      <sheetName val="USD_CURVE_LIBOR_FWD_JACOBIAN"/>
      <sheetName val="USD_IRS_SWAPS"/>
      <sheetName val="USD_5Y_IRS_RISK"/>
      <sheetName val="USD_5Y_JACOBIAN_RISK"/>
    </sheetNames>
    <sheetDataSet>
      <sheetData sheetId="0">
        <row r="6">
          <cell r="B6">
            <v>9.9999999999999995E-7</v>
          </cell>
        </row>
      </sheetData>
      <sheetData sheetId="1"/>
      <sheetData sheetId="2"/>
      <sheetData sheetId="3">
        <row r="4">
          <cell r="AF4">
            <v>0</v>
          </cell>
          <cell r="AG4">
            <v>0</v>
          </cell>
        </row>
        <row r="5">
          <cell r="AF5">
            <v>8.21917808219178E-3</v>
          </cell>
          <cell r="AG5">
            <v>-8.3299940600856104E-7</v>
          </cell>
        </row>
        <row r="6">
          <cell r="AF6">
            <v>1.0958904109589041E-2</v>
          </cell>
          <cell r="AG6">
            <v>-1.1106287753914756E-6</v>
          </cell>
        </row>
        <row r="7">
          <cell r="AF7">
            <v>1.0136986301369864</v>
          </cell>
          <cell r="AG7">
            <v>-1.008648547220492E-4</v>
          </cell>
        </row>
        <row r="8">
          <cell r="AF8">
            <v>2.0136986301369864</v>
          </cell>
          <cell r="AG8">
            <v>-1.9721031414754453E-4</v>
          </cell>
        </row>
        <row r="9">
          <cell r="AF9">
            <v>3.0191780821917806</v>
          </cell>
          <cell r="AG9">
            <v>-2.910518279292118E-4</v>
          </cell>
        </row>
        <row r="10">
          <cell r="AF10">
            <v>4.0164383561643842</v>
          </cell>
          <cell r="AG10">
            <v>-3.81004379397476E-4</v>
          </cell>
        </row>
        <row r="11">
          <cell r="AF11">
            <v>5.0164383561643842</v>
          </cell>
          <cell r="AG11">
            <v>-4.6785586492192888E-4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43"/>
  <sheetViews>
    <sheetView tabSelected="1" workbookViewId="0"/>
  </sheetViews>
  <sheetFormatPr defaultRowHeight="15" x14ac:dyDescent="0.25"/>
  <cols>
    <col min="1" max="1" width="9.140625" customWidth="1"/>
    <col min="2" max="2" width="15.7109375" customWidth="1"/>
    <col min="3" max="3" width="18.42578125" customWidth="1"/>
    <col min="4" max="4" width="9.140625" customWidth="1"/>
    <col min="5" max="5" width="20" bestFit="1" customWidth="1"/>
    <col min="6" max="6" width="14" bestFit="1" customWidth="1"/>
    <col min="7" max="7" width="9.140625" customWidth="1"/>
    <col min="8" max="8" width="18.7109375" customWidth="1"/>
    <col min="9" max="9" width="14.28515625" bestFit="1" customWidth="1"/>
    <col min="10" max="10" width="9.140625" customWidth="1"/>
    <col min="11" max="11" width="18" customWidth="1"/>
    <col min="12" max="12" width="14.28515625" bestFit="1" customWidth="1"/>
    <col min="13" max="13" width="9.140625" customWidth="1"/>
    <col min="14" max="15" width="15.7109375" customWidth="1"/>
    <col min="16" max="16" width="9.140625" customWidth="1"/>
  </cols>
  <sheetData>
    <row r="2" spans="2:6" x14ac:dyDescent="0.25">
      <c r="B2" s="1" t="s">
        <v>13</v>
      </c>
      <c r="F2" s="13" t="s">
        <v>19</v>
      </c>
    </row>
    <row r="3" spans="2:6" x14ac:dyDescent="0.25">
      <c r="B3" s="9" t="str">
        <f t="array" aca="1" ref="B3:B4" ca="1">IF(F3,_xll.meCurveResultsDiscountFactorsUpdate(B7:C10,B14:C20,B25:C43),"Disabled")</f>
        <v>Curve Discount Factor Results Updated: USDYC:OIS:6</v>
      </c>
      <c r="C3" s="7"/>
      <c r="F3" s="14" t="b">
        <v>1</v>
      </c>
    </row>
    <row r="4" spans="2:6" x14ac:dyDescent="0.25">
      <c r="B4" s="7" t="str">
        <f ca="1"/>
        <v>Time Taken: 0.000000 seconds</v>
      </c>
      <c r="C4" s="7"/>
    </row>
    <row r="6" spans="2:6" x14ac:dyDescent="0.25">
      <c r="B6" s="1" t="s">
        <v>15</v>
      </c>
      <c r="E6" s="13" t="s">
        <v>19</v>
      </c>
      <c r="F6" s="1" t="s">
        <v>12</v>
      </c>
    </row>
    <row r="7" spans="2:6" x14ac:dyDescent="0.25">
      <c r="B7" t="s">
        <v>0</v>
      </c>
      <c r="C7" s="4" t="s">
        <v>9</v>
      </c>
      <c r="E7" s="3" t="b">
        <v>0</v>
      </c>
      <c r="F7" s="7" t="str">
        <f>IF(E7,_xll.meCurveResultsDelete(C7,C8),"Disabled")</f>
        <v>Disabled</v>
      </c>
    </row>
    <row r="8" spans="2:6" x14ac:dyDescent="0.25">
      <c r="B8" t="s">
        <v>1</v>
      </c>
      <c r="C8" s="4" t="s">
        <v>10</v>
      </c>
      <c r="E8" s="3" t="b">
        <v>0</v>
      </c>
      <c r="F8" s="7" t="str">
        <f>IF(E8,_xll.meCurveResultsDeleteAll(),"Disabled")</f>
        <v>Disabled</v>
      </c>
    </row>
    <row r="9" spans="2:6" x14ac:dyDescent="0.25">
      <c r="B9" t="s">
        <v>21</v>
      </c>
      <c r="C9" s="4" t="s">
        <v>22</v>
      </c>
    </row>
    <row r="10" spans="2:6" x14ac:dyDescent="0.25">
      <c r="B10" t="s">
        <v>23</v>
      </c>
      <c r="C10" s="4" t="s">
        <v>24</v>
      </c>
    </row>
    <row r="13" spans="2:6" x14ac:dyDescent="0.25">
      <c r="B13" s="1" t="s">
        <v>14</v>
      </c>
      <c r="E13" s="1" t="s">
        <v>14</v>
      </c>
    </row>
    <row r="14" spans="2:6" x14ac:dyDescent="0.25">
      <c r="B14" t="s">
        <v>2</v>
      </c>
      <c r="C14" s="5">
        <v>43571</v>
      </c>
      <c r="E14" t="s">
        <v>2</v>
      </c>
      <c r="F14" s="5">
        <v>43571</v>
      </c>
    </row>
    <row r="15" spans="2:6" x14ac:dyDescent="0.25">
      <c r="B15" t="s">
        <v>25</v>
      </c>
      <c r="C15" s="5">
        <f>C14+2</f>
        <v>43573</v>
      </c>
      <c r="E15" t="s">
        <v>25</v>
      </c>
      <c r="F15" s="5">
        <f>F14+2</f>
        <v>43573</v>
      </c>
    </row>
    <row r="16" spans="2:6" x14ac:dyDescent="0.25">
      <c r="B16" t="s">
        <v>3</v>
      </c>
      <c r="C16" s="5">
        <v>43571</v>
      </c>
      <c r="E16" t="s">
        <v>3</v>
      </c>
      <c r="F16" s="5">
        <v>43571</v>
      </c>
    </row>
    <row r="17" spans="2:16" x14ac:dyDescent="0.25">
      <c r="B17" t="s">
        <v>11</v>
      </c>
      <c r="C17" s="3" t="s">
        <v>8</v>
      </c>
      <c r="E17" t="s">
        <v>4</v>
      </c>
      <c r="F17" s="3" t="s">
        <v>8</v>
      </c>
    </row>
    <row r="18" spans="2:16" x14ac:dyDescent="0.25">
      <c r="B18" t="s">
        <v>26</v>
      </c>
      <c r="C18" s="4" t="s">
        <v>27</v>
      </c>
      <c r="E18" t="s">
        <v>26</v>
      </c>
      <c r="F18" s="4" t="s">
        <v>27</v>
      </c>
    </row>
    <row r="19" spans="2:16" x14ac:dyDescent="0.25">
      <c r="B19" t="s">
        <v>29</v>
      </c>
      <c r="C19" s="4" t="s">
        <v>31</v>
      </c>
    </row>
    <row r="20" spans="2:16" x14ac:dyDescent="0.25">
      <c r="B20" t="s">
        <v>30</v>
      </c>
      <c r="C20" s="4" t="s">
        <v>32</v>
      </c>
    </row>
    <row r="23" spans="2:16" x14ac:dyDescent="0.25">
      <c r="B23" s="1" t="s">
        <v>16</v>
      </c>
      <c r="E23" s="1" t="s">
        <v>17</v>
      </c>
      <c r="H23" s="8" t="s">
        <v>33</v>
      </c>
      <c r="K23" s="8" t="s">
        <v>18</v>
      </c>
      <c r="L23" s="8"/>
      <c r="N23" s="8" t="s">
        <v>34</v>
      </c>
      <c r="O23" s="8"/>
    </row>
    <row r="24" spans="2:16" x14ac:dyDescent="0.25">
      <c r="B24" s="2" t="s">
        <v>5</v>
      </c>
      <c r="C24" s="2" t="s">
        <v>6</v>
      </c>
      <c r="E24" s="2" t="s">
        <v>28</v>
      </c>
      <c r="F24" s="2" t="s">
        <v>7</v>
      </c>
      <c r="H24" s="2" t="s">
        <v>5</v>
      </c>
      <c r="I24" s="2" t="s">
        <v>6</v>
      </c>
      <c r="K24" s="2" t="s">
        <v>5</v>
      </c>
      <c r="L24" s="2" t="s">
        <v>6</v>
      </c>
      <c r="M24" s="2"/>
      <c r="N24" s="2" t="s">
        <v>28</v>
      </c>
      <c r="O24" s="2" t="s">
        <v>7</v>
      </c>
      <c r="P24" s="2"/>
    </row>
    <row r="25" spans="2:16" x14ac:dyDescent="0.25">
      <c r="B25" s="5">
        <v>43571</v>
      </c>
      <c r="C25" s="11">
        <f t="shared" ref="C25:C43" si="0">EXP(-2.5%*(B25-$C$14+1)/365.25)</f>
        <v>0.99993155607271422</v>
      </c>
      <c r="E25" s="5">
        <v>43571</v>
      </c>
      <c r="F25" s="6">
        <f t="shared" ref="F25:F43" si="1">-LN(C25)/((E25-$F$14+1)/365.25)</f>
        <v>2.4999999999981089E-2</v>
      </c>
      <c r="G25" t="s">
        <v>20</v>
      </c>
      <c r="H25" s="12">
        <f t="array" aca="1" ref="H25:I43" ca="1">_xll.meCurveResultsDiscountFactorsDisplayAll(C7,C8)</f>
        <v>43571</v>
      </c>
      <c r="I25" s="10">
        <f ca="1"/>
        <v>0.999931556072714</v>
      </c>
      <c r="J25" t="s">
        <v>20</v>
      </c>
      <c r="K25" s="5">
        <v>43571</v>
      </c>
      <c r="L25" s="10">
        <f t="array" aca="1" ref="L25:L43" ca="1">_xll.meCurveResultsDiscountFactorsDisplay(C7,C8,K25:K43)</f>
        <v>0.999931556072714</v>
      </c>
      <c r="N25" s="5">
        <v>43571</v>
      </c>
      <c r="O25" s="15">
        <f t="array" aca="1" ref="O25:O43" ca="1">_xll.meCurveResultsForwardRatesDisplay($C$7,$C$8,$N$25:$N$43)</f>
        <v>2.459851582226058E-2</v>
      </c>
    </row>
    <row r="26" spans="2:16" x14ac:dyDescent="0.25">
      <c r="B26" s="5">
        <v>43661</v>
      </c>
      <c r="C26" s="11">
        <f t="shared" si="0"/>
        <v>0.99379074704277348</v>
      </c>
      <c r="E26" s="5">
        <v>43661</v>
      </c>
      <c r="F26" s="6">
        <f t="shared" si="1"/>
        <v>2.4999999999999988E-2</v>
      </c>
      <c r="G26" t="s">
        <v>20</v>
      </c>
      <c r="H26" s="12">
        <f ca="1"/>
        <v>43661</v>
      </c>
      <c r="I26" s="10">
        <f ca="1"/>
        <v>0.99379074704277304</v>
      </c>
      <c r="J26" t="s">
        <v>20</v>
      </c>
      <c r="K26" s="5">
        <v>43661</v>
      </c>
      <c r="L26" s="10">
        <f ca="1"/>
        <v>0.99379074704277304</v>
      </c>
      <c r="N26" s="5">
        <v>43661</v>
      </c>
      <c r="O26" s="15">
        <f ca="1"/>
        <v>2.4653089237087842E-2</v>
      </c>
    </row>
    <row r="27" spans="2:16" x14ac:dyDescent="0.25">
      <c r="B27" s="5">
        <v>43751</v>
      </c>
      <c r="C27" s="11">
        <f t="shared" si="0"/>
        <v>0.98768765012954041</v>
      </c>
      <c r="E27" s="5">
        <v>43751</v>
      </c>
      <c r="F27" s="6">
        <f t="shared" si="1"/>
        <v>2.4999999999999904E-2</v>
      </c>
      <c r="G27" t="s">
        <v>20</v>
      </c>
      <c r="H27" s="12">
        <f ca="1"/>
        <v>43751</v>
      </c>
      <c r="I27" s="10">
        <f ca="1"/>
        <v>0.98768765012953996</v>
      </c>
      <c r="J27" t="s">
        <v>20</v>
      </c>
      <c r="K27" s="5">
        <v>43751</v>
      </c>
      <c r="L27" s="10">
        <f ca="1"/>
        <v>0.98768765012953996</v>
      </c>
      <c r="N27" s="5">
        <v>43751</v>
      </c>
      <c r="O27" s="15">
        <f ca="1"/>
        <v>2.4638375975598679E-2</v>
      </c>
    </row>
    <row r="28" spans="2:16" x14ac:dyDescent="0.25">
      <c r="B28" s="5">
        <v>43841</v>
      </c>
      <c r="C28" s="11">
        <f t="shared" si="0"/>
        <v>0.98162203373425649</v>
      </c>
      <c r="E28" s="5">
        <v>43841</v>
      </c>
      <c r="F28" s="6">
        <f t="shared" si="1"/>
        <v>2.4999999999999974E-2</v>
      </c>
      <c r="G28" t="s">
        <v>20</v>
      </c>
      <c r="H28" s="12">
        <f ca="1"/>
        <v>43841</v>
      </c>
      <c r="I28" s="10">
        <f ca="1"/>
        <v>0.98162203373425605</v>
      </c>
      <c r="J28" t="s">
        <v>20</v>
      </c>
      <c r="K28" s="5">
        <v>43841</v>
      </c>
      <c r="L28" s="10">
        <f ca="1"/>
        <v>0.98162203373425605</v>
      </c>
      <c r="N28" s="5">
        <v>43841</v>
      </c>
      <c r="O28" s="15">
        <f ca="1"/>
        <v>2.4642342742753429E-2</v>
      </c>
    </row>
    <row r="29" spans="2:16" x14ac:dyDescent="0.25">
      <c r="B29" s="5">
        <v>43931</v>
      </c>
      <c r="C29" s="11">
        <f t="shared" si="0"/>
        <v>0.97559366768046452</v>
      </c>
      <c r="E29" s="5">
        <v>43931</v>
      </c>
      <c r="F29" s="6">
        <f t="shared" si="1"/>
        <v>2.500000000000005E-2</v>
      </c>
      <c r="G29" t="s">
        <v>20</v>
      </c>
      <c r="H29" s="12">
        <f ca="1"/>
        <v>43931</v>
      </c>
      <c r="I29" s="10">
        <f ca="1"/>
        <v>0.97559366768046496</v>
      </c>
      <c r="J29" t="s">
        <v>20</v>
      </c>
      <c r="K29" s="5">
        <v>43931</v>
      </c>
      <c r="L29" s="10">
        <f ca="1"/>
        <v>0.97559366768046496</v>
      </c>
      <c r="N29" s="5">
        <v>43931</v>
      </c>
      <c r="O29" s="15">
        <f ca="1"/>
        <v>2.4641273283352392E-2</v>
      </c>
    </row>
    <row r="30" spans="2:16" x14ac:dyDescent="0.25">
      <c r="B30" s="5">
        <v>44021</v>
      </c>
      <c r="C30" s="11">
        <f t="shared" si="0"/>
        <v>0.96960232320527384</v>
      </c>
      <c r="E30" s="5">
        <v>44021</v>
      </c>
      <c r="F30" s="6">
        <f t="shared" si="1"/>
        <v>2.499999999999997E-2</v>
      </c>
      <c r="G30" t="s">
        <v>20</v>
      </c>
      <c r="H30" s="12">
        <f ca="1"/>
        <v>44021</v>
      </c>
      <c r="I30" s="10">
        <f ca="1"/>
        <v>0.96960232320527395</v>
      </c>
      <c r="J30" t="s">
        <v>20</v>
      </c>
      <c r="K30" s="5">
        <v>44021</v>
      </c>
      <c r="L30" s="10">
        <f ca="1"/>
        <v>0.96960232320527395</v>
      </c>
      <c r="N30" s="5">
        <v>44021</v>
      </c>
      <c r="O30" s="15">
        <f ca="1"/>
        <v>2.4641561613112459E-2</v>
      </c>
    </row>
    <row r="31" spans="2:16" x14ac:dyDescent="0.25">
      <c r="B31" s="5">
        <v>44111</v>
      </c>
      <c r="C31" s="11">
        <f t="shared" si="0"/>
        <v>0.96364777295067872</v>
      </c>
      <c r="E31" s="5">
        <v>44111</v>
      </c>
      <c r="F31" s="6">
        <f t="shared" si="1"/>
        <v>2.5000000000000019E-2</v>
      </c>
      <c r="G31" t="s">
        <v>20</v>
      </c>
      <c r="H31" s="12">
        <f ca="1"/>
        <v>44111</v>
      </c>
      <c r="I31" s="10">
        <f ca="1"/>
        <v>0.96364777295067905</v>
      </c>
      <c r="J31" t="s">
        <v>20</v>
      </c>
      <c r="K31" s="5">
        <v>44111</v>
      </c>
      <c r="L31" s="10">
        <f ca="1"/>
        <v>0.96364777295067905</v>
      </c>
      <c r="N31" s="5">
        <v>44111</v>
      </c>
      <c r="O31" s="15">
        <f ca="1"/>
        <v>2.4641483884648794E-2</v>
      </c>
    </row>
    <row r="32" spans="2:16" x14ac:dyDescent="0.25">
      <c r="B32" s="5">
        <v>44201</v>
      </c>
      <c r="C32" s="11">
        <f t="shared" si="0"/>
        <v>0.9577297909549316</v>
      </c>
      <c r="E32" s="5">
        <v>44201</v>
      </c>
      <c r="F32" s="6">
        <f t="shared" si="1"/>
        <v>2.4999999999999984E-2</v>
      </c>
      <c r="G32" t="s">
        <v>20</v>
      </c>
      <c r="H32" s="12">
        <f ca="1"/>
        <v>44201</v>
      </c>
      <c r="I32" s="10">
        <f ca="1"/>
        <v>0.95772979095493205</v>
      </c>
      <c r="J32" t="s">
        <v>20</v>
      </c>
      <c r="K32" s="5">
        <v>44201</v>
      </c>
      <c r="L32" s="10">
        <f ca="1"/>
        <v>0.95772979095493205</v>
      </c>
      <c r="N32" s="5">
        <v>44201</v>
      </c>
      <c r="O32" s="15">
        <f ca="1"/>
        <v>2.4641504815585778E-2</v>
      </c>
    </row>
    <row r="33" spans="2:15" x14ac:dyDescent="0.25">
      <c r="B33" s="5">
        <v>44291</v>
      </c>
      <c r="C33" s="11">
        <f t="shared" si="0"/>
        <v>0.95184815264396749</v>
      </c>
      <c r="E33" s="5">
        <v>44291</v>
      </c>
      <c r="F33" s="6">
        <f t="shared" si="1"/>
        <v>2.4999999999999974E-2</v>
      </c>
      <c r="G33" t="s">
        <v>20</v>
      </c>
      <c r="H33" s="12">
        <f ca="1"/>
        <v>44291</v>
      </c>
      <c r="I33" s="10">
        <f ca="1"/>
        <v>0.95184815264396705</v>
      </c>
      <c r="J33" t="s">
        <v>20</v>
      </c>
      <c r="K33" s="5">
        <v>44291</v>
      </c>
      <c r="L33" s="10">
        <f ca="1"/>
        <v>0.95184815264396705</v>
      </c>
      <c r="N33" s="5">
        <v>44291</v>
      </c>
      <c r="O33" s="15">
        <f ca="1"/>
        <v>2.4641499266584519E-2</v>
      </c>
    </row>
    <row r="34" spans="2:15" x14ac:dyDescent="0.25">
      <c r="B34" s="5">
        <v>44381</v>
      </c>
      <c r="C34" s="11">
        <f t="shared" si="0"/>
        <v>0.94600263482288227</v>
      </c>
      <c r="E34" s="5">
        <v>44381</v>
      </c>
      <c r="F34" s="6">
        <f t="shared" si="1"/>
        <v>2.5000000000000019E-2</v>
      </c>
      <c r="G34" t="s">
        <v>20</v>
      </c>
      <c r="H34" s="12">
        <f ca="1"/>
        <v>44381</v>
      </c>
      <c r="I34" s="10">
        <f ca="1"/>
        <v>0.94600263482288205</v>
      </c>
      <c r="J34" t="s">
        <v>20</v>
      </c>
      <c r="K34" s="5">
        <v>44381</v>
      </c>
      <c r="L34" s="10">
        <f ca="1"/>
        <v>0.94600263482288205</v>
      </c>
      <c r="N34" s="5">
        <v>44381</v>
      </c>
      <c r="O34" s="15">
        <f ca="1"/>
        <v>2.4641500409110593E-2</v>
      </c>
    </row>
    <row r="35" spans="2:15" x14ac:dyDescent="0.25">
      <c r="B35" s="5">
        <v>44471</v>
      </c>
      <c r="C35" s="11">
        <f t="shared" si="0"/>
        <v>0.94019301566746327</v>
      </c>
      <c r="E35" s="5">
        <v>44471</v>
      </c>
      <c r="F35" s="6">
        <f t="shared" si="1"/>
        <v>2.4999999999999984E-2</v>
      </c>
      <c r="G35" t="s">
        <v>20</v>
      </c>
      <c r="H35" s="12">
        <f ca="1"/>
        <v>44471</v>
      </c>
      <c r="I35" s="10">
        <f ca="1"/>
        <v>0.94019301566746305</v>
      </c>
      <c r="J35" t="s">
        <v>20</v>
      </c>
      <c r="K35" s="5">
        <v>44471</v>
      </c>
      <c r="L35" s="10">
        <f ca="1"/>
        <v>0.94019301566746305</v>
      </c>
      <c r="N35" s="5">
        <v>44471</v>
      </c>
      <c r="O35" s="15">
        <f ca="1"/>
        <v>2.4641501428615074E-2</v>
      </c>
    </row>
    <row r="36" spans="2:15" x14ac:dyDescent="0.25">
      <c r="B36" s="5">
        <v>44561</v>
      </c>
      <c r="C36" s="11">
        <f t="shared" si="0"/>
        <v>0.93441907471577068</v>
      </c>
      <c r="E36" s="5">
        <v>44561</v>
      </c>
      <c r="F36" s="6">
        <f t="shared" si="1"/>
        <v>2.4999999999999988E-2</v>
      </c>
      <c r="G36" t="s">
        <v>20</v>
      </c>
      <c r="H36" s="12">
        <f ca="1"/>
        <v>44561</v>
      </c>
      <c r="I36" s="10">
        <f ca="1"/>
        <v>0.93441907471577101</v>
      </c>
      <c r="J36" t="s">
        <v>20</v>
      </c>
      <c r="K36" s="5">
        <v>44561</v>
      </c>
      <c r="L36" s="10">
        <f ca="1"/>
        <v>0.93441907471577101</v>
      </c>
      <c r="N36" s="5">
        <v>44561</v>
      </c>
      <c r="O36" s="15">
        <f ca="1"/>
        <v>2.4641496168742536E-2</v>
      </c>
    </row>
    <row r="37" spans="2:15" x14ac:dyDescent="0.25">
      <c r="B37" s="5">
        <v>44651</v>
      </c>
      <c r="C37" s="11">
        <f t="shared" si="0"/>
        <v>0.92868059285977234</v>
      </c>
      <c r="E37" s="5">
        <v>44651</v>
      </c>
      <c r="F37" s="6">
        <f t="shared" si="1"/>
        <v>2.5000000000000001E-2</v>
      </c>
      <c r="G37" t="s">
        <v>20</v>
      </c>
      <c r="H37" s="12">
        <f ca="1"/>
        <v>44651</v>
      </c>
      <c r="I37" s="10">
        <f ca="1"/>
        <v>0.928680592859772</v>
      </c>
      <c r="J37" t="s">
        <v>20</v>
      </c>
      <c r="K37" s="5">
        <v>44651</v>
      </c>
      <c r="L37" s="10">
        <f ca="1"/>
        <v>0.928680592859772</v>
      </c>
      <c r="N37" s="5">
        <v>44651</v>
      </c>
      <c r="O37" s="15">
        <f ca="1"/>
        <v>2.4641516306154274E-2</v>
      </c>
    </row>
    <row r="38" spans="2:15" x14ac:dyDescent="0.25">
      <c r="B38" s="5">
        <v>44741</v>
      </c>
      <c r="C38" s="11">
        <f t="shared" si="0"/>
        <v>0.92297735233702871</v>
      </c>
      <c r="E38" s="5">
        <v>44741</v>
      </c>
      <c r="F38" s="6">
        <f t="shared" si="1"/>
        <v>2.5000000000000012E-2</v>
      </c>
      <c r="G38" t="s">
        <v>20</v>
      </c>
      <c r="H38" s="12">
        <f ca="1"/>
        <v>44741</v>
      </c>
      <c r="I38" s="10">
        <f ca="1"/>
        <v>0.92297735233702904</v>
      </c>
      <c r="J38" t="s">
        <v>20</v>
      </c>
      <c r="K38" s="5">
        <v>44741</v>
      </c>
      <c r="L38" s="10">
        <f ca="1"/>
        <v>0.92297735233702904</v>
      </c>
      <c r="N38" s="5">
        <v>44741</v>
      </c>
      <c r="O38" s="15">
        <f ca="1"/>
        <v>2.4641440583765915E-2</v>
      </c>
    </row>
    <row r="39" spans="2:15" x14ac:dyDescent="0.25">
      <c r="B39" s="5">
        <v>44831</v>
      </c>
      <c r="C39" s="11">
        <f t="shared" si="0"/>
        <v>0.91730913672242942</v>
      </c>
      <c r="E39" s="5">
        <v>44831</v>
      </c>
      <c r="F39" s="6">
        <f t="shared" si="1"/>
        <v>2.4999999999999994E-2</v>
      </c>
      <c r="G39" t="s">
        <v>20</v>
      </c>
      <c r="H39" s="12">
        <f ca="1"/>
        <v>44831</v>
      </c>
      <c r="I39" s="10">
        <f ca="1"/>
        <v>0.91730913672242897</v>
      </c>
      <c r="J39" t="s">
        <v>20</v>
      </c>
      <c r="K39" s="5">
        <v>44831</v>
      </c>
      <c r="L39" s="10">
        <f ca="1"/>
        <v>0.91730913672242897</v>
      </c>
      <c r="N39" s="5">
        <v>44831</v>
      </c>
      <c r="O39" s="15">
        <f ca="1"/>
        <v>2.4641724957810227E-2</v>
      </c>
    </row>
    <row r="40" spans="2:15" x14ac:dyDescent="0.25">
      <c r="B40" s="5">
        <v>44921</v>
      </c>
      <c r="C40" s="11">
        <f t="shared" si="0"/>
        <v>0.91167573091998011</v>
      </c>
      <c r="E40" s="5">
        <v>44921</v>
      </c>
      <c r="F40" s="6">
        <f t="shared" si="1"/>
        <v>2.4999999999999991E-2</v>
      </c>
      <c r="G40" t="s">
        <v>20</v>
      </c>
      <c r="H40" s="12">
        <f ca="1"/>
        <v>44921</v>
      </c>
      <c r="I40" s="10">
        <f ca="1"/>
        <v>0.91167573091998</v>
      </c>
      <c r="J40" t="s">
        <v>20</v>
      </c>
      <c r="K40" s="5">
        <v>44921</v>
      </c>
      <c r="L40" s="10">
        <f ca="1"/>
        <v>0.91167573091998</v>
      </c>
      <c r="N40" s="5">
        <v>44921</v>
      </c>
      <c r="O40" s="15">
        <f ca="1"/>
        <v>2.4640657093932903E-2</v>
      </c>
    </row>
    <row r="41" spans="2:15" x14ac:dyDescent="0.25">
      <c r="B41" s="5">
        <v>45011</v>
      </c>
      <c r="C41" s="11">
        <f t="shared" si="0"/>
        <v>0.90607692115464045</v>
      </c>
      <c r="E41" s="5">
        <v>45011</v>
      </c>
      <c r="F41" s="6">
        <f t="shared" si="1"/>
        <v>2.4999999999999998E-2</v>
      </c>
      <c r="G41" t="s">
        <v>20</v>
      </c>
      <c r="H41" s="12">
        <f ca="1"/>
        <v>45011</v>
      </c>
      <c r="I41" s="10">
        <f ca="1"/>
        <v>0.90607692115464</v>
      </c>
      <c r="J41" t="s">
        <v>20</v>
      </c>
      <c r="K41" s="5">
        <v>45011</v>
      </c>
      <c r="L41" s="10">
        <f ca="1"/>
        <v>0.90607692115464</v>
      </c>
      <c r="N41" s="5">
        <v>45011</v>
      </c>
      <c r="O41" s="15">
        <f ca="1"/>
        <v>2.4644667044220782E-2</v>
      </c>
    </row>
    <row r="42" spans="2:15" x14ac:dyDescent="0.25">
      <c r="B42" s="5">
        <v>45101</v>
      </c>
      <c r="C42" s="11">
        <f t="shared" si="0"/>
        <v>0.9005124949642116</v>
      </c>
      <c r="E42" s="5">
        <v>45101</v>
      </c>
      <c r="F42" s="6">
        <f t="shared" si="1"/>
        <v>2.4999999999999994E-2</v>
      </c>
      <c r="G42" t="s">
        <v>20</v>
      </c>
      <c r="H42" s="12">
        <f ca="1"/>
        <v>45101</v>
      </c>
      <c r="I42" s="10">
        <f ca="1"/>
        <v>0.90051249496421204</v>
      </c>
      <c r="J42" t="s">
        <v>20</v>
      </c>
      <c r="K42" s="5">
        <v>45101</v>
      </c>
      <c r="L42" s="10">
        <f ca="1"/>
        <v>0.90051249496421204</v>
      </c>
      <c r="N42" s="5">
        <v>45101</v>
      </c>
      <c r="O42" s="15">
        <f ca="1"/>
        <v>2.4629609232583206E-2</v>
      </c>
    </row>
    <row r="43" spans="2:15" x14ac:dyDescent="0.25">
      <c r="B43" s="5">
        <v>45191</v>
      </c>
      <c r="C43" s="11">
        <f t="shared" si="0"/>
        <v>0.89498224119127379</v>
      </c>
      <c r="E43" s="5">
        <v>45191</v>
      </c>
      <c r="F43" s="6">
        <f t="shared" si="1"/>
        <v>2.5000000000000008E-2</v>
      </c>
      <c r="G43" t="s">
        <v>20</v>
      </c>
      <c r="H43" s="12">
        <f ca="1"/>
        <v>45191</v>
      </c>
      <c r="I43" s="10">
        <f ca="1"/>
        <v>0.89498224119127401</v>
      </c>
      <c r="J43" t="s">
        <v>20</v>
      </c>
      <c r="K43" s="5">
        <v>45191</v>
      </c>
      <c r="L43" s="10">
        <f ca="1"/>
        <v>0.89498224119127401</v>
      </c>
      <c r="N43" s="5">
        <v>45191</v>
      </c>
      <c r="O43" s="15">
        <f ca="1"/>
        <v>2.4686171747894697E-2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DiscountFactors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2019-04-16T12:06:05Z</dcterms:created>
  <dcterms:modified xsi:type="dcterms:W3CDTF">2019-07-12T16:35:49Z</dcterms:modified>
</cp:coreProperties>
</file>