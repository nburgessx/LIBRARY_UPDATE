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6"/>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PriceOIS" sheetId="33" r:id="rId10"/>
    <sheet name="PriceIRS" sheetId="34" r:id="rId11"/>
  </sheets>
  <functionGroups builtInGroupCount="17"/>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0">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10">PriceIRS!$8:$45</definedName>
    <definedName name="SwapDealInfo" localSheetId="9">PriceOIS!$7:$44</definedName>
    <definedName name="SwapDealInfo" localSheetId="8">SwapSchedule!$27:$62</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P33" i="37" l="1"/>
  <c r="P34" i="37"/>
  <c r="P35" i="37"/>
  <c r="P36" i="37"/>
  <c r="P37" i="37"/>
  <c r="P38" i="37"/>
  <c r="P39" i="37"/>
  <c r="P40" i="37"/>
  <c r="G25" i="24"/>
  <c r="G22" i="24"/>
  <c r="J5" i="35" l="1"/>
  <c r="J6" i="35" s="1"/>
  <c r="J7" i="35" s="1"/>
  <c r="J8" i="35" s="1"/>
  <c r="D5" i="35"/>
  <c r="G13" i="24"/>
  <c r="G23" i="24"/>
  <c r="G21" i="24"/>
  <c r="G24" i="24"/>
  <c r="C25" i="37" l="1"/>
  <c r="D57" i="35" l="1"/>
  <c r="J47" i="35"/>
  <c r="J48" i="35"/>
  <c r="J49" i="35"/>
  <c r="J50" i="35"/>
  <c r="D47" i="35"/>
  <c r="K48" i="35"/>
  <c r="K50" i="35"/>
  <c r="J68" i="35"/>
  <c r="K49" i="35"/>
  <c r="C5" i="37"/>
  <c r="J58" i="35"/>
  <c r="K47" i="35"/>
  <c r="C24" i="37" l="1"/>
  <c r="C28" i="34"/>
  <c r="J69" i="35"/>
  <c r="J70" i="35"/>
  <c r="J59" i="35"/>
  <c r="E5" i="37" a="1"/>
  <c r="E24" i="37" a="1"/>
  <c r="H14" i="37" l="1"/>
  <c r="E8" i="37"/>
  <c r="L8" i="37" s="1"/>
  <c r="I18" i="37"/>
  <c r="F12" i="37"/>
  <c r="I5" i="37"/>
  <c r="J5" i="37"/>
  <c r="E6" i="37"/>
  <c r="L6" i="37" s="1"/>
  <c r="F6" i="37"/>
  <c r="G6" i="37"/>
  <c r="E7" i="37"/>
  <c r="L7" i="37" s="1"/>
  <c r="F7" i="37"/>
  <c r="G7" i="37"/>
  <c r="J13" i="37"/>
  <c r="F9" i="37"/>
  <c r="J6" i="37"/>
  <c r="E14" i="37"/>
  <c r="N14" i="37" s="1"/>
  <c r="E15" i="37"/>
  <c r="M15" i="37" s="1"/>
  <c r="G15" i="37"/>
  <c r="I16" i="37"/>
  <c r="E18" i="37"/>
  <c r="M18" i="37" s="1"/>
  <c r="F5" i="37"/>
  <c r="J15" i="37"/>
  <c r="G9" i="37"/>
  <c r="E20" i="37"/>
  <c r="N20" i="37" s="1"/>
  <c r="H13" i="37"/>
  <c r="H7" i="37"/>
  <c r="G8" i="37"/>
  <c r="I8" i="37"/>
  <c r="I9" i="37"/>
  <c r="J7" i="37"/>
  <c r="I11" i="37"/>
  <c r="I12" i="37"/>
  <c r="E13" i="37"/>
  <c r="N13" i="37" s="1"/>
  <c r="H15" i="37"/>
  <c r="J18" i="37"/>
  <c r="J16" i="37"/>
  <c r="I17" i="37"/>
  <c r="J11" i="37"/>
  <c r="G5" i="37"/>
  <c r="E16" i="37"/>
  <c r="L16" i="37" s="1"/>
  <c r="H9" i="37"/>
  <c r="F20" i="37"/>
  <c r="F18" i="37"/>
  <c r="G18" i="37"/>
  <c r="E19" i="37"/>
  <c r="L19" i="37" s="1"/>
  <c r="F19" i="37"/>
  <c r="G19" i="37"/>
  <c r="H19" i="37"/>
  <c r="I19" i="37"/>
  <c r="G20" i="37"/>
  <c r="F13" i="37"/>
  <c r="I6" i="37"/>
  <c r="G17" i="37"/>
  <c r="J10" i="37"/>
  <c r="H21" i="37"/>
  <c r="H20" i="37"/>
  <c r="I20" i="37"/>
  <c r="J20" i="37"/>
  <c r="E21" i="37"/>
  <c r="M21" i="37" s="1"/>
  <c r="I21" i="37"/>
  <c r="J21" i="37"/>
  <c r="E5" i="37"/>
  <c r="I7" i="37"/>
  <c r="H8" i="37"/>
  <c r="J8" i="37"/>
  <c r="E9" i="37"/>
  <c r="N9" i="37" s="1"/>
  <c r="H6" i="37"/>
  <c r="F17" i="37"/>
  <c r="I10" i="37"/>
  <c r="G21" i="37"/>
  <c r="J14" i="37"/>
  <c r="J9" i="37"/>
  <c r="E10" i="37"/>
  <c r="F10" i="37"/>
  <c r="G10" i="37"/>
  <c r="E11" i="37"/>
  <c r="N11" i="37" s="1"/>
  <c r="F11" i="37"/>
  <c r="G11" i="37"/>
  <c r="H11" i="37"/>
  <c r="H18" i="37"/>
  <c r="E12" i="37"/>
  <c r="M12" i="37" s="1"/>
  <c r="H5" i="37"/>
  <c r="F16" i="37"/>
  <c r="G12" i="37"/>
  <c r="H12" i="37"/>
  <c r="J12" i="37"/>
  <c r="I13" i="37"/>
  <c r="J19" i="37"/>
  <c r="G13" i="37"/>
  <c r="H17" i="37"/>
  <c r="F14" i="37"/>
  <c r="G14" i="37"/>
  <c r="F15" i="37"/>
  <c r="I15" i="37"/>
  <c r="H10" i="37"/>
  <c r="F21" i="37"/>
  <c r="I14" i="37"/>
  <c r="F8" i="37"/>
  <c r="G16" i="37"/>
  <c r="H16" i="37"/>
  <c r="E17" i="37"/>
  <c r="N17" i="37" s="1"/>
  <c r="J17" i="37"/>
  <c r="J24" i="37"/>
  <c r="F26" i="37"/>
  <c r="H27" i="37"/>
  <c r="J28" i="37"/>
  <c r="F30" i="37"/>
  <c r="H31" i="37"/>
  <c r="J32" i="37"/>
  <c r="E24" i="37"/>
  <c r="G25" i="37"/>
  <c r="I26" i="37"/>
  <c r="E28" i="37"/>
  <c r="L28" i="37" s="1"/>
  <c r="G29" i="37"/>
  <c r="I30" i="37"/>
  <c r="E32" i="37"/>
  <c r="G33" i="37"/>
  <c r="I34" i="37"/>
  <c r="E36" i="37"/>
  <c r="G37" i="37"/>
  <c r="I38" i="37"/>
  <c r="E40" i="37"/>
  <c r="O40" i="37" s="1"/>
  <c r="F24" i="37"/>
  <c r="H25" i="37"/>
  <c r="J26" i="37"/>
  <c r="F28" i="37"/>
  <c r="H29" i="37"/>
  <c r="J30" i="37"/>
  <c r="F32" i="37"/>
  <c r="H33" i="37"/>
  <c r="J34" i="37"/>
  <c r="F36" i="37"/>
  <c r="H37" i="37"/>
  <c r="J38" i="37"/>
  <c r="F40" i="37"/>
  <c r="G24" i="37"/>
  <c r="I25" i="37"/>
  <c r="E27" i="37"/>
  <c r="N27" i="37" s="1"/>
  <c r="G28" i="37"/>
  <c r="I29" i="37"/>
  <c r="E31" i="37"/>
  <c r="G32" i="37"/>
  <c r="I33" i="37"/>
  <c r="E35" i="37"/>
  <c r="G36" i="37"/>
  <c r="I37" i="37"/>
  <c r="E39" i="37"/>
  <c r="M39" i="37" s="1"/>
  <c r="G40" i="37"/>
  <c r="H24" i="37"/>
  <c r="J25" i="37"/>
  <c r="F27" i="37"/>
  <c r="I27" i="37"/>
  <c r="G30" i="37"/>
  <c r="E33" i="37"/>
  <c r="O33" i="37" s="1"/>
  <c r="G35" i="37"/>
  <c r="F37" i="37"/>
  <c r="H39" i="37"/>
  <c r="I24" i="37"/>
  <c r="J27" i="37"/>
  <c r="H30" i="37"/>
  <c r="F33" i="37"/>
  <c r="H35" i="37"/>
  <c r="J37" i="37"/>
  <c r="I39" i="37"/>
  <c r="E25" i="37"/>
  <c r="H28" i="37"/>
  <c r="F31" i="37"/>
  <c r="J33" i="37"/>
  <c r="I35" i="37"/>
  <c r="E38" i="37"/>
  <c r="N38" i="37" s="1"/>
  <c r="J39" i="37"/>
  <c r="F25" i="37"/>
  <c r="I28" i="37"/>
  <c r="G31" i="37"/>
  <c r="E34" i="37"/>
  <c r="J35" i="37"/>
  <c r="F38" i="37"/>
  <c r="H40" i="37"/>
  <c r="E26" i="37"/>
  <c r="N26" i="37" s="1"/>
  <c r="E29" i="37"/>
  <c r="I31" i="37"/>
  <c r="F34" i="37"/>
  <c r="H36" i="37"/>
  <c r="G38" i="37"/>
  <c r="I40" i="37"/>
  <c r="G26" i="37"/>
  <c r="F29" i="37"/>
  <c r="J31" i="37"/>
  <c r="G34" i="37"/>
  <c r="I36" i="37"/>
  <c r="H38" i="37"/>
  <c r="J40" i="37"/>
  <c r="H26" i="37"/>
  <c r="J29" i="37"/>
  <c r="H32" i="37"/>
  <c r="H34" i="37"/>
  <c r="J36" i="37"/>
  <c r="F39" i="37"/>
  <c r="G27" i="37"/>
  <c r="E30" i="37"/>
  <c r="I32" i="37"/>
  <c r="F35" i="37"/>
  <c r="E37" i="37"/>
  <c r="M37" i="37" s="1"/>
  <c r="G39" i="37"/>
  <c r="L13" i="37"/>
  <c r="L9" i="37"/>
  <c r="M9" i="37"/>
  <c r="L10" i="37"/>
  <c r="M10" i="37"/>
  <c r="O13" i="37"/>
  <c r="J60" i="35"/>
  <c r="O7" i="37"/>
  <c r="P25" i="37" a="1"/>
  <c r="M6" i="37" l="1"/>
  <c r="L18" i="37"/>
  <c r="P18" i="37" s="1"/>
  <c r="M7" i="37"/>
  <c r="L15" i="37"/>
  <c r="P15" i="37"/>
  <c r="L12" i="37"/>
  <c r="P12" i="37" s="1"/>
  <c r="M17" i="37"/>
  <c r="O11" i="37"/>
  <c r="L11" i="37"/>
  <c r="L39" i="37"/>
  <c r="O17" i="37"/>
  <c r="M8" i="37"/>
  <c r="L21" i="37"/>
  <c r="P21" i="37" s="1"/>
  <c r="M13" i="37"/>
  <c r="M11" i="37"/>
  <c r="M14" i="37"/>
  <c r="L20" i="37"/>
  <c r="O9" i="37"/>
  <c r="N16" i="37"/>
  <c r="O16" i="37"/>
  <c r="M16" i="37"/>
  <c r="N19" i="37"/>
  <c r="O19" i="37"/>
  <c r="O14" i="37"/>
  <c r="M19" i="37"/>
  <c r="N18" i="37"/>
  <c r="O18" i="37"/>
  <c r="O20" i="37"/>
  <c r="N8" i="37"/>
  <c r="O8" i="37"/>
  <c r="N21" i="37"/>
  <c r="O21" i="37"/>
  <c r="M20" i="37"/>
  <c r="L17" i="37"/>
  <c r="L14" i="37"/>
  <c r="N12" i="37"/>
  <c r="O12" i="37"/>
  <c r="N10" i="37"/>
  <c r="O10" i="37"/>
  <c r="N15" i="37"/>
  <c r="O15" i="37"/>
  <c r="N7" i="37"/>
  <c r="P7" i="37" s="1"/>
  <c r="N40" i="37"/>
  <c r="L37" i="37"/>
  <c r="N6" i="37"/>
  <c r="L26" i="37"/>
  <c r="L31" i="37"/>
  <c r="L27" i="37"/>
  <c r="M40" i="37"/>
  <c r="L29" i="37"/>
  <c r="N32" i="37"/>
  <c r="L40" i="37"/>
  <c r="N37" i="37"/>
  <c r="O37" i="37"/>
  <c r="N39" i="37"/>
  <c r="O39" i="37"/>
  <c r="L38" i="37"/>
  <c r="O38" i="37"/>
  <c r="M38" i="37"/>
  <c r="L33" i="37"/>
  <c r="N30" i="37"/>
  <c r="L35" i="37"/>
  <c r="O35" i="37"/>
  <c r="N33" i="37"/>
  <c r="N34" i="37"/>
  <c r="O34" i="37"/>
  <c r="N36" i="37"/>
  <c r="O36" i="37"/>
  <c r="N28" i="37"/>
  <c r="N29" i="37"/>
  <c r="L30" i="37"/>
  <c r="N31" i="37"/>
  <c r="N35" i="37"/>
  <c r="P26" i="37"/>
  <c r="P27" i="37"/>
  <c r="P28" i="37"/>
  <c r="P29" i="37"/>
  <c r="P30" i="37"/>
  <c r="P31" i="37"/>
  <c r="P32" i="37"/>
  <c r="P25" i="37"/>
  <c r="L32" i="37"/>
  <c r="M35" i="37"/>
  <c r="L36" i="37"/>
  <c r="L34" i="37"/>
  <c r="L25" i="37"/>
  <c r="N25" i="37"/>
  <c r="M36" i="37"/>
  <c r="P19" i="37"/>
  <c r="P16" i="37"/>
  <c r="P17" i="37"/>
  <c r="Q36" i="37"/>
  <c r="P14" i="37"/>
  <c r="P13" i="37"/>
  <c r="P11" i="37"/>
  <c r="P20" i="37"/>
  <c r="Q40" i="37"/>
  <c r="Q37" i="37"/>
  <c r="Q38" i="37"/>
  <c r="Q35" i="37"/>
  <c r="Q39" i="37"/>
  <c r="P9" i="37"/>
  <c r="P10" i="37"/>
  <c r="P8" i="37"/>
  <c r="C11" i="34"/>
  <c r="O6" i="37"/>
  <c r="C10" i="33"/>
  <c r="P45" i="37" l="1" a="1"/>
  <c r="P45" i="37" s="1"/>
  <c r="M45" i="37" s="1"/>
  <c r="P6" i="37"/>
  <c r="P43" i="37"/>
  <c r="E64" i="4" l="1"/>
  <c r="E64" i="27"/>
  <c r="E64" i="28"/>
  <c r="O15" i="20" l="1"/>
  <c r="L15" i="20"/>
  <c r="I15" i="20"/>
  <c r="F15" i="20"/>
  <c r="F16" i="20"/>
  <c r="O16" i="20"/>
  <c r="I16" i="20"/>
  <c r="L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L17" i="20"/>
  <c r="I17" i="20"/>
  <c r="O17" i="20"/>
  <c r="F17" i="20"/>
  <c r="F13" i="20" l="1"/>
  <c r="G9" i="20"/>
  <c r="O18" i="20"/>
  <c r="L18" i="20"/>
  <c r="I18" i="20"/>
  <c r="F18" i="20"/>
  <c r="G21" i="27" l="1"/>
  <c r="L19" i="20"/>
  <c r="F19" i="20"/>
  <c r="I19" i="20"/>
  <c r="O19" i="20"/>
  <c r="C15" i="20" l="1"/>
  <c r="G21" i="4"/>
  <c r="F22" i="3"/>
  <c r="F20" i="2"/>
  <c r="C16" i="20"/>
  <c r="L20" i="20"/>
  <c r="O20" i="20"/>
  <c r="F20" i="20"/>
  <c r="I20" i="20"/>
  <c r="K39" i="4" l="1"/>
  <c r="L21" i="20"/>
  <c r="F21" i="20"/>
  <c r="O21" i="20"/>
  <c r="I21" i="20"/>
  <c r="C17" i="20"/>
  <c r="G6" i="24" l="1"/>
  <c r="F24" i="3" s="1"/>
  <c r="L22" i="20"/>
  <c r="C18" i="20"/>
  <c r="I22" i="20"/>
  <c r="O22" i="20"/>
  <c r="F22" i="20"/>
  <c r="G23" i="4" l="1"/>
  <c r="G23" i="28"/>
  <c r="G66" i="28"/>
  <c r="G23" i="27"/>
  <c r="G66" i="4"/>
  <c r="G66" i="27"/>
  <c r="F98" i="3"/>
  <c r="F23" i="2"/>
  <c r="F22" i="2"/>
  <c r="F25" i="3"/>
  <c r="I23" i="20"/>
  <c r="L23" i="20"/>
  <c r="F7" i="2"/>
  <c r="O23" i="20"/>
  <c r="F23" i="20"/>
  <c r="C19" i="20"/>
  <c r="F8" i="2" l="1"/>
  <c r="O24" i="20"/>
  <c r="F24" i="20"/>
  <c r="L24" i="20"/>
  <c r="I24" i="20"/>
  <c r="C20" i="20"/>
  <c r="F8" i="3"/>
  <c r="L13" i="20" l="1"/>
  <c r="I13" i="20"/>
  <c r="C13" i="20"/>
  <c r="M9" i="20"/>
  <c r="J9" i="20"/>
  <c r="I5" i="35" a="1"/>
  <c r="I67" i="35" a="1"/>
  <c r="O25" i="20"/>
  <c r="C21" i="20"/>
  <c r="C47" i="35"/>
  <c r="C47" i="33"/>
  <c r="C32" i="35"/>
  <c r="C48" i="33"/>
  <c r="I25" i="20"/>
  <c r="I57" i="35" a="1"/>
  <c r="I18" i="35" a="1"/>
  <c r="C57" i="35"/>
  <c r="C18" i="35"/>
  <c r="C5" i="35"/>
  <c r="I32" i="35" a="1"/>
  <c r="C67" i="35"/>
  <c r="L25" i="20"/>
  <c r="F25" i="20"/>
  <c r="I21" i="35" l="1"/>
  <c r="I18" i="35"/>
  <c r="I20" i="35"/>
  <c r="I19" i="35"/>
  <c r="I33" i="35"/>
  <c r="I34" i="35"/>
  <c r="I35" i="35"/>
  <c r="I32" i="35"/>
  <c r="I57" i="35"/>
  <c r="I58" i="35"/>
  <c r="I59" i="35"/>
  <c r="I60" i="35"/>
  <c r="I7" i="35"/>
  <c r="I8" i="35"/>
  <c r="I5" i="35"/>
  <c r="I6" i="35"/>
  <c r="I67" i="35"/>
  <c r="I68" i="35"/>
  <c r="I69" i="35"/>
  <c r="I70" i="35"/>
  <c r="I26" i="20"/>
  <c r="F26" i="20"/>
  <c r="L26" i="20"/>
  <c r="C22" i="20"/>
  <c r="O26" i="20"/>
  <c r="F9" i="3" l="1"/>
  <c r="O27" i="20"/>
  <c r="F27" i="20"/>
  <c r="I27" i="20"/>
  <c r="L27" i="20"/>
  <c r="C23" i="20"/>
  <c r="G7" i="27"/>
  <c r="G8" i="27" l="1"/>
  <c r="F28" i="20"/>
  <c r="L28" i="20"/>
  <c r="I28" i="20"/>
  <c r="O28" i="20"/>
  <c r="C24" i="20"/>
  <c r="G7" i="4"/>
  <c r="G8" i="4" l="1"/>
  <c r="C25" i="20"/>
  <c r="I29" i="20"/>
  <c r="F29" i="20"/>
  <c r="L29" i="20"/>
  <c r="O29" i="20"/>
  <c r="G7" i="28"/>
  <c r="G8" i="28" l="1"/>
  <c r="O30" i="20"/>
  <c r="C50" i="34"/>
  <c r="F30" i="20"/>
  <c r="C26" i="20"/>
  <c r="L30" i="20"/>
  <c r="I30" i="20"/>
  <c r="C51" i="34" l="1"/>
  <c r="F31" i="20"/>
  <c r="C27" i="20"/>
  <c r="O31" i="20"/>
  <c r="T44" i="37"/>
  <c r="M25" i="37" a="1"/>
  <c r="T43" i="37"/>
  <c r="T46" i="37"/>
  <c r="I47" i="35" a="1"/>
  <c r="I31" i="20"/>
  <c r="C48" i="34"/>
  <c r="T45" i="37"/>
  <c r="C49" i="34"/>
  <c r="L31" i="20"/>
  <c r="I32" i="20"/>
  <c r="O32" i="20"/>
  <c r="F32" i="20"/>
  <c r="L32" i="20"/>
  <c r="L33" i="20"/>
  <c r="I33" i="20"/>
  <c r="I34" i="20"/>
  <c r="I47" i="35" l="1"/>
  <c r="I49" i="35"/>
  <c r="I50" i="35"/>
  <c r="I48" i="35"/>
  <c r="M26" i="37"/>
  <c r="O26" i="37" s="1"/>
  <c r="Q26" i="37" s="1"/>
  <c r="M29" i="37"/>
  <c r="O29" i="37" s="1"/>
  <c r="Q29" i="37" s="1"/>
  <c r="M31" i="37"/>
  <c r="O31" i="37" s="1"/>
  <c r="Q31" i="37" s="1"/>
  <c r="M32" i="37"/>
  <c r="O32" i="37" s="1"/>
  <c r="Q32" i="37" s="1"/>
  <c r="M27" i="37"/>
  <c r="O27" i="37" s="1"/>
  <c r="Q27" i="37" s="1"/>
  <c r="M33" i="37"/>
  <c r="Q33" i="37" s="1"/>
  <c r="M25" i="37"/>
  <c r="O25" i="37" s="1"/>
  <c r="Q25" i="37" s="1"/>
  <c r="P44" i="37" s="1"/>
  <c r="M34" i="37"/>
  <c r="Q34" i="37" s="1"/>
  <c r="M30" i="37"/>
  <c r="O30" i="37" s="1"/>
  <c r="Q30" i="37" s="1"/>
  <c r="M28" i="37"/>
  <c r="O28" i="37" s="1"/>
  <c r="Q28" i="37" s="1"/>
  <c r="I35" i="20"/>
  <c r="L34" i="20"/>
  <c r="F33" i="20"/>
  <c r="C28" i="20"/>
  <c r="O33" i="20"/>
  <c r="C29" i="20"/>
  <c r="M44" i="37" l="1"/>
  <c r="M43" i="37"/>
  <c r="C30" i="20"/>
  <c r="I36" i="20"/>
  <c r="O34" i="20"/>
  <c r="L35" i="20"/>
  <c r="F34" i="20"/>
  <c r="C31" i="20"/>
  <c r="C32" i="20"/>
  <c r="L36" i="20"/>
  <c r="F35" i="20"/>
  <c r="O35" i="20"/>
  <c r="I37" i="20"/>
  <c r="I38" i="20"/>
  <c r="O36" i="20"/>
  <c r="F36" i="20"/>
  <c r="L37" i="20"/>
  <c r="C33" i="20"/>
  <c r="C34" i="20"/>
  <c r="L38" i="20"/>
  <c r="F37" i="20"/>
  <c r="O37" i="20"/>
  <c r="I39" i="20"/>
  <c r="I40" i="20"/>
  <c r="C35" i="20"/>
  <c r="O38" i="20"/>
  <c r="F38" i="20"/>
  <c r="L39" i="20"/>
  <c r="L40" i="20"/>
  <c r="I41" i="20"/>
  <c r="F39" i="20"/>
  <c r="O39" i="20"/>
  <c r="C36" i="20"/>
  <c r="C37" i="20"/>
  <c r="O40" i="20"/>
  <c r="F40" i="20"/>
  <c r="I42" i="20"/>
  <c r="L41" i="20"/>
  <c r="L42" i="20"/>
  <c r="I43" i="20"/>
  <c r="F41" i="20"/>
  <c r="O41" i="20"/>
  <c r="C38" i="20"/>
  <c r="C39" i="20"/>
  <c r="L43" i="20"/>
  <c r="O42" i="20"/>
  <c r="F42" i="20"/>
  <c r="I44" i="20"/>
  <c r="I45" i="20"/>
  <c r="F43" i="20"/>
  <c r="O43" i="20"/>
  <c r="L44" i="20"/>
  <c r="C40" i="20"/>
  <c r="C41" i="20"/>
  <c r="L45" i="20"/>
  <c r="O44" i="20"/>
  <c r="F44" i="20"/>
  <c r="I46" i="20"/>
  <c r="I47" i="20"/>
  <c r="C42" i="20"/>
  <c r="F45" i="20"/>
  <c r="O45" i="20"/>
  <c r="L46" i="20"/>
  <c r="L47" i="20"/>
  <c r="O46" i="20"/>
  <c r="F46" i="20"/>
  <c r="I48" i="20"/>
  <c r="C43" i="20"/>
  <c r="C44" i="20"/>
  <c r="O47" i="20"/>
  <c r="I49" i="20"/>
  <c r="L48" i="20"/>
  <c r="F47" i="20"/>
  <c r="F48" i="20"/>
  <c r="O48" i="20"/>
  <c r="L49" i="20"/>
  <c r="C45" i="20"/>
  <c r="I50" i="20"/>
  <c r="I51" i="20"/>
  <c r="C46" i="20"/>
  <c r="L50" i="20"/>
  <c r="O49" i="20"/>
  <c r="F49" i="20"/>
  <c r="F50" i="20"/>
  <c r="O50" i="20"/>
  <c r="L51" i="20"/>
  <c r="C47" i="20"/>
  <c r="I52" i="20"/>
  <c r="I53" i="20"/>
  <c r="F51" i="20"/>
  <c r="C48" i="20"/>
  <c r="O51" i="20"/>
  <c r="L52" i="20"/>
  <c r="L53" i="20"/>
  <c r="I54" i="20"/>
  <c r="O52" i="20"/>
  <c r="F52" i="20"/>
  <c r="C49" i="20"/>
  <c r="C50" i="20"/>
  <c r="L54" i="20"/>
  <c r="F53" i="20"/>
  <c r="O53" i="20"/>
  <c r="I55" i="20"/>
  <c r="I56" i="20"/>
  <c r="O54" i="20"/>
  <c r="C51" i="20"/>
  <c r="F54" i="20"/>
  <c r="L55" i="20"/>
  <c r="L56" i="20"/>
  <c r="F55" i="20"/>
  <c r="I57" i="20"/>
  <c r="C52" i="20"/>
  <c r="O55" i="20"/>
  <c r="O56" i="20"/>
  <c r="F56" i="20"/>
  <c r="C53" i="20"/>
  <c r="L57" i="20"/>
  <c r="I58" i="20"/>
  <c r="I59" i="20"/>
  <c r="L58" i="20"/>
  <c r="C54" i="20"/>
  <c r="F57" i="20"/>
  <c r="O57" i="20"/>
  <c r="O58" i="20"/>
  <c r="F58" i="20"/>
  <c r="C55" i="20"/>
  <c r="L59" i="20"/>
  <c r="I60" i="20"/>
  <c r="I61" i="20"/>
  <c r="O59" i="20"/>
  <c r="L60" i="20"/>
  <c r="F59" i="20"/>
  <c r="C56" i="20"/>
  <c r="C57" i="20"/>
  <c r="F60" i="20"/>
  <c r="L61" i="20"/>
  <c r="O60" i="20"/>
  <c r="I62" i="20"/>
  <c r="I63" i="20"/>
  <c r="O61" i="20"/>
  <c r="C58" i="20"/>
  <c r="L62" i="20"/>
  <c r="F61" i="20"/>
  <c r="F62" i="20"/>
  <c r="I64" i="20"/>
  <c r="L63" i="20"/>
  <c r="O62" i="20"/>
  <c r="C59" i="20"/>
  <c r="C60" i="20"/>
  <c r="I65" i="20"/>
  <c r="O63" i="20"/>
  <c r="F63" i="20"/>
  <c r="L64" i="20"/>
  <c r="L65" i="20"/>
  <c r="C61" i="20"/>
  <c r="F64" i="20"/>
  <c r="I66" i="20"/>
  <c r="O64" i="20"/>
  <c r="O65" i="20"/>
  <c r="I67" i="20"/>
  <c r="F65" i="20"/>
  <c r="C62" i="20"/>
  <c r="L66" i="20"/>
  <c r="L67" i="20"/>
  <c r="I68" i="20"/>
  <c r="O66" i="20"/>
  <c r="C63" i="20"/>
  <c r="F66" i="20"/>
  <c r="F67" i="20"/>
  <c r="L68" i="20"/>
  <c r="C64" i="20"/>
  <c r="O67" i="20"/>
  <c r="I69" i="20"/>
  <c r="I70" i="20"/>
  <c r="O68" i="20"/>
  <c r="L69" i="20"/>
  <c r="F68" i="20"/>
  <c r="C65" i="20"/>
  <c r="C66" i="20"/>
  <c r="O69" i="20"/>
  <c r="F69" i="20"/>
  <c r="L70" i="20"/>
  <c r="I71" i="20"/>
  <c r="I72" i="20"/>
  <c r="O70" i="20"/>
  <c r="L71" i="20"/>
  <c r="C67" i="20"/>
  <c r="F70" i="20"/>
  <c r="F71" i="20"/>
  <c r="C68" i="20"/>
  <c r="I73" i="20"/>
  <c r="L72" i="20"/>
  <c r="O71" i="20"/>
  <c r="O72" i="20"/>
  <c r="C69" i="20"/>
  <c r="L73" i="20"/>
  <c r="F72" i="20"/>
  <c r="I74" i="20"/>
  <c r="I75" i="20"/>
  <c r="C70" i="20"/>
  <c r="F73" i="20"/>
  <c r="L74" i="20"/>
  <c r="O73" i="20"/>
  <c r="O74" i="20"/>
  <c r="C71" i="20"/>
  <c r="L75" i="20"/>
  <c r="F74" i="20"/>
  <c r="I76" i="20"/>
  <c r="I77" i="20"/>
  <c r="C72" i="20"/>
  <c r="O75" i="20"/>
  <c r="F75" i="20"/>
  <c r="L76" i="20"/>
  <c r="L77" i="20"/>
  <c r="I78" i="20"/>
  <c r="F76" i="20"/>
  <c r="O76" i="20"/>
  <c r="C73" i="20"/>
  <c r="C74" i="20"/>
  <c r="I79" i="20"/>
  <c r="O77" i="20"/>
  <c r="F77" i="20"/>
  <c r="L78" i="20"/>
  <c r="L79" i="20"/>
  <c r="I80" i="20"/>
  <c r="F78" i="20"/>
  <c r="C75" i="20"/>
  <c r="O78" i="20"/>
  <c r="O79" i="20"/>
  <c r="I81" i="20"/>
  <c r="C76" i="20"/>
  <c r="F79" i="20"/>
  <c r="L80" i="20"/>
  <c r="L81" i="20"/>
  <c r="I82" i="20"/>
  <c r="F80" i="20"/>
  <c r="O80" i="20"/>
  <c r="C77" i="20"/>
  <c r="C78" i="20"/>
  <c r="I83" i="20"/>
  <c r="O81" i="20"/>
  <c r="F81" i="20"/>
  <c r="L82" i="20"/>
  <c r="L83" i="20"/>
  <c r="C79" i="20"/>
  <c r="F82" i="20"/>
  <c r="I84" i="20"/>
  <c r="O82" i="20"/>
  <c r="O83" i="20"/>
  <c r="L84" i="20"/>
  <c r="I85" i="20"/>
  <c r="F83" i="20"/>
  <c r="C80" i="20"/>
  <c r="C81" i="20"/>
  <c r="L85" i="20"/>
  <c r="F84" i="20"/>
  <c r="I86" i="20"/>
  <c r="O84" i="20"/>
  <c r="O85" i="20"/>
  <c r="C82" i="20"/>
  <c r="I87" i="20"/>
  <c r="L86" i="20"/>
  <c r="F85" i="20"/>
  <c r="F86" i="20"/>
  <c r="O86" i="20"/>
  <c r="L87" i="20"/>
  <c r="I88" i="20"/>
  <c r="C83" i="20"/>
  <c r="G15" i="20" a="1"/>
  <c r="P15" i="20" a="1"/>
  <c r="M15" i="20" a="1"/>
  <c r="J15" i="20" a="1"/>
  <c r="D15" i="20" a="1"/>
  <c r="D1378" i="20" l="1"/>
  <c r="D1502" i="20"/>
  <c r="D1373" i="20"/>
  <c r="D817" i="20"/>
  <c r="D650" i="20"/>
  <c r="D388" i="20"/>
  <c r="D413" i="20"/>
  <c r="D829" i="20"/>
  <c r="D1036" i="20"/>
  <c r="D1067" i="20"/>
  <c r="D21" i="20"/>
  <c r="D1331" i="20"/>
  <c r="D808" i="20"/>
  <c r="D987" i="20"/>
  <c r="D653" i="20"/>
  <c r="D105" i="20"/>
  <c r="D873" i="20"/>
  <c r="D1073" i="20"/>
  <c r="D830" i="20"/>
  <c r="D370" i="20"/>
  <c r="D858" i="20"/>
  <c r="D1263" i="20"/>
  <c r="D1157" i="20"/>
  <c r="D1154" i="20"/>
  <c r="D635" i="20"/>
  <c r="D992" i="20"/>
  <c r="D1358" i="20"/>
  <c r="D1181" i="20"/>
  <c r="D428" i="20"/>
  <c r="D997" i="20"/>
  <c r="D878" i="20"/>
  <c r="D420" i="20"/>
  <c r="D951" i="20"/>
  <c r="D1042" i="20"/>
  <c r="D857" i="20"/>
  <c r="D1261" i="20"/>
  <c r="D448" i="20"/>
  <c r="D445" i="20"/>
  <c r="D188" i="20"/>
  <c r="D1347" i="20"/>
  <c r="D1505" i="20"/>
  <c r="D1206" i="20"/>
  <c r="D531" i="20"/>
  <c r="D227" i="20"/>
  <c r="D30" i="20"/>
  <c r="D1325" i="20"/>
  <c r="D233" i="20"/>
  <c r="D990" i="20"/>
  <c r="D393" i="20"/>
  <c r="D465" i="20"/>
  <c r="D877" i="20"/>
  <c r="D74" i="20"/>
  <c r="D297" i="20"/>
  <c r="D310" i="20"/>
  <c r="D25" i="20"/>
  <c r="D945" i="20"/>
  <c r="D551" i="20"/>
  <c r="D1384" i="20"/>
  <c r="D1469" i="20"/>
  <c r="D202" i="20"/>
  <c r="D765" i="20"/>
  <c r="D1247" i="20"/>
  <c r="D558" i="20"/>
  <c r="D1290" i="20"/>
  <c r="D481" i="20"/>
  <c r="D456" i="20"/>
  <c r="D711" i="20"/>
  <c r="D727" i="20"/>
  <c r="D309" i="20"/>
  <c r="D230" i="20"/>
  <c r="D758" i="20"/>
  <c r="D572" i="20"/>
  <c r="D199" i="20"/>
  <c r="D410" i="20"/>
  <c r="D814" i="20"/>
  <c r="D1119" i="20"/>
  <c r="D979" i="20"/>
  <c r="D1142" i="20"/>
  <c r="D222" i="20"/>
  <c r="D79" i="20"/>
  <c r="D881" i="20"/>
  <c r="D205" i="20"/>
  <c r="D549" i="20"/>
  <c r="D70" i="20"/>
  <c r="D1164" i="20"/>
  <c r="D712" i="20"/>
  <c r="D104" i="20"/>
  <c r="D184" i="20"/>
  <c r="D114" i="20"/>
  <c r="D822" i="20"/>
  <c r="D186" i="20"/>
  <c r="D909" i="20"/>
  <c r="D124" i="20"/>
  <c r="D1460" i="20"/>
  <c r="D386" i="20"/>
  <c r="D139" i="20"/>
  <c r="D57" i="20"/>
  <c r="D62" i="20"/>
  <c r="D1416" i="20"/>
  <c r="D278" i="20"/>
  <c r="D993" i="20"/>
  <c r="D180" i="20"/>
  <c r="D194" i="20"/>
  <c r="D668" i="20"/>
  <c r="D251" i="20"/>
  <c r="D645" i="20"/>
  <c r="D377" i="20"/>
  <c r="D619" i="20"/>
  <c r="D1082" i="20"/>
  <c r="D98" i="20"/>
  <c r="D861" i="20"/>
  <c r="D553" i="20"/>
  <c r="D720" i="20"/>
  <c r="D1086" i="20"/>
  <c r="D1385" i="20"/>
  <c r="D1068" i="20"/>
  <c r="D702" i="20"/>
  <c r="D794" i="20"/>
  <c r="D1375" i="20"/>
  <c r="D935" i="20"/>
  <c r="D1493" i="20"/>
  <c r="D252" i="20"/>
  <c r="D1472" i="20"/>
  <c r="D296" i="20"/>
  <c r="D983" i="20"/>
  <c r="D689" i="20"/>
  <c r="D802" i="20"/>
  <c r="D45" i="20"/>
  <c r="D211" i="20"/>
  <c r="D961" i="20"/>
  <c r="D677" i="20"/>
  <c r="D416" i="20"/>
  <c r="D1468" i="20"/>
  <c r="D1504" i="20"/>
  <c r="D934" i="20"/>
  <c r="D1228" i="20"/>
  <c r="D274" i="20"/>
  <c r="D1137" i="20"/>
  <c r="D989" i="20"/>
  <c r="D1121" i="20"/>
  <c r="D731" i="20"/>
  <c r="D276" i="20"/>
  <c r="D27" i="20"/>
  <c r="D231" i="20"/>
  <c r="D169" i="20"/>
  <c r="D1031" i="20"/>
  <c r="D1096" i="20"/>
  <c r="D1240" i="20"/>
  <c r="D324" i="20"/>
  <c r="D1476" i="20"/>
  <c r="D1417" i="20"/>
  <c r="D803" i="20"/>
  <c r="D26" i="20"/>
  <c r="D77" i="20"/>
  <c r="D1359" i="20"/>
  <c r="D302" i="20"/>
  <c r="D403" i="20"/>
  <c r="D391" i="20"/>
  <c r="D941" i="20"/>
  <c r="D580" i="20"/>
  <c r="D312" i="20"/>
  <c r="D1273" i="20"/>
  <c r="D1381" i="20"/>
  <c r="D40" i="20"/>
  <c r="D1272" i="20"/>
  <c r="D281" i="20"/>
  <c r="D863" i="20"/>
  <c r="D724" i="20"/>
  <c r="D232" i="20"/>
  <c r="D363" i="20"/>
  <c r="D988" i="20"/>
  <c r="D82" i="20"/>
  <c r="D195" i="20"/>
  <c r="D1509" i="20"/>
  <c r="D625" i="20"/>
  <c r="D183" i="20"/>
  <c r="D243" i="20"/>
  <c r="D853" i="20"/>
  <c r="D1317" i="20"/>
  <c r="D1118" i="20"/>
  <c r="D1094" i="20"/>
  <c r="D216" i="20"/>
  <c r="D1185" i="20"/>
  <c r="D754" i="20"/>
  <c r="D1033" i="20"/>
  <c r="D245" i="20"/>
  <c r="D667" i="20"/>
  <c r="D1072" i="20"/>
  <c r="D1432" i="20"/>
  <c r="D834" i="20"/>
  <c r="D544" i="20"/>
  <c r="D718" i="20"/>
  <c r="D191" i="20"/>
  <c r="D1269" i="20"/>
  <c r="D1482" i="20"/>
  <c r="D1377" i="20"/>
  <c r="D161" i="20"/>
  <c r="D28" i="20"/>
  <c r="D1448" i="20"/>
  <c r="D546" i="20"/>
  <c r="D80" i="20"/>
  <c r="D1205" i="20"/>
  <c r="D1300" i="20"/>
  <c r="D713" i="20"/>
  <c r="D1130" i="20"/>
  <c r="D111" i="20"/>
  <c r="D293" i="20"/>
  <c r="D538" i="20"/>
  <c r="D530" i="20"/>
  <c r="D1183" i="20"/>
  <c r="D1159" i="20"/>
  <c r="D621" i="20"/>
  <c r="D497" i="20"/>
  <c r="D46" i="20"/>
  <c r="D1248" i="20"/>
  <c r="D1260" i="20"/>
  <c r="D1299" i="20"/>
  <c r="D1438" i="20"/>
  <c r="D566" i="20"/>
  <c r="D501" i="20"/>
  <c r="D513" i="20"/>
  <c r="D1064" i="20"/>
  <c r="D257" i="20"/>
  <c r="D638" i="20"/>
  <c r="D896" i="20"/>
  <c r="D905" i="20"/>
  <c r="D407" i="20"/>
  <c r="D1383" i="20"/>
  <c r="D1496" i="20"/>
  <c r="D454" i="20"/>
  <c r="D165" i="20"/>
  <c r="D237" i="20"/>
  <c r="D1474" i="20"/>
  <c r="D131" i="20"/>
  <c r="D916" i="20"/>
  <c r="D477" i="20"/>
  <c r="D959" i="20"/>
  <c r="D962" i="20"/>
  <c r="D1236" i="20"/>
  <c r="D347" i="20"/>
  <c r="D159" i="20"/>
  <c r="D322" i="20"/>
  <c r="D810" i="20"/>
  <c r="D500" i="20"/>
  <c r="D49" i="20"/>
  <c r="D1327" i="20"/>
  <c r="D582" i="20"/>
  <c r="D1475" i="20"/>
  <c r="D927" i="20"/>
  <c r="D52" i="20"/>
  <c r="D1049" i="20"/>
  <c r="D759" i="20"/>
  <c r="D717" i="20"/>
  <c r="D1333" i="20"/>
  <c r="D1103" i="20"/>
  <c r="D102" i="20"/>
  <c r="D242" i="20"/>
  <c r="D721" i="20"/>
  <c r="D1065" i="20"/>
  <c r="D836" i="20"/>
  <c r="D776" i="20"/>
  <c r="D1288" i="20"/>
  <c r="D709" i="20"/>
  <c r="D894" i="20"/>
  <c r="D512" i="20"/>
  <c r="D608" i="20"/>
  <c r="D917" i="20"/>
  <c r="D783" i="20"/>
  <c r="D279" i="20"/>
  <c r="D1009" i="20"/>
  <c r="D900" i="20"/>
  <c r="D614" i="20"/>
  <c r="D860" i="20"/>
  <c r="D1324" i="20"/>
  <c r="D163" i="20"/>
  <c r="D891" i="20"/>
  <c r="D214" i="20"/>
  <c r="D502" i="20"/>
  <c r="D767" i="20"/>
  <c r="D142" i="20"/>
  <c r="D1371" i="20"/>
  <c r="D23" i="20"/>
  <c r="D1128" i="20"/>
  <c r="D1414" i="20"/>
  <c r="D1440" i="20"/>
  <c r="D865" i="20"/>
  <c r="D626" i="20"/>
  <c r="D306" i="20"/>
  <c r="D1322" i="20"/>
  <c r="D851" i="20"/>
  <c r="D946" i="20"/>
  <c r="D1150" i="20"/>
  <c r="D1117" i="20"/>
  <c r="D748" i="20"/>
  <c r="D325" i="20"/>
  <c r="D1211" i="20"/>
  <c r="D674" i="20"/>
  <c r="D984" i="20"/>
  <c r="D1306" i="20"/>
  <c r="D1014" i="20"/>
  <c r="D854" i="20"/>
  <c r="D1019" i="20"/>
  <c r="D937" i="20"/>
  <c r="D1022" i="20"/>
  <c r="D1298" i="20"/>
  <c r="D976" i="20"/>
  <c r="D732" i="20"/>
  <c r="D340" i="20"/>
  <c r="D1251" i="20"/>
  <c r="D547" i="20"/>
  <c r="D1498" i="20"/>
  <c r="D269" i="20"/>
  <c r="D157" i="20"/>
  <c r="D1217" i="20"/>
  <c r="D1380" i="20"/>
  <c r="D487" i="20"/>
  <c r="D793" i="20"/>
  <c r="D940" i="20"/>
  <c r="D177" i="20"/>
  <c r="D1354" i="20"/>
  <c r="D1441" i="20"/>
  <c r="D263" i="20"/>
  <c r="D1479" i="20"/>
  <c r="D1143" i="20"/>
  <c r="D1445" i="20"/>
  <c r="D550" i="20"/>
  <c r="D253" i="20"/>
  <c r="D930" i="20"/>
  <c r="D1075" i="20"/>
  <c r="D532" i="20"/>
  <c r="D804" i="20"/>
  <c r="D1166" i="20"/>
  <c r="D944" i="20"/>
  <c r="D555" i="20"/>
  <c r="D16" i="20"/>
  <c r="D1187" i="20"/>
  <c r="D1169" i="20"/>
  <c r="D94" i="20"/>
  <c r="D1255" i="20"/>
  <c r="D126" i="20"/>
  <c r="D1353" i="20"/>
  <c r="D1237" i="20"/>
  <c r="D671" i="20"/>
  <c r="D496" i="20"/>
  <c r="D1268" i="20"/>
  <c r="D208" i="20"/>
  <c r="D1109" i="20"/>
  <c r="D284" i="20"/>
  <c r="D250" i="20"/>
  <c r="D789" i="20"/>
  <c r="D1297" i="20"/>
  <c r="D1369" i="20"/>
  <c r="D1069" i="20"/>
  <c r="D907" i="20"/>
  <c r="D427" i="20"/>
  <c r="D504" i="20"/>
  <c r="D291" i="20"/>
  <c r="D700" i="20"/>
  <c r="D379" i="20"/>
  <c r="D536" i="20"/>
  <c r="D564" i="20"/>
  <c r="D1379" i="20"/>
  <c r="D690" i="20"/>
  <c r="D368" i="20"/>
  <c r="D633" i="20"/>
  <c r="D123" i="20"/>
  <c r="D1044" i="20"/>
  <c r="D848" i="20"/>
  <c r="D385" i="20"/>
  <c r="D300" i="20"/>
  <c r="D1437" i="20"/>
  <c r="D494" i="20"/>
  <c r="D840" i="20"/>
  <c r="D1007" i="20"/>
  <c r="D283" i="20"/>
  <c r="D1430" i="20"/>
  <c r="D264" i="20"/>
  <c r="D239" i="20"/>
  <c r="D779" i="20"/>
  <c r="D1193" i="20"/>
  <c r="D1167" i="20"/>
  <c r="D1057" i="20"/>
  <c r="D1021" i="20"/>
  <c r="D341" i="20"/>
  <c r="D791" i="20"/>
  <c r="D349" i="20"/>
  <c r="D480" i="20"/>
  <c r="D1012" i="20"/>
  <c r="D1076" i="20"/>
  <c r="D782" i="20"/>
  <c r="D914" i="20"/>
  <c r="D1411" i="20"/>
  <c r="D1161" i="20"/>
  <c r="D540" i="20"/>
  <c r="D64" i="20"/>
  <c r="D738" i="20"/>
  <c r="D1124" i="20"/>
  <c r="D1470" i="20"/>
  <c r="D847" i="20"/>
  <c r="D1467" i="20"/>
  <c r="D1398" i="20"/>
  <c r="D396" i="20"/>
  <c r="D1289" i="20"/>
  <c r="D1279" i="20"/>
  <c r="D118" i="20"/>
  <c r="D797" i="20"/>
  <c r="D1160" i="20"/>
  <c r="D1335" i="20"/>
  <c r="D781" i="20"/>
  <c r="D942" i="20"/>
  <c r="D336" i="20"/>
  <c r="D795" i="20"/>
  <c r="D1256" i="20"/>
  <c r="D644" i="20"/>
  <c r="D742" i="20"/>
  <c r="D1131" i="20"/>
  <c r="D785" i="20"/>
  <c r="D1463" i="20"/>
  <c r="D1318" i="20"/>
  <c r="D244" i="20"/>
  <c r="D266" i="20"/>
  <c r="D792" i="20"/>
  <c r="D656" i="20"/>
  <c r="D1301" i="20"/>
  <c r="D166" i="20"/>
  <c r="D355" i="20"/>
  <c r="D1188" i="20"/>
  <c r="D1229" i="20"/>
  <c r="D693" i="20"/>
  <c r="D515" i="20"/>
  <c r="D1051" i="20"/>
  <c r="D763" i="20"/>
  <c r="D1089" i="20"/>
  <c r="D414" i="20"/>
  <c r="D716" i="20"/>
  <c r="D1059" i="20"/>
  <c r="D1346" i="20"/>
  <c r="D382" i="20"/>
  <c r="D462" i="20"/>
  <c r="D1170" i="20"/>
  <c r="D20" i="20"/>
  <c r="D688" i="20"/>
  <c r="D109" i="20"/>
  <c r="D423" i="20"/>
  <c r="D893" i="20"/>
  <c r="D723" i="20"/>
  <c r="D1386" i="20"/>
  <c r="D51" i="20"/>
  <c r="D1332" i="20"/>
  <c r="D397" i="20"/>
  <c r="D1041" i="20"/>
  <c r="D1428" i="20"/>
  <c r="D1501" i="20"/>
  <c r="D429" i="20"/>
  <c r="D198" i="20"/>
  <c r="D815" i="20"/>
  <c r="D145" i="20"/>
  <c r="D1305" i="20"/>
  <c r="D1323" i="20"/>
  <c r="D1093" i="20"/>
  <c r="D473" i="20"/>
  <c r="D1203" i="20"/>
  <c r="D1013" i="20"/>
  <c r="D1252" i="20"/>
  <c r="D1202" i="20"/>
  <c r="D197" i="20"/>
  <c r="D837" i="20"/>
  <c r="D954" i="20"/>
  <c r="D606" i="20"/>
  <c r="D170" i="20"/>
  <c r="D78" i="20"/>
  <c r="D162" i="20"/>
  <c r="D384" i="20"/>
  <c r="D598" i="20"/>
  <c r="D1055" i="20"/>
  <c r="D226" i="20"/>
  <c r="D741" i="20"/>
  <c r="D587" i="20"/>
  <c r="D828" i="20"/>
  <c r="D882" i="20"/>
  <c r="D612" i="20"/>
  <c r="D1200" i="20"/>
  <c r="D1201" i="20"/>
  <c r="D739" i="20"/>
  <c r="D994" i="20"/>
  <c r="D1116" i="20"/>
  <c r="D453" i="20"/>
  <c r="D1340" i="20"/>
  <c r="D1471" i="20"/>
  <c r="D679" i="20"/>
  <c r="D1156" i="20"/>
  <c r="D167" i="20"/>
  <c r="D922" i="20"/>
  <c r="D1232" i="20"/>
  <c r="D378" i="20"/>
  <c r="D303" i="20"/>
  <c r="D1329" i="20"/>
  <c r="D331" i="20"/>
  <c r="D845" i="20"/>
  <c r="D885" i="20"/>
  <c r="D1292" i="20"/>
  <c r="D408" i="20"/>
  <c r="D58" i="20"/>
  <c r="D358" i="20"/>
  <c r="D696" i="20"/>
  <c r="D1234" i="20"/>
  <c r="D1457" i="20"/>
  <c r="D1066" i="20"/>
  <c r="D832" i="20"/>
  <c r="D376" i="20"/>
  <c r="D76" i="20"/>
  <c r="D771" i="20"/>
  <c r="D1343" i="20"/>
  <c r="D34" i="20"/>
  <c r="D641" i="20"/>
  <c r="D1245" i="20"/>
  <c r="D678" i="20"/>
  <c r="D507" i="20"/>
  <c r="D143" i="20"/>
  <c r="D442" i="20"/>
  <c r="D1146" i="20"/>
  <c r="D348" i="20"/>
  <c r="D1113" i="20"/>
  <c r="D1294" i="20"/>
  <c r="D459" i="20"/>
  <c r="D617" i="20"/>
  <c r="D1291" i="20"/>
  <c r="D673" i="20"/>
  <c r="D784" i="20"/>
  <c r="D737" i="20"/>
  <c r="D1233" i="20"/>
  <c r="D316" i="20"/>
  <c r="D1148" i="20"/>
  <c r="D405" i="20"/>
  <c r="D999" i="20"/>
  <c r="D1420" i="20"/>
  <c r="D371" i="20"/>
  <c r="D687" i="20"/>
  <c r="D37" i="20"/>
  <c r="D182" i="20"/>
  <c r="D977" i="20"/>
  <c r="D406" i="20"/>
  <c r="D929" i="20"/>
  <c r="D359" i="20"/>
  <c r="D259" i="20"/>
  <c r="D1199" i="20"/>
  <c r="D866" i="20"/>
  <c r="D1177" i="20"/>
  <c r="D1242" i="20"/>
  <c r="D761" i="20"/>
  <c r="D928" i="20"/>
  <c r="D288" i="20"/>
  <c r="D373" i="20"/>
  <c r="D277" i="20"/>
  <c r="D691" i="20"/>
  <c r="D171" i="20"/>
  <c r="D329" i="20"/>
  <c r="D584" i="20"/>
  <c r="D843" i="20"/>
  <c r="D749" i="20"/>
  <c r="D346" i="20"/>
  <c r="D629" i="20"/>
  <c r="D883" i="20"/>
  <c r="D63" i="20"/>
  <c r="D130" i="20"/>
  <c r="D850" i="20"/>
  <c r="D725" i="20"/>
  <c r="D447" i="20"/>
  <c r="D1307" i="20"/>
  <c r="D484" i="20"/>
  <c r="D1002" i="20"/>
  <c r="D1405" i="20"/>
  <c r="D1212" i="20"/>
  <c r="D1284" i="20"/>
  <c r="D218" i="20"/>
  <c r="D326" i="20"/>
  <c r="D1135" i="20"/>
  <c r="D1060" i="20"/>
  <c r="D1336" i="20"/>
  <c r="D1425" i="20"/>
  <c r="D708" i="20"/>
  <c r="D1265" i="20"/>
  <c r="D557" i="20"/>
  <c r="D56" i="20"/>
  <c r="D1355" i="20"/>
  <c r="D411" i="20"/>
  <c r="D238" i="20"/>
  <c r="D207" i="20"/>
  <c r="D119" i="20"/>
  <c r="D1204" i="20"/>
  <c r="D66" i="20"/>
  <c r="D41" i="20"/>
  <c r="D446" i="20"/>
  <c r="D1456" i="20"/>
  <c r="D483" i="20"/>
  <c r="D1387" i="20"/>
  <c r="D203" i="20"/>
  <c r="D510" i="20"/>
  <c r="D1313" i="20"/>
  <c r="D800" i="20"/>
  <c r="D569" i="20"/>
  <c r="D777" i="20"/>
  <c r="D637" i="20"/>
  <c r="D966" i="20"/>
  <c r="D168" i="20"/>
  <c r="D658" i="20"/>
  <c r="D1175" i="20"/>
  <c r="D412" i="20"/>
  <c r="D1490" i="20"/>
  <c r="D715" i="20"/>
  <c r="D1372" i="20"/>
  <c r="D272" i="20"/>
  <c r="D1106" i="20"/>
  <c r="D389" i="20"/>
  <c r="D1061" i="20"/>
  <c r="D774" i="20"/>
  <c r="D247" i="20"/>
  <c r="D613" i="20"/>
  <c r="D864" i="20"/>
  <c r="D289" i="20"/>
  <c r="D351" i="20"/>
  <c r="D627" i="20"/>
  <c r="D897" i="20"/>
  <c r="D217" i="20"/>
  <c r="D176" i="20"/>
  <c r="D972" i="20"/>
  <c r="D1267" i="20"/>
  <c r="D1098" i="20"/>
  <c r="D623" i="20"/>
  <c r="D970" i="20"/>
  <c r="D586" i="20"/>
  <c r="D38" i="20"/>
  <c r="D1043" i="20"/>
  <c r="D1442" i="20"/>
  <c r="D522" i="20"/>
  <c r="D455" i="20"/>
  <c r="D1133" i="20"/>
  <c r="D967" i="20"/>
  <c r="D1087" i="20"/>
  <c r="D787" i="20"/>
  <c r="D471" i="20"/>
  <c r="D490" i="20"/>
  <c r="D766" i="20"/>
  <c r="D950" i="20"/>
  <c r="D1085" i="20"/>
  <c r="D1191" i="20"/>
  <c r="D1125" i="20"/>
  <c r="D1153" i="20"/>
  <c r="D1184" i="20"/>
  <c r="D1401" i="20"/>
  <c r="D1433" i="20"/>
  <c r="D1264" i="20"/>
  <c r="D643" i="20"/>
  <c r="D225" i="20"/>
  <c r="D1348" i="20"/>
  <c r="D344" i="20"/>
  <c r="D604" i="20"/>
  <c r="D488" i="20"/>
  <c r="D1465" i="20"/>
  <c r="D361" i="20"/>
  <c r="D59" i="20"/>
  <c r="D1097" i="20"/>
  <c r="D187" i="20"/>
  <c r="D1319" i="20"/>
  <c r="D174" i="20"/>
  <c r="D887" i="20"/>
  <c r="D1395" i="20"/>
  <c r="D1221" i="20"/>
  <c r="D1195" i="20"/>
  <c r="D15" i="20"/>
  <c r="D196" i="20"/>
  <c r="D1511" i="20"/>
  <c r="D624" i="20"/>
  <c r="D258" i="20"/>
  <c r="D1338" i="20"/>
  <c r="D1209" i="20"/>
  <c r="D498" i="20"/>
  <c r="D659" i="20"/>
  <c r="D1360" i="20"/>
  <c r="D819" i="20"/>
  <c r="D1507" i="20"/>
  <c r="D1120" i="20"/>
  <c r="D852" i="20"/>
  <c r="D103" i="20"/>
  <c r="D334" i="20"/>
  <c r="D398" i="20"/>
  <c r="D1446" i="20"/>
  <c r="D241" i="20"/>
  <c r="D552" i="20"/>
  <c r="D1364" i="20"/>
  <c r="D895" i="20"/>
  <c r="D1186" i="20"/>
  <c r="D315" i="20"/>
  <c r="D1038" i="20"/>
  <c r="D338" i="20"/>
  <c r="D172" i="20"/>
  <c r="D1054" i="20"/>
  <c r="D1481" i="20"/>
  <c r="D1056" i="20"/>
  <c r="D697" i="20"/>
  <c r="D722" i="20"/>
  <c r="D95" i="20"/>
  <c r="D603" i="20"/>
  <c r="D392" i="20"/>
  <c r="D1108" i="20"/>
  <c r="D1155" i="20"/>
  <c r="D224" i="20"/>
  <c r="D492" i="20"/>
  <c r="D672" i="20"/>
  <c r="D1110" i="20"/>
  <c r="D438" i="20"/>
  <c r="D425" i="20"/>
  <c r="D661" i="20"/>
  <c r="D1027" i="20"/>
  <c r="D799" i="20"/>
  <c r="D212" i="20"/>
  <c r="D1179" i="20"/>
  <c r="D1487" i="20"/>
  <c r="D1026" i="20"/>
  <c r="D271" i="20"/>
  <c r="D298" i="20"/>
  <c r="D353" i="20"/>
  <c r="D573" i="20"/>
  <c r="D457" i="20"/>
  <c r="D943" i="20"/>
  <c r="D1058" i="20"/>
  <c r="D248" i="20"/>
  <c r="D1365" i="20"/>
  <c r="D537" i="20"/>
  <c r="D1034" i="20"/>
  <c r="D1309" i="20"/>
  <c r="D282" i="20"/>
  <c r="D736" i="20"/>
  <c r="D862" i="20"/>
  <c r="D1192" i="20"/>
  <c r="D311" i="20"/>
  <c r="D592" i="20"/>
  <c r="D357" i="20"/>
  <c r="D1287" i="20"/>
  <c r="D439" i="20"/>
  <c r="D971" i="20"/>
  <c r="D539" i="20"/>
  <c r="D926" i="20"/>
  <c r="D451" i="20"/>
  <c r="D1404" i="20"/>
  <c r="D910" i="20"/>
  <c r="D636" i="20"/>
  <c r="D125" i="20"/>
  <c r="D953" i="20"/>
  <c r="D1339" i="20"/>
  <c r="D811" i="20"/>
  <c r="D122" i="20"/>
  <c r="D1310" i="20"/>
  <c r="D892" i="20"/>
  <c r="D181" i="20"/>
  <c r="D812" i="20"/>
  <c r="D1162" i="20"/>
  <c r="D1514" i="20"/>
  <c r="D620" i="20"/>
  <c r="D99" i="20"/>
  <c r="D313" i="20"/>
  <c r="D662" i="20"/>
  <c r="D652" i="20"/>
  <c r="D86" i="20"/>
  <c r="D201" i="20"/>
  <c r="D234" i="20"/>
  <c r="D602" i="20"/>
  <c r="D1276" i="20"/>
  <c r="D1397" i="20"/>
  <c r="D93" i="20"/>
  <c r="D380" i="20"/>
  <c r="D215" i="20"/>
  <c r="D567" i="20"/>
  <c r="D880" i="20"/>
  <c r="D833" i="20"/>
  <c r="D825" i="20"/>
  <c r="D1321" i="20"/>
  <c r="D805" i="20"/>
  <c r="D436" i="20"/>
  <c r="D752" i="20"/>
  <c r="D1147" i="20"/>
  <c r="D1197" i="20"/>
  <c r="D1376" i="20"/>
  <c r="D443" i="20"/>
  <c r="D524" i="20"/>
  <c r="D871" i="20"/>
  <c r="D1136" i="20"/>
  <c r="D1011" i="20"/>
  <c r="D615" i="20"/>
  <c r="D1258" i="20"/>
  <c r="D83" i="20"/>
  <c r="D1198" i="20"/>
  <c r="D956" i="20"/>
  <c r="D1257" i="20"/>
  <c r="D1132" i="20"/>
  <c r="D97" i="20"/>
  <c r="D919" i="20"/>
  <c r="D450" i="20"/>
  <c r="D1158" i="20"/>
  <c r="D1282" i="20"/>
  <c r="D1081" i="20"/>
  <c r="D53" i="20"/>
  <c r="D261" i="20"/>
  <c r="D478" i="20"/>
  <c r="D138" i="20"/>
  <c r="D1208" i="20"/>
  <c r="D1172" i="20"/>
  <c r="D19" i="20"/>
  <c r="D137" i="20"/>
  <c r="D463" i="20"/>
  <c r="D287" i="20"/>
  <c r="D985" i="20"/>
  <c r="D1070" i="20"/>
  <c r="D1139" i="20"/>
  <c r="D583" i="20"/>
  <c r="D1071" i="20"/>
  <c r="D68" i="20"/>
  <c r="D974" i="20"/>
  <c r="D1077" i="20"/>
  <c r="D185" i="20"/>
  <c r="D383" i="20"/>
  <c r="D1486" i="20"/>
  <c r="D100" i="20"/>
  <c r="D1024" i="20"/>
  <c r="D683" i="20"/>
  <c r="D676" i="20"/>
  <c r="D1111" i="20"/>
  <c r="D206" i="20"/>
  <c r="D996" i="20"/>
  <c r="D1408" i="20"/>
  <c r="D630" i="20"/>
  <c r="D467" i="20"/>
  <c r="D924" i="20"/>
  <c r="D417" i="20"/>
  <c r="D932" i="20"/>
  <c r="D39" i="20"/>
  <c r="D733" i="20"/>
  <c r="D806" i="20"/>
  <c r="D788" i="20"/>
  <c r="D680" i="20"/>
  <c r="D577" i="20"/>
  <c r="D1473" i="20"/>
  <c r="D816" i="20"/>
  <c r="D576" i="20"/>
  <c r="D936" i="20"/>
  <c r="D963" i="20"/>
  <c r="D609" i="20"/>
  <c r="D1402" i="20"/>
  <c r="D150" i="20"/>
  <c r="D1275" i="20"/>
  <c r="D762" i="20"/>
  <c r="D1302" i="20"/>
  <c r="D1349" i="20"/>
  <c r="D1123" i="20"/>
  <c r="D90" i="20"/>
  <c r="D903" i="20"/>
  <c r="D1000" i="20"/>
  <c r="D529" i="20"/>
  <c r="D1443" i="20"/>
  <c r="D1513" i="20"/>
  <c r="D228" i="20"/>
  <c r="D921" i="20"/>
  <c r="D156" i="20"/>
  <c r="D1025" i="20"/>
  <c r="D632" i="20"/>
  <c r="D366" i="20"/>
  <c r="D333" i="20"/>
  <c r="D820" i="20"/>
  <c r="D173" i="20"/>
  <c r="D556" i="20"/>
  <c r="D1151" i="20"/>
  <c r="D87" i="20"/>
  <c r="D859" i="20"/>
  <c r="D729" i="20"/>
  <c r="D1149" i="20"/>
  <c r="D1497" i="20"/>
  <c r="D911" i="20"/>
  <c r="D290" i="20"/>
  <c r="D401" i="20"/>
  <c r="D734" i="20"/>
  <c r="D826" i="20"/>
  <c r="D1105" i="20"/>
  <c r="D482" i="20"/>
  <c r="D1344" i="20"/>
  <c r="D1296" i="20"/>
  <c r="D486" i="20"/>
  <c r="D757" i="20"/>
  <c r="D75" i="20"/>
  <c r="D597" i="20"/>
  <c r="D1391" i="20"/>
  <c r="D1436" i="20"/>
  <c r="D1222" i="20"/>
  <c r="D1308" i="20"/>
  <c r="D1409" i="20"/>
  <c r="D1141" i="20"/>
  <c r="D106" i="20"/>
  <c r="D128" i="20"/>
  <c r="D415" i="20"/>
  <c r="D1249" i="20"/>
  <c r="D915" i="20"/>
  <c r="D1363" i="20"/>
  <c r="D585" i="20"/>
  <c r="D973" i="20"/>
  <c r="D786" i="20"/>
  <c r="D431" i="20"/>
  <c r="D1225" i="20"/>
  <c r="D1283" i="20"/>
  <c r="D440" i="20"/>
  <c r="D1345" i="20"/>
  <c r="D360" i="20"/>
  <c r="D1396" i="20"/>
  <c r="D345" i="20"/>
  <c r="D352" i="20"/>
  <c r="D468" i="20"/>
  <c r="D596" i="20"/>
  <c r="D1390" i="20"/>
  <c r="D210" i="20"/>
  <c r="D1320" i="20"/>
  <c r="D1266" i="20"/>
  <c r="D204" i="20"/>
  <c r="D479" i="20"/>
  <c r="D898" i="20"/>
  <c r="D719" i="20"/>
  <c r="D1004" i="20"/>
  <c r="D568" i="20"/>
  <c r="D129" i="20"/>
  <c r="D841" i="20"/>
  <c r="D508" i="20"/>
  <c r="D372" i="20"/>
  <c r="D1010" i="20"/>
  <c r="D730" i="20"/>
  <c r="D503" i="20"/>
  <c r="D622" i="20"/>
  <c r="D190" i="20"/>
  <c r="D563" i="20"/>
  <c r="D1494" i="20"/>
  <c r="D141" i="20"/>
  <c r="D342" i="20"/>
  <c r="D798" i="20"/>
  <c r="D1462" i="20"/>
  <c r="D1216" i="20"/>
  <c r="D1029" i="20"/>
  <c r="D91" i="20"/>
  <c r="D695" i="20"/>
  <c r="D1032" i="20"/>
  <c r="D112" i="20"/>
  <c r="D1102" i="20"/>
  <c r="D96" i="20"/>
  <c r="D1356" i="20"/>
  <c r="D151" i="20"/>
  <c r="D831" i="20"/>
  <c r="D743" i="20"/>
  <c r="D1352" i="20"/>
  <c r="D17" i="20"/>
  <c r="D273" i="20"/>
  <c r="D639" i="20"/>
  <c r="D335" i="20"/>
  <c r="D1016" i="20"/>
  <c r="D88" i="20"/>
  <c r="D1489" i="20"/>
  <c r="D317" i="20"/>
  <c r="D1508" i="20"/>
  <c r="D1312" i="20"/>
  <c r="D1048" i="20"/>
  <c r="D135" i="20"/>
  <c r="D320" i="20"/>
  <c r="D18" i="20"/>
  <c r="D35" i="20"/>
  <c r="D527" i="20"/>
  <c r="D706" i="20"/>
  <c r="D1227" i="20"/>
  <c r="D1394" i="20"/>
  <c r="D856" i="20"/>
  <c r="D1165" i="20"/>
  <c r="D1499" i="20"/>
  <c r="D339" i="20"/>
  <c r="D146" i="20"/>
  <c r="D50" i="20"/>
  <c r="D286" i="20"/>
  <c r="D1382" i="20"/>
  <c r="D640" i="20"/>
  <c r="D147" i="20"/>
  <c r="D1464" i="20"/>
  <c r="D1491" i="20"/>
  <c r="D595" i="20"/>
  <c r="D1410" i="20"/>
  <c r="D1145" i="20"/>
  <c r="D1483" i="20"/>
  <c r="D578" i="20"/>
  <c r="D1304" i="20"/>
  <c r="D849" i="20"/>
  <c r="D651" i="20"/>
  <c r="D952" i="20"/>
  <c r="D260" i="20"/>
  <c r="D48" i="20"/>
  <c r="D330" i="20"/>
  <c r="D982" i="20"/>
  <c r="D955" i="20"/>
  <c r="D452" i="20"/>
  <c r="D1140" i="20"/>
  <c r="D1314" i="20"/>
  <c r="D842" i="20"/>
  <c r="D394" i="20"/>
  <c r="D744" i="20"/>
  <c r="D179" i="20"/>
  <c r="D1173" i="20"/>
  <c r="D764" i="20"/>
  <c r="D505" i="20"/>
  <c r="D958" i="20"/>
  <c r="D304" i="20"/>
  <c r="D542" i="20"/>
  <c r="D1171" i="20"/>
  <c r="D751" i="20"/>
  <c r="D1421" i="20"/>
  <c r="D158" i="20"/>
  <c r="D796" i="20"/>
  <c r="D1449" i="20"/>
  <c r="D1190" i="20"/>
  <c r="D1492" i="20"/>
  <c r="D495" i="20"/>
  <c r="D648" i="20"/>
  <c r="D1286" i="20"/>
  <c r="D740" i="20"/>
  <c r="D918" i="20"/>
  <c r="D809" i="20"/>
  <c r="D152" i="20"/>
  <c r="D869" i="20"/>
  <c r="D611" i="20"/>
  <c r="D1246" i="20"/>
  <c r="D60" i="20"/>
  <c r="D1427" i="20"/>
  <c r="D236" i="20"/>
  <c r="D193" i="20"/>
  <c r="D476" i="20"/>
  <c r="D254" i="20"/>
  <c r="D343" i="20"/>
  <c r="D299" i="20"/>
  <c r="D889" i="20"/>
  <c r="D246" i="20"/>
  <c r="D906" i="20"/>
  <c r="D1368" i="20"/>
  <c r="D631" i="20"/>
  <c r="D657" i="20"/>
  <c r="D69" i="20"/>
  <c r="D813" i="20"/>
  <c r="D975" i="20"/>
  <c r="D1180" i="20"/>
  <c r="D1239" i="20"/>
  <c r="D1084" i="20"/>
  <c r="D42" i="20"/>
  <c r="D923" i="20"/>
  <c r="D1435" i="20"/>
  <c r="D516" i="20"/>
  <c r="D444" i="20"/>
  <c r="D29" i="20"/>
  <c r="D534" i="20"/>
  <c r="D1223" i="20"/>
  <c r="D155" i="20"/>
  <c r="D1112" i="20"/>
  <c r="D85" i="20"/>
  <c r="D154" i="20"/>
  <c r="D1218" i="20"/>
  <c r="D292" i="20"/>
  <c r="D1466" i="20"/>
  <c r="D1253" i="20"/>
  <c r="D726" i="20"/>
  <c r="D681" i="20"/>
  <c r="D1250" i="20"/>
  <c r="D1293" i="20"/>
  <c r="D1176" i="20"/>
  <c r="D1079" i="20"/>
  <c r="D1315" i="20"/>
  <c r="D255" i="20"/>
  <c r="D698" i="20"/>
  <c r="D707" i="20"/>
  <c r="D1063" i="20"/>
  <c r="D634" i="20"/>
  <c r="D664" i="20"/>
  <c r="D267" i="20"/>
  <c r="D419" i="20"/>
  <c r="D399" i="20"/>
  <c r="D318" i="20"/>
  <c r="D1485" i="20"/>
  <c r="D1095" i="20"/>
  <c r="D519" i="20"/>
  <c r="D367" i="20"/>
  <c r="D387" i="20"/>
  <c r="D1334" i="20"/>
  <c r="D1451" i="20"/>
  <c r="D1008" i="20"/>
  <c r="D548" i="20"/>
  <c r="D1144" i="20"/>
  <c r="D101" i="20"/>
  <c r="D1005" i="20"/>
  <c r="D262" i="20"/>
  <c r="D354" i="20"/>
  <c r="D369" i="20"/>
  <c r="D409" i="20"/>
  <c r="D838" i="20"/>
  <c r="D200" i="20"/>
  <c r="D867" i="20"/>
  <c r="D1341" i="20"/>
  <c r="D1303" i="20"/>
  <c r="D1052" i="20"/>
  <c r="D256" i="20"/>
  <c r="D543" i="20"/>
  <c r="D67" i="20"/>
  <c r="D517" i="20"/>
  <c r="D1277" i="20"/>
  <c r="D33" i="20"/>
  <c r="D1127" i="20"/>
  <c r="D908" i="20"/>
  <c r="D375" i="20"/>
  <c r="D874" i="20"/>
  <c r="D938" i="20"/>
  <c r="D164" i="20"/>
  <c r="D1281" i="20"/>
  <c r="D939" i="20"/>
  <c r="D1510" i="20"/>
  <c r="D1210" i="20"/>
  <c r="D949" i="20"/>
  <c r="D870" i="20"/>
  <c r="D904" i="20"/>
  <c r="D1138" i="20"/>
  <c r="D432" i="20"/>
  <c r="D705" i="20"/>
  <c r="D1224" i="20"/>
  <c r="D149" i="20"/>
  <c r="D110" i="20"/>
  <c r="D249" i="20"/>
  <c r="D875" i="20"/>
  <c r="D1337" i="20"/>
  <c r="D1194" i="20"/>
  <c r="D1152" i="20"/>
  <c r="D265" i="20"/>
  <c r="D1423" i="20"/>
  <c r="D1168" i="20"/>
  <c r="D374" i="20"/>
  <c r="D760" i="20"/>
  <c r="D560" i="20"/>
  <c r="D684" i="20"/>
  <c r="D1500" i="20"/>
  <c r="D1439" i="20"/>
  <c r="D350" i="20"/>
  <c r="D134" i="20"/>
  <c r="D280" i="20"/>
  <c r="D1122" i="20"/>
  <c r="D995" i="20"/>
  <c r="D1342" i="20"/>
  <c r="D890" i="20"/>
  <c r="D562" i="20"/>
  <c r="D888" i="20"/>
  <c r="D655" i="20"/>
  <c r="D514" i="20"/>
  <c r="D294" i="20"/>
  <c r="D1458" i="20"/>
  <c r="D1091" i="20"/>
  <c r="D308" i="20"/>
  <c r="D307" i="20"/>
  <c r="D647" i="20"/>
  <c r="D491" i="20"/>
  <c r="D879" i="20"/>
  <c r="D756" i="20"/>
  <c r="D1429" i="20"/>
  <c r="D807" i="20"/>
  <c r="D1134" i="20"/>
  <c r="D1088" i="20"/>
  <c r="D692" i="20"/>
  <c r="D818" i="20"/>
  <c r="D1389" i="20"/>
  <c r="D1178" i="20"/>
  <c r="D1213" i="20"/>
  <c r="D628" i="20"/>
  <c r="D115" i="20"/>
  <c r="D1295" i="20"/>
  <c r="D1104" i="20"/>
  <c r="D768" i="20"/>
  <c r="D108" i="20"/>
  <c r="D424" i="20"/>
  <c r="D1090" i="20"/>
  <c r="D209" i="20"/>
  <c r="D872" i="20"/>
  <c r="D545" i="20"/>
  <c r="D654" i="20"/>
  <c r="D268" i="20"/>
  <c r="D948" i="20"/>
  <c r="D876" i="20"/>
  <c r="D991" i="20"/>
  <c r="D437" i="20"/>
  <c r="D1311" i="20"/>
  <c r="D1478" i="20"/>
  <c r="D178" i="20"/>
  <c r="D964" i="20"/>
  <c r="D470" i="20"/>
  <c r="D1039" i="20"/>
  <c r="D520" i="20"/>
  <c r="D461" i="20"/>
  <c r="D1316" i="20"/>
  <c r="D714" i="20"/>
  <c r="D1083" i="20"/>
  <c r="D1230" i="20"/>
  <c r="D1330" i="20"/>
  <c r="D978" i="20"/>
  <c r="D219" i="20"/>
  <c r="D1434" i="20"/>
  <c r="D607" i="20"/>
  <c r="D1100" i="20"/>
  <c r="D790" i="20"/>
  <c r="D235" i="20"/>
  <c r="D750" i="20"/>
  <c r="D395" i="20"/>
  <c r="D772" i="20"/>
  <c r="D72" i="20"/>
  <c r="D670" i="20"/>
  <c r="D1215" i="20"/>
  <c r="D735" i="20"/>
  <c r="D1362" i="20"/>
  <c r="D912" i="20"/>
  <c r="D1274" i="20"/>
  <c r="D1037" i="20"/>
  <c r="D1424" i="20"/>
  <c r="D1092" i="20"/>
  <c r="D1366" i="20"/>
  <c r="D773" i="20"/>
  <c r="D1374" i="20"/>
  <c r="D493" i="20"/>
  <c r="D229" i="20"/>
  <c r="D775" i="20"/>
  <c r="D1488" i="20"/>
  <c r="D472" i="20"/>
  <c r="D1207" i="20"/>
  <c r="D884" i="20"/>
  <c r="D1407" i="20"/>
  <c r="D22" i="20"/>
  <c r="D642" i="20"/>
  <c r="D957" i="20"/>
  <c r="D965" i="20"/>
  <c r="D301" i="20"/>
  <c r="D986" i="20"/>
  <c r="D365" i="20"/>
  <c r="D1503" i="20"/>
  <c r="D1220" i="20"/>
  <c r="D574" i="20"/>
  <c r="D1101" i="20"/>
  <c r="D489" i="20"/>
  <c r="D523" i="20"/>
  <c r="D575" i="20"/>
  <c r="D728" i="20"/>
  <c r="D1450" i="20"/>
  <c r="D591" i="20"/>
  <c r="D769" i="20"/>
  <c r="D1018" i="20"/>
  <c r="D902" i="20"/>
  <c r="D694" i="20"/>
  <c r="D835" i="20"/>
  <c r="D855" i="20"/>
  <c r="D55" i="20"/>
  <c r="D570" i="20"/>
  <c r="D886" i="20"/>
  <c r="D703" i="20"/>
  <c r="D968" i="20"/>
  <c r="D1285" i="20"/>
  <c r="D1413" i="20"/>
  <c r="D1259" i="20"/>
  <c r="D1028" i="20"/>
  <c r="D518" i="20"/>
  <c r="D1454" i="20"/>
  <c r="D1078" i="20"/>
  <c r="D511" i="20"/>
  <c r="D92" i="20"/>
  <c r="D1001" i="20"/>
  <c r="D589" i="20"/>
  <c r="D107" i="20"/>
  <c r="D821" i="20"/>
  <c r="D499" i="20"/>
  <c r="D458" i="20"/>
  <c r="D73" i="20"/>
  <c r="D844" i="20"/>
  <c r="D1270" i="20"/>
  <c r="D1480" i="20"/>
  <c r="D223" i="20"/>
  <c r="D1050" i="20"/>
  <c r="D81" i="20"/>
  <c r="D823" i="20"/>
  <c r="D485" i="20"/>
  <c r="D710" i="20"/>
  <c r="D356" i="20"/>
  <c r="D610" i="20"/>
  <c r="D321" i="20"/>
  <c r="D1392" i="20"/>
  <c r="D275" i="20"/>
  <c r="D1003" i="20"/>
  <c r="D1328" i="20"/>
  <c r="D400" i="20"/>
  <c r="D285" i="20"/>
  <c r="D1099" i="20"/>
  <c r="D1219" i="20"/>
  <c r="D1182" i="20"/>
  <c r="D755" i="20"/>
  <c r="D305" i="20"/>
  <c r="D1235" i="20"/>
  <c r="D1046" i="20"/>
  <c r="D605" i="20"/>
  <c r="D1393" i="20"/>
  <c r="D84" i="20"/>
  <c r="D332" i="20"/>
  <c r="D1506" i="20"/>
  <c r="D466" i="20"/>
  <c r="D1484" i="20"/>
  <c r="D1020" i="20"/>
  <c r="D1053" i="20"/>
  <c r="D1114" i="20"/>
  <c r="D899" i="20"/>
  <c r="D1214" i="20"/>
  <c r="D526" i="20"/>
  <c r="D824" i="20"/>
  <c r="D561" i="20"/>
  <c r="D1262" i="20"/>
  <c r="D686" i="20"/>
  <c r="D44" i="20"/>
  <c r="D61" i="20"/>
  <c r="D1370" i="20"/>
  <c r="D314" i="20"/>
  <c r="D1115" i="20"/>
  <c r="D868" i="20"/>
  <c r="D441" i="20"/>
  <c r="D1512" i="20"/>
  <c r="D665" i="20"/>
  <c r="D666" i="20"/>
  <c r="D270" i="20"/>
  <c r="D682" i="20"/>
  <c r="D778" i="20"/>
  <c r="D120" i="20"/>
  <c r="D1243" i="20"/>
  <c r="D435" i="20"/>
  <c r="D1350" i="20"/>
  <c r="D1189" i="20"/>
  <c r="D327" i="20"/>
  <c r="D535" i="20"/>
  <c r="D474" i="20"/>
  <c r="D1422" i="20"/>
  <c r="D121" i="20"/>
  <c r="D1035" i="20"/>
  <c r="D1418" i="20"/>
  <c r="D1495" i="20"/>
  <c r="D116" i="20"/>
  <c r="D402" i="20"/>
  <c r="D31" i="20"/>
  <c r="D1455" i="20"/>
  <c r="D1367" i="20"/>
  <c r="D669" i="20"/>
  <c r="D475" i="20"/>
  <c r="D528" i="20"/>
  <c r="D43" i="20"/>
  <c r="D1006" i="20"/>
  <c r="D1452" i="20"/>
  <c r="D521" i="20"/>
  <c r="D469" i="20"/>
  <c r="D136" i="20"/>
  <c r="D47" i="20"/>
  <c r="D1280" i="20"/>
  <c r="D663" i="20"/>
  <c r="D593" i="20"/>
  <c r="D913" i="20"/>
  <c r="D213" i="20"/>
  <c r="D925" i="20"/>
  <c r="D1357" i="20"/>
  <c r="D960" i="20"/>
  <c r="D1126" i="20"/>
  <c r="D1351" i="20"/>
  <c r="D753" i="20"/>
  <c r="D1399" i="20"/>
  <c r="D337" i="20"/>
  <c r="D931" i="20"/>
  <c r="D618" i="20"/>
  <c r="D649" i="20"/>
  <c r="D701" i="20"/>
  <c r="D1238" i="20"/>
  <c r="D565" i="20"/>
  <c r="D422" i="20"/>
  <c r="D1400" i="20"/>
  <c r="D590" i="20"/>
  <c r="D1074" i="20"/>
  <c r="D846" i="20"/>
  <c r="D920" i="20"/>
  <c r="D189" i="20"/>
  <c r="D981" i="20"/>
  <c r="D588" i="20"/>
  <c r="D36" i="20"/>
  <c r="D780" i="20"/>
  <c r="D1254" i="20"/>
  <c r="D319" i="20"/>
  <c r="D175" i="20"/>
  <c r="D827" i="20"/>
  <c r="D1174" i="20"/>
  <c r="D418" i="20"/>
  <c r="D117" i="20"/>
  <c r="D240" i="20"/>
  <c r="D148" i="20"/>
  <c r="D1403" i="20"/>
  <c r="D433" i="20"/>
  <c r="D770" i="20"/>
  <c r="D426" i="20"/>
  <c r="D328" i="20"/>
  <c r="D1444" i="20"/>
  <c r="D599" i="20"/>
  <c r="D746" i="20"/>
  <c r="D1231" i="20"/>
  <c r="D132" i="20"/>
  <c r="D221" i="20"/>
  <c r="D559" i="20"/>
  <c r="D1062" i="20"/>
  <c r="D600" i="20"/>
  <c r="D460" i="20"/>
  <c r="D980" i="20"/>
  <c r="D1461" i="20"/>
  <c r="D1459" i="20"/>
  <c r="D1244" i="20"/>
  <c r="D801" i="20"/>
  <c r="D1406" i="20"/>
  <c r="D1426" i="20"/>
  <c r="D1040" i="20"/>
  <c r="D140" i="20"/>
  <c r="D601" i="20"/>
  <c r="D646" i="20"/>
  <c r="D323" i="20"/>
  <c r="D1107" i="20"/>
  <c r="D54" i="20"/>
  <c r="D525" i="20"/>
  <c r="D32" i="20"/>
  <c r="D1271" i="20"/>
  <c r="D745" i="20"/>
  <c r="D1453" i="20"/>
  <c r="D434" i="20"/>
  <c r="D541" i="20"/>
  <c r="D160" i="20"/>
  <c r="D449" i="20"/>
  <c r="D1447" i="20"/>
  <c r="D1080" i="20"/>
  <c r="D1030" i="20"/>
  <c r="D533" i="20"/>
  <c r="D509" i="20"/>
  <c r="D127" i="20"/>
  <c r="D594" i="20"/>
  <c r="D1415" i="20"/>
  <c r="D1388" i="20"/>
  <c r="D579" i="20"/>
  <c r="D153" i="20"/>
  <c r="D1477" i="20"/>
  <c r="D571" i="20"/>
  <c r="D24" i="20"/>
  <c r="D1129" i="20"/>
  <c r="D295" i="20"/>
  <c r="D1361" i="20"/>
  <c r="D1419" i="20"/>
  <c r="D1431" i="20"/>
  <c r="D1278" i="20"/>
  <c r="D675" i="20"/>
  <c r="D1412" i="20"/>
  <c r="D390" i="20"/>
  <c r="D430" i="20"/>
  <c r="D71" i="20"/>
  <c r="D220" i="20"/>
  <c r="D464" i="20"/>
  <c r="D133" i="20"/>
  <c r="D1163" i="20"/>
  <c r="D839" i="20"/>
  <c r="D581" i="20"/>
  <c r="D1241" i="20"/>
  <c r="D89" i="20"/>
  <c r="D1047" i="20"/>
  <c r="D381" i="20"/>
  <c r="D747" i="20"/>
  <c r="D699" i="20"/>
  <c r="D421" i="20"/>
  <c r="D65" i="20"/>
  <c r="D144" i="20"/>
  <c r="D554" i="20"/>
  <c r="D506" i="20"/>
  <c r="D1023" i="20"/>
  <c r="D1196" i="20"/>
  <c r="D364" i="20"/>
  <c r="D998" i="20"/>
  <c r="D362" i="20"/>
  <c r="D404" i="20"/>
  <c r="D969" i="20"/>
  <c r="D1017" i="20"/>
  <c r="D704" i="20"/>
  <c r="D685" i="20"/>
  <c r="D616" i="20"/>
  <c r="D1326" i="20"/>
  <c r="D113" i="20"/>
  <c r="D901" i="20"/>
  <c r="D192" i="20"/>
  <c r="D660" i="20"/>
  <c r="D947" i="20"/>
  <c r="D1045" i="20"/>
  <c r="D1015" i="20"/>
  <c r="D1226" i="20"/>
  <c r="D933" i="20"/>
  <c r="J282" i="20"/>
  <c r="J596" i="20"/>
  <c r="J648" i="20"/>
  <c r="J159" i="20"/>
  <c r="J795" i="20"/>
  <c r="J546" i="20"/>
  <c r="J988" i="20"/>
  <c r="J560" i="20"/>
  <c r="J841" i="20"/>
  <c r="J540" i="20"/>
  <c r="J498" i="20"/>
  <c r="J870" i="20"/>
  <c r="J1041" i="20"/>
  <c r="J843" i="20"/>
  <c r="J1058" i="20"/>
  <c r="J329" i="20"/>
  <c r="J251" i="20"/>
  <c r="J334" i="20"/>
  <c r="J367" i="20"/>
  <c r="J1216" i="20"/>
  <c r="J385" i="20"/>
  <c r="J844" i="20"/>
  <c r="J554" i="20"/>
  <c r="J1362" i="20"/>
  <c r="J223" i="20"/>
  <c r="J804" i="20"/>
  <c r="J1403" i="20"/>
  <c r="J1188" i="20"/>
  <c r="J1062" i="20"/>
  <c r="J530" i="20"/>
  <c r="J916" i="20"/>
  <c r="J1055" i="20"/>
  <c r="J1453" i="20"/>
  <c r="J780" i="20"/>
  <c r="J1492" i="20"/>
  <c r="J1465" i="20"/>
  <c r="J401" i="20"/>
  <c r="J1224" i="20"/>
  <c r="J1373" i="20"/>
  <c r="J162" i="20"/>
  <c r="J1112" i="20"/>
  <c r="J1132" i="20"/>
  <c r="J266" i="20"/>
  <c r="J175" i="20"/>
  <c r="J1161" i="20"/>
  <c r="J319" i="20"/>
  <c r="J481" i="20"/>
  <c r="J1467" i="20"/>
  <c r="J386" i="20"/>
  <c r="J725" i="20"/>
  <c r="J1286" i="20"/>
  <c r="J439" i="20"/>
  <c r="J563" i="20"/>
  <c r="J1106" i="20"/>
  <c r="J867" i="20"/>
  <c r="J991" i="20"/>
  <c r="J1342" i="20"/>
  <c r="J951" i="20"/>
  <c r="J1237" i="20"/>
  <c r="J1091" i="20"/>
  <c r="J815" i="20"/>
  <c r="J1471" i="20"/>
  <c r="J442" i="20"/>
  <c r="J1152" i="20"/>
  <c r="J763" i="20"/>
  <c r="J1110" i="20"/>
  <c r="J513" i="20"/>
  <c r="J1445" i="20"/>
  <c r="J311" i="20"/>
  <c r="J992" i="20"/>
  <c r="J118" i="20"/>
  <c r="J826" i="20"/>
  <c r="J1051" i="20"/>
  <c r="J230" i="20"/>
  <c r="J1233" i="20"/>
  <c r="J1268" i="20"/>
  <c r="J1107" i="20"/>
  <c r="J561" i="20"/>
  <c r="J1409" i="20"/>
  <c r="J1359" i="20"/>
  <c r="J1001" i="20"/>
  <c r="J1016" i="20"/>
  <c r="J986" i="20"/>
  <c r="J123" i="20"/>
  <c r="J622" i="20"/>
  <c r="J863" i="20"/>
  <c r="J347" i="20"/>
  <c r="J753" i="20"/>
  <c r="J213" i="20"/>
  <c r="J135" i="20"/>
  <c r="J274" i="20"/>
  <c r="J200" i="20"/>
  <c r="J210" i="20"/>
  <c r="J186" i="20"/>
  <c r="J531" i="20"/>
  <c r="J203" i="20"/>
  <c r="J638" i="20"/>
  <c r="J446" i="20"/>
  <c r="J884" i="20"/>
  <c r="J286" i="20"/>
  <c r="J1449" i="20"/>
  <c r="J280" i="20"/>
  <c r="J67" i="20"/>
  <c r="J168" i="20"/>
  <c r="J69" i="20"/>
  <c r="J1046" i="20"/>
  <c r="J1324" i="20"/>
  <c r="J1158" i="20"/>
  <c r="J20" i="20"/>
  <c r="J595" i="20"/>
  <c r="J305" i="20"/>
  <c r="J1265" i="20"/>
  <c r="J371" i="20"/>
  <c r="J454" i="20"/>
  <c r="J656" i="20"/>
  <c r="J1006" i="20"/>
  <c r="J657" i="20"/>
  <c r="J453" i="20"/>
  <c r="J1335" i="20"/>
  <c r="J358" i="20"/>
  <c r="J1482" i="20"/>
  <c r="J761" i="20"/>
  <c r="J1443" i="20"/>
  <c r="J752" i="20"/>
  <c r="J421" i="20"/>
  <c r="J953" i="20"/>
  <c r="J631" i="20"/>
  <c r="J1363" i="20"/>
  <c r="J54" i="20"/>
  <c r="J643" i="20"/>
  <c r="J1502" i="20"/>
  <c r="J901" i="20"/>
  <c r="J430" i="20"/>
  <c r="J1013" i="20"/>
  <c r="J369" i="20"/>
  <c r="J562" i="20"/>
  <c r="J1355" i="20"/>
  <c r="J1135" i="20"/>
  <c r="J1499" i="20"/>
  <c r="J625" i="20"/>
  <c r="J1147" i="20"/>
  <c r="J583" i="20"/>
  <c r="J692" i="20"/>
  <c r="J103" i="20"/>
  <c r="J220" i="20"/>
  <c r="J634" i="20"/>
  <c r="J1150" i="20"/>
  <c r="J645" i="20"/>
  <c r="J252" i="20"/>
  <c r="J1241" i="20"/>
  <c r="J1113" i="20"/>
  <c r="J982" i="20"/>
  <c r="J261" i="20"/>
  <c r="J97" i="20"/>
  <c r="J116" i="20"/>
  <c r="J219" i="20"/>
  <c r="J1257" i="20"/>
  <c r="J1304" i="20"/>
  <c r="J558" i="20"/>
  <c r="J1452" i="20"/>
  <c r="J492" i="20"/>
  <c r="J626" i="20"/>
  <c r="J664" i="20"/>
  <c r="J586" i="20"/>
  <c r="J1469" i="20"/>
  <c r="J1090" i="20"/>
  <c r="J537" i="20"/>
  <c r="J263" i="20"/>
  <c r="J408" i="20"/>
  <c r="J751" i="20"/>
  <c r="J790" i="20"/>
  <c r="J1223" i="20"/>
  <c r="J897" i="20"/>
  <c r="J607" i="20"/>
  <c r="J447" i="20"/>
  <c r="J807" i="20"/>
  <c r="J1263" i="20"/>
  <c r="J343" i="20"/>
  <c r="J225" i="20"/>
  <c r="J489" i="20"/>
  <c r="J1505" i="20"/>
  <c r="J1463" i="20"/>
  <c r="J217" i="20"/>
  <c r="J805" i="20"/>
  <c r="J75" i="20"/>
  <c r="J811" i="20"/>
  <c r="J570" i="20"/>
  <c r="J615" i="20"/>
  <c r="J1163" i="20"/>
  <c r="J117" i="20"/>
  <c r="J1272" i="20"/>
  <c r="J1296" i="20"/>
  <c r="J68" i="20"/>
  <c r="J310" i="20"/>
  <c r="J681" i="20"/>
  <c r="J279" i="20"/>
  <c r="J1295" i="20"/>
  <c r="J424" i="20"/>
  <c r="J1008" i="20"/>
  <c r="J76" i="20"/>
  <c r="J1025" i="20"/>
  <c r="J650" i="20"/>
  <c r="J1369" i="20"/>
  <c r="J122" i="20"/>
  <c r="J110" i="20"/>
  <c r="J941" i="20"/>
  <c r="J372" i="20"/>
  <c r="J1073" i="20"/>
  <c r="J351" i="20"/>
  <c r="J665" i="20"/>
  <c r="J378" i="20"/>
  <c r="J474" i="20"/>
  <c r="J1064" i="20"/>
  <c r="J750" i="20"/>
  <c r="J549" i="20"/>
  <c r="J1074" i="20"/>
  <c r="J523" i="20"/>
  <c r="J149" i="20"/>
  <c r="J164" i="20"/>
  <c r="J972" i="20"/>
  <c r="J718" i="20"/>
  <c r="J1196" i="20"/>
  <c r="J1280" i="20"/>
  <c r="J1484" i="20"/>
  <c r="J1410" i="20"/>
  <c r="J1160" i="20"/>
  <c r="J1071" i="20"/>
  <c r="J536" i="20"/>
  <c r="J585" i="20"/>
  <c r="J156" i="20"/>
  <c r="J124" i="20"/>
  <c r="J457" i="20"/>
  <c r="J233" i="20"/>
  <c r="J731" i="20"/>
  <c r="J818" i="20"/>
  <c r="J142" i="20"/>
  <c r="J165" i="20"/>
  <c r="J1099" i="20"/>
  <c r="J528" i="20"/>
  <c r="J1444" i="20"/>
  <c r="J1480" i="20"/>
  <c r="J688" i="20"/>
  <c r="J1285" i="20"/>
  <c r="J1396" i="20"/>
  <c r="J383" i="20"/>
  <c r="J912" i="20"/>
  <c r="J88" i="20"/>
  <c r="J1200" i="20"/>
  <c r="J1352" i="20"/>
  <c r="J93" i="20"/>
  <c r="J552" i="20"/>
  <c r="J314" i="20"/>
  <c r="J628" i="20"/>
  <c r="J839" i="20"/>
  <c r="J888" i="20"/>
  <c r="J917" i="20"/>
  <c r="J717" i="20"/>
  <c r="J746" i="20"/>
  <c r="J1372" i="20"/>
  <c r="J114" i="20"/>
  <c r="J1392" i="20"/>
  <c r="J1380" i="20"/>
  <c r="J28" i="20"/>
  <c r="J106" i="20"/>
  <c r="J237" i="20"/>
  <c r="J1256" i="20"/>
  <c r="J1020" i="20"/>
  <c r="J833" i="20"/>
  <c r="J352" i="20"/>
  <c r="J1422" i="20"/>
  <c r="J1314" i="20"/>
  <c r="J1507" i="20"/>
  <c r="J72" i="20"/>
  <c r="J1377" i="20"/>
  <c r="J1384" i="20"/>
  <c r="J51" i="20"/>
  <c r="J1190" i="20"/>
  <c r="J1149" i="20"/>
  <c r="J1043" i="20"/>
  <c r="J856" i="20"/>
  <c r="J238" i="20"/>
  <c r="J1228" i="20"/>
  <c r="J344" i="20"/>
  <c r="J256" i="20"/>
  <c r="J43" i="20"/>
  <c r="J745" i="20"/>
  <c r="J1219" i="20"/>
  <c r="J697" i="20"/>
  <c r="J1264" i="20"/>
  <c r="J496" i="20"/>
  <c r="J1489" i="20"/>
  <c r="J838" i="20"/>
  <c r="J111" i="20"/>
  <c r="J520" i="20"/>
  <c r="J575" i="20"/>
  <c r="J1318" i="20"/>
  <c r="J1048" i="20"/>
  <c r="J1282" i="20"/>
  <c r="J1005" i="20"/>
  <c r="J1496" i="20"/>
  <c r="J183" i="20"/>
  <c r="J517" i="20"/>
  <c r="J154" i="20"/>
  <c r="J1089" i="20"/>
  <c r="J173" i="20"/>
  <c r="J556" i="20"/>
  <c r="J1049" i="20"/>
  <c r="J33" i="20"/>
  <c r="J691" i="20"/>
  <c r="J1192" i="20"/>
  <c r="J1417" i="20"/>
  <c r="J276" i="20"/>
  <c r="J550" i="20"/>
  <c r="J44" i="20"/>
  <c r="J1325" i="20"/>
  <c r="J288" i="20"/>
  <c r="J231" i="20"/>
  <c r="J1010" i="20"/>
  <c r="J297" i="20"/>
  <c r="J435" i="20"/>
  <c r="J1450" i="20"/>
  <c r="J757" i="20"/>
  <c r="J877" i="20"/>
  <c r="J295" i="20"/>
  <c r="J788" i="20"/>
  <c r="J1439" i="20"/>
  <c r="J1511" i="20"/>
  <c r="J182" i="20"/>
  <c r="J415" i="20"/>
  <c r="J885" i="20"/>
  <c r="J1081" i="20"/>
  <c r="J711" i="20"/>
  <c r="J714" i="20"/>
  <c r="J1427" i="20"/>
  <c r="J1009" i="20"/>
  <c r="J1262" i="20"/>
  <c r="J1145" i="20"/>
  <c r="J1358" i="20"/>
  <c r="J1354" i="20"/>
  <c r="J553" i="20"/>
  <c r="J1290" i="20"/>
  <c r="J1067" i="20"/>
  <c r="J490" i="20"/>
  <c r="J1180" i="20"/>
  <c r="J902" i="20"/>
  <c r="J764" i="20"/>
  <c r="J234" i="20"/>
  <c r="J82" i="20"/>
  <c r="J543" i="20"/>
  <c r="J588" i="20"/>
  <c r="J420" i="20"/>
  <c r="J340" i="20"/>
  <c r="J1244" i="20"/>
  <c r="J1227" i="20"/>
  <c r="J414" i="20"/>
  <c r="J1376" i="20"/>
  <c r="J1191" i="20"/>
  <c r="J226" i="20"/>
  <c r="J995" i="20"/>
  <c r="J1004" i="20"/>
  <c r="J1144" i="20"/>
  <c r="J505" i="20"/>
  <c r="J584" i="20"/>
  <c r="J1501" i="20"/>
  <c r="J727" i="20"/>
  <c r="J500" i="20"/>
  <c r="J524" i="20"/>
  <c r="J673" i="20"/>
  <c r="J232" i="20"/>
  <c r="J874" i="20"/>
  <c r="J113" i="20"/>
  <c r="J1240" i="20"/>
  <c r="J1294" i="20"/>
  <c r="J1076" i="20"/>
  <c r="J696" i="20"/>
  <c r="J128" i="20"/>
  <c r="J726" i="20"/>
  <c r="J61" i="20"/>
  <c r="J1126" i="20"/>
  <c r="J331" i="20"/>
  <c r="J147" i="20"/>
  <c r="J1186" i="20"/>
  <c r="J92" i="20"/>
  <c r="J1027" i="20"/>
  <c r="J611" i="20"/>
  <c r="J1136" i="20"/>
  <c r="J410" i="20"/>
  <c r="J262" i="20"/>
  <c r="J929" i="20"/>
  <c r="J1407" i="20"/>
  <c r="J609" i="20"/>
  <c r="J909" i="20"/>
  <c r="J1368" i="20"/>
  <c r="J1044" i="20"/>
  <c r="J126" i="20"/>
  <c r="J1252" i="20"/>
  <c r="J27" i="20"/>
  <c r="J1040" i="20"/>
  <c r="J936" i="20"/>
  <c r="J141" i="20"/>
  <c r="J1249" i="20"/>
  <c r="J644" i="20"/>
  <c r="J605" i="20"/>
  <c r="J1137" i="20"/>
  <c r="J1201" i="20"/>
  <c r="J887" i="20"/>
  <c r="J1477" i="20"/>
  <c r="J404" i="20"/>
  <c r="J131" i="20"/>
  <c r="J1378" i="20"/>
  <c r="J459" i="20"/>
  <c r="J1117" i="20"/>
  <c r="J322" i="20"/>
  <c r="J1432" i="20"/>
  <c r="J302" i="20"/>
  <c r="J444" i="20"/>
  <c r="J760" i="20"/>
  <c r="J961" i="20"/>
  <c r="J1329" i="20"/>
  <c r="J1306" i="20"/>
  <c r="J1199" i="20"/>
  <c r="J275" i="20"/>
  <c r="J814" i="20"/>
  <c r="J1311" i="20"/>
  <c r="J214" i="20"/>
  <c r="J1156" i="20"/>
  <c r="J983" i="20"/>
  <c r="J608" i="20"/>
  <c r="J1375" i="20"/>
  <c r="J768" i="20"/>
  <c r="J85" i="20"/>
  <c r="J47" i="20"/>
  <c r="J1103" i="20"/>
  <c r="J180" i="20"/>
  <c r="J671" i="20"/>
  <c r="J1037" i="20"/>
  <c r="J930" i="20"/>
  <c r="J954" i="20"/>
  <c r="J242" i="20"/>
  <c r="J431" i="20"/>
  <c r="J1130" i="20"/>
  <c r="J853" i="20"/>
  <c r="J900" i="20"/>
  <c r="J224" i="20"/>
  <c r="J1088" i="20"/>
  <c r="J281" i="20"/>
  <c r="J522" i="20"/>
  <c r="J952" i="20"/>
  <c r="J1491" i="20"/>
  <c r="J109" i="20"/>
  <c r="J436" i="20"/>
  <c r="J1154" i="20"/>
  <c r="J1024" i="20"/>
  <c r="J174" i="20"/>
  <c r="J55" i="20"/>
  <c r="J934" i="20"/>
  <c r="J1289" i="20"/>
  <c r="J1346" i="20"/>
  <c r="J686" i="20"/>
  <c r="J30" i="20"/>
  <c r="J35" i="20"/>
  <c r="J621" i="20"/>
  <c r="J987" i="20"/>
  <c r="J129" i="20"/>
  <c r="J618" i="20"/>
  <c r="J701" i="20"/>
  <c r="J146" i="20"/>
  <c r="J303" i="20"/>
  <c r="J1141" i="20"/>
  <c r="J695" i="20"/>
  <c r="J473" i="20"/>
  <c r="J806" i="20"/>
  <c r="J70" i="20"/>
  <c r="J1129" i="20"/>
  <c r="J801" i="20"/>
  <c r="J772" i="20"/>
  <c r="J1250" i="20"/>
  <c r="J859" i="20"/>
  <c r="J1052" i="20"/>
  <c r="J429" i="20"/>
  <c r="J1418" i="20"/>
  <c r="J341" i="20"/>
  <c r="J617" i="20"/>
  <c r="J87" i="20"/>
  <c r="J46" i="20"/>
  <c r="J846" i="20"/>
  <c r="J1255" i="20"/>
  <c r="J1171" i="20"/>
  <c r="J1245" i="20"/>
  <c r="J1019" i="20"/>
  <c r="J380" i="20"/>
  <c r="J1461" i="20"/>
  <c r="J179" i="20"/>
  <c r="J754" i="20"/>
  <c r="J291" i="20"/>
  <c r="J849" i="20"/>
  <c r="J89" i="20"/>
  <c r="J765" i="20"/>
  <c r="J104" i="20"/>
  <c r="J140" i="20"/>
  <c r="J1323" i="20"/>
  <c r="J1297" i="20"/>
  <c r="J678" i="20"/>
  <c r="J471" i="20"/>
  <c r="J335" i="20"/>
  <c r="J1327" i="20"/>
  <c r="J204" i="20"/>
  <c r="J1345" i="20"/>
  <c r="J294" i="20"/>
  <c r="J397" i="20"/>
  <c r="J96" i="20"/>
  <c r="J1302" i="20"/>
  <c r="J973" i="20"/>
  <c r="J1293" i="20"/>
  <c r="J323" i="20"/>
  <c r="J676" i="20"/>
  <c r="J775" i="20"/>
  <c r="J598" i="20"/>
  <c r="J1404" i="20"/>
  <c r="J1028" i="20"/>
  <c r="J567" i="20"/>
  <c r="J15" i="20"/>
  <c r="J1331" i="20"/>
  <c r="J181" i="20"/>
  <c r="J1098" i="20"/>
  <c r="J663" i="20"/>
  <c r="J1307" i="20"/>
  <c r="J53" i="20"/>
  <c r="J1447" i="20"/>
  <c r="J245" i="20"/>
  <c r="J463" i="20"/>
  <c r="J243" i="20"/>
  <c r="J285" i="20"/>
  <c r="J918" i="20"/>
  <c r="J398" i="20"/>
  <c r="J438" i="20"/>
  <c r="J1466" i="20"/>
  <c r="J620" i="20"/>
  <c r="J161" i="20"/>
  <c r="J799" i="20"/>
  <c r="J1012" i="20"/>
  <c r="J443" i="20"/>
  <c r="J1122" i="20"/>
  <c r="J1111" i="20"/>
  <c r="J1310" i="20"/>
  <c r="J766" i="20"/>
  <c r="J1003" i="20"/>
  <c r="J649" i="20"/>
  <c r="J166" i="20"/>
  <c r="J332" i="20"/>
  <c r="J221" i="20"/>
  <c r="J949" i="20"/>
  <c r="J342" i="20"/>
  <c r="J485" i="20"/>
  <c r="J139" i="20"/>
  <c r="J604" i="20"/>
  <c r="J579" i="20"/>
  <c r="J824" i="20"/>
  <c r="J1383" i="20"/>
  <c r="J16" i="20"/>
  <c r="J1104" i="20"/>
  <c r="J206" i="20"/>
  <c r="J480" i="20"/>
  <c r="J411" i="20"/>
  <c r="J868" i="20"/>
  <c r="J820" i="20"/>
  <c r="J896" i="20"/>
  <c r="J779" i="20"/>
  <c r="J41" i="20"/>
  <c r="J932" i="20"/>
  <c r="J974" i="20"/>
  <c r="J518" i="20"/>
  <c r="J693" i="20"/>
  <c r="J565" i="20"/>
  <c r="J1221" i="20"/>
  <c r="J413" i="20"/>
  <c r="J402" i="20"/>
  <c r="J178" i="20"/>
  <c r="J191" i="20"/>
  <c r="J593" i="20"/>
  <c r="J993" i="20"/>
  <c r="J1138" i="20"/>
  <c r="J737" i="20"/>
  <c r="J910" i="20"/>
  <c r="J1179" i="20"/>
  <c r="J601" i="20"/>
  <c r="J434" i="20"/>
  <c r="J759" i="20"/>
  <c r="J177" i="20"/>
  <c r="J1300" i="20"/>
  <c r="J98" i="20"/>
  <c r="J1181" i="20"/>
  <c r="J668" i="20"/>
  <c r="J784" i="20"/>
  <c r="J1430" i="20"/>
  <c r="J189" i="20"/>
  <c r="J1036" i="20"/>
  <c r="J1061" i="20"/>
  <c r="J391" i="20"/>
  <c r="J227" i="20"/>
  <c r="J392" i="20"/>
  <c r="J956" i="20"/>
  <c r="J1167" i="20"/>
  <c r="J497" i="20"/>
  <c r="J160" i="20"/>
  <c r="J770" i="20"/>
  <c r="J706" i="20"/>
  <c r="J1153" i="20"/>
  <c r="J580" i="20"/>
  <c r="J924" i="20"/>
  <c r="J1333" i="20"/>
  <c r="J684" i="20"/>
  <c r="J881" i="20"/>
  <c r="J873" i="20"/>
  <c r="J1464" i="20"/>
  <c r="J1357" i="20"/>
  <c r="J698" i="20"/>
  <c r="J744" i="20"/>
  <c r="J84" i="20"/>
  <c r="J660" i="20"/>
  <c r="J1460" i="20"/>
  <c r="J1157" i="20"/>
  <c r="J707" i="20"/>
  <c r="J882" i="20"/>
  <c r="J1007" i="20"/>
  <c r="J654" i="20"/>
  <c r="J559" i="20"/>
  <c r="J762" i="20"/>
  <c r="J39" i="20"/>
  <c r="J662" i="20"/>
  <c r="J1416" i="20"/>
  <c r="J808" i="20"/>
  <c r="J130" i="20"/>
  <c r="J878" i="20"/>
  <c r="J1100" i="20"/>
  <c r="J847" i="20"/>
  <c r="J1394" i="20"/>
  <c r="J834" i="20"/>
  <c r="J163" i="20"/>
  <c r="J1159" i="20"/>
  <c r="J728" i="20"/>
  <c r="J979" i="20"/>
  <c r="J19" i="20"/>
  <c r="J1273" i="20"/>
  <c r="J1475" i="20"/>
  <c r="J767" i="20"/>
  <c r="J1510" i="20"/>
  <c r="J893" i="20"/>
  <c r="J1128" i="20"/>
  <c r="J62" i="20"/>
  <c r="J1301" i="20"/>
  <c r="J290" i="20"/>
  <c r="J1414" i="20"/>
  <c r="J669" i="20"/>
  <c r="J667" i="20"/>
  <c r="J49" i="20"/>
  <c r="J1338" i="20"/>
  <c r="J1440" i="20"/>
  <c r="J278" i="20"/>
  <c r="J158" i="20"/>
  <c r="J1140" i="20"/>
  <c r="J504" i="20"/>
  <c r="J79" i="20"/>
  <c r="J996" i="20"/>
  <c r="J494" i="20"/>
  <c r="J1095" i="20"/>
  <c r="J169" i="20"/>
  <c r="J1435" i="20"/>
  <c r="J42" i="20"/>
  <c r="J38" i="20"/>
  <c r="J201" i="20"/>
  <c r="J22" i="20"/>
  <c r="J1060" i="20"/>
  <c r="J484" i="20"/>
  <c r="J499" i="20"/>
  <c r="J1053" i="20"/>
  <c r="J651" i="20"/>
  <c r="J907" i="20"/>
  <c r="J40" i="20"/>
  <c r="J456" i="20"/>
  <c r="J155" i="20"/>
  <c r="J670" i="20"/>
  <c r="J1164" i="20"/>
  <c r="J908" i="20"/>
  <c r="J422" i="20"/>
  <c r="J694" i="20"/>
  <c r="J64" i="20"/>
  <c r="J627" i="20"/>
  <c r="J1488" i="20"/>
  <c r="J337" i="20"/>
  <c r="J578" i="20"/>
  <c r="J316" i="20"/>
  <c r="J749" i="20"/>
  <c r="J1118" i="20"/>
  <c r="J756" i="20"/>
  <c r="J732" i="20"/>
  <c r="J132" i="20"/>
  <c r="J60" i="20"/>
  <c r="J1412" i="20"/>
  <c r="J229" i="20"/>
  <c r="J1284" i="20"/>
  <c r="J581" i="20"/>
  <c r="J980" i="20"/>
  <c r="J1183" i="20"/>
  <c r="J81" i="20"/>
  <c r="J800" i="20"/>
  <c r="J515" i="20"/>
  <c r="J525" i="20"/>
  <c r="J1275" i="20"/>
  <c r="J470" i="20"/>
  <c r="J1459" i="20"/>
  <c r="J1454" i="20"/>
  <c r="J1506" i="20"/>
  <c r="J1371" i="20"/>
  <c r="J802" i="20"/>
  <c r="J1175" i="20"/>
  <c r="J307" i="20"/>
  <c r="J506" i="20"/>
  <c r="J1413" i="20"/>
  <c r="J1086" i="20"/>
  <c r="J573" i="20"/>
  <c r="J574" i="20"/>
  <c r="J196" i="20"/>
  <c r="J1050" i="20"/>
  <c r="J48" i="20"/>
  <c r="J382" i="20"/>
  <c r="J582" i="20"/>
  <c r="J1234" i="20"/>
  <c r="J647" i="20"/>
  <c r="J502" i="20"/>
  <c r="J723" i="20"/>
  <c r="J592" i="20"/>
  <c r="J120" i="20"/>
  <c r="J1065" i="20"/>
  <c r="J416" i="20"/>
  <c r="J450" i="20"/>
  <c r="J641" i="20"/>
  <c r="J1134" i="20"/>
  <c r="J136" i="20"/>
  <c r="J137" i="20"/>
  <c r="J482" i="20"/>
  <c r="J355" i="20"/>
  <c r="J963" i="20"/>
  <c r="J91" i="20"/>
  <c r="J59" i="20"/>
  <c r="J83" i="20"/>
  <c r="J1374" i="20"/>
  <c r="J1246" i="20"/>
  <c r="J115" i="20"/>
  <c r="J613" i="20"/>
  <c r="J927" i="20"/>
  <c r="J1406" i="20"/>
  <c r="J1066" i="20"/>
  <c r="J211" i="20"/>
  <c r="J240" i="20"/>
  <c r="J1023" i="20"/>
  <c r="J193" i="20"/>
  <c r="J451" i="20"/>
  <c r="J612" i="20"/>
  <c r="J1334" i="20"/>
  <c r="J857" i="20"/>
  <c r="J1017" i="20"/>
  <c r="J461" i="20"/>
  <c r="J34" i="20"/>
  <c r="J1402" i="20"/>
  <c r="J317" i="20"/>
  <c r="J375" i="20"/>
  <c r="J906" i="20"/>
  <c r="J539" i="20"/>
  <c r="J1408" i="20"/>
  <c r="J52" i="20"/>
  <c r="J1143" i="20"/>
  <c r="J26" i="20"/>
  <c r="J432" i="20"/>
  <c r="J1397" i="20"/>
  <c r="J363" i="20"/>
  <c r="J236" i="20"/>
  <c r="J389" i="20"/>
  <c r="J1133" i="20"/>
  <c r="J469" i="20"/>
  <c r="J1487" i="20"/>
  <c r="J1251" i="20"/>
  <c r="J1317" i="20"/>
  <c r="J187" i="20"/>
  <c r="J1291" i="20"/>
  <c r="J476" i="20"/>
  <c r="J905" i="20"/>
  <c r="J705" i="20"/>
  <c r="J1353" i="20"/>
  <c r="J366" i="20"/>
  <c r="J589" i="20"/>
  <c r="J629" i="20"/>
  <c r="J655" i="20"/>
  <c r="J1069" i="20"/>
  <c r="J837" i="20"/>
  <c r="J1395" i="20"/>
  <c r="J564" i="20"/>
  <c r="J1182" i="20"/>
  <c r="J406" i="20"/>
  <c r="J418" i="20"/>
  <c r="J212" i="20"/>
  <c r="J1114" i="20"/>
  <c r="J296" i="20"/>
  <c r="J1253" i="20"/>
  <c r="J507" i="20"/>
  <c r="J1202" i="20"/>
  <c r="J999" i="20"/>
  <c r="J248" i="20"/>
  <c r="J633" i="20"/>
  <c r="J510" i="20"/>
  <c r="J984" i="20"/>
  <c r="J77" i="20"/>
  <c r="J440" i="20"/>
  <c r="J720" i="20"/>
  <c r="J926" i="20"/>
  <c r="J309" i="20"/>
  <c r="J797" i="20"/>
  <c r="J1189" i="20"/>
  <c r="J971" i="20"/>
  <c r="J704" i="20"/>
  <c r="J1457" i="20"/>
  <c r="J144" i="20"/>
  <c r="J361" i="20"/>
  <c r="J112" i="20"/>
  <c r="J700" i="20"/>
  <c r="J603" i="20"/>
  <c r="J1474" i="20"/>
  <c r="J610" i="20"/>
  <c r="J1266" i="20"/>
  <c r="J304" i="20"/>
  <c r="J264" i="20"/>
  <c r="J1209" i="20"/>
  <c r="J1431" i="20"/>
  <c r="J835" i="20"/>
  <c r="J1381" i="20"/>
  <c r="J911" i="20"/>
  <c r="J1281" i="20"/>
  <c r="J308" i="20"/>
  <c r="J272" i="20"/>
  <c r="J879" i="20"/>
  <c r="J426" i="20"/>
  <c r="J362" i="20"/>
  <c r="J390" i="20"/>
  <c r="J1165" i="20"/>
  <c r="J557" i="20"/>
  <c r="J270" i="20"/>
  <c r="J1260" i="20"/>
  <c r="J1493" i="20"/>
  <c r="J353" i="20"/>
  <c r="J1070" i="20"/>
  <c r="J1472" i="20"/>
  <c r="J572" i="20"/>
  <c r="J1313" i="20"/>
  <c r="J428" i="20"/>
  <c r="J1031" i="20"/>
  <c r="J78" i="20"/>
  <c r="J1367" i="20"/>
  <c r="J36" i="20"/>
  <c r="J1002" i="20"/>
  <c r="J1215" i="20"/>
  <c r="J1389" i="20"/>
  <c r="J1468" i="20"/>
  <c r="J1420" i="20"/>
  <c r="J812" i="20"/>
  <c r="J1360" i="20"/>
  <c r="J145" i="20"/>
  <c r="J299" i="20"/>
  <c r="J86" i="20"/>
  <c r="J1166" i="20"/>
  <c r="J852" i="20"/>
  <c r="J405" i="20"/>
  <c r="J1478" i="20"/>
  <c r="J1351" i="20"/>
  <c r="J483" i="20"/>
  <c r="J840" i="20"/>
  <c r="J1305" i="20"/>
  <c r="J740" i="20"/>
  <c r="J925" i="20"/>
  <c r="J45" i="20"/>
  <c r="J832" i="20"/>
  <c r="J1184" i="20"/>
  <c r="J151" i="20"/>
  <c r="J659" i="20"/>
  <c r="J25" i="20"/>
  <c r="J1205" i="20"/>
  <c r="J1446" i="20"/>
  <c r="J1508" i="20"/>
  <c r="J1393" i="20"/>
  <c r="J1486" i="20"/>
  <c r="J257" i="20"/>
  <c r="J921" i="20"/>
  <c r="J738" i="20"/>
  <c r="J1424" i="20"/>
  <c r="J1124" i="20"/>
  <c r="J388" i="20"/>
  <c r="J712" i="20"/>
  <c r="J475" i="20"/>
  <c r="J1321" i="20"/>
  <c r="J253" i="20"/>
  <c r="J441" i="20"/>
  <c r="J138" i="20"/>
  <c r="J376" i="20"/>
  <c r="J1197" i="20"/>
  <c r="J1504" i="20"/>
  <c r="J619" i="20"/>
  <c r="J542" i="20"/>
  <c r="J74" i="20"/>
  <c r="J1101" i="20"/>
  <c r="J1096" i="20"/>
  <c r="J898" i="20"/>
  <c r="J724" i="20"/>
  <c r="J170" i="20"/>
  <c r="J108" i="20"/>
  <c r="J855" i="20"/>
  <c r="J1242" i="20"/>
  <c r="J1015" i="20"/>
  <c r="J1267" i="20"/>
  <c r="J1034" i="20"/>
  <c r="J976" i="20"/>
  <c r="J989" i="20"/>
  <c r="J215" i="20"/>
  <c r="J1030" i="20"/>
  <c r="J246" i="20"/>
  <c r="J842" i="20"/>
  <c r="J658" i="20"/>
  <c r="J661" i="20"/>
  <c r="J672" i="20"/>
  <c r="J325" i="20"/>
  <c r="J425" i="20"/>
  <c r="J985" i="20"/>
  <c r="J690" i="20"/>
  <c r="J785" i="20"/>
  <c r="J793" i="20"/>
  <c r="J56" i="20"/>
  <c r="J836" i="20"/>
  <c r="J100" i="20"/>
  <c r="J823" i="20"/>
  <c r="J1503" i="20"/>
  <c r="J829" i="20"/>
  <c r="J50" i="20"/>
  <c r="J99" i="20"/>
  <c r="J73" i="20"/>
  <c r="J577" i="20"/>
  <c r="J866" i="20"/>
  <c r="J1229" i="20"/>
  <c r="J545" i="20"/>
  <c r="J792" i="20"/>
  <c r="J850" i="20"/>
  <c r="J576" i="20"/>
  <c r="J966" i="20"/>
  <c r="J892" i="20"/>
  <c r="J1339" i="20"/>
  <c r="J298" i="20"/>
  <c r="J90" i="20"/>
  <c r="J400" i="20"/>
  <c r="J465" i="20"/>
  <c r="J1458" i="20"/>
  <c r="J1498" i="20"/>
  <c r="J933" i="20"/>
  <c r="J321" i="20"/>
  <c r="J1278" i="20"/>
  <c r="J937" i="20"/>
  <c r="J449" i="20"/>
  <c r="J1142" i="20"/>
  <c r="J1236" i="20"/>
  <c r="J1490" i="20"/>
  <c r="J773" i="20"/>
  <c r="J222" i="20"/>
  <c r="J703" i="20"/>
  <c r="J1077" i="20"/>
  <c r="J1247" i="20"/>
  <c r="J675" i="20"/>
  <c r="J350" i="20"/>
  <c r="J682" i="20"/>
  <c r="J464" i="20"/>
  <c r="J1438" i="20"/>
  <c r="J526" i="20"/>
  <c r="J858" i="20"/>
  <c r="J467" i="20"/>
  <c r="J1387" i="20"/>
  <c r="J821" i="20"/>
  <c r="J184" i="20"/>
  <c r="J493" i="20"/>
  <c r="J1195" i="20"/>
  <c r="J535" i="20"/>
  <c r="J460" i="20"/>
  <c r="J606" i="20"/>
  <c r="J412" i="20"/>
  <c r="J1348" i="20"/>
  <c r="J148" i="20"/>
  <c r="J827" i="20"/>
  <c r="J516" i="20"/>
  <c r="J913" i="20"/>
  <c r="J228" i="20"/>
  <c r="J566" i="20"/>
  <c r="J1059" i="20"/>
  <c r="J1080" i="20"/>
  <c r="J202" i="20"/>
  <c r="J284" i="20"/>
  <c r="J326" i="20"/>
  <c r="J533" i="20"/>
  <c r="J348" i="20"/>
  <c r="J269" i="20"/>
  <c r="J734" i="20"/>
  <c r="J1243" i="20"/>
  <c r="J152" i="20"/>
  <c r="J63" i="20"/>
  <c r="J1204" i="20"/>
  <c r="J1494" i="20"/>
  <c r="J683" i="20"/>
  <c r="J1120" i="20"/>
  <c r="J255" i="20"/>
  <c r="J923" i="20"/>
  <c r="J259" i="20"/>
  <c r="J318" i="20"/>
  <c r="J1479" i="20"/>
  <c r="J1014" i="20"/>
  <c r="J876" i="20"/>
  <c r="J176" i="20"/>
  <c r="J600" i="20"/>
  <c r="J1441" i="20"/>
  <c r="J58" i="20"/>
  <c r="J312" i="20"/>
  <c r="J150" i="20"/>
  <c r="J1094" i="20"/>
  <c r="J965" i="20"/>
  <c r="J458" i="20"/>
  <c r="J1162" i="20"/>
  <c r="J862" i="20"/>
  <c r="J133" i="20"/>
  <c r="J591" i="20"/>
  <c r="J198" i="20"/>
  <c r="J1218" i="20"/>
  <c r="J519" i="20"/>
  <c r="J417" i="20"/>
  <c r="J1123" i="20"/>
  <c r="J1225" i="20"/>
  <c r="J1032" i="20"/>
  <c r="J1303" i="20"/>
  <c r="J642" i="20"/>
  <c r="J396" i="20"/>
  <c r="J1436" i="20"/>
  <c r="J1259" i="20"/>
  <c r="J1087" i="20"/>
  <c r="J250" i="20"/>
  <c r="J37" i="20"/>
  <c r="J1093" i="20"/>
  <c r="J1212" i="20"/>
  <c r="J268" i="20"/>
  <c r="J1214" i="20"/>
  <c r="J782" i="20"/>
  <c r="J964" i="20"/>
  <c r="J521" i="20"/>
  <c r="J1045" i="20"/>
  <c r="J875" i="20"/>
  <c r="J292" i="20"/>
  <c r="J18" i="20"/>
  <c r="J247" i="20"/>
  <c r="J1388" i="20"/>
  <c r="J374" i="20"/>
  <c r="J1429" i="20"/>
  <c r="J942" i="20"/>
  <c r="J755" i="20"/>
  <c r="J71" i="20"/>
  <c r="J794" i="20"/>
  <c r="J602" i="20"/>
  <c r="J1337" i="20"/>
  <c r="J32" i="20"/>
  <c r="J365" i="20"/>
  <c r="J914" i="20"/>
  <c r="J1121" i="20"/>
  <c r="J1011" i="20"/>
  <c r="J1298" i="20"/>
  <c r="J1379" i="20"/>
  <c r="J1210" i="20"/>
  <c r="J377" i="20"/>
  <c r="J283" i="20"/>
  <c r="J716" i="20"/>
  <c r="J384" i="20"/>
  <c r="J244" i="20"/>
  <c r="J904" i="20"/>
  <c r="J928" i="20"/>
  <c r="J733" i="20"/>
  <c r="J1139" i="20"/>
  <c r="J1054" i="20"/>
  <c r="J258" i="20"/>
  <c r="J1021" i="20"/>
  <c r="J1000" i="20"/>
  <c r="J1176" i="20"/>
  <c r="J1356" i="20"/>
  <c r="J1125" i="20"/>
  <c r="J944" i="20"/>
  <c r="J157" i="20"/>
  <c r="J787" i="20"/>
  <c r="J508" i="20"/>
  <c r="J188" i="20"/>
  <c r="J1116" i="20"/>
  <c r="J919" i="20"/>
  <c r="J1239" i="20"/>
  <c r="J975" i="20"/>
  <c r="J614" i="20"/>
  <c r="J1470" i="20"/>
  <c r="J791" i="20"/>
  <c r="J487" i="20"/>
  <c r="J101" i="20"/>
  <c r="J478" i="20"/>
  <c r="J102" i="20"/>
  <c r="J1433" i="20"/>
  <c r="J511" i="20"/>
  <c r="J623" i="20"/>
  <c r="J338" i="20"/>
  <c r="J796" i="20"/>
  <c r="J328" i="20"/>
  <c r="J529" i="20"/>
  <c r="J590" i="20"/>
  <c r="J185" i="20"/>
  <c r="J23" i="20"/>
  <c r="J903" i="20"/>
  <c r="J419" i="20"/>
  <c r="J452" i="20"/>
  <c r="J646" i="20"/>
  <c r="J886" i="20"/>
  <c r="J1193" i="20"/>
  <c r="J1151" i="20"/>
  <c r="J330" i="20"/>
  <c r="J758" i="20"/>
  <c r="J1063" i="20"/>
  <c r="J1084" i="20"/>
  <c r="J1109" i="20"/>
  <c r="J1405" i="20"/>
  <c r="J1185" i="20"/>
  <c r="J747" i="20"/>
  <c r="J346" i="20"/>
  <c r="J468" i="20"/>
  <c r="J125" i="20"/>
  <c r="J1169" i="20"/>
  <c r="J1115" i="20"/>
  <c r="J368" i="20"/>
  <c r="J809" i="20"/>
  <c r="J915" i="20"/>
  <c r="J265" i="20"/>
  <c r="J803" i="20"/>
  <c r="J1254" i="20"/>
  <c r="J127" i="20"/>
  <c r="J880" i="20"/>
  <c r="J968" i="20"/>
  <c r="J781" i="20"/>
  <c r="J1344" i="20"/>
  <c r="J1168" i="20"/>
  <c r="J946" i="20"/>
  <c r="J1173" i="20"/>
  <c r="J119" i="20"/>
  <c r="J260" i="20"/>
  <c r="J218" i="20"/>
  <c r="J817" i="20"/>
  <c r="J743" i="20"/>
  <c r="J1361" i="20"/>
  <c r="J1500" i="20"/>
  <c r="J445" i="20"/>
  <c r="J778" i="20"/>
  <c r="J195" i="20"/>
  <c r="J721" i="20"/>
  <c r="J359" i="20"/>
  <c r="J920" i="20"/>
  <c r="J722" i="20"/>
  <c r="J345" i="20"/>
  <c r="J1068" i="20"/>
  <c r="J699" i="20"/>
  <c r="J813" i="20"/>
  <c r="J1230" i="20"/>
  <c r="J677" i="20"/>
  <c r="J541" i="20"/>
  <c r="J1312" i="20"/>
  <c r="J486" i="20"/>
  <c r="J1456" i="20"/>
  <c r="J324" i="20"/>
  <c r="J771" i="20"/>
  <c r="J1330" i="20"/>
  <c r="J939" i="20"/>
  <c r="J339" i="20"/>
  <c r="J1340" i="20"/>
  <c r="J1072" i="20"/>
  <c r="J1018" i="20"/>
  <c r="J534" i="20"/>
  <c r="J687" i="20"/>
  <c r="J192" i="20"/>
  <c r="J894" i="20"/>
  <c r="J947" i="20"/>
  <c r="J940" i="20"/>
  <c r="J1401" i="20"/>
  <c r="J938" i="20"/>
  <c r="J1332" i="20"/>
  <c r="J1035" i="20"/>
  <c r="J313" i="20"/>
  <c r="J1509" i="20"/>
  <c r="J1349" i="20"/>
  <c r="J199" i="20"/>
  <c r="J1085" i="20"/>
  <c r="J448" i="20"/>
  <c r="J959" i="20"/>
  <c r="J977" i="20"/>
  <c r="J95" i="20"/>
  <c r="J1102" i="20"/>
  <c r="J685" i="20"/>
  <c r="J370" i="20"/>
  <c r="J544" i="20"/>
  <c r="J1513" i="20"/>
  <c r="J735" i="20"/>
  <c r="J134" i="20"/>
  <c r="J1269" i="20"/>
  <c r="J1462" i="20"/>
  <c r="J860" i="20"/>
  <c r="J172" i="20"/>
  <c r="J1448" i="20"/>
  <c r="J736" i="20"/>
  <c r="J205" i="20"/>
  <c r="J287" i="20"/>
  <c r="J810" i="20"/>
  <c r="J674" i="20"/>
  <c r="J239" i="20"/>
  <c r="J1366" i="20"/>
  <c r="J532" i="20"/>
  <c r="J1220" i="20"/>
  <c r="J1127" i="20"/>
  <c r="J1315" i="20"/>
  <c r="J994" i="20"/>
  <c r="J632" i="20"/>
  <c r="J354" i="20"/>
  <c r="J1208" i="20"/>
  <c r="J1238" i="20"/>
  <c r="J958" i="20"/>
  <c r="J306" i="20"/>
  <c r="J825" i="20"/>
  <c r="J209" i="20"/>
  <c r="J387" i="20"/>
  <c r="J594" i="20"/>
  <c r="J1287" i="20"/>
  <c r="J208" i="20"/>
  <c r="J845" i="20"/>
  <c r="J1391" i="20"/>
  <c r="J409" i="20"/>
  <c r="J769" i="20"/>
  <c r="J501" i="20"/>
  <c r="J491" i="20"/>
  <c r="J1283" i="20"/>
  <c r="J1400" i="20"/>
  <c r="J1226" i="20"/>
  <c r="J1442" i="20"/>
  <c r="J514" i="20"/>
  <c r="J962" i="20"/>
  <c r="J960" i="20"/>
  <c r="J80" i="20"/>
  <c r="J1399" i="20"/>
  <c r="J899" i="20"/>
  <c r="J57" i="20"/>
  <c r="J587" i="20"/>
  <c r="J653" i="20"/>
  <c r="J65" i="20"/>
  <c r="J1476" i="20"/>
  <c r="J495" i="20"/>
  <c r="J462" i="20"/>
  <c r="J1390" i="20"/>
  <c r="J819" i="20"/>
  <c r="J1213" i="20"/>
  <c r="J1177" i="20"/>
  <c r="J503" i="20"/>
  <c r="J171" i="20"/>
  <c r="J1170" i="20"/>
  <c r="J1187" i="20"/>
  <c r="J1075" i="20"/>
  <c r="J978" i="20"/>
  <c r="J1097" i="20"/>
  <c r="J356" i="20"/>
  <c r="J871" i="20"/>
  <c r="J1451" i="20"/>
  <c r="J741" i="20"/>
  <c r="J1047" i="20"/>
  <c r="J786" i="20"/>
  <c r="J548" i="20"/>
  <c r="J320" i="20"/>
  <c r="J1347" i="20"/>
  <c r="J1320" i="20"/>
  <c r="J153" i="20"/>
  <c r="J1279" i="20"/>
  <c r="J1270" i="20"/>
  <c r="J271" i="20"/>
  <c r="J241" i="20"/>
  <c r="J167" i="20"/>
  <c r="J1276" i="20"/>
  <c r="J1105" i="20"/>
  <c r="J865" i="20"/>
  <c r="J798" i="20"/>
  <c r="J1026" i="20"/>
  <c r="J538" i="20"/>
  <c r="J709" i="20"/>
  <c r="J194" i="20"/>
  <c r="J1425" i="20"/>
  <c r="J957" i="20"/>
  <c r="J1131" i="20"/>
  <c r="J1029" i="20"/>
  <c r="J1316" i="20"/>
  <c r="J1497" i="20"/>
  <c r="J551" i="20"/>
  <c r="J235" i="20"/>
  <c r="J935" i="20"/>
  <c r="J394" i="20"/>
  <c r="J1207" i="20"/>
  <c r="J1174" i="20"/>
  <c r="J1092" i="20"/>
  <c r="J21" i="20"/>
  <c r="J1343" i="20"/>
  <c r="J955" i="20"/>
  <c r="J1481" i="20"/>
  <c r="J105" i="20"/>
  <c r="J66" i="20"/>
  <c r="J739" i="20"/>
  <c r="J190" i="20"/>
  <c r="J1083" i="20"/>
  <c r="J315" i="20"/>
  <c r="J393" i="20"/>
  <c r="J477" i="20"/>
  <c r="J1038" i="20"/>
  <c r="J121" i="20"/>
  <c r="J1415" i="20"/>
  <c r="J890" i="20"/>
  <c r="J364" i="20"/>
  <c r="J1079" i="20"/>
  <c r="J1108" i="20"/>
  <c r="J652" i="20"/>
  <c r="J29" i="20"/>
  <c r="J831" i="20"/>
  <c r="J547" i="20"/>
  <c r="J466" i="20"/>
  <c r="J922" i="20"/>
  <c r="J1033" i="20"/>
  <c r="J197" i="20"/>
  <c r="J1426" i="20"/>
  <c r="J640" i="20"/>
  <c r="J1082" i="20"/>
  <c r="J970" i="20"/>
  <c r="J427" i="20"/>
  <c r="J373" i="20"/>
  <c r="J207" i="20"/>
  <c r="J774" i="20"/>
  <c r="J569" i="20"/>
  <c r="J679" i="20"/>
  <c r="J1277" i="20"/>
  <c r="J267" i="20"/>
  <c r="J1495" i="20"/>
  <c r="J1385" i="20"/>
  <c r="J1386" i="20"/>
  <c r="J293" i="20"/>
  <c r="J776" i="20"/>
  <c r="J616" i="20"/>
  <c r="J828" i="20"/>
  <c r="J301" i="20"/>
  <c r="J997" i="20"/>
  <c r="J1341" i="20"/>
  <c r="J998" i="20"/>
  <c r="J848" i="20"/>
  <c r="J1365" i="20"/>
  <c r="J395" i="20"/>
  <c r="J1308" i="20"/>
  <c r="J289" i="20"/>
  <c r="J249" i="20"/>
  <c r="J143" i="20"/>
  <c r="J423" i="20"/>
  <c r="J1022" i="20"/>
  <c r="J680" i="20"/>
  <c r="J107" i="20"/>
  <c r="J943" i="20"/>
  <c r="J527" i="20"/>
  <c r="J1434" i="20"/>
  <c r="J950" i="20"/>
  <c r="J630" i="20"/>
  <c r="J666" i="20"/>
  <c r="J1485" i="20"/>
  <c r="J830" i="20"/>
  <c r="J945" i="20"/>
  <c r="J872" i="20"/>
  <c r="J1194" i="20"/>
  <c r="J1211" i="20"/>
  <c r="J1336" i="20"/>
  <c r="J1288" i="20"/>
  <c r="J1148" i="20"/>
  <c r="J895" i="20"/>
  <c r="J1322" i="20"/>
  <c r="J1411" i="20"/>
  <c r="J1455" i="20"/>
  <c r="J1292" i="20"/>
  <c r="J1421" i="20"/>
  <c r="J357" i="20"/>
  <c r="J1198" i="20"/>
  <c r="J889" i="20"/>
  <c r="J1155" i="20"/>
  <c r="J1309" i="20"/>
  <c r="J94" i="20"/>
  <c r="J399" i="20"/>
  <c r="J360" i="20"/>
  <c r="J1178" i="20"/>
  <c r="J1042" i="20"/>
  <c r="J333" i="20"/>
  <c r="J597" i="20"/>
  <c r="J433" i="20"/>
  <c r="J702" i="20"/>
  <c r="J379" i="20"/>
  <c r="J1419" i="20"/>
  <c r="J1514" i="20"/>
  <c r="J1370" i="20"/>
  <c r="J327" i="20"/>
  <c r="J1232" i="20"/>
  <c r="J1078" i="20"/>
  <c r="J555" i="20"/>
  <c r="J689" i="20"/>
  <c r="J273" i="20"/>
  <c r="J742" i="20"/>
  <c r="J639" i="20"/>
  <c r="J1146" i="20"/>
  <c r="J969" i="20"/>
  <c r="J1271" i="20"/>
  <c r="J1056" i="20"/>
  <c r="J1328" i="20"/>
  <c r="J981" i="20"/>
  <c r="J1319" i="20"/>
  <c r="J854" i="20"/>
  <c r="J816" i="20"/>
  <c r="J1119" i="20"/>
  <c r="J715" i="20"/>
  <c r="J1206" i="20"/>
  <c r="J869" i="20"/>
  <c r="J488" i="20"/>
  <c r="J1235" i="20"/>
  <c r="J336" i="20"/>
  <c r="J568" i="20"/>
  <c r="J729" i="20"/>
  <c r="J1423" i="20"/>
  <c r="J864" i="20"/>
  <c r="J403" i="20"/>
  <c r="J216" i="20"/>
  <c r="J851" i="20"/>
  <c r="J891" i="20"/>
  <c r="J883" i="20"/>
  <c r="J1248" i="20"/>
  <c r="J1382" i="20"/>
  <c r="J948" i="20"/>
  <c r="J730" i="20"/>
  <c r="J789" i="20"/>
  <c r="J1473" i="20"/>
  <c r="J472" i="20"/>
  <c r="J1222" i="20"/>
  <c r="J1274" i="20"/>
  <c r="J713" i="20"/>
  <c r="J31" i="20"/>
  <c r="J783" i="20"/>
  <c r="J599" i="20"/>
  <c r="J748" i="20"/>
  <c r="J710" i="20"/>
  <c r="J1203" i="20"/>
  <c r="J437" i="20"/>
  <c r="J931" i="20"/>
  <c r="J990" i="20"/>
  <c r="J1172" i="20"/>
  <c r="J967" i="20"/>
  <c r="J277" i="20"/>
  <c r="J1350" i="20"/>
  <c r="J635" i="20"/>
  <c r="J1231" i="20"/>
  <c r="J1039" i="20"/>
  <c r="J719" i="20"/>
  <c r="J1261" i="20"/>
  <c r="J381" i="20"/>
  <c r="J1258" i="20"/>
  <c r="J636" i="20"/>
  <c r="J349" i="20"/>
  <c r="J1483" i="20"/>
  <c r="J637" i="20"/>
  <c r="J1512" i="20"/>
  <c r="J479" i="20"/>
  <c r="J1217" i="20"/>
  <c r="J509" i="20"/>
  <c r="J407" i="20"/>
  <c r="J708" i="20"/>
  <c r="J822" i="20"/>
  <c r="J777" i="20"/>
  <c r="J1437" i="20"/>
  <c r="J1398" i="20"/>
  <c r="J1364" i="20"/>
  <c r="J512" i="20"/>
  <c r="J1299" i="20"/>
  <c r="J254" i="20"/>
  <c r="J17" i="20"/>
  <c r="J1326" i="20"/>
  <c r="J24" i="20"/>
  <c r="J300" i="20"/>
  <c r="J1428" i="20"/>
  <c r="J455" i="20"/>
  <c r="J1057" i="20"/>
  <c r="J624" i="20"/>
  <c r="J861" i="20"/>
  <c r="J571" i="20"/>
  <c r="M68" i="20"/>
  <c r="M797" i="20"/>
  <c r="M1428" i="20"/>
  <c r="M450" i="20"/>
  <c r="M55" i="20"/>
  <c r="M1300" i="20"/>
  <c r="M1436" i="20"/>
  <c r="M221" i="20"/>
  <c r="M1248" i="20"/>
  <c r="M979" i="20"/>
  <c r="M1404" i="20"/>
  <c r="M1475" i="20"/>
  <c r="M1471" i="20"/>
  <c r="M725" i="20"/>
  <c r="M347" i="20"/>
  <c r="M1034" i="20"/>
  <c r="M496" i="20"/>
  <c r="M1246" i="20"/>
  <c r="M684" i="20"/>
  <c r="M172" i="20"/>
  <c r="M895" i="20"/>
  <c r="M1176" i="20"/>
  <c r="M120" i="20"/>
  <c r="M825" i="20"/>
  <c r="M1282" i="20"/>
  <c r="M1008" i="20"/>
  <c r="M1365" i="20"/>
  <c r="M887" i="20"/>
  <c r="M694" i="20"/>
  <c r="M742" i="20"/>
  <c r="M1040" i="20"/>
  <c r="M520" i="20"/>
  <c r="M1423" i="20"/>
  <c r="M894" i="20"/>
  <c r="M1336" i="20"/>
  <c r="M717" i="20"/>
  <c r="M1102" i="20"/>
  <c r="M943" i="20"/>
  <c r="M1253" i="20"/>
  <c r="M270" i="20"/>
  <c r="M884" i="20"/>
  <c r="M1217" i="20"/>
  <c r="M1324" i="20"/>
  <c r="M1227" i="20"/>
  <c r="M861" i="20"/>
  <c r="M1129" i="20"/>
  <c r="M959" i="20"/>
  <c r="M1236" i="20"/>
  <c r="M249" i="20"/>
  <c r="M203" i="20"/>
  <c r="M467" i="20"/>
  <c r="M1418" i="20"/>
  <c r="M1301" i="20"/>
  <c r="M788" i="20"/>
  <c r="M209" i="20"/>
  <c r="M557" i="20"/>
  <c r="M526" i="20"/>
  <c r="M1065" i="20"/>
  <c r="M616" i="20"/>
  <c r="M1384" i="20"/>
  <c r="M94" i="20"/>
  <c r="M668" i="20"/>
  <c r="M523" i="20"/>
  <c r="M85" i="20"/>
  <c r="M667" i="20"/>
  <c r="M958" i="20"/>
  <c r="M460" i="20"/>
  <c r="M342" i="20"/>
  <c r="M1229" i="20"/>
  <c r="M1262" i="20"/>
  <c r="M1194" i="20"/>
  <c r="M837" i="20"/>
  <c r="M956" i="20"/>
  <c r="M542" i="20"/>
  <c r="M738" i="20"/>
  <c r="M1090" i="20"/>
  <c r="M280" i="20"/>
  <c r="M787" i="20"/>
  <c r="M127" i="20"/>
  <c r="M1107" i="20"/>
  <c r="M691" i="20"/>
  <c r="M592" i="20"/>
  <c r="M799" i="20"/>
  <c r="M364" i="20"/>
  <c r="M81" i="20"/>
  <c r="M970" i="20"/>
  <c r="M515" i="20"/>
  <c r="M582" i="20"/>
  <c r="M1503" i="20"/>
  <c r="M1087" i="20"/>
  <c r="M1159" i="20"/>
  <c r="M968" i="20"/>
  <c r="M1214" i="20"/>
  <c r="M1346" i="20"/>
  <c r="M767" i="20"/>
  <c r="M437" i="20"/>
  <c r="M578" i="20"/>
  <c r="M279" i="20"/>
  <c r="M930" i="20"/>
  <c r="M31" i="20"/>
  <c r="M870" i="20"/>
  <c r="M744" i="20"/>
  <c r="M226" i="20"/>
  <c r="M155" i="20"/>
  <c r="M1249" i="20"/>
  <c r="M642" i="20"/>
  <c r="M588" i="20"/>
  <c r="M1368" i="20"/>
  <c r="M640" i="20"/>
  <c r="M669" i="20"/>
  <c r="M1486" i="20"/>
  <c r="M1106" i="20"/>
  <c r="M1025" i="20"/>
  <c r="M453" i="20"/>
  <c r="M1084" i="20"/>
  <c r="M1086" i="20"/>
  <c r="M164" i="20"/>
  <c r="M307" i="20"/>
  <c r="M1189" i="20"/>
  <c r="M1182" i="20"/>
  <c r="M302" i="20"/>
  <c r="M88" i="20"/>
  <c r="M849" i="20"/>
  <c r="M1371" i="20"/>
  <c r="M1051" i="20"/>
  <c r="M1260" i="20"/>
  <c r="M1414" i="20"/>
  <c r="M949" i="20"/>
  <c r="M230" i="20"/>
  <c r="M33" i="20"/>
  <c r="M318" i="20"/>
  <c r="M169" i="20"/>
  <c r="M869" i="20"/>
  <c r="M1502" i="20"/>
  <c r="M283" i="20"/>
  <c r="M923" i="20"/>
  <c r="M601" i="20"/>
  <c r="M73" i="20"/>
  <c r="M517" i="20"/>
  <c r="M603" i="20"/>
  <c r="M34" i="20"/>
  <c r="M1456" i="20"/>
  <c r="M1094" i="20"/>
  <c r="M1071" i="20"/>
  <c r="M524" i="20"/>
  <c r="M257" i="20"/>
  <c r="M556" i="20"/>
  <c r="M303" i="20"/>
  <c r="M1148" i="20"/>
  <c r="M149" i="20"/>
  <c r="M612" i="20"/>
  <c r="M1378" i="20"/>
  <c r="M192" i="20"/>
  <c r="M1477" i="20"/>
  <c r="M821" i="20"/>
  <c r="M996" i="20"/>
  <c r="M893" i="20"/>
  <c r="M1251" i="20"/>
  <c r="M565" i="20"/>
  <c r="M415" i="20"/>
  <c r="M757" i="20"/>
  <c r="M128" i="20"/>
  <c r="M967" i="20"/>
  <c r="M470" i="20"/>
  <c r="M25" i="20"/>
  <c r="M353" i="20"/>
  <c r="M1050" i="20"/>
  <c r="M16" i="20"/>
  <c r="M241" i="20"/>
  <c r="M619" i="20"/>
  <c r="M375" i="20"/>
  <c r="M30" i="20"/>
  <c r="M786" i="20"/>
  <c r="M1241" i="20"/>
  <c r="M97" i="20"/>
  <c r="M1228" i="20"/>
  <c r="M782" i="20"/>
  <c r="M771" i="20"/>
  <c r="M899" i="20"/>
  <c r="M901" i="20"/>
  <c r="M746" i="20"/>
  <c r="M76" i="20"/>
  <c r="M677" i="20"/>
  <c r="M818" i="20"/>
  <c r="M1443" i="20"/>
  <c r="M206" i="20"/>
  <c r="M730" i="20"/>
  <c r="M838" i="20"/>
  <c r="M477" i="20"/>
  <c r="M173" i="20"/>
  <c r="M1427" i="20"/>
  <c r="M602" i="20"/>
  <c r="M1068" i="20"/>
  <c r="M1465" i="20"/>
  <c r="M1036" i="20"/>
  <c r="M18" i="20"/>
  <c r="M182" i="20"/>
  <c r="M1254" i="20"/>
  <c r="M1038" i="20"/>
  <c r="M978" i="20"/>
  <c r="M51" i="20"/>
  <c r="M252" i="20"/>
  <c r="M896" i="20"/>
  <c r="M1497" i="20"/>
  <c r="M1012" i="20"/>
  <c r="M505" i="20"/>
  <c r="M534" i="20"/>
  <c r="M650" i="20"/>
  <c r="M581" i="20"/>
  <c r="M702" i="20"/>
  <c r="M491" i="20"/>
  <c r="M1266" i="20"/>
  <c r="M780" i="20"/>
  <c r="M1206" i="20"/>
  <c r="M75" i="20"/>
  <c r="M1495" i="20"/>
  <c r="M649" i="20"/>
  <c r="M174" i="20"/>
  <c r="M985" i="20"/>
  <c r="M714" i="20"/>
  <c r="M1492" i="20"/>
  <c r="M1155" i="20"/>
  <c r="M1470" i="20"/>
  <c r="M464" i="20"/>
  <c r="M812" i="20"/>
  <c r="M47" i="20"/>
  <c r="M265" i="20"/>
  <c r="M961" i="20"/>
  <c r="M1018" i="20"/>
  <c r="M187" i="20"/>
  <c r="M1110" i="20"/>
  <c r="M1190" i="20"/>
  <c r="M532" i="20"/>
  <c r="M750" i="20"/>
  <c r="M272" i="20"/>
  <c r="M1334" i="20"/>
  <c r="M1302" i="20"/>
  <c r="M429" i="20"/>
  <c r="M1386" i="20"/>
  <c r="M1415" i="20"/>
  <c r="M793" i="20"/>
  <c r="M1480" i="20"/>
  <c r="M86" i="20"/>
  <c r="M49" i="20"/>
  <c r="M1463" i="20"/>
  <c r="M1163" i="20"/>
  <c r="M922" i="20"/>
  <c r="M79" i="20"/>
  <c r="M1356" i="20"/>
  <c r="M310" i="20"/>
  <c r="M703" i="20"/>
  <c r="M384" i="20"/>
  <c r="M244" i="20"/>
  <c r="M258" i="20"/>
  <c r="M362" i="20"/>
  <c r="M499" i="20"/>
  <c r="M953" i="20"/>
  <c r="M1352" i="20"/>
  <c r="M675" i="20"/>
  <c r="M59" i="20"/>
  <c r="M321" i="20"/>
  <c r="M1392" i="20"/>
  <c r="M115" i="20"/>
  <c r="M555" i="20"/>
  <c r="M1275" i="20"/>
  <c r="M1433" i="20"/>
  <c r="M84" i="20"/>
  <c r="M1382" i="20"/>
  <c r="M332" i="20"/>
  <c r="M1438" i="20"/>
  <c r="M107" i="20"/>
  <c r="M1498" i="20"/>
  <c r="M925" i="20"/>
  <c r="M485" i="20"/>
  <c r="M1490" i="20"/>
  <c r="M728" i="20"/>
  <c r="M740" i="20"/>
  <c r="M27" i="20"/>
  <c r="M1306" i="20"/>
  <c r="M264" i="20"/>
  <c r="M927" i="20"/>
  <c r="M135" i="20"/>
  <c r="M214" i="20"/>
  <c r="M228" i="20"/>
  <c r="M972" i="20"/>
  <c r="M955" i="20"/>
  <c r="M455" i="20"/>
  <c r="M994" i="20"/>
  <c r="M255" i="20"/>
  <c r="M591" i="20"/>
  <c r="M1403" i="20"/>
  <c r="M1026" i="20"/>
  <c r="M1101" i="20"/>
  <c r="M921" i="20"/>
  <c r="M1264" i="20"/>
  <c r="M306" i="20"/>
  <c r="M541" i="20"/>
  <c r="M874" i="20"/>
  <c r="M516" i="20"/>
  <c r="M447" i="20"/>
  <c r="M1188" i="20"/>
  <c r="M162" i="20"/>
  <c r="M262" i="20"/>
  <c r="M1181" i="20"/>
  <c r="M271" i="20"/>
  <c r="M1093" i="20"/>
  <c r="M736" i="20"/>
  <c r="M157" i="20"/>
  <c r="M456" i="20"/>
  <c r="M823" i="20"/>
  <c r="M739" i="20"/>
  <c r="M1041" i="20"/>
  <c r="M897" i="20"/>
  <c r="M1003" i="20"/>
  <c r="M716" i="20"/>
  <c r="M260" i="20"/>
  <c r="M360" i="20"/>
  <c r="M807" i="20"/>
  <c r="M1156" i="20"/>
  <c r="M876" i="20"/>
  <c r="M371" i="20"/>
  <c r="M58" i="20"/>
  <c r="M217" i="20"/>
  <c r="M1016" i="20"/>
  <c r="M813" i="20"/>
  <c r="M1401" i="20"/>
  <c r="M146" i="20"/>
  <c r="M390" i="20"/>
  <c r="M695" i="20"/>
  <c r="M250" i="20"/>
  <c r="M114" i="20"/>
  <c r="M866" i="20"/>
  <c r="M720" i="20"/>
  <c r="M577" i="20"/>
  <c r="M527" i="20"/>
  <c r="M1434" i="20"/>
  <c r="M1329" i="20"/>
  <c r="M215" i="20"/>
  <c r="M898" i="20"/>
  <c r="M1420" i="20"/>
  <c r="M775" i="20"/>
  <c r="M1199" i="20"/>
  <c r="M431" i="20"/>
  <c r="M801" i="20"/>
  <c r="M679" i="20"/>
  <c r="M1150" i="20"/>
  <c r="M201" i="20"/>
  <c r="M1243" i="20"/>
  <c r="M651" i="20"/>
  <c r="M735" i="20"/>
  <c r="M682" i="20"/>
  <c r="M29" i="20"/>
  <c r="M911" i="20"/>
  <c r="M46" i="20"/>
  <c r="M1299" i="20"/>
  <c r="M1210" i="20"/>
  <c r="M1451" i="20"/>
  <c r="M766" i="20"/>
  <c r="M1078" i="20"/>
  <c r="M963" i="20"/>
  <c r="M781" i="20"/>
  <c r="M828" i="20"/>
  <c r="M60" i="20"/>
  <c r="M1422" i="20"/>
  <c r="M317" i="20"/>
  <c r="M915" i="20"/>
  <c r="M1198" i="20"/>
  <c r="M548" i="20"/>
  <c r="M190" i="20"/>
  <c r="M451" i="20"/>
  <c r="M733" i="20"/>
  <c r="M1512" i="20"/>
  <c r="M595" i="20"/>
  <c r="M99" i="20"/>
  <c r="M666" i="20"/>
  <c r="M246" i="20"/>
  <c r="M213" i="20"/>
  <c r="M992" i="20"/>
  <c r="M1242" i="20"/>
  <c r="M1021" i="20"/>
  <c r="M1468" i="20"/>
  <c r="M1353" i="20"/>
  <c r="M586" i="20"/>
  <c r="M421" i="20"/>
  <c r="M1225" i="20"/>
  <c r="M1268" i="20"/>
  <c r="M721" i="20"/>
  <c r="M366" i="20"/>
  <c r="M1017" i="20"/>
  <c r="M1277" i="20"/>
  <c r="M400" i="20"/>
  <c r="M1211" i="20"/>
  <c r="M1269" i="20"/>
  <c r="M661" i="20"/>
  <c r="M349" i="20"/>
  <c r="M1323" i="20"/>
  <c r="M1505" i="20"/>
  <c r="M648" i="20"/>
  <c r="M335" i="20"/>
  <c r="M1395" i="20"/>
  <c r="M439" i="20"/>
  <c r="M939" i="20"/>
  <c r="M122" i="20"/>
  <c r="M261" i="20"/>
  <c r="M522" i="20"/>
  <c r="M737" i="20"/>
  <c r="M644" i="20"/>
  <c r="M166" i="20"/>
  <c r="M1131" i="20"/>
  <c r="M913" i="20"/>
  <c r="M443" i="20"/>
  <c r="M1345" i="20"/>
  <c r="M879" i="20"/>
  <c r="M1377" i="20"/>
  <c r="M976" i="20"/>
  <c r="M795" i="20"/>
  <c r="M1153" i="20"/>
  <c r="M1402" i="20"/>
  <c r="M223" i="20"/>
  <c r="M1445" i="20"/>
  <c r="M589" i="20"/>
  <c r="M1441" i="20"/>
  <c r="M301" i="20"/>
  <c r="M1183" i="20"/>
  <c r="M829" i="20"/>
  <c r="M1285" i="20"/>
  <c r="M851" i="20"/>
  <c r="M177" i="20"/>
  <c r="M1152" i="20"/>
  <c r="M1061" i="20"/>
  <c r="M1219" i="20"/>
  <c r="M417" i="20"/>
  <c r="M1104" i="20"/>
  <c r="M543" i="20"/>
  <c r="M292" i="20"/>
  <c r="M178" i="20"/>
  <c r="M609" i="20"/>
  <c r="M102" i="20"/>
  <c r="M1467" i="20"/>
  <c r="M311" i="20"/>
  <c r="M836" i="20"/>
  <c r="M382" i="20"/>
  <c r="M1144" i="20"/>
  <c r="M199" i="20"/>
  <c r="M513" i="20"/>
  <c r="M538" i="20"/>
  <c r="M905" i="20"/>
  <c r="M425" i="20"/>
  <c r="M947" i="20"/>
  <c r="M1218" i="20"/>
  <c r="M518" i="20"/>
  <c r="M643" i="20"/>
  <c r="M139" i="20"/>
  <c r="M440" i="20"/>
  <c r="M106" i="20"/>
  <c r="M50" i="20"/>
  <c r="M1447" i="20"/>
  <c r="M35" i="20"/>
  <c r="M888" i="20"/>
  <c r="M312" i="20"/>
  <c r="M993" i="20"/>
  <c r="M1349" i="20"/>
  <c r="M1341" i="20"/>
  <c r="M508" i="20"/>
  <c r="M492" i="20"/>
  <c r="M333" i="20"/>
  <c r="M1261" i="20"/>
  <c r="M406" i="20"/>
  <c r="M495" i="20"/>
  <c r="M1209" i="20"/>
  <c r="M1116" i="20"/>
  <c r="M1364" i="20"/>
  <c r="M819" i="20"/>
  <c r="M315" i="20"/>
  <c r="M273" i="20"/>
  <c r="M850" i="20"/>
  <c r="M1205" i="20"/>
  <c r="M1169" i="20"/>
  <c r="M1267" i="20"/>
  <c r="M1180" i="20"/>
  <c r="M654" i="20"/>
  <c r="M553" i="20"/>
  <c r="M1385" i="20"/>
  <c r="M132" i="20"/>
  <c r="M110" i="20"/>
  <c r="M426" i="20"/>
  <c r="M662" i="20"/>
  <c r="M584" i="20"/>
  <c r="M424" i="20"/>
  <c r="M587" i="20"/>
  <c r="M1045" i="20"/>
  <c r="M1398" i="20"/>
  <c r="M41" i="20"/>
  <c r="M1135" i="20"/>
  <c r="M474" i="20"/>
  <c r="M1338" i="20"/>
  <c r="M1484" i="20"/>
  <c r="M294" i="20"/>
  <c r="M986" i="20"/>
  <c r="M641" i="20"/>
  <c r="M232" i="20"/>
  <c r="M647" i="20"/>
  <c r="M188" i="20"/>
  <c r="M305" i="20"/>
  <c r="M1437" i="20"/>
  <c r="M945" i="20"/>
  <c r="M1283" i="20"/>
  <c r="M1489" i="20"/>
  <c r="M365" i="20"/>
  <c r="M404" i="20"/>
  <c r="M594" i="20"/>
  <c r="M1442" i="20"/>
  <c r="M281" i="20"/>
  <c r="M304" i="20"/>
  <c r="M1506" i="20"/>
  <c r="M39" i="20"/>
  <c r="M1158" i="20"/>
  <c r="M745" i="20"/>
  <c r="M1124" i="20"/>
  <c r="M1343" i="20"/>
  <c r="M479" i="20"/>
  <c r="M208" i="20"/>
  <c r="M278" i="20"/>
  <c r="M452" i="20"/>
  <c r="M399" i="20"/>
  <c r="M1220" i="20"/>
  <c r="M606" i="20"/>
  <c r="M367" i="20"/>
  <c r="M95" i="20"/>
  <c r="M1134" i="20"/>
  <c r="M699" i="20"/>
  <c r="M1487" i="20"/>
  <c r="M559" i="20"/>
  <c r="M722" i="20"/>
  <c r="M1389" i="20"/>
  <c r="M796" i="20"/>
  <c r="M1270" i="20"/>
  <c r="M673" i="20"/>
  <c r="M1288" i="20"/>
  <c r="M238" i="20"/>
  <c r="M185" i="20"/>
  <c r="M147" i="20"/>
  <c r="M599" i="20"/>
  <c r="M243" i="20"/>
  <c r="M1469" i="20"/>
  <c r="M1388" i="20"/>
  <c r="M808" i="20"/>
  <c r="M1006" i="20"/>
  <c r="M1154" i="20"/>
  <c r="M1279" i="20"/>
  <c r="M822" i="20"/>
  <c r="M78" i="20"/>
  <c r="M381" i="20"/>
  <c r="M410" i="20"/>
  <c r="M247" i="20"/>
  <c r="M1136" i="20"/>
  <c r="M912" i="20"/>
  <c r="M1280" i="20"/>
  <c r="M1317" i="20"/>
  <c r="M82" i="20"/>
  <c r="M1192" i="20"/>
  <c r="M1408" i="20"/>
  <c r="M816" i="20"/>
  <c r="M843" i="20"/>
  <c r="M433" i="20"/>
  <c r="M875" i="20"/>
  <c r="M1425" i="20"/>
  <c r="M620" i="20"/>
  <c r="M962" i="20"/>
  <c r="M1312" i="20"/>
  <c r="M1446" i="20"/>
  <c r="M1314" i="20"/>
  <c r="M42" i="20"/>
  <c r="M794" i="20"/>
  <c r="M442" i="20"/>
  <c r="M706" i="20"/>
  <c r="M550" i="20"/>
  <c r="M734" i="20"/>
  <c r="M1337" i="20"/>
  <c r="M918" i="20"/>
  <c r="M109" i="20"/>
  <c r="M652" i="20"/>
  <c r="M1133" i="20"/>
  <c r="M240" i="20"/>
  <c r="M1455" i="20"/>
  <c r="M1235" i="20"/>
  <c r="M783" i="20"/>
  <c r="M709" i="20"/>
  <c r="M64" i="20"/>
  <c r="M126" i="20"/>
  <c r="M1256" i="20"/>
  <c r="M890" i="20"/>
  <c r="M820" i="20"/>
  <c r="M579" i="20"/>
  <c r="M1488" i="20"/>
  <c r="M473" i="20"/>
  <c r="M670" i="20"/>
  <c r="M1067" i="20"/>
  <c r="M1054" i="20"/>
  <c r="M143" i="20"/>
  <c r="M53" i="20"/>
  <c r="M878" i="20"/>
  <c r="M1407" i="20"/>
  <c r="M1055" i="20"/>
  <c r="M569" i="20"/>
  <c r="M1432" i="20"/>
  <c r="M1032" i="20"/>
  <c r="M1000" i="20"/>
  <c r="M842" i="20"/>
  <c r="M1424" i="20"/>
  <c r="M984" i="20"/>
  <c r="M61" i="20"/>
  <c r="M387" i="20"/>
  <c r="M598" i="20"/>
  <c r="M436" i="20"/>
  <c r="M1328" i="20"/>
  <c r="M368" i="20"/>
  <c r="M624" i="20"/>
  <c r="M700" i="20"/>
  <c r="M1397" i="20"/>
  <c r="M920" i="20"/>
  <c r="M193" i="20"/>
  <c r="M597" i="20"/>
  <c r="M507" i="20"/>
  <c r="M768" i="20"/>
  <c r="M626" i="20"/>
  <c r="M1141" i="20"/>
  <c r="M713" i="20"/>
  <c r="M1117" i="20"/>
  <c r="M98" i="20"/>
  <c r="M1331" i="20"/>
  <c r="M222" i="20"/>
  <c r="M1080" i="20"/>
  <c r="M74" i="20"/>
  <c r="M657" i="20"/>
  <c r="M1308" i="20"/>
  <c r="M529" i="20"/>
  <c r="M388" i="20"/>
  <c r="M211" i="20"/>
  <c r="M105" i="20"/>
  <c r="M151" i="20"/>
  <c r="M373" i="20"/>
  <c r="M1132" i="20"/>
  <c r="M1381" i="20"/>
  <c r="M427" i="20"/>
  <c r="M1496" i="20"/>
  <c r="M1009" i="20"/>
  <c r="M805" i="20"/>
  <c r="M21" i="20"/>
  <c r="M476" i="20"/>
  <c r="M471" i="20"/>
  <c r="M998" i="20"/>
  <c r="M392" i="20"/>
  <c r="M275" i="20"/>
  <c r="M1049" i="20"/>
  <c r="M1369" i="20"/>
  <c r="M196" i="20"/>
  <c r="M361" i="20"/>
  <c r="M229" i="20"/>
  <c r="M348" i="20"/>
  <c r="M880" i="20"/>
  <c r="M1429" i="20"/>
  <c r="M988" i="20"/>
  <c r="M288" i="20"/>
  <c r="M871" i="20"/>
  <c r="M674" i="20"/>
  <c r="M248" i="20"/>
  <c r="M370" i="20"/>
  <c r="M1203" i="20"/>
  <c r="M535" i="20"/>
  <c r="M378" i="20"/>
  <c r="M547" i="20"/>
  <c r="M832" i="20"/>
  <c r="M369" i="20"/>
  <c r="M36" i="20"/>
  <c r="M790" i="20"/>
  <c r="M256" i="20"/>
  <c r="M685" i="20"/>
  <c r="M1327" i="20"/>
  <c r="M689" i="20"/>
  <c r="M1162" i="20"/>
  <c r="M906" i="20"/>
  <c r="M475" i="20"/>
  <c r="M977" i="20"/>
  <c r="M156" i="20"/>
  <c r="M345" i="20"/>
  <c r="M140" i="20"/>
  <c r="M338" i="20"/>
  <c r="M165" i="20"/>
  <c r="M1508" i="20"/>
  <c r="M1072" i="20"/>
  <c r="M1060" i="20"/>
  <c r="M434" i="20"/>
  <c r="M117" i="20"/>
  <c r="M197" i="20"/>
  <c r="M458" i="20"/>
  <c r="M909" i="20"/>
  <c r="M20" i="20"/>
  <c r="M142" i="20"/>
  <c r="M1390" i="20"/>
  <c r="M826" i="20"/>
  <c r="M1476" i="20"/>
  <c r="M1074" i="20"/>
  <c r="M1212" i="20"/>
  <c r="M183" i="20"/>
  <c r="M610" i="20"/>
  <c r="M1234" i="20"/>
  <c r="M212" i="20"/>
  <c r="M902" i="20"/>
  <c r="M1351" i="20"/>
  <c r="M1170" i="20"/>
  <c r="M144" i="20"/>
  <c r="M792" i="20"/>
  <c r="M1296" i="20"/>
  <c r="M997" i="20"/>
  <c r="M428" i="20"/>
  <c r="M1095" i="20"/>
  <c r="M935" i="20"/>
  <c r="M1284" i="20"/>
  <c r="M1037" i="20"/>
  <c r="M207" i="20"/>
  <c r="M1066" i="20"/>
  <c r="M831" i="20"/>
  <c r="M1005" i="20"/>
  <c r="M777" i="20"/>
  <c r="M1286" i="20"/>
  <c r="M1046" i="20"/>
  <c r="M1361" i="20"/>
  <c r="M1291" i="20"/>
  <c r="M1363" i="20"/>
  <c r="M1213" i="20"/>
  <c r="M1399" i="20"/>
  <c r="M219" i="20"/>
  <c r="M414" i="20"/>
  <c r="M981" i="20"/>
  <c r="M834" i="20"/>
  <c r="M1449" i="20"/>
  <c r="M645" i="20"/>
  <c r="M385" i="20"/>
  <c r="M605" i="20"/>
  <c r="M561" i="20"/>
  <c r="M113" i="20"/>
  <c r="M1079" i="20"/>
  <c r="M216" i="20"/>
  <c r="M251" i="20"/>
  <c r="M991" i="20"/>
  <c r="M941" i="20"/>
  <c r="M180" i="20"/>
  <c r="M743" i="20"/>
  <c r="M1174" i="20"/>
  <c r="M817" i="20"/>
  <c r="M346" i="20"/>
  <c r="M1450" i="20"/>
  <c r="M622" i="20"/>
  <c r="M1100" i="20"/>
  <c r="M859" i="20"/>
  <c r="M1293" i="20"/>
  <c r="M1098" i="20"/>
  <c r="M296" i="20"/>
  <c r="M995" i="20"/>
  <c r="M965" i="20"/>
  <c r="M1245" i="20"/>
  <c r="M486" i="20"/>
  <c r="M494" i="20"/>
  <c r="M835" i="20"/>
  <c r="M284" i="20"/>
  <c r="M1357" i="20"/>
  <c r="M136" i="20"/>
  <c r="M1142" i="20"/>
  <c r="M329" i="20"/>
  <c r="M125" i="20"/>
  <c r="M1273" i="20"/>
  <c r="M1494" i="20"/>
  <c r="M1215" i="20"/>
  <c r="M1263" i="20"/>
  <c r="M948" i="20"/>
  <c r="M66" i="20"/>
  <c r="M845" i="20"/>
  <c r="M1096" i="20"/>
  <c r="M54" i="20"/>
  <c r="M1195" i="20"/>
  <c r="M863" i="20"/>
  <c r="M148" i="20"/>
  <c r="M1326" i="20"/>
  <c r="M1232" i="20"/>
  <c r="M1370" i="20"/>
  <c r="M52" i="20"/>
  <c r="M1013" i="20"/>
  <c r="M1064" i="20"/>
  <c r="M655" i="20"/>
  <c r="M1172" i="20"/>
  <c r="M1499" i="20"/>
  <c r="M237" i="20"/>
  <c r="M934" i="20"/>
  <c r="M179" i="20"/>
  <c r="M259" i="20"/>
  <c r="M715" i="20"/>
  <c r="M1186" i="20"/>
  <c r="M1125" i="20"/>
  <c r="M718" i="20"/>
  <c r="M1112" i="20"/>
  <c r="M908" i="20"/>
  <c r="M785" i="20"/>
  <c r="M32" i="20"/>
  <c r="M104" i="20"/>
  <c r="M1108" i="20"/>
  <c r="M245" i="20"/>
  <c r="M334" i="20"/>
  <c r="M1062" i="20"/>
  <c r="M1044" i="20"/>
  <c r="M344" i="20"/>
  <c r="M383" i="20"/>
  <c r="M299" i="20"/>
  <c r="M756" i="20"/>
  <c r="M885" i="20"/>
  <c r="M22" i="20"/>
  <c r="M1511" i="20"/>
  <c r="M855" i="20"/>
  <c r="M678" i="20"/>
  <c r="M48" i="20"/>
  <c r="M554" i="20"/>
  <c r="M680" i="20"/>
  <c r="M710" i="20"/>
  <c r="M580" i="20"/>
  <c r="M37" i="20"/>
  <c r="M225" i="20"/>
  <c r="M391" i="20"/>
  <c r="M389" i="20"/>
  <c r="M1226" i="20"/>
  <c r="M411" i="20"/>
  <c r="M917" i="20"/>
  <c r="M331" i="20"/>
  <c r="M319" i="20"/>
  <c r="M800" i="20"/>
  <c r="M1122" i="20"/>
  <c r="M1464" i="20"/>
  <c r="M432" i="20"/>
  <c r="M1247" i="20"/>
  <c r="M274" i="20"/>
  <c r="M1007" i="20"/>
  <c r="M124" i="20"/>
  <c r="M481" i="20"/>
  <c r="M1435" i="20"/>
  <c r="M1164" i="20"/>
  <c r="M791" i="20"/>
  <c r="M613" i="20"/>
  <c r="M1004" i="20"/>
  <c r="M1318" i="20"/>
  <c r="M181" i="20"/>
  <c r="M396" i="20"/>
  <c r="M810" i="20"/>
  <c r="M1056" i="20"/>
  <c r="M1400" i="20"/>
  <c r="M687" i="20"/>
  <c r="M1197" i="20"/>
  <c r="M853" i="20"/>
  <c r="M741" i="20"/>
  <c r="M1305" i="20"/>
  <c r="M328" i="20"/>
  <c r="M928" i="20"/>
  <c r="M1294" i="20"/>
  <c r="M758" i="20"/>
  <c r="M355" i="20"/>
  <c r="M1168" i="20"/>
  <c r="M1022" i="20"/>
  <c r="M846" i="20"/>
  <c r="M397" i="20"/>
  <c r="M488" i="20"/>
  <c r="M833" i="20"/>
  <c r="M402" i="20"/>
  <c r="M408" i="20"/>
  <c r="M957" i="20"/>
  <c r="M394" i="20"/>
  <c r="M1295" i="20"/>
  <c r="M324" i="20"/>
  <c r="M202" i="20"/>
  <c r="M374" i="20"/>
  <c r="M803" i="20"/>
  <c r="M330" i="20"/>
  <c r="M732" i="20"/>
  <c r="M161" i="20"/>
  <c r="M1207" i="20"/>
  <c r="M77" i="20"/>
  <c r="M840" i="20"/>
  <c r="M293" i="20"/>
  <c r="M1393" i="20"/>
  <c r="M28" i="20"/>
  <c r="M1109" i="20"/>
  <c r="M954" i="20"/>
  <c r="M839" i="20"/>
  <c r="M23" i="20"/>
  <c r="M153" i="20"/>
  <c r="M924" i="20"/>
  <c r="M1454" i="20"/>
  <c r="M341" i="20"/>
  <c r="M1127" i="20"/>
  <c r="M629" i="20"/>
  <c r="M663" i="20"/>
  <c r="M560" i="20"/>
  <c r="M1319" i="20"/>
  <c r="M552" i="20"/>
  <c r="M1431" i="20"/>
  <c r="M1409" i="20"/>
  <c r="M352" i="20"/>
  <c r="M525" i="20"/>
  <c r="M1376" i="20"/>
  <c r="M1255" i="20"/>
  <c r="M309" i="20"/>
  <c r="M638" i="20"/>
  <c r="M546" i="20"/>
  <c r="M1033" i="20"/>
  <c r="M501" i="20"/>
  <c r="M269" i="20"/>
  <c r="M1387" i="20"/>
  <c r="M43" i="20"/>
  <c r="M200" i="20"/>
  <c r="M1221" i="20"/>
  <c r="M696" i="20"/>
  <c r="M160" i="20"/>
  <c r="M763" i="20"/>
  <c r="M815" i="20"/>
  <c r="M1035" i="20"/>
  <c r="M466" i="20"/>
  <c r="M287" i="20"/>
  <c r="M1281" i="20"/>
  <c r="M873" i="20"/>
  <c r="M660" i="20"/>
  <c r="M1128" i="20"/>
  <c r="M1089" i="20"/>
  <c r="M809" i="20"/>
  <c r="M731" i="20"/>
  <c r="M484" i="20"/>
  <c r="M633" i="20"/>
  <c r="M983" i="20"/>
  <c r="M773" i="20"/>
  <c r="M409" i="20"/>
  <c r="M856" i="20"/>
  <c r="M1147" i="20"/>
  <c r="M89" i="20"/>
  <c r="M340" i="20"/>
  <c r="M847" i="20"/>
  <c r="M1366" i="20"/>
  <c r="M1416" i="20"/>
  <c r="M632" i="20"/>
  <c r="M380" i="20"/>
  <c r="M712" i="20"/>
  <c r="M449" i="20"/>
  <c r="M15" i="20"/>
  <c r="M1140" i="20"/>
  <c r="M585" i="20"/>
  <c r="M1161" i="20"/>
  <c r="M224" i="20"/>
  <c r="M316" i="20"/>
  <c r="M1123" i="20"/>
  <c r="M461" i="20"/>
  <c r="M405" i="20"/>
  <c r="M133" i="20"/>
  <c r="M545" i="20"/>
  <c r="M91" i="20"/>
  <c r="M704" i="20"/>
  <c r="M1304" i="20"/>
  <c r="M940" i="20"/>
  <c r="M860" i="20"/>
  <c r="M916" i="20"/>
  <c r="M350" i="20"/>
  <c r="M1052" i="20"/>
  <c r="M1057" i="20"/>
  <c r="M558" i="20"/>
  <c r="M1258" i="20"/>
  <c r="M1383" i="20"/>
  <c r="M1014" i="20"/>
  <c r="M574" i="20"/>
  <c r="M590" i="20"/>
  <c r="M960" i="20"/>
  <c r="M1271" i="20"/>
  <c r="M423" i="20"/>
  <c r="M1171" i="20"/>
  <c r="M975" i="20"/>
  <c r="M693" i="20"/>
  <c r="M130" i="20"/>
  <c r="M877" i="20"/>
  <c r="M194" i="20"/>
  <c r="M969" i="20"/>
  <c r="M989" i="20"/>
  <c r="M1160" i="20"/>
  <c r="M1320" i="20"/>
  <c r="M376" i="20"/>
  <c r="M112" i="20"/>
  <c r="M1287" i="20"/>
  <c r="M759" i="20"/>
  <c r="M339" i="20"/>
  <c r="M536" i="20"/>
  <c r="M770" i="20"/>
  <c r="M69" i="20"/>
  <c r="M1015" i="20"/>
  <c r="M1119" i="20"/>
  <c r="M830" i="20"/>
  <c r="M444" i="20"/>
  <c r="M1191" i="20"/>
  <c r="M503" i="20"/>
  <c r="M502" i="20"/>
  <c r="M1340" i="20"/>
  <c r="M314" i="20"/>
  <c r="M698" i="20"/>
  <c r="M774" i="20"/>
  <c r="M191" i="20"/>
  <c r="M1325" i="20"/>
  <c r="M671" i="20"/>
  <c r="M544" i="20"/>
  <c r="M267" i="20"/>
  <c r="M1244" i="20"/>
  <c r="M457" i="20"/>
  <c r="M533" i="20"/>
  <c r="M1175" i="20"/>
  <c r="M1230" i="20"/>
  <c r="M1453" i="20"/>
  <c r="M514" i="20"/>
  <c r="M1278" i="20"/>
  <c r="M282" i="20"/>
  <c r="M1039" i="20"/>
  <c r="M604" i="20"/>
  <c r="M435" i="20"/>
  <c r="M419" i="20"/>
  <c r="M882" i="20"/>
  <c r="M528" i="20"/>
  <c r="M1410" i="20"/>
  <c r="M549" i="20"/>
  <c r="M1344" i="20"/>
  <c r="M1313" i="20"/>
  <c r="M379" i="20"/>
  <c r="M1458" i="20"/>
  <c r="M701" i="20"/>
  <c r="M1321" i="20"/>
  <c r="M1020" i="20"/>
  <c r="M418" i="20"/>
  <c r="M325" i="20"/>
  <c r="M1485" i="20"/>
  <c r="M779" i="20"/>
  <c r="M506" i="20"/>
  <c r="M100" i="20"/>
  <c r="M944" i="20"/>
  <c r="M462" i="20"/>
  <c r="M1466" i="20"/>
  <c r="M129" i="20"/>
  <c r="M454" i="20"/>
  <c r="M1430" i="20"/>
  <c r="M1137" i="20"/>
  <c r="M1316" i="20"/>
  <c r="M510" i="20"/>
  <c r="M1166" i="20"/>
  <c r="M776" i="20"/>
  <c r="M1099" i="20"/>
  <c r="M841" i="20"/>
  <c r="M844" i="20"/>
  <c r="M1375" i="20"/>
  <c r="M719" i="20"/>
  <c r="M413" i="20"/>
  <c r="M141" i="20"/>
  <c r="M263" i="20"/>
  <c r="M681" i="20"/>
  <c r="M723" i="20"/>
  <c r="M1113" i="20"/>
  <c r="M1224" i="20"/>
  <c r="M852" i="20"/>
  <c r="M521" i="20"/>
  <c r="M298" i="20"/>
  <c r="M322" i="20"/>
  <c r="M204" i="20"/>
  <c r="M1367" i="20"/>
  <c r="M1143" i="20"/>
  <c r="M1452" i="20"/>
  <c r="M568" i="20"/>
  <c r="M1457" i="20"/>
  <c r="M1069" i="20"/>
  <c r="M903" i="20"/>
  <c r="M253" i="20"/>
  <c r="M950" i="20"/>
  <c r="M235" i="20"/>
  <c r="M596" i="20"/>
  <c r="M482" i="20"/>
  <c r="M231" i="20"/>
  <c r="M1474" i="20"/>
  <c r="M1121" i="20"/>
  <c r="M1233" i="20"/>
  <c r="M1350" i="20"/>
  <c r="M1380" i="20"/>
  <c r="M87" i="20"/>
  <c r="M1178" i="20"/>
  <c r="M824" i="20"/>
  <c r="M1053" i="20"/>
  <c r="M441" i="20"/>
  <c r="M1354" i="20"/>
  <c r="M343" i="20"/>
  <c r="M57" i="20"/>
  <c r="M1157" i="20"/>
  <c r="M1307" i="20"/>
  <c r="M154" i="20"/>
  <c r="M1048" i="20"/>
  <c r="M615" i="20"/>
  <c r="M131" i="20"/>
  <c r="M1500" i="20"/>
  <c r="M1138" i="20"/>
  <c r="M277" i="20"/>
  <c r="M472" i="20"/>
  <c r="M576" i="20"/>
  <c r="M611" i="20"/>
  <c r="M567" i="20"/>
  <c r="M1091" i="20"/>
  <c r="M186" i="20"/>
  <c r="M1146" i="20"/>
  <c r="M1348" i="20"/>
  <c r="M445" i="20"/>
  <c r="M1482" i="20"/>
  <c r="M254" i="20"/>
  <c r="M72" i="20"/>
  <c r="M1063" i="20"/>
  <c r="M1417" i="20"/>
  <c r="M1310" i="20"/>
  <c r="M96" i="20"/>
  <c r="M242" i="20"/>
  <c r="M618" i="20"/>
  <c r="M1391" i="20"/>
  <c r="M566" i="20"/>
  <c r="M635" i="20"/>
  <c r="M749" i="20"/>
  <c r="M38" i="20"/>
  <c r="M1083" i="20"/>
  <c r="M430" i="20"/>
  <c r="M24" i="20"/>
  <c r="M625" i="20"/>
  <c r="M354" i="20"/>
  <c r="M286" i="20"/>
  <c r="M416" i="20"/>
  <c r="M627" i="20"/>
  <c r="M459" i="20"/>
  <c r="M1394" i="20"/>
  <c r="M936" i="20"/>
  <c r="M1358" i="20"/>
  <c r="M1082" i="20"/>
  <c r="M1047" i="20"/>
  <c r="M44" i="20"/>
  <c r="M1421" i="20"/>
  <c r="M729" i="20"/>
  <c r="M760" i="20"/>
  <c r="M26" i="20"/>
  <c r="M551" i="20"/>
  <c r="M1092" i="20"/>
  <c r="M900" i="20"/>
  <c r="M1448" i="20"/>
  <c r="M1504" i="20"/>
  <c r="M1289" i="20"/>
  <c r="M150" i="20"/>
  <c r="M656" i="20"/>
  <c r="M540" i="20"/>
  <c r="M778" i="20"/>
  <c r="M493" i="20"/>
  <c r="M637" i="20"/>
  <c r="M159" i="20"/>
  <c r="M919" i="20"/>
  <c r="M537" i="20"/>
  <c r="M999" i="20"/>
  <c r="M623" i="20"/>
  <c r="M951" i="20"/>
  <c r="M1223" i="20"/>
  <c r="M268" i="20"/>
  <c r="M904" i="20"/>
  <c r="M138" i="20"/>
  <c r="M929" i="20"/>
  <c r="M401" i="20"/>
  <c r="M724" i="20"/>
  <c r="M1333" i="20"/>
  <c r="M964" i="20"/>
  <c r="M1335" i="20"/>
  <c r="M386" i="20"/>
  <c r="M170" i="20"/>
  <c r="M1151" i="20"/>
  <c r="M926" i="20"/>
  <c r="M290" i="20"/>
  <c r="M747" i="20"/>
  <c r="M1292" i="20"/>
  <c r="M1111" i="20"/>
  <c r="M1444" i="20"/>
  <c r="M463" i="20"/>
  <c r="M1237" i="20"/>
  <c r="M1479" i="20"/>
  <c r="M1073" i="20"/>
  <c r="M1115" i="20"/>
  <c r="M63" i="20"/>
  <c r="M276" i="20"/>
  <c r="M1347" i="20"/>
  <c r="M653" i="20"/>
  <c r="M465" i="20"/>
  <c r="M40" i="20"/>
  <c r="M176" i="20"/>
  <c r="M727" i="20"/>
  <c r="M137" i="20"/>
  <c r="M1360" i="20"/>
  <c r="M854" i="20"/>
  <c r="M420" i="20"/>
  <c r="M289" i="20"/>
  <c r="M487" i="20"/>
  <c r="M952" i="20"/>
  <c r="M71" i="20"/>
  <c r="M407" i="20"/>
  <c r="M564" i="20"/>
  <c r="M1322" i="20"/>
  <c r="M1276" i="20"/>
  <c r="M665" i="20"/>
  <c r="M163" i="20"/>
  <c r="M511" i="20"/>
  <c r="M572" i="20"/>
  <c r="M608" i="20"/>
  <c r="M1118" i="20"/>
  <c r="M337" i="20"/>
  <c r="M1222" i="20"/>
  <c r="M705" i="20"/>
  <c r="M363" i="20"/>
  <c r="M168" i="20"/>
  <c r="M692" i="20"/>
  <c r="M891" i="20"/>
  <c r="M285" i="20"/>
  <c r="M300" i="20"/>
  <c r="M990" i="20"/>
  <c r="M1439" i="20"/>
  <c r="M1339" i="20"/>
  <c r="M469" i="20"/>
  <c r="M308" i="20"/>
  <c r="M83" i="20"/>
  <c r="M1031" i="20"/>
  <c r="M19" i="20"/>
  <c r="M711" i="20"/>
  <c r="M726" i="20"/>
  <c r="M862" i="20"/>
  <c r="M1514" i="20"/>
  <c r="M1297" i="20"/>
  <c r="M811" i="20"/>
  <c r="M351" i="20"/>
  <c r="M198" i="20"/>
  <c r="M1362" i="20"/>
  <c r="M1481" i="20"/>
  <c r="M765" i="20"/>
  <c r="M1411" i="20"/>
  <c r="M607" i="20"/>
  <c r="M171" i="20"/>
  <c r="M974" i="20"/>
  <c r="M359" i="20"/>
  <c r="M1510" i="20"/>
  <c r="M1374" i="20"/>
  <c r="M227" i="20"/>
  <c r="M802" i="20"/>
  <c r="M1379" i="20"/>
  <c r="M1231" i="20"/>
  <c r="M1472" i="20"/>
  <c r="M1303" i="20"/>
  <c r="M1309" i="20"/>
  <c r="M971" i="20"/>
  <c r="M398" i="20"/>
  <c r="M1165" i="20"/>
  <c r="M639" i="20"/>
  <c r="M1406" i="20"/>
  <c r="M562" i="20"/>
  <c r="M490" i="20"/>
  <c r="M1081" i="20"/>
  <c r="M1298" i="20"/>
  <c r="M910" i="20"/>
  <c r="M690" i="20"/>
  <c r="M480" i="20"/>
  <c r="M1184" i="20"/>
  <c r="M1501" i="20"/>
  <c r="M1126" i="20"/>
  <c r="M118" i="20"/>
  <c r="M933" i="20"/>
  <c r="M614" i="20"/>
  <c r="M93" i="20"/>
  <c r="M395" i="20"/>
  <c r="M1023" i="20"/>
  <c r="M1250" i="20"/>
  <c r="M184" i="20"/>
  <c r="M468" i="20"/>
  <c r="M1139" i="20"/>
  <c r="M628" i="20"/>
  <c r="M62" i="20"/>
  <c r="M1473" i="20"/>
  <c r="M1272" i="20"/>
  <c r="M886" i="20"/>
  <c r="M65" i="20"/>
  <c r="M393" i="20"/>
  <c r="M134" i="20"/>
  <c r="M500" i="20"/>
  <c r="M45" i="20"/>
  <c r="M688" i="20"/>
  <c r="M483" i="20"/>
  <c r="M630" i="20"/>
  <c r="M356" i="20"/>
  <c r="M1311" i="20"/>
  <c r="M987" i="20"/>
  <c r="M189" i="20"/>
  <c r="M175" i="20"/>
  <c r="M1114" i="20"/>
  <c r="M205" i="20"/>
  <c r="M1460" i="20"/>
  <c r="M707" i="20"/>
  <c r="M1058" i="20"/>
  <c r="M80" i="20"/>
  <c r="M814" i="20"/>
  <c r="M1265" i="20"/>
  <c r="M90" i="20"/>
  <c r="M220" i="20"/>
  <c r="M937" i="20"/>
  <c r="M848" i="20"/>
  <c r="M914" i="20"/>
  <c r="M167" i="20"/>
  <c r="M1030" i="20"/>
  <c r="M1330" i="20"/>
  <c r="M1238" i="20"/>
  <c r="M291" i="20"/>
  <c r="M295" i="20"/>
  <c r="M772" i="20"/>
  <c r="M320" i="20"/>
  <c r="M857" i="20"/>
  <c r="M509" i="20"/>
  <c r="M1419" i="20"/>
  <c r="M234" i="20"/>
  <c r="M892" i="20"/>
  <c r="M761" i="20"/>
  <c r="M1478" i="20"/>
  <c r="M1359" i="20"/>
  <c r="M798" i="20"/>
  <c r="M563" i="20"/>
  <c r="M634" i="20"/>
  <c r="M218" i="20"/>
  <c r="M872" i="20"/>
  <c r="M1239" i="20"/>
  <c r="M1461" i="20"/>
  <c r="M573" i="20"/>
  <c r="M539" i="20"/>
  <c r="M1405" i="20"/>
  <c r="M683" i="20"/>
  <c r="M753" i="20"/>
  <c r="M403" i="20"/>
  <c r="M357" i="20"/>
  <c r="M422" i="20"/>
  <c r="M336" i="20"/>
  <c r="M1201" i="20"/>
  <c r="M858" i="20"/>
  <c r="M938" i="20"/>
  <c r="M1257" i="20"/>
  <c r="M1179" i="20"/>
  <c r="M1202" i="20"/>
  <c r="M1509" i="20"/>
  <c r="M1185" i="20"/>
  <c r="M297" i="20"/>
  <c r="M1373" i="20"/>
  <c r="M664" i="20"/>
  <c r="M708" i="20"/>
  <c r="M1024" i="20"/>
  <c r="M1027" i="20"/>
  <c r="M498" i="20"/>
  <c r="M111" i="20"/>
  <c r="M748" i="20"/>
  <c r="M1187" i="20"/>
  <c r="M1043" i="20"/>
  <c r="M119" i="20"/>
  <c r="M1088" i="20"/>
  <c r="M806" i="20"/>
  <c r="M571" i="20"/>
  <c r="M497" i="20"/>
  <c r="M372" i="20"/>
  <c r="M327" i="20"/>
  <c r="M973" i="20"/>
  <c r="M1274" i="20"/>
  <c r="M621" i="20"/>
  <c r="M672" i="20"/>
  <c r="M659" i="20"/>
  <c r="M358" i="20"/>
  <c r="M593" i="20"/>
  <c r="M1491" i="20"/>
  <c r="M1462" i="20"/>
  <c r="M1002" i="20"/>
  <c r="M1208" i="20"/>
  <c r="M769" i="20"/>
  <c r="M617" i="20"/>
  <c r="M942" i="20"/>
  <c r="M600" i="20"/>
  <c r="M1426" i="20"/>
  <c r="M1029" i="20"/>
  <c r="M751" i="20"/>
  <c r="M1076" i="20"/>
  <c r="M1167" i="20"/>
  <c r="M827" i="20"/>
  <c r="M313" i="20"/>
  <c r="M1019" i="20"/>
  <c r="M907" i="20"/>
  <c r="M883" i="20"/>
  <c r="M646" i="20"/>
  <c r="M1507" i="20"/>
  <c r="M116" i="20"/>
  <c r="M931" i="20"/>
  <c r="M1077" i="20"/>
  <c r="M326" i="20"/>
  <c r="M1059" i="20"/>
  <c r="M158" i="20"/>
  <c r="M583" i="20"/>
  <c r="M658" i="20"/>
  <c r="M1240" i="20"/>
  <c r="M1173" i="20"/>
  <c r="M1097" i="20"/>
  <c r="M868" i="20"/>
  <c r="M755" i="20"/>
  <c r="M575" i="20"/>
  <c r="M789" i="20"/>
  <c r="M636" i="20"/>
  <c r="M762" i="20"/>
  <c r="M864" i="20"/>
  <c r="M210" i="20"/>
  <c r="M1149" i="20"/>
  <c r="M1315" i="20"/>
  <c r="M1011" i="20"/>
  <c r="M1252" i="20"/>
  <c r="M323" i="20"/>
  <c r="M1372" i="20"/>
  <c r="M1493" i="20"/>
  <c r="M103" i="20"/>
  <c r="M266" i="20"/>
  <c r="M1440" i="20"/>
  <c r="M1042" i="20"/>
  <c r="M1355" i="20"/>
  <c r="M412" i="20"/>
  <c r="M489" i="20"/>
  <c r="M67" i="20"/>
  <c r="M101" i="20"/>
  <c r="M631" i="20"/>
  <c r="M946" i="20"/>
  <c r="M1085" i="20"/>
  <c r="M1332" i="20"/>
  <c r="M1413" i="20"/>
  <c r="M980" i="20"/>
  <c r="M1028" i="20"/>
  <c r="M92" i="20"/>
  <c r="M152" i="20"/>
  <c r="M1103" i="20"/>
  <c r="M512" i="20"/>
  <c r="M519" i="20"/>
  <c r="M784" i="20"/>
  <c r="M676" i="20"/>
  <c r="M764" i="20"/>
  <c r="M239" i="20"/>
  <c r="M1259" i="20"/>
  <c r="M438" i="20"/>
  <c r="M881" i="20"/>
  <c r="M123" i="20"/>
  <c r="M1177" i="20"/>
  <c r="M1483" i="20"/>
  <c r="M530" i="20"/>
  <c r="M1216" i="20"/>
  <c r="M1070" i="20"/>
  <c r="M752" i="20"/>
  <c r="M1193" i="20"/>
  <c r="M1145" i="20"/>
  <c r="M145" i="20"/>
  <c r="M1010" i="20"/>
  <c r="M686" i="20"/>
  <c r="M889" i="20"/>
  <c r="M804" i="20"/>
  <c r="M233" i="20"/>
  <c r="M1001" i="20"/>
  <c r="M531" i="20"/>
  <c r="M1513" i="20"/>
  <c r="M1290" i="20"/>
  <c r="M1130" i="20"/>
  <c r="M570" i="20"/>
  <c r="M56" i="20"/>
  <c r="M236" i="20"/>
  <c r="M108" i="20"/>
  <c r="M1459" i="20"/>
  <c r="M1105" i="20"/>
  <c r="M865" i="20"/>
  <c r="M70" i="20"/>
  <c r="M377" i="20"/>
  <c r="M1120" i="20"/>
  <c r="M195" i="20"/>
  <c r="M1200" i="20"/>
  <c r="M17" i="20"/>
  <c r="M1396" i="20"/>
  <c r="M478" i="20"/>
  <c r="M966" i="20"/>
  <c r="M121" i="20"/>
  <c r="M982" i="20"/>
  <c r="M754" i="20"/>
  <c r="M1196" i="20"/>
  <c r="M1412" i="20"/>
  <c r="M1342" i="20"/>
  <c r="M932" i="20"/>
  <c r="M1075" i="20"/>
  <c r="M1204" i="20"/>
  <c r="M697" i="20"/>
  <c r="M504" i="20"/>
  <c r="M446" i="20"/>
  <c r="M448" i="20"/>
  <c r="M867" i="20"/>
  <c r="P164" i="20"/>
  <c r="P1000" i="20"/>
  <c r="P1044" i="20"/>
  <c r="P623" i="20"/>
  <c r="P1444" i="20"/>
  <c r="P727" i="20"/>
  <c r="P129" i="20"/>
  <c r="P275" i="20"/>
  <c r="P633" i="20"/>
  <c r="P795" i="20"/>
  <c r="P109" i="20"/>
  <c r="P1081" i="20"/>
  <c r="P126" i="20"/>
  <c r="P59" i="20"/>
  <c r="P446" i="20"/>
  <c r="P948" i="20"/>
  <c r="P1417" i="20"/>
  <c r="P1396" i="20"/>
  <c r="P345" i="20"/>
  <c r="P1216" i="20"/>
  <c r="P1434" i="20"/>
  <c r="P337" i="20"/>
  <c r="P543" i="20"/>
  <c r="P1177" i="20"/>
  <c r="P1462" i="20"/>
  <c r="P947" i="20"/>
  <c r="P208" i="20"/>
  <c r="P1147" i="20"/>
  <c r="P1092" i="20"/>
  <c r="P490" i="20"/>
  <c r="P667" i="20"/>
  <c r="P481" i="20"/>
  <c r="P116" i="20"/>
  <c r="P884" i="20"/>
  <c r="P316" i="20"/>
  <c r="P1360" i="20"/>
  <c r="P1286" i="20"/>
  <c r="P609" i="20"/>
  <c r="P1301" i="20"/>
  <c r="P1034" i="20"/>
  <c r="P1074" i="20"/>
  <c r="P548" i="20"/>
  <c r="P304" i="20"/>
  <c r="P803" i="20"/>
  <c r="P1160" i="20"/>
  <c r="P297" i="20"/>
  <c r="P1131" i="20"/>
  <c r="P464" i="20"/>
  <c r="P745" i="20"/>
  <c r="P86" i="20"/>
  <c r="P258" i="20"/>
  <c r="P1424" i="20"/>
  <c r="P394" i="20"/>
  <c r="P1310" i="20"/>
  <c r="P523" i="20"/>
  <c r="P1048" i="20"/>
  <c r="P1441" i="20"/>
  <c r="P395" i="20"/>
  <c r="P1082" i="20"/>
  <c r="P1188" i="20"/>
  <c r="P260" i="20"/>
  <c r="P1173" i="20"/>
  <c r="P245" i="20"/>
  <c r="P305" i="20"/>
  <c r="P835" i="20"/>
  <c r="P544" i="20"/>
  <c r="P466" i="20"/>
  <c r="P916" i="20"/>
  <c r="P989" i="20"/>
  <c r="P112" i="20"/>
  <c r="P274" i="20"/>
  <c r="P1412" i="20"/>
  <c r="P713" i="20"/>
  <c r="P153" i="20"/>
  <c r="P688" i="20"/>
  <c r="P1314" i="20"/>
  <c r="P1506" i="20"/>
  <c r="P135" i="20"/>
  <c r="P917" i="20"/>
  <c r="P1344" i="20"/>
  <c r="P300" i="20"/>
  <c r="P1215" i="20"/>
  <c r="P740" i="20"/>
  <c r="P751" i="20"/>
  <c r="P162" i="20"/>
  <c r="P248" i="20"/>
  <c r="P672" i="20"/>
  <c r="P888" i="20"/>
  <c r="P130" i="20"/>
  <c r="P1180" i="20"/>
  <c r="P82" i="20"/>
  <c r="P351" i="20"/>
  <c r="P338" i="20"/>
  <c r="P973" i="20"/>
  <c r="P830" i="20"/>
  <c r="P1135" i="20"/>
  <c r="P202" i="20"/>
  <c r="P1443" i="20"/>
  <c r="P508" i="20"/>
  <c r="P1484" i="20"/>
  <c r="P326" i="20"/>
  <c r="P1374" i="20"/>
  <c r="P1116" i="20"/>
  <c r="P838" i="20"/>
  <c r="P421" i="20"/>
  <c r="P1350" i="20"/>
  <c r="P1267" i="20"/>
  <c r="P620" i="20"/>
  <c r="P873" i="20"/>
  <c r="P631" i="20"/>
  <c r="P284" i="20"/>
  <c r="P482" i="20"/>
  <c r="P1120" i="20"/>
  <c r="P920" i="20"/>
  <c r="P322" i="20"/>
  <c r="P578" i="20"/>
  <c r="P1470" i="20"/>
  <c r="P651" i="20"/>
  <c r="P828" i="20"/>
  <c r="P829" i="20"/>
  <c r="P1436" i="20"/>
  <c r="P1492" i="20"/>
  <c r="P664" i="20"/>
  <c r="P369" i="20"/>
  <c r="P1146" i="20"/>
  <c r="P1481" i="20"/>
  <c r="P1075" i="20"/>
  <c r="P1398" i="20"/>
  <c r="P1033" i="20"/>
  <c r="P56" i="20"/>
  <c r="P119" i="20"/>
  <c r="P195" i="20"/>
  <c r="P1010" i="20"/>
  <c r="P770" i="20"/>
  <c r="P344" i="20"/>
  <c r="P675" i="20"/>
  <c r="P1474" i="20"/>
  <c r="P669" i="20"/>
  <c r="P1497" i="20"/>
  <c r="P640" i="20"/>
  <c r="P569" i="20"/>
  <c r="P1432" i="20"/>
  <c r="P1509" i="20"/>
  <c r="P1106" i="20"/>
  <c r="P541" i="20"/>
  <c r="P232" i="20"/>
  <c r="P874" i="20"/>
  <c r="P1488" i="20"/>
  <c r="P746" i="20"/>
  <c r="P1197" i="20"/>
  <c r="P218" i="20"/>
  <c r="P748" i="20"/>
  <c r="P1229" i="20"/>
  <c r="P380" i="20"/>
  <c r="P593" i="20"/>
  <c r="P474" i="20"/>
  <c r="P506" i="20"/>
  <c r="P1221" i="20"/>
  <c r="P868" i="20"/>
  <c r="P204" i="20"/>
  <c r="P1256" i="20"/>
  <c r="P495" i="20"/>
  <c r="P1164" i="20"/>
  <c r="P878" i="20"/>
  <c r="P670" i="20"/>
  <c r="P1122" i="20"/>
  <c r="P81" i="20"/>
  <c r="P450" i="20"/>
  <c r="P1036" i="20"/>
  <c r="P650" i="20"/>
  <c r="P985" i="20"/>
  <c r="P1080" i="20"/>
  <c r="P860" i="20"/>
  <c r="P391" i="20"/>
  <c r="P522" i="20"/>
  <c r="P223" i="20"/>
  <c r="P728" i="20"/>
  <c r="P849" i="20"/>
  <c r="P908" i="20"/>
  <c r="P1223" i="20"/>
  <c r="P1280" i="20"/>
  <c r="P1490" i="20"/>
  <c r="P436" i="20"/>
  <c r="P324" i="20"/>
  <c r="P1195" i="20"/>
  <c r="P329" i="20"/>
  <c r="P1054" i="20"/>
  <c r="P905" i="20"/>
  <c r="P486" i="20"/>
  <c r="P98" i="20"/>
  <c r="P252" i="20"/>
  <c r="P790" i="20"/>
  <c r="P516" i="20"/>
  <c r="P489" i="20"/>
  <c r="P404" i="20"/>
  <c r="P1437" i="20"/>
  <c r="P323" i="20"/>
  <c r="P173" i="20"/>
  <c r="P718" i="20"/>
  <c r="P1447" i="20"/>
  <c r="P1224" i="20"/>
  <c r="P1041" i="20"/>
  <c r="P117" i="20"/>
  <c r="P1055" i="20"/>
  <c r="P1133" i="20"/>
  <c r="P1194" i="20"/>
  <c r="P124" i="20"/>
  <c r="P807" i="20"/>
  <c r="P992" i="20"/>
  <c r="P565" i="20"/>
  <c r="P78" i="20"/>
  <c r="P413" i="20"/>
  <c r="P373" i="20"/>
  <c r="P1273" i="20"/>
  <c r="P693" i="20"/>
  <c r="P174" i="20"/>
  <c r="P863" i="20"/>
  <c r="P869" i="20"/>
  <c r="P857" i="20"/>
  <c r="P1380" i="20"/>
  <c r="P1154" i="20"/>
  <c r="P246" i="20"/>
  <c r="P1024" i="20"/>
  <c r="P573" i="20"/>
  <c r="P913" i="20"/>
  <c r="P1501" i="20"/>
  <c r="P500" i="20"/>
  <c r="P472" i="20"/>
  <c r="P435" i="20"/>
  <c r="P747" i="20"/>
  <c r="P533" i="20"/>
  <c r="P501" i="20"/>
  <c r="P904" i="20"/>
  <c r="P1099" i="20"/>
  <c r="P1159" i="20"/>
  <c r="P611" i="20"/>
  <c r="P63" i="20"/>
  <c r="P288" i="20"/>
  <c r="P732" i="20"/>
  <c r="P890" i="20"/>
  <c r="P591" i="20"/>
  <c r="P1346" i="20"/>
  <c r="P1065" i="20"/>
  <c r="P188" i="20"/>
  <c r="P780" i="20"/>
  <c r="P703" i="20"/>
  <c r="P475" i="20"/>
  <c r="P1079" i="20"/>
  <c r="P589" i="20"/>
  <c r="P1193" i="20"/>
  <c r="P883" i="20"/>
  <c r="P1334" i="20"/>
  <c r="P1500" i="20"/>
  <c r="P1137" i="20"/>
  <c r="P181" i="20"/>
  <c r="P1345" i="20"/>
  <c r="P1277" i="20"/>
  <c r="P706" i="20"/>
  <c r="P1008" i="20"/>
  <c r="P371" i="20"/>
  <c r="P428" i="20"/>
  <c r="P1266" i="20"/>
  <c r="P389" i="20"/>
  <c r="P1117" i="20"/>
  <c r="P927" i="20"/>
  <c r="P756" i="20"/>
  <c r="P484" i="20"/>
  <c r="P1290" i="20"/>
  <c r="P1013" i="20"/>
  <c r="P1127" i="20"/>
  <c r="P138" i="20"/>
  <c r="P759" i="20"/>
  <c r="P1207" i="20"/>
  <c r="P97" i="20"/>
  <c r="P64" i="20"/>
  <c r="P520" i="20"/>
  <c r="P811" i="20"/>
  <c r="P40" i="20"/>
  <c r="P661" i="20"/>
  <c r="P1018" i="20"/>
  <c r="P1476" i="20"/>
  <c r="P1486" i="20"/>
  <c r="P1129" i="20"/>
  <c r="P33" i="20"/>
  <c r="P567" i="20"/>
  <c r="P637" i="20"/>
  <c r="P1222" i="20"/>
  <c r="P1329" i="20"/>
  <c r="P1459" i="20"/>
  <c r="P384" i="20"/>
  <c r="P452" i="20"/>
  <c r="P1009" i="20"/>
  <c r="P683" i="20"/>
  <c r="P1358" i="20"/>
  <c r="P1254" i="20"/>
  <c r="P70" i="20"/>
  <c r="P980" i="20"/>
  <c r="P1393" i="20"/>
  <c r="P25" i="20"/>
  <c r="P526" i="20"/>
  <c r="P1383" i="20"/>
  <c r="P1493" i="20"/>
  <c r="P571" i="20"/>
  <c r="P1016" i="20"/>
  <c r="P76" i="20"/>
  <c r="P43" i="20"/>
  <c r="P974" i="20"/>
  <c r="P1375" i="20"/>
  <c r="P963" i="20"/>
  <c r="P1005" i="20"/>
  <c r="P1313" i="20"/>
  <c r="P804" i="20"/>
  <c r="P210" i="20"/>
  <c r="P880" i="20"/>
  <c r="P1190" i="20"/>
  <c r="P207" i="20"/>
  <c r="P585" i="20"/>
  <c r="P902" i="20"/>
  <c r="P1499" i="20"/>
  <c r="P1108" i="20"/>
  <c r="P52" i="20"/>
  <c r="P186" i="20"/>
  <c r="P511" i="20"/>
  <c r="P381" i="20"/>
  <c r="P1006" i="20"/>
  <c r="P924" i="20"/>
  <c r="P1322" i="20"/>
  <c r="P83" i="20"/>
  <c r="P687" i="20"/>
  <c r="P105" i="20"/>
  <c r="P256" i="20"/>
  <c r="P1167" i="20"/>
  <c r="P1022" i="20"/>
  <c r="P149" i="20"/>
  <c r="P859" i="20"/>
  <c r="P1325" i="20"/>
  <c r="P982" i="20"/>
  <c r="P768" i="20"/>
  <c r="P67" i="20"/>
  <c r="P861" i="20"/>
  <c r="P1262" i="20"/>
  <c r="P1317" i="20"/>
  <c r="P318" i="20"/>
  <c r="P686" i="20"/>
  <c r="P24" i="20"/>
  <c r="P262" i="20"/>
  <c r="P802" i="20"/>
  <c r="P203" i="20"/>
  <c r="P182" i="20"/>
  <c r="P286" i="20"/>
  <c r="P968" i="20"/>
  <c r="P291" i="20"/>
  <c r="P1032" i="20"/>
  <c r="P668" i="20"/>
  <c r="P131" i="20"/>
  <c r="P1185" i="20"/>
  <c r="P1212" i="20"/>
  <c r="P512" i="20"/>
  <c r="P229" i="20"/>
  <c r="P624" i="20"/>
  <c r="P1287" i="20"/>
  <c r="P946" i="20"/>
  <c r="P654" i="20"/>
  <c r="P1292" i="20"/>
  <c r="P900" i="20"/>
  <c r="P867" i="20"/>
  <c r="P810" i="20"/>
  <c r="P1114" i="20"/>
  <c r="P1449" i="20"/>
  <c r="P1030" i="20"/>
  <c r="P1136" i="20"/>
  <c r="P1140" i="20"/>
  <c r="P1427" i="20"/>
  <c r="P1391" i="20"/>
  <c r="P376" i="20"/>
  <c r="P572" i="20"/>
  <c r="P1430" i="20"/>
  <c r="P1475" i="20"/>
  <c r="P1141" i="20"/>
  <c r="P1143" i="20"/>
  <c r="P1245" i="20"/>
  <c r="P1489" i="20"/>
  <c r="P840" i="20"/>
  <c r="P1189" i="20"/>
  <c r="P294" i="20"/>
  <c r="P602" i="20"/>
  <c r="P995" i="20"/>
  <c r="P1353" i="20"/>
  <c r="P187" i="20"/>
  <c r="P309" i="20"/>
  <c r="P448" i="20"/>
  <c r="P497" i="20"/>
  <c r="P364" i="20"/>
  <c r="P898" i="20"/>
  <c r="P372" i="20"/>
  <c r="P165" i="20"/>
  <c r="P228" i="20"/>
  <c r="P949" i="20"/>
  <c r="P903" i="20"/>
  <c r="P66" i="20"/>
  <c r="P1126" i="20"/>
  <c r="P1355" i="20"/>
  <c r="P1340" i="20"/>
  <c r="P311" i="20"/>
  <c r="P118" i="20"/>
  <c r="P708" i="20"/>
  <c r="P402" i="20"/>
  <c r="P418" i="20"/>
  <c r="P259" i="20"/>
  <c r="P1466" i="20"/>
  <c r="P887" i="20"/>
  <c r="P677" i="20"/>
  <c r="P1084" i="20"/>
  <c r="P1381" i="20"/>
  <c r="P1465" i="20"/>
  <c r="P1191" i="20"/>
  <c r="P426" i="20"/>
  <c r="P876" i="20"/>
  <c r="P1371" i="20"/>
  <c r="P1281" i="20"/>
  <c r="P1305" i="20"/>
  <c r="P817" i="20"/>
  <c r="P1182" i="20"/>
  <c r="P469" i="20"/>
  <c r="P715" i="20"/>
  <c r="P1096" i="20"/>
  <c r="P194" i="20"/>
  <c r="P416" i="20"/>
  <c r="P1469" i="20"/>
  <c r="P233" i="20"/>
  <c r="P1507" i="20"/>
  <c r="P538" i="20"/>
  <c r="P792" i="20"/>
  <c r="P577" i="20"/>
  <c r="P1218" i="20"/>
  <c r="P592" i="20"/>
  <c r="P566" i="20"/>
  <c r="P292" i="20"/>
  <c r="P896" i="20"/>
  <c r="P1142" i="20"/>
  <c r="P1513" i="20"/>
  <c r="P662" i="20"/>
  <c r="P1163" i="20"/>
  <c r="P998" i="20"/>
  <c r="P1315" i="20"/>
  <c r="P1343" i="20"/>
  <c r="P954" i="20"/>
  <c r="P1015" i="20"/>
  <c r="P492" i="20"/>
  <c r="P379" i="20"/>
  <c r="P461" i="20"/>
  <c r="P478" i="20"/>
  <c r="P1078" i="20"/>
  <c r="P937" i="20"/>
  <c r="P639" i="20"/>
  <c r="P445" i="20"/>
  <c r="P513" i="20"/>
  <c r="P1330" i="20"/>
  <c r="P1058" i="20"/>
  <c r="P241" i="20"/>
  <c r="P897" i="20"/>
  <c r="P791" i="20"/>
  <c r="P1077" i="20"/>
  <c r="P15" i="20"/>
  <c r="P993" i="20"/>
  <c r="P419" i="20"/>
  <c r="P387" i="20"/>
  <c r="P29" i="20"/>
  <c r="P48" i="20"/>
  <c r="P778" i="20"/>
  <c r="P590" i="20"/>
  <c r="P987" i="20"/>
  <c r="P172" i="20"/>
  <c r="P406" i="20"/>
  <c r="P1445" i="20"/>
  <c r="P801" i="20"/>
  <c r="P800" i="20"/>
  <c r="P943" i="20"/>
  <c r="P813" i="20"/>
  <c r="P615" i="20"/>
  <c r="P1394" i="20"/>
  <c r="P1354" i="20"/>
  <c r="P1494" i="20"/>
  <c r="P191" i="20"/>
  <c r="P1253" i="20"/>
  <c r="P678" i="20"/>
  <c r="P1100" i="20"/>
  <c r="P31" i="20"/>
  <c r="P214" i="20"/>
  <c r="P576" i="20"/>
  <c r="P315" i="20"/>
  <c r="P782" i="20"/>
  <c r="P730" i="20"/>
  <c r="P441" i="20"/>
  <c r="P110" i="20"/>
  <c r="P1257" i="20"/>
  <c r="P477" i="20"/>
  <c r="P1341" i="20"/>
  <c r="P862" i="20"/>
  <c r="P889" i="20"/>
  <c r="P1062" i="20"/>
  <c r="P742" i="20"/>
  <c r="P735" i="20"/>
  <c r="P1364" i="20"/>
  <c r="P1007" i="20"/>
  <c r="P865" i="20"/>
  <c r="P970" i="20"/>
  <c r="P660" i="20"/>
  <c r="P527" i="20"/>
  <c r="P308" i="20"/>
  <c r="P606" i="20"/>
  <c r="P1312" i="20"/>
  <c r="P796" i="20"/>
  <c r="P160" i="20"/>
  <c r="P942" i="20"/>
  <c r="P843" i="20"/>
  <c r="P197" i="20"/>
  <c r="P558" i="20"/>
  <c r="P332" i="20"/>
  <c r="P409" i="20"/>
  <c r="P377" i="20"/>
  <c r="P841" i="20"/>
  <c r="P169" i="20"/>
  <c r="P1153" i="20"/>
  <c r="P816" i="20"/>
  <c r="P1169" i="20"/>
  <c r="P674" i="20"/>
  <c r="P1479" i="20"/>
  <c r="P171" i="20"/>
  <c r="P1342" i="20"/>
  <c r="P460" i="20"/>
  <c r="P729" i="20"/>
  <c r="P139" i="20"/>
  <c r="P1067" i="20"/>
  <c r="P658" i="20"/>
  <c r="P925" i="20"/>
  <c r="P401" i="20"/>
  <c r="P1149" i="20"/>
  <c r="P559" i="20"/>
  <c r="P201" i="20"/>
  <c r="P1011" i="20"/>
  <c r="P940" i="20"/>
  <c r="P1386" i="20"/>
  <c r="P1179" i="20"/>
  <c r="P403" i="20"/>
  <c r="P938" i="20"/>
  <c r="P1461" i="20"/>
  <c r="P1239" i="20"/>
  <c r="P19" i="20"/>
  <c r="P1029" i="20"/>
  <c r="P321" i="20"/>
  <c r="P1467" i="20"/>
  <c r="P772" i="20"/>
  <c r="P1428" i="20"/>
  <c r="P659" i="20"/>
  <c r="P882" i="20"/>
  <c r="P1511" i="20"/>
  <c r="P966" i="20"/>
  <c r="P953" i="20"/>
  <c r="P94" i="20"/>
  <c r="P287" i="20"/>
  <c r="P766" i="20"/>
  <c r="P358" i="20"/>
  <c r="P613" i="20"/>
  <c r="P1420" i="20"/>
  <c r="P1303" i="20"/>
  <c r="P444" i="20"/>
  <c r="P1243" i="20"/>
  <c r="P604" i="20"/>
  <c r="P296" i="20"/>
  <c r="P393" i="20"/>
  <c r="P367" i="20"/>
  <c r="P891" i="20"/>
  <c r="P425" i="20"/>
  <c r="P1025" i="20"/>
  <c r="P1365" i="20"/>
  <c r="P570" i="20"/>
  <c r="P799" i="20"/>
  <c r="P1357" i="20"/>
  <c r="P1052" i="20"/>
  <c r="P480" i="20"/>
  <c r="P1319" i="20"/>
  <c r="P1158" i="20"/>
  <c r="P1248" i="20"/>
  <c r="P595" i="20"/>
  <c r="P749" i="20"/>
  <c r="P1175" i="20"/>
  <c r="P1237" i="20"/>
  <c r="P237" i="20"/>
  <c r="P1174" i="20"/>
  <c r="P333" i="20"/>
  <c r="P456" i="20"/>
  <c r="P568" i="20"/>
  <c r="P1069" i="20"/>
  <c r="P554" i="20"/>
  <c r="P334" i="20"/>
  <c r="P507" i="20"/>
  <c r="P579" i="20"/>
  <c r="P626" i="20"/>
  <c r="P783" i="20"/>
  <c r="P270" i="20"/>
  <c r="P122" i="20"/>
  <c r="P1373" i="20"/>
  <c r="P762" i="20"/>
  <c r="P758" i="20"/>
  <c r="P496" i="20"/>
  <c r="P1109" i="20"/>
  <c r="P1435" i="20"/>
  <c r="P235" i="20"/>
  <c r="P563" i="20"/>
  <c r="P271" i="20"/>
  <c r="P738" i="20"/>
  <c r="P956" i="20"/>
  <c r="P502" i="20"/>
  <c r="P967" i="20"/>
  <c r="P552" i="20"/>
  <c r="P1014" i="20"/>
  <c r="P62" i="20"/>
  <c r="P1241" i="20"/>
  <c r="P1042" i="20"/>
  <c r="P273" i="20"/>
  <c r="P964" i="20"/>
  <c r="P205" i="20"/>
  <c r="P163" i="20"/>
  <c r="P586" i="20"/>
  <c r="P1458" i="20"/>
  <c r="P293" i="20"/>
  <c r="P524" i="20"/>
  <c r="P1115" i="20"/>
  <c r="P1255" i="20"/>
  <c r="P823" i="20"/>
  <c r="P1366" i="20"/>
  <c r="P423" i="20"/>
  <c r="P55" i="20"/>
  <c r="P645" i="20"/>
  <c r="P289" i="20"/>
  <c r="P176" i="20"/>
  <c r="P648" i="20"/>
  <c r="P299" i="20"/>
  <c r="P328" i="20"/>
  <c r="P1186" i="20"/>
  <c r="P1278" i="20"/>
  <c r="P226" i="20"/>
  <c r="P261" i="20"/>
  <c r="P336" i="20"/>
  <c r="P941" i="20"/>
  <c r="P775" i="20"/>
  <c r="P360" i="20"/>
  <c r="P962" i="20"/>
  <c r="P1387" i="20"/>
  <c r="P190" i="20"/>
  <c r="P743" i="20"/>
  <c r="P465" i="20"/>
  <c r="P301" i="20"/>
  <c r="P414" i="20"/>
  <c r="P680" i="20"/>
  <c r="P157" i="20"/>
  <c r="P872" i="20"/>
  <c r="P1045" i="20"/>
  <c r="P1270" i="20"/>
  <c r="P459" i="20"/>
  <c r="P972" i="20"/>
  <c r="P353" i="20"/>
  <c r="P622" i="20"/>
  <c r="P1134" i="20"/>
  <c r="P37" i="20"/>
  <c r="P1230" i="20"/>
  <c r="P350" i="20"/>
  <c r="P1225" i="20"/>
  <c r="P551" i="20"/>
  <c r="P89" i="20"/>
  <c r="P1098" i="20"/>
  <c r="P1063" i="20"/>
  <c r="P148" i="20"/>
  <c r="P1242" i="20"/>
  <c r="P1451" i="20"/>
  <c r="P691" i="20"/>
  <c r="P926" i="20"/>
  <c r="P1091" i="20"/>
  <c r="P1460" i="20"/>
  <c r="P310" i="20"/>
  <c r="P932" i="20"/>
  <c r="P1395" i="20"/>
  <c r="P716" i="20"/>
  <c r="P814" i="20"/>
  <c r="P1066" i="20"/>
  <c r="P1309" i="20"/>
  <c r="P797" i="20"/>
  <c r="P1456" i="20"/>
  <c r="P616" i="20"/>
  <c r="P750" i="20"/>
  <c r="P914" i="20"/>
  <c r="P1487" i="20"/>
  <c r="P1004" i="20"/>
  <c r="P1083" i="20"/>
  <c r="P744" i="20"/>
  <c r="P349" i="20"/>
  <c r="P959" i="20"/>
  <c r="P1178" i="20"/>
  <c r="P1369" i="20"/>
  <c r="P177" i="20"/>
  <c r="P473" i="20"/>
  <c r="P886" i="20"/>
  <c r="P1363" i="20"/>
  <c r="P1139" i="20"/>
  <c r="P1214" i="20"/>
  <c r="P653" i="20"/>
  <c r="P264" i="20"/>
  <c r="P355" i="20"/>
  <c r="P1227" i="20"/>
  <c r="P487" i="20"/>
  <c r="P412" i="20"/>
  <c r="P944" i="20"/>
  <c r="P206" i="20"/>
  <c r="P400" i="20"/>
  <c r="P603" i="20"/>
  <c r="P314" i="20"/>
  <c r="P411" i="20"/>
  <c r="P438" i="20"/>
  <c r="P1112" i="20"/>
  <c r="P427" i="20"/>
  <c r="P183" i="20"/>
  <c r="P330" i="20"/>
  <c r="P407" i="20"/>
  <c r="P851" i="20"/>
  <c r="P21" i="20"/>
  <c r="P1093" i="20"/>
  <c r="P53" i="20"/>
  <c r="P1003" i="20"/>
  <c r="P1416" i="20"/>
  <c r="P1183" i="20"/>
  <c r="P999" i="20"/>
  <c r="P879" i="20"/>
  <c r="P842" i="20"/>
  <c r="P1450" i="20"/>
  <c r="P692" i="20"/>
  <c r="P439" i="20"/>
  <c r="P1252" i="20"/>
  <c r="P952" i="20"/>
  <c r="P1017" i="20"/>
  <c r="P365" i="20"/>
  <c r="P250" i="20"/>
  <c r="P855" i="20"/>
  <c r="P1236" i="20"/>
  <c r="P35" i="20"/>
  <c r="P553" i="20"/>
  <c r="P1202" i="20"/>
  <c r="P306" i="20"/>
  <c r="P866" i="20"/>
  <c r="P1086" i="20"/>
  <c r="P433" i="20"/>
  <c r="P719" i="20"/>
  <c r="P702" i="20"/>
  <c r="P844" i="20"/>
  <c r="P1283" i="20"/>
  <c r="P410" i="20"/>
  <c r="P709" i="20"/>
  <c r="P1282" i="20"/>
  <c r="P877" i="20"/>
  <c r="P805" i="20"/>
  <c r="P818" i="20"/>
  <c r="P1512" i="20"/>
  <c r="P1406" i="20"/>
  <c r="P60" i="20"/>
  <c r="P1485" i="20"/>
  <c r="P1152" i="20"/>
  <c r="P912" i="20"/>
  <c r="P710" i="20"/>
  <c r="P1473" i="20"/>
  <c r="P1240" i="20"/>
  <c r="P737" i="20"/>
  <c r="P1453" i="20"/>
  <c r="P46" i="20"/>
  <c r="P1455" i="20"/>
  <c r="P1110" i="20"/>
  <c r="P652" i="20"/>
  <c r="P257" i="20"/>
  <c r="P313" i="20"/>
  <c r="P911" i="20"/>
  <c r="P58" i="20"/>
  <c r="P356" i="20"/>
  <c r="P971" i="20"/>
  <c r="P236" i="20"/>
  <c r="P128" i="20"/>
  <c r="P519" i="20"/>
  <c r="P462" i="20"/>
  <c r="P794" i="20"/>
  <c r="P1491" i="20"/>
  <c r="P649" i="20"/>
  <c r="P1316" i="20"/>
  <c r="P397" i="20"/>
  <c r="P1284" i="20"/>
  <c r="P396" i="20"/>
  <c r="P582" i="20"/>
  <c r="P1454" i="20"/>
  <c r="P90" i="20"/>
  <c r="P983" i="20"/>
  <c r="P44" i="20"/>
  <c r="P901" i="20"/>
  <c r="P1411" i="20"/>
  <c r="P93" i="20"/>
  <c r="P1331" i="20"/>
  <c r="P302" i="20"/>
  <c r="P479" i="20"/>
  <c r="P1318" i="20"/>
  <c r="P655" i="20"/>
  <c r="P821" i="20"/>
  <c r="P1385" i="20"/>
  <c r="P1409" i="20"/>
  <c r="P960" i="20"/>
  <c r="P1121" i="20"/>
  <c r="P1211" i="20"/>
  <c r="P1339" i="20"/>
  <c r="P1480" i="20"/>
  <c r="P858" i="20"/>
  <c r="P282" i="20"/>
  <c r="P1349" i="20"/>
  <c r="P1288" i="20"/>
  <c r="P776" i="20"/>
  <c r="P1047" i="20"/>
  <c r="P847" i="20"/>
  <c r="P1250" i="20"/>
  <c r="P455" i="20"/>
  <c r="P1401" i="20"/>
  <c r="P457" i="20"/>
  <c r="P707" i="20"/>
  <c r="P546" i="20"/>
  <c r="P976" i="20"/>
  <c r="P531" i="20"/>
  <c r="P244" i="20"/>
  <c r="P1260" i="20"/>
  <c r="P150" i="20"/>
  <c r="P698" i="20"/>
  <c r="P278" i="20"/>
  <c r="P1205" i="20"/>
  <c r="P765" i="20"/>
  <c r="P808" i="20"/>
  <c r="P1251" i="20"/>
  <c r="P1356" i="20"/>
  <c r="P362" i="20"/>
  <c r="P1426" i="20"/>
  <c r="P1247" i="20"/>
  <c r="P1053" i="20"/>
  <c r="P1231" i="20"/>
  <c r="P1272" i="20"/>
  <c r="P978" i="20"/>
  <c r="P121" i="20"/>
  <c r="P249" i="20"/>
  <c r="P771" i="20"/>
  <c r="P1124" i="20"/>
  <c r="P990" i="20"/>
  <c r="P1285" i="20"/>
  <c r="P1118" i="20"/>
  <c r="P45" i="20"/>
  <c r="P630" i="20"/>
  <c r="P449" i="20"/>
  <c r="P325" i="20"/>
  <c r="P234" i="20"/>
  <c r="P470" i="20"/>
  <c r="P167" i="20"/>
  <c r="P424" i="20"/>
  <c r="P875" i="20"/>
  <c r="P1368" i="20"/>
  <c r="P1056" i="20"/>
  <c r="P581" i="20"/>
  <c r="P583" i="20"/>
  <c r="P159" i="20"/>
  <c r="P368" i="20"/>
  <c r="P521" i="20"/>
  <c r="P1060" i="20"/>
  <c r="P147" i="20"/>
  <c r="P347" i="20"/>
  <c r="P1150" i="20"/>
  <c r="P885" i="20"/>
  <c r="P957" i="20"/>
  <c r="P601" i="20"/>
  <c r="P1087" i="20"/>
  <c r="P132" i="20"/>
  <c r="P1438" i="20"/>
  <c r="P1320" i="20"/>
  <c r="P357" i="20"/>
  <c r="P1425" i="20"/>
  <c r="P16" i="20"/>
  <c r="P528" i="20"/>
  <c r="P179" i="20"/>
  <c r="P1059" i="20"/>
  <c r="P1097" i="20"/>
  <c r="P1123" i="20"/>
  <c r="P676" i="20"/>
  <c r="P819" i="20"/>
  <c r="P1367" i="20"/>
  <c r="P627" i="20"/>
  <c r="P454" i="20"/>
  <c r="P996" i="20"/>
  <c r="P1144" i="20"/>
  <c r="P74" i="20"/>
  <c r="P498" i="20"/>
  <c r="P1399" i="20"/>
  <c r="P405" i="20"/>
  <c r="P32" i="20"/>
  <c r="P831" i="20"/>
  <c r="P599" i="20"/>
  <c r="P254" i="20"/>
  <c r="P717" i="20"/>
  <c r="P483" i="20"/>
  <c r="P1258" i="20"/>
  <c r="P104" i="20"/>
  <c r="P1187" i="20"/>
  <c r="P1429" i="20"/>
  <c r="P133" i="20"/>
  <c r="P1176" i="20"/>
  <c r="P560" i="20"/>
  <c r="P1279" i="20"/>
  <c r="P1306" i="20"/>
  <c r="P617" i="20"/>
  <c r="P184" i="20"/>
  <c r="P443" i="20"/>
  <c r="P1477" i="20"/>
  <c r="P1204" i="20"/>
  <c r="P753" i="20"/>
  <c r="P721" i="20"/>
  <c r="P1138" i="20"/>
  <c r="P269" i="20"/>
  <c r="P1166" i="20"/>
  <c r="P28" i="20"/>
  <c r="P850" i="20"/>
  <c r="P1362" i="20"/>
  <c r="P588" i="20"/>
  <c r="P134" i="20"/>
  <c r="P1023" i="20"/>
  <c r="P127" i="20"/>
  <c r="P679" i="20"/>
  <c r="P856" i="20"/>
  <c r="P1203" i="20"/>
  <c r="P923" i="20"/>
  <c r="P276" i="20"/>
  <c r="P690" i="20"/>
  <c r="P72" i="20"/>
  <c r="P1370" i="20"/>
  <c r="P787" i="20"/>
  <c r="P625" i="20"/>
  <c r="P612" i="20"/>
  <c r="P100" i="20"/>
  <c r="P1213" i="20"/>
  <c r="P833" i="20"/>
  <c r="P390" i="20"/>
  <c r="P644" i="20"/>
  <c r="P23" i="20"/>
  <c r="P152" i="20"/>
  <c r="P733" i="20"/>
  <c r="P92" i="20"/>
  <c r="P61" i="20"/>
  <c r="P557" i="20"/>
  <c r="P673" i="20"/>
  <c r="P239" i="20"/>
  <c r="P1111" i="20"/>
  <c r="P839" i="20"/>
  <c r="P178" i="20"/>
  <c r="P370" i="20"/>
  <c r="P1244" i="20"/>
  <c r="P712" i="20"/>
  <c r="P614" i="20"/>
  <c r="P1162" i="20"/>
  <c r="P39" i="20"/>
  <c r="P1275" i="20"/>
  <c r="P562" i="20"/>
  <c r="P930" i="20"/>
  <c r="P468" i="20"/>
  <c r="P18" i="20"/>
  <c r="P598" i="20"/>
  <c r="P1452" i="20"/>
  <c r="P535" i="20"/>
  <c r="P220" i="20"/>
  <c r="P1199" i="20"/>
  <c r="P1299" i="20"/>
  <c r="P1332" i="20"/>
  <c r="P755" i="20"/>
  <c r="P485" i="20"/>
  <c r="P431" i="20"/>
  <c r="P154" i="20"/>
  <c r="P1246" i="20"/>
  <c r="P49" i="20"/>
  <c r="P1219" i="20"/>
  <c r="P440" i="20"/>
  <c r="P608" i="20"/>
  <c r="P1157" i="20"/>
  <c r="P415" i="20"/>
  <c r="P1472" i="20"/>
  <c r="P1101" i="20"/>
  <c r="P1049" i="20"/>
  <c r="P610" i="20"/>
  <c r="P471" i="20"/>
  <c r="P267" i="20"/>
  <c r="P222" i="20"/>
  <c r="P928" i="20"/>
  <c r="P352" i="20"/>
  <c r="P447" i="20"/>
  <c r="P769" i="20"/>
  <c r="P504" i="20"/>
  <c r="P1323" i="20"/>
  <c r="P517" i="20"/>
  <c r="P1046" i="20"/>
  <c r="P1238" i="20"/>
  <c r="P1321" i="20"/>
  <c r="P1433" i="20"/>
  <c r="P1483" i="20"/>
  <c r="P1209" i="20"/>
  <c r="P1031" i="20"/>
  <c r="P268" i="20"/>
  <c r="P327" i="20"/>
  <c r="P682" i="20"/>
  <c r="P1002" i="20"/>
  <c r="P339" i="20"/>
  <c r="P1026" i="20"/>
  <c r="P1037" i="20"/>
  <c r="P939" i="20"/>
  <c r="P1448" i="20"/>
  <c r="P767" i="20"/>
  <c r="P684" i="20"/>
  <c r="P754" i="20"/>
  <c r="P1446" i="20"/>
  <c r="P1338" i="20"/>
  <c r="P597" i="20"/>
  <c r="P1510" i="20"/>
  <c r="P734" i="20"/>
  <c r="P1039" i="20"/>
  <c r="P1043" i="20"/>
  <c r="P1404" i="20"/>
  <c r="P584" i="20"/>
  <c r="P198" i="20"/>
  <c r="P695" i="20"/>
  <c r="P1294" i="20"/>
  <c r="P895" i="20"/>
  <c r="P1156" i="20"/>
  <c r="P935" i="20"/>
  <c r="P156" i="20"/>
  <c r="P320" i="20"/>
  <c r="P1105" i="20"/>
  <c r="P84" i="20"/>
  <c r="P894" i="20"/>
  <c r="P211" i="20"/>
  <c r="P656" i="20"/>
  <c r="P825" i="20"/>
  <c r="P934" i="20"/>
  <c r="P340" i="20"/>
  <c r="P158" i="20"/>
  <c r="P700" i="20"/>
  <c r="P832" i="20"/>
  <c r="P773" i="20"/>
  <c r="P1300" i="20"/>
  <c r="P834" i="20"/>
  <c r="P643" i="20"/>
  <c r="P910" i="20"/>
  <c r="P1038" i="20"/>
  <c r="P161" i="20"/>
  <c r="P125" i="20"/>
  <c r="P1161" i="20"/>
  <c r="P547" i="20"/>
  <c r="P1410" i="20"/>
  <c r="P225" i="20"/>
  <c r="P417" i="20"/>
  <c r="P1384" i="20"/>
  <c r="P837" i="20"/>
  <c r="P671" i="20"/>
  <c r="P1192" i="20"/>
  <c r="P892" i="20"/>
  <c r="P1072" i="20"/>
  <c r="P525" i="20"/>
  <c r="P689" i="20"/>
  <c r="P722" i="20"/>
  <c r="P1298" i="20"/>
  <c r="P115" i="20"/>
  <c r="P1088" i="20"/>
  <c r="P238" i="20"/>
  <c r="P1232" i="20"/>
  <c r="P545" i="20"/>
  <c r="P986" i="20"/>
  <c r="P142" i="20"/>
  <c r="P1442" i="20"/>
  <c r="P1498" i="20"/>
  <c r="P1361" i="20"/>
  <c r="P1502" i="20"/>
  <c r="P665" i="20"/>
  <c r="P760" i="20"/>
  <c r="P106" i="20"/>
  <c r="P295" i="20"/>
  <c r="P1196" i="20"/>
  <c r="P628" i="20"/>
  <c r="P215" i="20"/>
  <c r="P180" i="20"/>
  <c r="P561" i="20"/>
  <c r="P657" i="20"/>
  <c r="P75" i="20"/>
  <c r="P822" i="20"/>
  <c r="P532" i="20"/>
  <c r="P1347" i="20"/>
  <c r="P798" i="20"/>
  <c r="P714" i="20"/>
  <c r="P777" i="20"/>
  <c r="P1170" i="20"/>
  <c r="P432" i="20"/>
  <c r="P1259" i="20"/>
  <c r="P120" i="20"/>
  <c r="P933" i="20"/>
  <c r="P836" i="20"/>
  <c r="P1171" i="20"/>
  <c r="P1478" i="20"/>
  <c r="P1335" i="20"/>
  <c r="P1324" i="20"/>
  <c r="P1184" i="20"/>
  <c r="P101" i="20"/>
  <c r="P984" i="20"/>
  <c r="P217" i="20"/>
  <c r="P635" i="20"/>
  <c r="P200" i="20"/>
  <c r="P1291" i="20"/>
  <c r="P919" i="20"/>
  <c r="P701" i="20"/>
  <c r="P392" i="20"/>
  <c r="P1382" i="20"/>
  <c r="P503" i="20"/>
  <c r="P1274" i="20"/>
  <c r="P77" i="20"/>
  <c r="P975" i="20"/>
  <c r="P359" i="20"/>
  <c r="P1104" i="20"/>
  <c r="P629" i="20"/>
  <c r="P319" i="20"/>
  <c r="P27" i="20"/>
  <c r="P224" i="20"/>
  <c r="P994" i="20"/>
  <c r="P140" i="20"/>
  <c r="P1421" i="20"/>
  <c r="P852" i="20"/>
  <c r="P979" i="20"/>
  <c r="P230" i="20"/>
  <c r="P1103" i="20"/>
  <c r="P348" i="20"/>
  <c r="P636" i="20"/>
  <c r="P784" i="20"/>
  <c r="P266" i="20"/>
  <c r="P386" i="20"/>
  <c r="P1308" i="20"/>
  <c r="P1235" i="20"/>
  <c r="P642" i="20"/>
  <c r="P864" i="20"/>
  <c r="P1468" i="20"/>
  <c r="P1119" i="20"/>
  <c r="P1276" i="20"/>
  <c r="P1413" i="20"/>
  <c r="P965" i="20"/>
  <c r="P1505" i="20"/>
  <c r="P1261" i="20"/>
  <c r="P20" i="20"/>
  <c r="P1496" i="20"/>
  <c r="P786" i="20"/>
  <c r="P1423" i="20"/>
  <c r="P145" i="20"/>
  <c r="P366" i="20"/>
  <c r="P945" i="20"/>
  <c r="P1068" i="20"/>
  <c r="P341" i="20"/>
  <c r="P731" i="20"/>
  <c r="P196" i="20"/>
  <c r="P1403" i="20"/>
  <c r="P243" i="20"/>
  <c r="P251" i="20"/>
  <c r="P123" i="20"/>
  <c r="P906" i="20"/>
  <c r="P213" i="20"/>
  <c r="P1073" i="20"/>
  <c r="P1090" i="20"/>
  <c r="P1407" i="20"/>
  <c r="P950" i="20"/>
  <c r="P666" i="20"/>
  <c r="P1359" i="20"/>
  <c r="P85" i="20"/>
  <c r="P1289" i="20"/>
  <c r="P280" i="20"/>
  <c r="P1001" i="20"/>
  <c r="P41" i="20"/>
  <c r="P1020" i="20"/>
  <c r="P605" i="20"/>
  <c r="P931" i="20"/>
  <c r="P1107" i="20"/>
  <c r="P638" i="20"/>
  <c r="P30" i="20"/>
  <c r="P936" i="20"/>
  <c r="P1198" i="20"/>
  <c r="P88" i="20"/>
  <c r="P587" i="20"/>
  <c r="P1027" i="20"/>
  <c r="P231" i="20"/>
  <c r="P146" i="20"/>
  <c r="P779" i="20"/>
  <c r="P290" i="20"/>
  <c r="P1503" i="20"/>
  <c r="P1482" i="20"/>
  <c r="P1508" i="20"/>
  <c r="P812" i="20"/>
  <c r="P57" i="20"/>
  <c r="P283" i="20"/>
  <c r="P1172" i="20"/>
  <c r="P619" i="20"/>
  <c r="P958" i="20"/>
  <c r="P1378" i="20"/>
  <c r="P144" i="20"/>
  <c r="P398" i="20"/>
  <c r="P634" i="20"/>
  <c r="P1326" i="20"/>
  <c r="P199" i="20"/>
  <c r="P1392" i="20"/>
  <c r="P175" i="20"/>
  <c r="P853" i="20"/>
  <c r="P143" i="20"/>
  <c r="P724" i="20"/>
  <c r="P453" i="20"/>
  <c r="P1102" i="20"/>
  <c r="P50" i="20"/>
  <c r="P510" i="20"/>
  <c r="P1130" i="20"/>
  <c r="P806" i="20"/>
  <c r="P54" i="20"/>
  <c r="P247" i="20"/>
  <c r="P209" i="20"/>
  <c r="P307" i="20"/>
  <c r="P1035" i="20"/>
  <c r="P540" i="20"/>
  <c r="P385" i="20"/>
  <c r="P893" i="20"/>
  <c r="P434" i="20"/>
  <c r="P981" i="20"/>
  <c r="P788" i="20"/>
  <c r="P68" i="20"/>
  <c r="P17" i="20"/>
  <c r="P317" i="20"/>
  <c r="P899" i="20"/>
  <c r="P618" i="20"/>
  <c r="P846" i="20"/>
  <c r="P1414" i="20"/>
  <c r="P107" i="20"/>
  <c r="P1327" i="20"/>
  <c r="P1094" i="20"/>
  <c r="P711" i="20"/>
  <c r="P542" i="20"/>
  <c r="P1333" i="20"/>
  <c r="P820" i="20"/>
  <c r="P1431" i="20"/>
  <c r="P265" i="20"/>
  <c r="P827" i="20"/>
  <c r="P1439" i="20"/>
  <c r="P1408" i="20"/>
  <c r="P65" i="20"/>
  <c r="P1377" i="20"/>
  <c r="P1471" i="20"/>
  <c r="P1311" i="20"/>
  <c r="P38" i="20"/>
  <c r="P22" i="20"/>
  <c r="P1265" i="20"/>
  <c r="P458" i="20"/>
  <c r="P514" i="20"/>
  <c r="P1076" i="20"/>
  <c r="P951" i="20"/>
  <c r="P736" i="20"/>
  <c r="P752" i="20"/>
  <c r="P685" i="20"/>
  <c r="P988" i="20"/>
  <c r="P1145" i="20"/>
  <c r="P221" i="20"/>
  <c r="P1463" i="20"/>
  <c r="P114" i="20"/>
  <c r="P1495" i="20"/>
  <c r="P600" i="20"/>
  <c r="P69" i="20"/>
  <c r="P826" i="20"/>
  <c r="P789" i="20"/>
  <c r="P1208" i="20"/>
  <c r="P1217" i="20"/>
  <c r="P451" i="20"/>
  <c r="P463" i="20"/>
  <c r="P91" i="20"/>
  <c r="P429" i="20"/>
  <c r="P430" i="20"/>
  <c r="P536" i="20"/>
  <c r="P1019" i="20"/>
  <c r="P647" i="20"/>
  <c r="P342" i="20"/>
  <c r="P1440" i="20"/>
  <c r="P1269" i="20"/>
  <c r="P1351" i="20"/>
  <c r="P845" i="20"/>
  <c r="P704" i="20"/>
  <c r="P1148" i="20"/>
  <c r="P774" i="20"/>
  <c r="P1051" i="20"/>
  <c r="P71" i="20"/>
  <c r="P596" i="20"/>
  <c r="P437" i="20"/>
  <c r="P346" i="20"/>
  <c r="P793" i="20"/>
  <c r="P915" i="20"/>
  <c r="P1304" i="20"/>
  <c r="P997" i="20"/>
  <c r="P79" i="20"/>
  <c r="P1089" i="20"/>
  <c r="P1155" i="20"/>
  <c r="P354" i="20"/>
  <c r="P1064" i="20"/>
  <c r="P99" i="20"/>
  <c r="P1085" i="20"/>
  <c r="P113" i="20"/>
  <c r="P918" i="20"/>
  <c r="P1070" i="20"/>
  <c r="P108" i="20"/>
  <c r="P848" i="20"/>
  <c r="P378" i="20"/>
  <c r="P136" i="20"/>
  <c r="P420" i="20"/>
  <c r="P1201" i="20"/>
  <c r="P1297" i="20"/>
  <c r="P681" i="20"/>
  <c r="P1402" i="20"/>
  <c r="P529" i="20"/>
  <c r="P580" i="20"/>
  <c r="P632" i="20"/>
  <c r="P272" i="20"/>
  <c r="P1307" i="20"/>
  <c r="P343" i="20"/>
  <c r="P1128" i="20"/>
  <c r="P741" i="20"/>
  <c r="P51" i="20"/>
  <c r="P509" i="20"/>
  <c r="P47" i="20"/>
  <c r="P594" i="20"/>
  <c r="P219" i="20"/>
  <c r="P720" i="20"/>
  <c r="P550" i="20"/>
  <c r="P493" i="20"/>
  <c r="P761" i="20"/>
  <c r="P739" i="20"/>
  <c r="P1151" i="20"/>
  <c r="P955" i="20"/>
  <c r="P824" i="20"/>
  <c r="P1388" i="20"/>
  <c r="P641" i="20"/>
  <c r="P854" i="20"/>
  <c r="P361" i="20"/>
  <c r="P166" i="20"/>
  <c r="P1372" i="20"/>
  <c r="P263" i="20"/>
  <c r="P42" i="20"/>
  <c r="P36" i="20"/>
  <c r="P1200" i="20"/>
  <c r="P1348" i="20"/>
  <c r="P1095" i="20"/>
  <c r="P969" i="20"/>
  <c r="P1028" i="20"/>
  <c r="P1206" i="20"/>
  <c r="P96" i="20"/>
  <c r="P476" i="20"/>
  <c r="P1210" i="20"/>
  <c r="P255" i="20"/>
  <c r="P763" i="20"/>
  <c r="P977" i="20"/>
  <c r="P281" i="20"/>
  <c r="P216" i="20"/>
  <c r="P921" i="20"/>
  <c r="P1295" i="20"/>
  <c r="P137" i="20"/>
  <c r="P494" i="20"/>
  <c r="P1457" i="20"/>
  <c r="P488" i="20"/>
  <c r="P95" i="20"/>
  <c r="P1132" i="20"/>
  <c r="P1415" i="20"/>
  <c r="P534" i="20"/>
  <c r="P227" i="20"/>
  <c r="P185" i="20"/>
  <c r="P757" i="20"/>
  <c r="P422" i="20"/>
  <c r="P1389" i="20"/>
  <c r="P1293" i="20"/>
  <c r="P1268" i="20"/>
  <c r="P242" i="20"/>
  <c r="P151" i="20"/>
  <c r="P103" i="20"/>
  <c r="P111" i="20"/>
  <c r="P1390" i="20"/>
  <c r="P870" i="20"/>
  <c r="P815" i="20"/>
  <c r="P764" i="20"/>
  <c r="P1040" i="20"/>
  <c r="P303" i="20"/>
  <c r="P193" i="20"/>
  <c r="P212" i="20"/>
  <c r="P1071" i="20"/>
  <c r="P335" i="20"/>
  <c r="P1249" i="20"/>
  <c r="P375" i="20"/>
  <c r="P961" i="20"/>
  <c r="P491" i="20"/>
  <c r="P621" i="20"/>
  <c r="P530" i="20"/>
  <c r="P1181" i="20"/>
  <c r="P575" i="20"/>
  <c r="P442" i="20"/>
  <c r="P155" i="20"/>
  <c r="P1464" i="20"/>
  <c r="P383" i="20"/>
  <c r="P499" i="20"/>
  <c r="P1376" i="20"/>
  <c r="P1400" i="20"/>
  <c r="P991" i="20"/>
  <c r="P694" i="20"/>
  <c r="P1057" i="20"/>
  <c r="P539" i="20"/>
  <c r="P909" i="20"/>
  <c r="P1514" i="20"/>
  <c r="P1113" i="20"/>
  <c r="P1220" i="20"/>
  <c r="P723" i="20"/>
  <c r="P141" i="20"/>
  <c r="P26" i="20"/>
  <c r="P785" i="20"/>
  <c r="P467" i="20"/>
  <c r="P102" i="20"/>
  <c r="P1504" i="20"/>
  <c r="P929" i="20"/>
  <c r="P518" i="20"/>
  <c r="P298" i="20"/>
  <c r="P279" i="20"/>
  <c r="P192" i="20"/>
  <c r="P1352" i="20"/>
  <c r="P1125" i="20"/>
  <c r="P1419" i="20"/>
  <c r="P285" i="20"/>
  <c r="P168" i="20"/>
  <c r="P1234" i="20"/>
  <c r="P922" i="20"/>
  <c r="P515" i="20"/>
  <c r="P574" i="20"/>
  <c r="P1328" i="20"/>
  <c r="P1168" i="20"/>
  <c r="P1302" i="20"/>
  <c r="P1379" i="20"/>
  <c r="P705" i="20"/>
  <c r="P1165" i="20"/>
  <c r="P363" i="20"/>
  <c r="P871" i="20"/>
  <c r="P697" i="20"/>
  <c r="P726" i="20"/>
  <c r="P331" i="20"/>
  <c r="P1226" i="20"/>
  <c r="P1336" i="20"/>
  <c r="P277" i="20"/>
  <c r="P1422" i="20"/>
  <c r="P907" i="20"/>
  <c r="P1397" i="20"/>
  <c r="P253" i="20"/>
  <c r="P1012" i="20"/>
  <c r="P170" i="20"/>
  <c r="P1263" i="20"/>
  <c r="P663" i="20"/>
  <c r="P1021" i="20"/>
  <c r="P312" i="20"/>
  <c r="P1271" i="20"/>
  <c r="P555" i="20"/>
  <c r="P607" i="20"/>
  <c r="P881" i="20"/>
  <c r="P73" i="20"/>
  <c r="P1228" i="20"/>
  <c r="P537" i="20"/>
  <c r="P87" i="20"/>
  <c r="P646" i="20"/>
  <c r="P34" i="20"/>
  <c r="P408" i="20"/>
  <c r="P1337" i="20"/>
  <c r="P809" i="20"/>
  <c r="P1418" i="20"/>
  <c r="P556" i="20"/>
  <c r="P240" i="20"/>
  <c r="P1050" i="20"/>
  <c r="P505" i="20"/>
  <c r="P1405" i="20"/>
  <c r="P1296" i="20"/>
  <c r="P1264" i="20"/>
  <c r="P1061" i="20"/>
  <c r="P696" i="20"/>
  <c r="P564" i="20"/>
  <c r="P382" i="20"/>
  <c r="P1233" i="20"/>
  <c r="P781" i="20"/>
  <c r="P374" i="20"/>
  <c r="P189" i="20"/>
  <c r="P80" i="20"/>
  <c r="P388" i="20"/>
  <c r="P549" i="20"/>
  <c r="P699" i="20"/>
  <c r="P725" i="20"/>
  <c r="P399" i="20"/>
  <c r="G1397" i="20"/>
  <c r="G1441" i="20"/>
  <c r="G451" i="20"/>
  <c r="G988" i="20"/>
  <c r="G241" i="20"/>
  <c r="G790" i="20"/>
  <c r="G1342" i="20"/>
  <c r="G205" i="20"/>
  <c r="G918" i="20"/>
  <c r="G1368" i="20"/>
  <c r="G452" i="20"/>
  <c r="G286" i="20"/>
  <c r="G74" i="20"/>
  <c r="G551" i="20"/>
  <c r="G1238" i="20"/>
  <c r="G827" i="20"/>
  <c r="G1360" i="20"/>
  <c r="G1196" i="20"/>
  <c r="G564" i="20"/>
  <c r="G407" i="20"/>
  <c r="G1406" i="20"/>
  <c r="G371" i="20"/>
  <c r="G706" i="20"/>
  <c r="G869" i="20"/>
  <c r="G541" i="20"/>
  <c r="G548" i="20"/>
  <c r="G216" i="20"/>
  <c r="G607" i="20"/>
  <c r="G1016" i="20"/>
  <c r="G1496" i="20"/>
  <c r="G448" i="20"/>
  <c r="G612" i="20"/>
  <c r="G819" i="20"/>
  <c r="G1212" i="20"/>
  <c r="G1050" i="20"/>
  <c r="G1038" i="20"/>
  <c r="G814" i="20"/>
  <c r="G1503" i="20"/>
  <c r="G95" i="20"/>
  <c r="G380" i="20"/>
  <c r="G388" i="20"/>
  <c r="G224" i="20"/>
  <c r="G347" i="20"/>
  <c r="G1111" i="20"/>
  <c r="G177" i="20"/>
  <c r="G243" i="20"/>
  <c r="G471" i="20"/>
  <c r="G889" i="20"/>
  <c r="G306" i="20"/>
  <c r="G978" i="20"/>
  <c r="G997" i="20"/>
  <c r="G783" i="20"/>
  <c r="G268" i="20"/>
  <c r="G1074" i="20"/>
  <c r="G482" i="20"/>
  <c r="G361" i="20"/>
  <c r="G992" i="20"/>
  <c r="G72" i="20"/>
  <c r="G1340" i="20"/>
  <c r="G157" i="20"/>
  <c r="G1152" i="20"/>
  <c r="G624" i="20"/>
  <c r="G154" i="20"/>
  <c r="G917" i="20"/>
  <c r="G560" i="20"/>
  <c r="G392" i="20"/>
  <c r="G468" i="20"/>
  <c r="G506" i="20"/>
  <c r="G159" i="20"/>
  <c r="G143" i="20"/>
  <c r="G220" i="20"/>
  <c r="G867" i="20"/>
  <c r="G1261" i="20"/>
  <c r="G1132" i="20"/>
  <c r="G141" i="20"/>
  <c r="G79" i="20"/>
  <c r="G931" i="20"/>
  <c r="G549" i="20"/>
  <c r="G1233" i="20"/>
  <c r="G1128" i="20"/>
  <c r="G270" i="20"/>
  <c r="G544" i="20"/>
  <c r="G1236" i="20"/>
  <c r="G671" i="20"/>
  <c r="G1142" i="20"/>
  <c r="G504" i="20"/>
  <c r="G1147" i="20"/>
  <c r="G990" i="20"/>
  <c r="G1020" i="20"/>
  <c r="G599" i="20"/>
  <c r="G833" i="20"/>
  <c r="G632" i="20"/>
  <c r="G1164" i="20"/>
  <c r="G802" i="20"/>
  <c r="G223" i="20"/>
  <c r="G357" i="20"/>
  <c r="G546" i="20"/>
  <c r="G843" i="20"/>
  <c r="G1219" i="20"/>
  <c r="G490" i="20"/>
  <c r="G1505" i="20"/>
  <c r="G1246" i="20"/>
  <c r="G532" i="20"/>
  <c r="G322" i="20"/>
  <c r="G294" i="20"/>
  <c r="G745" i="20"/>
  <c r="G567" i="20"/>
  <c r="G804" i="20"/>
  <c r="G832" i="20"/>
  <c r="G1037" i="20"/>
  <c r="G730" i="20"/>
  <c r="G634" i="20"/>
  <c r="G119" i="20"/>
  <c r="G1436" i="20"/>
  <c r="G1263" i="20"/>
  <c r="G1086" i="20"/>
  <c r="G680" i="20"/>
  <c r="G151" i="20"/>
  <c r="G191" i="20"/>
  <c r="G130" i="20"/>
  <c r="G1488" i="20"/>
  <c r="G63" i="20"/>
  <c r="G453" i="20"/>
  <c r="G656" i="20"/>
  <c r="G450" i="20"/>
  <c r="G709" i="20"/>
  <c r="G1421" i="20"/>
  <c r="G405" i="20"/>
  <c r="G1389" i="20"/>
  <c r="G264" i="20"/>
  <c r="G1247" i="20"/>
  <c r="G24" i="20"/>
  <c r="G374" i="20"/>
  <c r="G679" i="20"/>
  <c r="G543" i="20"/>
  <c r="G384" i="20"/>
  <c r="G413" i="20"/>
  <c r="G1058" i="20"/>
  <c r="G779" i="20"/>
  <c r="G302" i="20"/>
  <c r="G438" i="20"/>
  <c r="G108" i="20"/>
  <c r="G59" i="20"/>
  <c r="G1398" i="20"/>
  <c r="G455" i="20"/>
  <c r="G586" i="20"/>
  <c r="G1382" i="20"/>
  <c r="G665" i="20"/>
  <c r="G630" i="20"/>
  <c r="G929" i="20"/>
  <c r="G194" i="20"/>
  <c r="G152" i="20"/>
  <c r="G1460" i="20"/>
  <c r="G971" i="20"/>
  <c r="G106" i="20"/>
  <c r="G255" i="20"/>
  <c r="G1471" i="20"/>
  <c r="G919" i="20"/>
  <c r="G746" i="20"/>
  <c r="G1420" i="20"/>
  <c r="G608" i="20"/>
  <c r="G21" i="20"/>
  <c r="G378" i="20"/>
  <c r="G134" i="20"/>
  <c r="G770" i="20"/>
  <c r="G362" i="20"/>
  <c r="G198" i="20"/>
  <c r="G528" i="20"/>
  <c r="G923" i="20"/>
  <c r="G711" i="20"/>
  <c r="G215" i="20"/>
  <c r="G1506" i="20"/>
  <c r="G602" i="20"/>
  <c r="G304" i="20"/>
  <c r="G1490" i="20"/>
  <c r="G1184" i="20"/>
  <c r="G720" i="20"/>
  <c r="G887" i="20"/>
  <c r="G424" i="20"/>
  <c r="G58" i="20"/>
  <c r="G100" i="20"/>
  <c r="G870" i="20"/>
  <c r="G1477" i="20"/>
  <c r="G25" i="20"/>
  <c r="G137" i="20"/>
  <c r="G1239" i="20"/>
  <c r="G397" i="20"/>
  <c r="G1175" i="20"/>
  <c r="G186" i="20"/>
  <c r="G1093" i="20"/>
  <c r="G681" i="20"/>
  <c r="G1320" i="20"/>
  <c r="G1240" i="20"/>
  <c r="G533" i="20"/>
  <c r="G142" i="20"/>
  <c r="G682" i="20"/>
  <c r="G759" i="20"/>
  <c r="G365" i="20"/>
  <c r="G245" i="20"/>
  <c r="G1168" i="20"/>
  <c r="G913" i="20"/>
  <c r="G1481" i="20"/>
  <c r="G1291" i="20"/>
  <c r="G1098" i="20"/>
  <c r="G1335" i="20"/>
  <c r="G1176" i="20"/>
  <c r="G396" i="20"/>
  <c r="G359" i="20"/>
  <c r="G1112" i="20"/>
  <c r="G1001" i="20"/>
  <c r="G1123" i="20"/>
  <c r="G535" i="20"/>
  <c r="G354" i="20"/>
  <c r="G1125" i="20"/>
  <c r="G123" i="20"/>
  <c r="G881" i="20"/>
  <c r="G1153" i="20"/>
  <c r="G871" i="20"/>
  <c r="G893" i="20"/>
  <c r="G1276" i="20"/>
  <c r="G1408" i="20"/>
  <c r="G501" i="20"/>
  <c r="G1120" i="20"/>
  <c r="G34" i="20"/>
  <c r="G811" i="20"/>
  <c r="G391" i="20"/>
  <c r="G853" i="20"/>
  <c r="G1434" i="20"/>
  <c r="G996" i="20"/>
  <c r="G1371" i="20"/>
  <c r="G400" i="20"/>
  <c r="G91" i="20"/>
  <c r="G1273" i="20"/>
  <c r="G344" i="20"/>
  <c r="G343" i="20"/>
  <c r="G515" i="20"/>
  <c r="G704" i="20"/>
  <c r="G1019" i="20"/>
  <c r="G651" i="20"/>
  <c r="G1364" i="20"/>
  <c r="G1193" i="20"/>
  <c r="G127" i="20"/>
  <c r="G1251" i="20"/>
  <c r="G102" i="20"/>
  <c r="G807" i="20"/>
  <c r="G960" i="20"/>
  <c r="G594" i="20"/>
  <c r="G485" i="20"/>
  <c r="G1205" i="20"/>
  <c r="G835" i="20"/>
  <c r="G1442" i="20"/>
  <c r="G750" i="20"/>
  <c r="G1033" i="20"/>
  <c r="G284" i="20"/>
  <c r="G713" i="20"/>
  <c r="G850" i="20"/>
  <c r="G801" i="20"/>
  <c r="G950" i="20"/>
  <c r="G1349" i="20"/>
  <c r="G457" i="20"/>
  <c r="G1095" i="20"/>
  <c r="G1035" i="20"/>
  <c r="G509" i="20"/>
  <c r="G719" i="20"/>
  <c r="G743" i="20"/>
  <c r="G1105" i="20"/>
  <c r="G984" i="20"/>
  <c r="G1351" i="20"/>
  <c r="G1507" i="20"/>
  <c r="G1264" i="20"/>
  <c r="G578" i="20"/>
  <c r="G885" i="20"/>
  <c r="G410" i="20"/>
  <c r="G859" i="20"/>
  <c r="G70" i="20"/>
  <c r="G429" i="20"/>
  <c r="G776" i="20"/>
  <c r="G494" i="20"/>
  <c r="G39" i="20"/>
  <c r="G149" i="20"/>
  <c r="G886" i="20"/>
  <c r="G253" i="20"/>
  <c r="G22" i="20"/>
  <c r="G66" i="20"/>
  <c r="G521" i="20"/>
  <c r="G1444" i="20"/>
  <c r="G667" i="20"/>
  <c r="G1483" i="20"/>
  <c r="G896" i="20"/>
  <c r="G234" i="20"/>
  <c r="G1009" i="20"/>
  <c r="G1476" i="20"/>
  <c r="G1242" i="20"/>
  <c r="G1431" i="20"/>
  <c r="G1415" i="20"/>
  <c r="G1501" i="20"/>
  <c r="G724" i="20"/>
  <c r="G985" i="20"/>
  <c r="G109" i="20"/>
  <c r="G1502" i="20"/>
  <c r="G1062" i="20"/>
  <c r="G181" i="20"/>
  <c r="G114" i="20"/>
  <c r="G432" i="20"/>
  <c r="G172" i="20"/>
  <c r="G1316" i="20"/>
  <c r="G760" i="20"/>
  <c r="G514" i="20"/>
  <c r="G862" i="20"/>
  <c r="G784" i="20"/>
  <c r="G1380" i="20"/>
  <c r="G148" i="20"/>
  <c r="G1235" i="20"/>
  <c r="G626" i="20"/>
  <c r="G273" i="20"/>
  <c r="G749" i="20"/>
  <c r="G93" i="20"/>
  <c r="G616" i="20"/>
  <c r="G1452" i="20"/>
  <c r="G1145" i="20"/>
  <c r="G484" i="20"/>
  <c r="G605" i="20"/>
  <c r="G1143" i="20"/>
  <c r="G999" i="20"/>
  <c r="G229" i="20"/>
  <c r="G1178" i="20"/>
  <c r="G86" i="20"/>
  <c r="G1301" i="20"/>
  <c r="G1265" i="20"/>
  <c r="G1140" i="20"/>
  <c r="G16" i="20"/>
  <c r="G620" i="20"/>
  <c r="G1267" i="20"/>
  <c r="G1017" i="20"/>
  <c r="G915" i="20"/>
  <c r="G701" i="20"/>
  <c r="G943" i="20"/>
  <c r="G336" i="20"/>
  <c r="G830" i="20"/>
  <c r="G334" i="20"/>
  <c r="G593" i="20"/>
  <c r="G1350" i="20"/>
  <c r="G1167" i="20"/>
  <c r="G1305" i="20"/>
  <c r="G314" i="20"/>
  <c r="G1077" i="20"/>
  <c r="G1064" i="20"/>
  <c r="G1260" i="20"/>
  <c r="G1188" i="20"/>
  <c r="G285" i="20"/>
  <c r="G1280" i="20"/>
  <c r="G238" i="20"/>
  <c r="G221" i="20"/>
  <c r="G297" i="20"/>
  <c r="G427" i="20"/>
  <c r="G101" i="20"/>
  <c r="G81" i="20"/>
  <c r="G1155" i="20"/>
  <c r="G387" i="20"/>
  <c r="G1054" i="20"/>
  <c r="G242" i="20"/>
  <c r="G766" i="20"/>
  <c r="G1375" i="20"/>
  <c r="G1026" i="20"/>
  <c r="G1393" i="20"/>
  <c r="G38" i="20"/>
  <c r="G974" i="20"/>
  <c r="G780" i="20"/>
  <c r="G761" i="20"/>
  <c r="G569" i="20"/>
  <c r="G614" i="20"/>
  <c r="G1366" i="20"/>
  <c r="G1190" i="20"/>
  <c r="G1396" i="20"/>
  <c r="G52" i="20"/>
  <c r="G256" i="20"/>
  <c r="G1180" i="20"/>
  <c r="G1454" i="20"/>
  <c r="G909" i="20"/>
  <c r="G1281" i="20"/>
  <c r="G936" i="20"/>
  <c r="G934" i="20"/>
  <c r="G1172" i="20"/>
  <c r="G1031" i="20"/>
  <c r="G292" i="20"/>
  <c r="G538" i="20"/>
  <c r="G547" i="20"/>
  <c r="G420" i="20"/>
  <c r="G128" i="20"/>
  <c r="G645" i="20"/>
  <c r="G1323" i="20"/>
  <c r="G1347" i="20"/>
  <c r="G938" i="20"/>
  <c r="G382" i="20"/>
  <c r="G1094" i="20"/>
  <c r="G1318" i="20"/>
  <c r="G1470" i="20"/>
  <c r="G162" i="20"/>
  <c r="G581" i="20"/>
  <c r="G718" i="20"/>
  <c r="G577" i="20"/>
  <c r="G78" i="20"/>
  <c r="G846" i="20"/>
  <c r="G246" i="20"/>
  <c r="G291" i="20"/>
  <c r="G1002" i="20"/>
  <c r="G1159" i="20"/>
  <c r="G308" i="20"/>
  <c r="G930" i="20"/>
  <c r="G872" i="20"/>
  <c r="G901" i="20"/>
  <c r="G1103" i="20"/>
  <c r="G542" i="20"/>
  <c r="G951" i="20"/>
  <c r="G47" i="20"/>
  <c r="G1478" i="20"/>
  <c r="G663" i="20"/>
  <c r="G307" i="20"/>
  <c r="G796" i="20"/>
  <c r="G155" i="20"/>
  <c r="G110" i="20"/>
  <c r="G655" i="20"/>
  <c r="G1409" i="20"/>
  <c r="G111" i="20"/>
  <c r="G1252" i="20"/>
  <c r="G299" i="20"/>
  <c r="G1440" i="20"/>
  <c r="G1055" i="20"/>
  <c r="G404" i="20"/>
  <c r="G1131" i="20"/>
  <c r="G1065" i="20"/>
  <c r="G946" i="20"/>
  <c r="G1357" i="20"/>
  <c r="G1489" i="20"/>
  <c r="G1083" i="20"/>
  <c r="G1296" i="20"/>
  <c r="G641" i="20"/>
  <c r="G1079" i="20"/>
  <c r="G163" i="20"/>
  <c r="G595" i="20"/>
  <c r="G442" i="20"/>
  <c r="G642" i="20"/>
  <c r="G120" i="20"/>
  <c r="G1425" i="20"/>
  <c r="G31" i="20"/>
  <c r="G747" i="20"/>
  <c r="G129" i="20"/>
  <c r="G688" i="20"/>
  <c r="G324" i="20"/>
  <c r="G18" i="20"/>
  <c r="G668" i="20"/>
  <c r="G1388" i="20"/>
  <c r="G375" i="20"/>
  <c r="G755" i="20"/>
  <c r="G545" i="20"/>
  <c r="G891" i="20"/>
  <c r="G1049" i="20"/>
  <c r="G1377" i="20"/>
  <c r="G1407" i="20"/>
  <c r="G1387" i="20"/>
  <c r="G486" i="20"/>
  <c r="G847" i="20"/>
  <c r="G529" i="20"/>
  <c r="G890" i="20"/>
  <c r="G696" i="20"/>
  <c r="G692" i="20"/>
  <c r="G211" i="20"/>
  <c r="G1028" i="20"/>
  <c r="G68" i="20"/>
  <c r="G1336" i="20"/>
  <c r="G443" i="20"/>
  <c r="G337" i="20"/>
  <c r="G1081" i="20"/>
  <c r="G483" i="20"/>
  <c r="G763" i="20"/>
  <c r="G41" i="20"/>
  <c r="G1087" i="20"/>
  <c r="G939" i="20"/>
  <c r="G1183" i="20"/>
  <c r="G1459" i="20"/>
  <c r="G328" i="20"/>
  <c r="G262" i="20"/>
  <c r="G1285" i="20"/>
  <c r="G176" i="20"/>
  <c r="G1234" i="20"/>
  <c r="G146" i="20"/>
  <c r="G1245" i="20"/>
  <c r="G192" i="20"/>
  <c r="G1438" i="20"/>
  <c r="G476" i="20"/>
  <c r="G301" i="20"/>
  <c r="G1312" i="20"/>
  <c r="G622" i="20"/>
  <c r="G470" i="20"/>
  <c r="G96" i="20"/>
  <c r="G1500" i="20"/>
  <c r="G1151" i="20"/>
  <c r="G1195" i="20"/>
  <c r="G637" i="20"/>
  <c r="G348" i="20"/>
  <c r="G900" i="20"/>
  <c r="G1024" i="20"/>
  <c r="G51" i="20"/>
  <c r="G717" i="20"/>
  <c r="G1126" i="20"/>
  <c r="G426" i="20"/>
  <c r="G875" i="20"/>
  <c r="G379" i="20"/>
  <c r="G369" i="20"/>
  <c r="G45" i="20"/>
  <c r="G775" i="20"/>
  <c r="G1457" i="20"/>
  <c r="G1139" i="20"/>
  <c r="G1237" i="20"/>
  <c r="G1326" i="20"/>
  <c r="G446" i="20"/>
  <c r="G20" i="20"/>
  <c r="G498" i="20"/>
  <c r="G1043" i="20"/>
  <c r="G61" i="20"/>
  <c r="G251" i="20"/>
  <c r="G649" i="20"/>
  <c r="G1334" i="20"/>
  <c r="G765" i="20"/>
  <c r="G1269" i="20"/>
  <c r="G1027" i="20"/>
  <c r="G1411" i="20"/>
  <c r="G1303" i="20"/>
  <c r="G1385" i="20"/>
  <c r="G33" i="20"/>
  <c r="G768" i="20"/>
  <c r="G305" i="20"/>
  <c r="G1508" i="20"/>
  <c r="G648" i="20"/>
  <c r="G600" i="20"/>
  <c r="G628" i="20"/>
  <c r="G23" i="20"/>
  <c r="G863" i="20"/>
  <c r="G49" i="20"/>
  <c r="G1117" i="20"/>
  <c r="G260" i="20"/>
  <c r="G739" i="20"/>
  <c r="G979" i="20"/>
  <c r="G1428" i="20"/>
  <c r="G1053" i="20"/>
  <c r="G425" i="20"/>
  <c r="G189" i="20"/>
  <c r="G1475" i="20"/>
  <c r="G1207" i="20"/>
  <c r="G606" i="20"/>
  <c r="G758" i="20"/>
  <c r="G838" i="20"/>
  <c r="G1156" i="20"/>
  <c r="G136" i="20"/>
  <c r="G1400" i="20"/>
  <c r="G785" i="20"/>
  <c r="G527" i="20"/>
  <c r="G1266" i="20"/>
  <c r="G187" i="20"/>
  <c r="G520" i="20"/>
  <c r="G1010" i="20"/>
  <c r="G980" i="20"/>
  <c r="G367" i="20"/>
  <c r="G131" i="20"/>
  <c r="G1100" i="20"/>
  <c r="G508" i="20"/>
  <c r="G1206" i="20"/>
  <c r="G1289" i="20"/>
  <c r="G492" i="20"/>
  <c r="G1189" i="20"/>
  <c r="G282" i="20"/>
  <c r="G1052" i="20"/>
  <c r="G906" i="20"/>
  <c r="G1258" i="20"/>
  <c r="G394" i="20"/>
  <c r="G329" i="20"/>
  <c r="G878" i="20"/>
  <c r="G609" i="20"/>
  <c r="G161" i="20"/>
  <c r="G67" i="20"/>
  <c r="G823" i="20"/>
  <c r="G638" i="20"/>
  <c r="G185" i="20"/>
  <c r="G772" i="20"/>
  <c r="G92" i="20"/>
  <c r="G333" i="20"/>
  <c r="G660" i="20"/>
  <c r="G1118" i="20"/>
  <c r="G239" i="20"/>
  <c r="G555" i="20"/>
  <c r="G1256" i="20"/>
  <c r="G615" i="20"/>
  <c r="G1468" i="20"/>
  <c r="G618" i="20"/>
  <c r="G214" i="20"/>
  <c r="G672" i="20"/>
  <c r="G1370" i="20"/>
  <c r="G836" i="20"/>
  <c r="G139" i="20"/>
  <c r="G834" i="20"/>
  <c r="G489" i="20"/>
  <c r="G323" i="20"/>
  <c r="G193" i="20"/>
  <c r="G398" i="20"/>
  <c r="G1099" i="20"/>
  <c r="G786" i="20"/>
  <c r="G858" i="20"/>
  <c r="G989" i="20"/>
  <c r="G1290" i="20"/>
  <c r="G707" i="20"/>
  <c r="G1432" i="20"/>
  <c r="G534" i="20"/>
  <c r="G585" i="20"/>
  <c r="G1021" i="20"/>
  <c r="G518" i="20"/>
  <c r="G386" i="20"/>
  <c r="G644" i="20"/>
  <c r="G1394" i="20"/>
  <c r="G1435" i="20"/>
  <c r="G125" i="20"/>
  <c r="G627" i="20"/>
  <c r="G1174" i="20"/>
  <c r="G1133" i="20"/>
  <c r="G77" i="20"/>
  <c r="G352" i="20"/>
  <c r="G1341" i="20"/>
  <c r="G349" i="20"/>
  <c r="G217" i="20"/>
  <c r="G795" i="20"/>
  <c r="G182" i="20"/>
  <c r="G737" i="20"/>
  <c r="G478" i="20"/>
  <c r="G1499" i="20"/>
  <c r="G280" i="20"/>
  <c r="G69" i="20"/>
  <c r="G1169" i="20"/>
  <c r="G1044" i="20"/>
  <c r="G590" i="20"/>
  <c r="G1018" i="20"/>
  <c r="G1218" i="20"/>
  <c r="G1084" i="20"/>
  <c r="G559" i="20"/>
  <c r="G840" i="20"/>
  <c r="G1327" i="20"/>
  <c r="G97" i="20"/>
  <c r="G895" i="20"/>
  <c r="G899" i="20"/>
  <c r="G254" i="20"/>
  <c r="G1194" i="20"/>
  <c r="G1243" i="20"/>
  <c r="G629" i="20"/>
  <c r="G623" i="20"/>
  <c r="G1014" i="20"/>
  <c r="G1005" i="20"/>
  <c r="G904" i="20"/>
  <c r="G132" i="20"/>
  <c r="G611" i="20"/>
  <c r="G1302" i="20"/>
  <c r="G105" i="20"/>
  <c r="G441" i="20"/>
  <c r="G658" i="20"/>
  <c r="G261" i="20"/>
  <c r="G1130" i="20"/>
  <c r="G617" i="20"/>
  <c r="G673" i="20"/>
  <c r="G1090" i="20"/>
  <c r="G295" i="20"/>
  <c r="G1374" i="20"/>
  <c r="G1082" i="20"/>
  <c r="G927" i="20"/>
  <c r="G1461" i="20"/>
  <c r="G1443" i="20"/>
  <c r="G1092" i="20"/>
  <c r="G1338" i="20"/>
  <c r="G1453" i="20"/>
  <c r="G1390" i="20"/>
  <c r="G94" i="20"/>
  <c r="G258" i="20"/>
  <c r="G1071" i="20"/>
  <c r="G32" i="20"/>
  <c r="G479" i="20"/>
  <c r="G431" i="20"/>
  <c r="G465" i="20"/>
  <c r="G725" i="20"/>
  <c r="G1308" i="20"/>
  <c r="G1304" i="20"/>
  <c r="G332" i="20"/>
  <c r="G570" i="20"/>
  <c r="G635" i="20"/>
  <c r="G1228" i="20"/>
  <c r="G174" i="20"/>
  <c r="G1313" i="20"/>
  <c r="G1345" i="20"/>
  <c r="G580" i="20"/>
  <c r="G1253" i="20"/>
  <c r="G598" i="20"/>
  <c r="G828" i="20"/>
  <c r="G62" i="20"/>
  <c r="G1414" i="20"/>
  <c r="G212" i="20"/>
  <c r="G1294" i="20"/>
  <c r="G209" i="20"/>
  <c r="G640" i="20"/>
  <c r="G227" i="20"/>
  <c r="G1416" i="20"/>
  <c r="G1203" i="20"/>
  <c r="G805" i="20"/>
  <c r="G841" i="20"/>
  <c r="G1359" i="20"/>
  <c r="G625" i="20"/>
  <c r="G1106" i="20"/>
  <c r="G1328" i="20"/>
  <c r="G138" i="20"/>
  <c r="G87" i="20"/>
  <c r="G437" i="20"/>
  <c r="G652" i="20"/>
  <c r="G921" i="20"/>
  <c r="G1129" i="20"/>
  <c r="G1295" i="20"/>
  <c r="G1447" i="20"/>
  <c r="G1048" i="20"/>
  <c r="G113" i="20"/>
  <c r="G303" i="20"/>
  <c r="G206" i="20"/>
  <c r="G1433" i="20"/>
  <c r="G1445" i="20"/>
  <c r="G1492" i="20"/>
  <c r="G987" i="20"/>
  <c r="G669" i="20"/>
  <c r="G76" i="20"/>
  <c r="G269" i="20"/>
  <c r="G824" i="20"/>
  <c r="G685" i="20"/>
  <c r="G469" i="20"/>
  <c r="G310" i="20"/>
  <c r="G845" i="20"/>
  <c r="G1474" i="20"/>
  <c r="G180" i="20"/>
  <c r="G1248" i="20"/>
  <c r="G1467" i="20"/>
  <c r="G732" i="20"/>
  <c r="G955" i="20"/>
  <c r="G385" i="20"/>
  <c r="G19" i="20"/>
  <c r="G670" i="20"/>
  <c r="G1439" i="20"/>
  <c r="G231" i="20"/>
  <c r="G970" i="20"/>
  <c r="G519" i="20"/>
  <c r="G75" i="20"/>
  <c r="G727" i="20"/>
  <c r="G674" i="20"/>
  <c r="G884" i="20"/>
  <c r="G289" i="20"/>
  <c r="G1458" i="20"/>
  <c r="G1259" i="20"/>
  <c r="G1504" i="20"/>
  <c r="G160" i="20"/>
  <c r="G1070" i="20"/>
  <c r="G1011" i="20"/>
  <c r="G562" i="20"/>
  <c r="G877" i="20"/>
  <c r="G1283" i="20"/>
  <c r="G401" i="20"/>
  <c r="G767" i="20"/>
  <c r="G1160" i="20"/>
  <c r="G571" i="20"/>
  <c r="G953" i="20"/>
  <c r="G744" i="20"/>
  <c r="G558" i="20"/>
  <c r="G962" i="20"/>
  <c r="G293" i="20"/>
  <c r="G1392" i="20"/>
  <c r="G358" i="20"/>
  <c r="G773" i="20"/>
  <c r="G957" i="20"/>
  <c r="G1057" i="20"/>
  <c r="G837" i="20"/>
  <c r="G800" i="20"/>
  <c r="G85" i="20"/>
  <c r="G1241" i="20"/>
  <c r="G71" i="20"/>
  <c r="G715" i="20"/>
  <c r="G597" i="20"/>
  <c r="G1361" i="20"/>
  <c r="G1451" i="20"/>
  <c r="G774" i="20"/>
  <c r="G797" i="20"/>
  <c r="G1322" i="20"/>
  <c r="G852" i="20"/>
  <c r="G411" i="20"/>
  <c r="G986" i="20"/>
  <c r="G849" i="20"/>
  <c r="G965" i="20"/>
  <c r="G738" i="20"/>
  <c r="G53" i="20"/>
  <c r="G1472" i="20"/>
  <c r="G1061" i="20"/>
  <c r="G721" i="20"/>
  <c r="G201" i="20"/>
  <c r="G1192" i="20"/>
  <c r="G1073" i="20"/>
  <c r="G582" i="20"/>
  <c r="G145" i="20"/>
  <c r="G1427" i="20"/>
  <c r="G1109" i="20"/>
  <c r="G848" i="20"/>
  <c r="G568" i="20"/>
  <c r="G1354" i="20"/>
  <c r="G898" i="20"/>
  <c r="G756" i="20"/>
  <c r="G64" i="20"/>
  <c r="G57" i="20"/>
  <c r="G1215" i="20"/>
  <c r="G777" i="20"/>
  <c r="G968" i="20"/>
  <c r="G1262" i="20"/>
  <c r="G1163" i="20"/>
  <c r="G315" i="20"/>
  <c r="G276" i="20"/>
  <c r="G1315" i="20"/>
  <c r="G1127" i="20"/>
  <c r="G342" i="20"/>
  <c r="G1464" i="20"/>
  <c r="G1418" i="20"/>
  <c r="G698" i="20"/>
  <c r="G517" i="20"/>
  <c r="G46" i="20"/>
  <c r="G566" i="20"/>
  <c r="G678" i="20"/>
  <c r="G281" i="20"/>
  <c r="G839" i="20"/>
  <c r="G505" i="20"/>
  <c r="G818" i="20"/>
  <c r="G42" i="20"/>
  <c r="G1426" i="20"/>
  <c r="G195" i="20"/>
  <c r="G879" i="20"/>
  <c r="G1379" i="20"/>
  <c r="G733" i="20"/>
  <c r="G1510" i="20"/>
  <c r="G279" i="20"/>
  <c r="G1378" i="20"/>
  <c r="G1352" i="20"/>
  <c r="G1491" i="20"/>
  <c r="G1462" i="20"/>
  <c r="G983" i="20"/>
  <c r="G50" i="20"/>
  <c r="G1424" i="20"/>
  <c r="G741" i="20"/>
  <c r="G272" i="20"/>
  <c r="G287" i="20"/>
  <c r="G742" i="20"/>
  <c r="G1204" i="20"/>
  <c r="G197" i="20"/>
  <c r="G15" i="20"/>
  <c r="G507" i="20"/>
  <c r="G423" i="20"/>
  <c r="G124" i="20"/>
  <c r="G1166" i="20"/>
  <c r="G1298" i="20"/>
  <c r="G158" i="20"/>
  <c r="G1209" i="20"/>
  <c r="G1227" i="20"/>
  <c r="G703" i="20"/>
  <c r="G1450" i="20"/>
  <c r="G1056" i="20"/>
  <c r="G1325" i="20"/>
  <c r="G686" i="20"/>
  <c r="G809" i="20"/>
  <c r="G788" i="20"/>
  <c r="G1197" i="20"/>
  <c r="G1138" i="20"/>
  <c r="G274" i="20"/>
  <c r="G1244" i="20"/>
  <c r="G412" i="20"/>
  <c r="G65" i="20"/>
  <c r="G1146" i="20"/>
  <c r="G200" i="20"/>
  <c r="G1191" i="20"/>
  <c r="G300" i="20"/>
  <c r="G1479" i="20"/>
  <c r="G1493" i="20"/>
  <c r="G458" i="20"/>
  <c r="G523" i="20"/>
  <c r="G694" i="20"/>
  <c r="G1199" i="20"/>
  <c r="G164" i="20"/>
  <c r="G1154" i="20"/>
  <c r="G991" i="20"/>
  <c r="G415" i="20"/>
  <c r="G116" i="20"/>
  <c r="G55" i="20"/>
  <c r="G583" i="20"/>
  <c r="G573" i="20"/>
  <c r="G473" i="20"/>
  <c r="G1249" i="20"/>
  <c r="G512" i="20"/>
  <c r="G179" i="20"/>
  <c r="G475" i="20"/>
  <c r="G601" i="20"/>
  <c r="G339" i="20"/>
  <c r="G1255" i="20"/>
  <c r="G1287" i="20"/>
  <c r="G806" i="20"/>
  <c r="G107" i="20"/>
  <c r="G497" i="20"/>
  <c r="G366" i="20"/>
  <c r="G740" i="20"/>
  <c r="G782" i="20"/>
  <c r="G639" i="20"/>
  <c r="G892" i="20"/>
  <c r="G467" i="20"/>
  <c r="G1088" i="20"/>
  <c r="G1202" i="20"/>
  <c r="G1495" i="20"/>
  <c r="G1102" i="20"/>
  <c r="G1355" i="20"/>
  <c r="G592" i="20"/>
  <c r="G1456" i="20"/>
  <c r="G888" i="20"/>
  <c r="G687" i="20"/>
  <c r="G1162" i="20"/>
  <c r="G778" i="20"/>
  <c r="G676" i="20"/>
  <c r="G1437" i="20"/>
  <c r="G203" i="20"/>
  <c r="G1059" i="20"/>
  <c r="G1254" i="20"/>
  <c r="G973" i="20"/>
  <c r="G232" i="20"/>
  <c r="G169" i="20"/>
  <c r="G914" i="20"/>
  <c r="G981" i="20"/>
  <c r="G662" i="20"/>
  <c r="G722" i="20"/>
  <c r="G259" i="20"/>
  <c r="G604" i="20"/>
  <c r="G373" i="20"/>
  <c r="G1201" i="20"/>
  <c r="G277" i="20"/>
  <c r="G1286" i="20"/>
  <c r="G236" i="20"/>
  <c r="G1311" i="20"/>
  <c r="G1497" i="20"/>
  <c r="G419" i="20"/>
  <c r="G860" i="20"/>
  <c r="G861" i="20"/>
  <c r="G1465" i="20"/>
  <c r="G266" i="20"/>
  <c r="G408" i="20"/>
  <c r="G516" i="20"/>
  <c r="G422" i="20"/>
  <c r="G1333" i="20"/>
  <c r="G247" i="20"/>
  <c r="G40" i="20"/>
  <c r="G54" i="20"/>
  <c r="G539" i="20"/>
  <c r="G536" i="20"/>
  <c r="G399" i="20"/>
  <c r="G463" i="20"/>
  <c r="G587" i="20"/>
  <c r="G170" i="20"/>
  <c r="G731" i="20"/>
  <c r="G434" i="20"/>
  <c r="G1250" i="20"/>
  <c r="G1297" i="20"/>
  <c r="G383" i="20"/>
  <c r="G118" i="20"/>
  <c r="G1231" i="20"/>
  <c r="G493" i="20"/>
  <c r="G225" i="20"/>
  <c r="G1358" i="20"/>
  <c r="G1373" i="20"/>
  <c r="G1399" i="20"/>
  <c r="G1369" i="20"/>
  <c r="G522" i="20"/>
  <c r="G1353" i="20"/>
  <c r="G905" i="20"/>
  <c r="G995" i="20"/>
  <c r="G56" i="20"/>
  <c r="G444" i="20"/>
  <c r="G1171" i="20"/>
  <c r="G958" i="20"/>
  <c r="G1161" i="20"/>
  <c r="G117" i="20"/>
  <c r="G377" i="20"/>
  <c r="G1284" i="20"/>
  <c r="G792" i="20"/>
  <c r="G556" i="20"/>
  <c r="G903" i="20"/>
  <c r="G524" i="20"/>
  <c r="G550" i="20"/>
  <c r="G390" i="20"/>
  <c r="G488" i="20"/>
  <c r="G278" i="20"/>
  <c r="G610" i="20"/>
  <c r="G531" i="20"/>
  <c r="G510" i="20"/>
  <c r="G249" i="20"/>
  <c r="G320" i="20"/>
  <c r="G288" i="20"/>
  <c r="G1306" i="20"/>
  <c r="G1332" i="20"/>
  <c r="G902" i="20"/>
  <c r="G816" i="20"/>
  <c r="G1072" i="20"/>
  <c r="G865" i="20"/>
  <c r="G252" i="20"/>
  <c r="G636" i="20"/>
  <c r="G920" i="20"/>
  <c r="G613" i="20"/>
  <c r="G1512" i="20"/>
  <c r="G1356" i="20"/>
  <c r="G1514" i="20"/>
  <c r="G1214" i="20"/>
  <c r="G769" i="20"/>
  <c r="G748" i="20"/>
  <c r="G1270" i="20"/>
  <c r="G1404" i="20"/>
  <c r="G1469" i="20"/>
  <c r="G462" i="20"/>
  <c r="G982" i="20"/>
  <c r="G1116" i="20"/>
  <c r="G675" i="20"/>
  <c r="G48" i="20"/>
  <c r="G1067" i="20"/>
  <c r="G499" i="20"/>
  <c r="G353" i="20"/>
  <c r="G89" i="20"/>
  <c r="G1275" i="20"/>
  <c r="G356" i="20"/>
  <c r="G207" i="20"/>
  <c r="G584" i="20"/>
  <c r="G1066" i="20"/>
  <c r="G689" i="20"/>
  <c r="G345" i="20"/>
  <c r="G318" i="20"/>
  <c r="G789" i="20"/>
  <c r="G700" i="20"/>
  <c r="G1224" i="20"/>
  <c r="G403" i="20"/>
  <c r="G28" i="20"/>
  <c r="G190" i="20"/>
  <c r="G576" i="20"/>
  <c r="G956" i="20"/>
  <c r="G633" i="20"/>
  <c r="G1482" i="20"/>
  <c r="G1299" i="20"/>
  <c r="G897" i="20"/>
  <c r="G1321" i="20"/>
  <c r="G1513" i="20"/>
  <c r="G1293" i="20"/>
  <c r="G368" i="20"/>
  <c r="G1173" i="20"/>
  <c r="G228" i="20"/>
  <c r="G346" i="20"/>
  <c r="G1419" i="20"/>
  <c r="G80" i="20"/>
  <c r="G389" i="20"/>
  <c r="G1288" i="20"/>
  <c r="G144" i="20"/>
  <c r="G1384" i="20"/>
  <c r="G480" i="20"/>
  <c r="G1365" i="20"/>
  <c r="G714" i="20"/>
  <c r="G963" i="20"/>
  <c r="G1317" i="20"/>
  <c r="G883" i="20"/>
  <c r="G414" i="20"/>
  <c r="G554" i="20"/>
  <c r="G882" i="20"/>
  <c r="G976" i="20"/>
  <c r="G1036" i="20"/>
  <c r="G716" i="20"/>
  <c r="G699" i="20"/>
  <c r="G1006" i="20"/>
  <c r="G1110" i="20"/>
  <c r="G464" i="20"/>
  <c r="G1220" i="20"/>
  <c r="G1232" i="20"/>
  <c r="G735" i="20"/>
  <c r="G710" i="20"/>
  <c r="G1381" i="20"/>
  <c r="G406" i="20"/>
  <c r="G932" i="20"/>
  <c r="G1412" i="20"/>
  <c r="G226" i="20"/>
  <c r="G894" i="20"/>
  <c r="G926" i="20"/>
  <c r="G418" i="20"/>
  <c r="G702" i="20"/>
  <c r="G290" i="20"/>
  <c r="G650" i="20"/>
  <c r="G945" i="20"/>
  <c r="G267" i="20"/>
  <c r="G940" i="20"/>
  <c r="G196" i="20"/>
  <c r="G854" i="20"/>
  <c r="G204" i="20"/>
  <c r="G771" i="20"/>
  <c r="G1069" i="20"/>
  <c r="G416" i="20"/>
  <c r="G975" i="20"/>
  <c r="G589" i="20"/>
  <c r="G115" i="20"/>
  <c r="G513" i="20"/>
  <c r="G705" i="20"/>
  <c r="G421" i="20"/>
  <c r="G1085" i="20"/>
  <c r="G591" i="20"/>
  <c r="G654" i="20"/>
  <c r="G447" i="20"/>
  <c r="G691" i="20"/>
  <c r="G311" i="20"/>
  <c r="G736" i="20"/>
  <c r="G575" i="20"/>
  <c r="G1362" i="20"/>
  <c r="G1480" i="20"/>
  <c r="G540" i="20"/>
  <c r="G1076" i="20"/>
  <c r="G338" i="20"/>
  <c r="G503" i="20"/>
  <c r="G964" i="20"/>
  <c r="G1429" i="20"/>
  <c r="G1230" i="20"/>
  <c r="G1148" i="20"/>
  <c r="G726" i="20"/>
  <c r="G428" i="20"/>
  <c r="G762" i="20"/>
  <c r="G826" i="20"/>
  <c r="G341" i="20"/>
  <c r="G213" i="20"/>
  <c r="G1187" i="20"/>
  <c r="G753" i="20"/>
  <c r="G866" i="20"/>
  <c r="G1401" i="20"/>
  <c r="G376" i="20"/>
  <c r="G911" i="20"/>
  <c r="G757" i="20"/>
  <c r="G810" i="20"/>
  <c r="G121" i="20"/>
  <c r="G313" i="20"/>
  <c r="G283" i="20"/>
  <c r="G972" i="20"/>
  <c r="G165" i="20"/>
  <c r="G935" i="20"/>
  <c r="G1211" i="20"/>
  <c r="G316" i="20"/>
  <c r="G781" i="20"/>
  <c r="G557" i="20"/>
  <c r="G459" i="20"/>
  <c r="G924" i="20"/>
  <c r="G1124" i="20"/>
  <c r="G734" i="20"/>
  <c r="G659" i="20"/>
  <c r="G43" i="20"/>
  <c r="G496" i="20"/>
  <c r="G1402" i="20"/>
  <c r="G1348" i="20"/>
  <c r="G1307" i="20"/>
  <c r="G942" i="20"/>
  <c r="G1487" i="20"/>
  <c r="G82" i="20"/>
  <c r="G1041" i="20"/>
  <c r="G73" i="20"/>
  <c r="G456" i="20"/>
  <c r="G1185" i="20"/>
  <c r="G1025" i="20"/>
  <c r="G723" i="20"/>
  <c r="G1405" i="20"/>
  <c r="G794" i="20"/>
  <c r="G1182" i="20"/>
  <c r="G842" i="20"/>
  <c r="G472" i="20"/>
  <c r="G321" i="20"/>
  <c r="G631" i="20"/>
  <c r="G1039" i="20"/>
  <c r="G1225" i="20"/>
  <c r="G309" i="20"/>
  <c r="G351" i="20"/>
  <c r="G959" i="20"/>
  <c r="G395" i="20"/>
  <c r="G1089" i="20"/>
  <c r="G690" i="20"/>
  <c r="G572" i="20"/>
  <c r="G1149" i="20"/>
  <c r="G219" i="20"/>
  <c r="G1186" i="20"/>
  <c r="G417" i="20"/>
  <c r="G619" i="20"/>
  <c r="G1008" i="20"/>
  <c r="G949" i="20"/>
  <c r="G230" i="20"/>
  <c r="G340" i="20"/>
  <c r="G928" i="20"/>
  <c r="G1023" i="20"/>
  <c r="G947" i="20"/>
  <c r="G208" i="20"/>
  <c r="G912" i="20"/>
  <c r="G1485" i="20"/>
  <c r="G565" i="20"/>
  <c r="G103" i="20"/>
  <c r="G880" i="20"/>
  <c r="G218" i="20"/>
  <c r="G491" i="20"/>
  <c r="G1386" i="20"/>
  <c r="G477" i="20"/>
  <c r="G1403" i="20"/>
  <c r="G822" i="20"/>
  <c r="G969" i="20"/>
  <c r="G1032" i="20"/>
  <c r="G60" i="20"/>
  <c r="G168" i="20"/>
  <c r="G1040" i="20"/>
  <c r="G537" i="20"/>
  <c r="G500" i="20"/>
  <c r="G1337" i="20"/>
  <c r="G856" i="20"/>
  <c r="G184" i="20"/>
  <c r="G1486" i="20"/>
  <c r="G954" i="20"/>
  <c r="G1222" i="20"/>
  <c r="G326" i="20"/>
  <c r="G916" i="20"/>
  <c r="G1413" i="20"/>
  <c r="G994" i="20"/>
  <c r="G764" i="20"/>
  <c r="G1272" i="20"/>
  <c r="G263" i="20"/>
  <c r="G435" i="20"/>
  <c r="G1108" i="20"/>
  <c r="G812" i="20"/>
  <c r="G1511" i="20"/>
  <c r="G1448" i="20"/>
  <c r="G1075" i="20"/>
  <c r="G1000" i="20"/>
  <c r="G1417" i="20"/>
  <c r="G1013" i="20"/>
  <c r="G235" i="20"/>
  <c r="G1466" i="20"/>
  <c r="G1136" i="20"/>
  <c r="G653" i="20"/>
  <c r="G868" i="20"/>
  <c r="G1104" i="20"/>
  <c r="G317" i="20"/>
  <c r="G993" i="20"/>
  <c r="G36" i="20"/>
  <c r="G1422" i="20"/>
  <c r="G104" i="20"/>
  <c r="G831" i="20"/>
  <c r="G135" i="20"/>
  <c r="G864" i="20"/>
  <c r="G1423" i="20"/>
  <c r="G460" i="20"/>
  <c r="G1484" i="20"/>
  <c r="G525" i="20"/>
  <c r="G99" i="20"/>
  <c r="G335" i="20"/>
  <c r="G372" i="20"/>
  <c r="G461" i="20"/>
  <c r="G1463" i="20"/>
  <c r="G83" i="20"/>
  <c r="G1134" i="20"/>
  <c r="G29" i="20"/>
  <c r="G27" i="20"/>
  <c r="G1324" i="20"/>
  <c r="G150" i="20"/>
  <c r="G1004" i="20"/>
  <c r="G1367" i="20"/>
  <c r="G941" i="20"/>
  <c r="G1279" i="20"/>
  <c r="G752" i="20"/>
  <c r="G677" i="20"/>
  <c r="G1051" i="20"/>
  <c r="G1217" i="20"/>
  <c r="G327" i="20"/>
  <c r="G271" i="20"/>
  <c r="G1177" i="20"/>
  <c r="G825" i="20"/>
  <c r="G402" i="20"/>
  <c r="G1198" i="20"/>
  <c r="G363" i="20"/>
  <c r="G112" i="20"/>
  <c r="G173" i="20"/>
  <c r="G436" i="20"/>
  <c r="G952" i="20"/>
  <c r="G90" i="20"/>
  <c r="G1060" i="20"/>
  <c r="G1271" i="20"/>
  <c r="G167" i="20"/>
  <c r="G907" i="20"/>
  <c r="G908" i="20"/>
  <c r="G1141" i="20"/>
  <c r="G754" i="20"/>
  <c r="G1257" i="20"/>
  <c r="G712" i="20"/>
  <c r="G511" i="20"/>
  <c r="G1309" i="20"/>
  <c r="G588" i="20"/>
  <c r="G1498" i="20"/>
  <c r="G433" i="20"/>
  <c r="G474" i="20"/>
  <c r="G1107" i="20"/>
  <c r="G1091" i="20"/>
  <c r="G1494" i="20"/>
  <c r="G961" i="20"/>
  <c r="G1096" i="20"/>
  <c r="G803" i="20"/>
  <c r="G1003" i="20"/>
  <c r="G440" i="20"/>
  <c r="G495" i="20"/>
  <c r="G851" i="20"/>
  <c r="G829" i="20"/>
  <c r="G1343" i="20"/>
  <c r="G325" i="20"/>
  <c r="G1170" i="20"/>
  <c r="G1135" i="20"/>
  <c r="G925" i="20"/>
  <c r="G26" i="20"/>
  <c r="G808" i="20"/>
  <c r="G126" i="20"/>
  <c r="G481" i="20"/>
  <c r="G966" i="20"/>
  <c r="G793" i="20"/>
  <c r="G1339" i="20"/>
  <c r="G296" i="20"/>
  <c r="G199" i="20"/>
  <c r="G147" i="20"/>
  <c r="G237" i="20"/>
  <c r="G791" i="20"/>
  <c r="G1346" i="20"/>
  <c r="G948" i="20"/>
  <c r="G156" i="20"/>
  <c r="G661" i="20"/>
  <c r="G175" i="20"/>
  <c r="G312" i="20"/>
  <c r="G1363" i="20"/>
  <c r="G439" i="20"/>
  <c r="G933" i="20"/>
  <c r="G820" i="20"/>
  <c r="G183" i="20"/>
  <c r="G1282" i="20"/>
  <c r="G133" i="20"/>
  <c r="G188" i="20"/>
  <c r="G944" i="20"/>
  <c r="G798" i="20"/>
  <c r="G1042" i="20"/>
  <c r="G1455" i="20"/>
  <c r="G751" i="20"/>
  <c r="G873" i="20"/>
  <c r="G1144" i="20"/>
  <c r="G552" i="20"/>
  <c r="G579" i="20"/>
  <c r="G799" i="20"/>
  <c r="G502" i="20"/>
  <c r="G684" i="20"/>
  <c r="G1277" i="20"/>
  <c r="G603" i="20"/>
  <c r="G449" i="20"/>
  <c r="G1314" i="20"/>
  <c r="G240" i="20"/>
  <c r="G350" i="20"/>
  <c r="G1223" i="20"/>
  <c r="G1300" i="20"/>
  <c r="G1449" i="20"/>
  <c r="G574" i="20"/>
  <c r="G393" i="20"/>
  <c r="G1137" i="20"/>
  <c r="G1121" i="20"/>
  <c r="G664" i="20"/>
  <c r="G1208" i="20"/>
  <c r="G1029" i="20"/>
  <c r="G319" i="20"/>
  <c r="G210" i="20"/>
  <c r="G1319" i="20"/>
  <c r="G166" i="20"/>
  <c r="G171" i="20"/>
  <c r="G265" i="20"/>
  <c r="G876" i="20"/>
  <c r="G1078" i="20"/>
  <c r="G1292" i="20"/>
  <c r="G275" i="20"/>
  <c r="G1122" i="20"/>
  <c r="G430" i="20"/>
  <c r="G1030" i="20"/>
  <c r="G1331" i="20"/>
  <c r="G1226" i="20"/>
  <c r="G553" i="20"/>
  <c r="G1278" i="20"/>
  <c r="G1097" i="20"/>
  <c r="G693" i="20"/>
  <c r="G355" i="20"/>
  <c r="G445" i="20"/>
  <c r="G1150" i="20"/>
  <c r="G817" i="20"/>
  <c r="G815" i="20"/>
  <c r="G1181" i="20"/>
  <c r="G1216" i="20"/>
  <c r="G874" i="20"/>
  <c r="G153" i="20"/>
  <c r="G1430" i="20"/>
  <c r="G298" i="20"/>
  <c r="G1213" i="20"/>
  <c r="G1268" i="20"/>
  <c r="G821" i="20"/>
  <c r="G596" i="20"/>
  <c r="G1115" i="20"/>
  <c r="G1330" i="20"/>
  <c r="G1045" i="20"/>
  <c r="G683" i="20"/>
  <c r="G1473" i="20"/>
  <c r="G1372" i="20"/>
  <c r="G88" i="20"/>
  <c r="G1274" i="20"/>
  <c r="G1229" i="20"/>
  <c r="G643" i="20"/>
  <c r="G1034" i="20"/>
  <c r="G84" i="20"/>
  <c r="G563" i="20"/>
  <c r="G1022" i="20"/>
  <c r="G44" i="20"/>
  <c r="G454" i="20"/>
  <c r="G922" i="20"/>
  <c r="G257" i="20"/>
  <c r="G1047" i="20"/>
  <c r="G331" i="20"/>
  <c r="G967" i="20"/>
  <c r="G1157" i="20"/>
  <c r="G244" i="20"/>
  <c r="G695" i="20"/>
  <c r="G561" i="20"/>
  <c r="G708" i="20"/>
  <c r="G30" i="20"/>
  <c r="G647" i="20"/>
  <c r="G844" i="20"/>
  <c r="G1007" i="20"/>
  <c r="G998" i="20"/>
  <c r="G1179" i="20"/>
  <c r="G364" i="20"/>
  <c r="G487" i="20"/>
  <c r="G1119" i="20"/>
  <c r="G1446" i="20"/>
  <c r="G666" i="20"/>
  <c r="G526" i="20"/>
  <c r="G202" i="20"/>
  <c r="G140" i="20"/>
  <c r="G98" i="20"/>
  <c r="G222" i="20"/>
  <c r="G1080" i="20"/>
  <c r="G1113" i="20"/>
  <c r="G122" i="20"/>
  <c r="G1200" i="20"/>
  <c r="G1391" i="20"/>
  <c r="G977" i="20"/>
  <c r="G787" i="20"/>
  <c r="G1063" i="20"/>
  <c r="G233" i="20"/>
  <c r="G330" i="20"/>
  <c r="G360" i="20"/>
  <c r="G1012" i="20"/>
  <c r="G409" i="20"/>
  <c r="G1509" i="20"/>
  <c r="G1114" i="20"/>
  <c r="G1165" i="20"/>
  <c r="G1015" i="20"/>
  <c r="G466" i="20"/>
  <c r="G1210" i="20"/>
  <c r="G370" i="20"/>
  <c r="G855" i="20"/>
  <c r="G1221" i="20"/>
  <c r="G729" i="20"/>
  <c r="G1046" i="20"/>
  <c r="G35" i="20"/>
  <c r="G1410" i="20"/>
  <c r="G17" i="20"/>
  <c r="G697" i="20"/>
  <c r="G728" i="20"/>
  <c r="G37" i="20"/>
  <c r="G857" i="20"/>
  <c r="G657" i="20"/>
  <c r="G621" i="20"/>
  <c r="G1068" i="20"/>
  <c r="G530" i="20"/>
  <c r="G1395" i="20"/>
  <c r="G646" i="20"/>
  <c r="G1101" i="20"/>
  <c r="G178" i="20"/>
  <c r="G248" i="20"/>
  <c r="G813" i="20"/>
  <c r="G1329" i="20"/>
  <c r="G1158" i="20"/>
  <c r="G1344" i="20"/>
  <c r="G937" i="20"/>
  <c r="G1310" i="20"/>
  <c r="G381" i="20"/>
  <c r="G1376" i="20"/>
  <c r="G250" i="20"/>
  <c r="G910" i="20"/>
  <c r="G1383" i="20"/>
  <c r="C84" i="20"/>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s="1"/>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C401" i="20" s="1"/>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C985" i="20" s="1"/>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C1189" i="20" s="1"/>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C1250" i="20" s="1"/>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C1352" i="20" s="1"/>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C1474" i="20" s="1"/>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C1511" i="20" s="1"/>
  <c r="C1512" i="20" s="1"/>
  <c r="C1513" i="20" s="1"/>
  <c r="C1514" i="20" s="1"/>
  <c r="I89" i="20"/>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s="1"/>
  <c r="I112" i="20" s="1"/>
  <c r="I113" i="20" s="1"/>
  <c r="I114" i="20" s="1"/>
  <c r="I115" i="20" s="1"/>
  <c r="I116" i="20" s="1"/>
  <c r="I117" i="20" s="1"/>
  <c r="I118" i="20" s="1"/>
  <c r="I119" i="20" s="1"/>
  <c r="I120" i="20" s="1"/>
  <c r="I121" i="20" s="1"/>
  <c r="I122" i="20" s="1"/>
  <c r="I123" i="20" s="1"/>
  <c r="I124" i="20" s="1"/>
  <c r="I125" i="20" s="1"/>
  <c r="I126" i="20" s="1"/>
  <c r="I127" i="20" s="1"/>
  <c r="I128" i="20" s="1"/>
  <c r="I129" i="20" s="1"/>
  <c r="I130" i="20" s="1"/>
  <c r="I131" i="20" s="1"/>
  <c r="I132" i="20" s="1"/>
  <c r="I133" i="20" s="1"/>
  <c r="I134" i="20" s="1"/>
  <c r="I135" i="20" s="1"/>
  <c r="I136" i="20" s="1"/>
  <c r="I137" i="20" s="1"/>
  <c r="I138" i="20" s="1"/>
  <c r="I139" i="20" s="1"/>
  <c r="I140" i="20" s="1"/>
  <c r="I141" i="20" s="1"/>
  <c r="I142" i="20" s="1"/>
  <c r="I143" i="20" s="1"/>
  <c r="I144" i="20" s="1"/>
  <c r="I145" i="20" s="1"/>
  <c r="I146" i="20" s="1"/>
  <c r="I147" i="20" s="1"/>
  <c r="I148" i="20" s="1"/>
  <c r="I149" i="20" s="1"/>
  <c r="I150" i="20" s="1"/>
  <c r="I151" i="20" s="1"/>
  <c r="I152" i="20" s="1"/>
  <c r="I153" i="20" s="1"/>
  <c r="I154" i="20" s="1"/>
  <c r="I155" i="20" s="1"/>
  <c r="I156" i="20" s="1"/>
  <c r="I157" i="20" s="1"/>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I178" i="20" s="1"/>
  <c r="I179" i="20" s="1"/>
  <c r="I180" i="20" s="1"/>
  <c r="I181" i="20" s="1"/>
  <c r="I182" i="20" s="1"/>
  <c r="I183" i="20" s="1"/>
  <c r="I184" i="20" s="1"/>
  <c r="I185" i="20" s="1"/>
  <c r="I186" i="20" s="1"/>
  <c r="I187" i="20" s="1"/>
  <c r="I188" i="20" s="1"/>
  <c r="I189" i="20" s="1"/>
  <c r="I190" i="20" s="1"/>
  <c r="I191" i="20" s="1"/>
  <c r="I192" i="20" s="1"/>
  <c r="I193" i="20" s="1"/>
  <c r="I194" i="20" s="1"/>
  <c r="I195" i="20" s="1"/>
  <c r="I196" i="20" s="1"/>
  <c r="I197" i="20" s="1"/>
  <c r="I198" i="20" s="1"/>
  <c r="I199" i="20" s="1"/>
  <c r="I200" i="20" s="1"/>
  <c r="I201" i="20" s="1"/>
  <c r="I202" i="20" s="1"/>
  <c r="I203" i="20" s="1"/>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I277" i="20" s="1"/>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I310" i="20" s="1"/>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I331" i="20" s="1"/>
  <c r="I332" i="20" s="1"/>
  <c r="I333" i="20" s="1"/>
  <c r="I334" i="20" s="1"/>
  <c r="I335" i="20" s="1"/>
  <c r="I336" i="20" s="1"/>
  <c r="I337" i="20" s="1"/>
  <c r="I338" i="20" s="1"/>
  <c r="I339" i="20" s="1"/>
  <c r="I340" i="20" s="1"/>
  <c r="I341" i="20" s="1"/>
  <c r="I342" i="20" s="1"/>
  <c r="I343" i="20" s="1"/>
  <c r="I344" i="20" s="1"/>
  <c r="I345" i="20" s="1"/>
  <c r="I346" i="20" s="1"/>
  <c r="I347" i="20" s="1"/>
  <c r="I348" i="20" s="1"/>
  <c r="I349" i="20" s="1"/>
  <c r="I350" i="20" s="1"/>
  <c r="I351" i="20" s="1"/>
  <c r="I352" i="20" s="1"/>
  <c r="I353" i="20" s="1"/>
  <c r="I354" i="20" s="1"/>
  <c r="I355" i="20" s="1"/>
  <c r="I356" i="20" s="1"/>
  <c r="I357" i="20" s="1"/>
  <c r="I358" i="20" s="1"/>
  <c r="I359" i="20" s="1"/>
  <c r="I360" i="20" s="1"/>
  <c r="I361" i="20" s="1"/>
  <c r="I362" i="20" s="1"/>
  <c r="I363" i="20" s="1"/>
  <c r="I364" i="20" s="1"/>
  <c r="I365" i="20" s="1"/>
  <c r="I366" i="20" s="1"/>
  <c r="I367" i="20" s="1"/>
  <c r="I368" i="20" s="1"/>
  <c r="I369" i="20" s="1"/>
  <c r="I370" i="20" s="1"/>
  <c r="I371" i="20" s="1"/>
  <c r="I372" i="20" s="1"/>
  <c r="I373" i="20" s="1"/>
  <c r="I374" i="20" s="1"/>
  <c r="I375" i="20" s="1"/>
  <c r="I376" i="20" s="1"/>
  <c r="I377" i="20" s="1"/>
  <c r="I378" i="20" s="1"/>
  <c r="I379" i="20" s="1"/>
  <c r="I380" i="20" s="1"/>
  <c r="I381" i="20" s="1"/>
  <c r="I382" i="20" s="1"/>
  <c r="I383" i="20" s="1"/>
  <c r="I384" i="20" s="1"/>
  <c r="I385" i="20" s="1"/>
  <c r="I386" i="20" s="1"/>
  <c r="I387" i="20" s="1"/>
  <c r="I388" i="20" s="1"/>
  <c r="I389" i="20" s="1"/>
  <c r="I390" i="20" s="1"/>
  <c r="I391" i="20" s="1"/>
  <c r="I392" i="20" s="1"/>
  <c r="I393" i="20" s="1"/>
  <c r="I394" i="20" s="1"/>
  <c r="I395" i="20" s="1"/>
  <c r="I396" i="20" s="1"/>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I417" i="20" s="1"/>
  <c r="I418" i="20" s="1"/>
  <c r="I419" i="20" s="1"/>
  <c r="I420" i="20" s="1"/>
  <c r="I421" i="20" s="1"/>
  <c r="I422" i="20" s="1"/>
  <c r="I423" i="20" s="1"/>
  <c r="I424" i="20" s="1"/>
  <c r="I425" i="20" s="1"/>
  <c r="I426" i="20" s="1"/>
  <c r="I427" i="20" s="1"/>
  <c r="I428" i="20" s="1"/>
  <c r="I429" i="20" s="1"/>
  <c r="I430" i="20" s="1"/>
  <c r="I431" i="20" s="1"/>
  <c r="I432" i="20" s="1"/>
  <c r="I433" i="20" s="1"/>
  <c r="I434" i="20" s="1"/>
  <c r="I435" i="20" s="1"/>
  <c r="I436" i="20" s="1"/>
  <c r="I437" i="20" s="1"/>
  <c r="I438" i="20" s="1"/>
  <c r="I439" i="20" s="1"/>
  <c r="I440" i="20" s="1"/>
  <c r="I441" i="20" s="1"/>
  <c r="I442" i="20" s="1"/>
  <c r="I443" i="20" s="1"/>
  <c r="I444" i="20" s="1"/>
  <c r="I445" i="20" s="1"/>
  <c r="I446" i="20" s="1"/>
  <c r="I447" i="20" s="1"/>
  <c r="I448" i="20" s="1"/>
  <c r="I449" i="20" s="1"/>
  <c r="I450" i="20" s="1"/>
  <c r="I451" i="20" s="1"/>
  <c r="I452" i="20" s="1"/>
  <c r="I453" i="20" s="1"/>
  <c r="I454" i="20" s="1"/>
  <c r="I455" i="20" s="1"/>
  <c r="I456" i="20" s="1"/>
  <c r="I457" i="20" s="1"/>
  <c r="I458" i="20" s="1"/>
  <c r="I459" i="20" s="1"/>
  <c r="I460" i="20" s="1"/>
  <c r="I461" i="20" s="1"/>
  <c r="I462" i="20" s="1"/>
  <c r="I463" i="20" s="1"/>
  <c r="I464" i="20" s="1"/>
  <c r="I465" i="20" s="1"/>
  <c r="I466" i="20" s="1"/>
  <c r="I467" i="20" s="1"/>
  <c r="I468" i="20" s="1"/>
  <c r="I469" i="20" s="1"/>
  <c r="I470" i="20" s="1"/>
  <c r="I471" i="20" s="1"/>
  <c r="I472" i="20" s="1"/>
  <c r="I473" i="20" s="1"/>
  <c r="I474" i="20" s="1"/>
  <c r="I475" i="20" s="1"/>
  <c r="I476" i="20" s="1"/>
  <c r="I477" i="20" s="1"/>
  <c r="I478" i="20" s="1"/>
  <c r="I479" i="20" s="1"/>
  <c r="I480" i="20" s="1"/>
  <c r="I481" i="20" s="1"/>
  <c r="I482" i="20" s="1"/>
  <c r="I483" i="20" s="1"/>
  <c r="I484" i="20" s="1"/>
  <c r="I485" i="20" s="1"/>
  <c r="I486" i="20" s="1"/>
  <c r="I487" i="20" s="1"/>
  <c r="I488" i="20" s="1"/>
  <c r="I489" i="20" s="1"/>
  <c r="I490" i="20" s="1"/>
  <c r="I491" i="20" s="1"/>
  <c r="I492" i="20" s="1"/>
  <c r="I493" i="20" s="1"/>
  <c r="I494" i="20" s="1"/>
  <c r="I495" i="20" s="1"/>
  <c r="I496" i="20" s="1"/>
  <c r="I497" i="20" s="1"/>
  <c r="I498" i="20" s="1"/>
  <c r="I499" i="20" s="1"/>
  <c r="I500" i="20" s="1"/>
  <c r="I501" i="20" s="1"/>
  <c r="I502" i="20" s="1"/>
  <c r="I503" i="20" s="1"/>
  <c r="I504" i="20" s="1"/>
  <c r="I505" i="20" s="1"/>
  <c r="I506" i="20" s="1"/>
  <c r="I507" i="20" s="1"/>
  <c r="I508" i="20" s="1"/>
  <c r="I509" i="20" s="1"/>
  <c r="I510" i="20" s="1"/>
  <c r="I511" i="20" s="1"/>
  <c r="I512" i="20" s="1"/>
  <c r="I513" i="20" s="1"/>
  <c r="I514" i="20" s="1"/>
  <c r="I515" i="20" s="1"/>
  <c r="I516" i="20" s="1"/>
  <c r="I517" i="20" s="1"/>
  <c r="I518" i="20" s="1"/>
  <c r="I519" i="20" s="1"/>
  <c r="I520" i="20" s="1"/>
  <c r="I521" i="20" s="1"/>
  <c r="I522" i="20" s="1"/>
  <c r="I523" i="20" s="1"/>
  <c r="I524" i="20" s="1"/>
  <c r="I525" i="20" s="1"/>
  <c r="I526" i="20" s="1"/>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s="1"/>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I580" i="20" s="1"/>
  <c r="I581" i="20" s="1"/>
  <c r="I582" i="20" s="1"/>
  <c r="I583" i="20" s="1"/>
  <c r="I584" i="20" s="1"/>
  <c r="I585" i="20" s="1"/>
  <c r="I586" i="20" s="1"/>
  <c r="I587" i="20" s="1"/>
  <c r="I588" i="20" s="1"/>
  <c r="I589" i="20" s="1"/>
  <c r="I590" i="20" s="1"/>
  <c r="I591" i="20" s="1"/>
  <c r="I592" i="20" s="1"/>
  <c r="I593" i="20" s="1"/>
  <c r="I594" i="20" s="1"/>
  <c r="I595" i="20" s="1"/>
  <c r="I596" i="20" s="1"/>
  <c r="I597" i="20" s="1"/>
  <c r="I598" i="20" s="1"/>
  <c r="I599" i="20" s="1"/>
  <c r="I600" i="20" s="1"/>
  <c r="I601" i="20" s="1"/>
  <c r="I602" i="20" s="1"/>
  <c r="I603" i="20" s="1"/>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I624" i="20" s="1"/>
  <c r="I625" i="20" s="1"/>
  <c r="I626" i="20" s="1"/>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I662" i="20" s="1"/>
  <c r="I663" i="20" s="1"/>
  <c r="I664" i="20" s="1"/>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I693" i="20" s="1"/>
  <c r="I694" i="20" s="1"/>
  <c r="I695" i="20" s="1"/>
  <c r="I696" i="20" s="1"/>
  <c r="I697" i="20" s="1"/>
  <c r="I698" i="20" s="1"/>
  <c r="I699" i="20" s="1"/>
  <c r="I700" i="20" s="1"/>
  <c r="I701" i="20" s="1"/>
  <c r="I702" i="20" s="1"/>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s="1"/>
  <c r="I739" i="20" s="1"/>
  <c r="I740" i="20" s="1"/>
  <c r="I741" i="20" s="1"/>
  <c r="I742" i="20" s="1"/>
  <c r="I743" i="20" s="1"/>
  <c r="I744" i="20" s="1"/>
  <c r="I745" i="20" s="1"/>
  <c r="I746" i="20" s="1"/>
  <c r="I747" i="20" s="1"/>
  <c r="I748" i="20" s="1"/>
  <c r="I749" i="20" s="1"/>
  <c r="I750" i="20" s="1"/>
  <c r="I751" i="20" s="1"/>
  <c r="I752" i="20" s="1"/>
  <c r="I753" i="20" s="1"/>
  <c r="I754" i="20" s="1"/>
  <c r="I755" i="20" s="1"/>
  <c r="I756" i="20" s="1"/>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s="1"/>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I912" i="20" s="1"/>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I963" i="20" s="1"/>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I996" i="20" s="1"/>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I1020" i="20" s="1"/>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s="1"/>
  <c r="I1047" i="20" s="1"/>
  <c r="I1048" i="20" s="1"/>
  <c r="I1049" i="20" s="1"/>
  <c r="I1050" i="20" s="1"/>
  <c r="I1051" i="20" s="1"/>
  <c r="I1052" i="20" s="1"/>
  <c r="I1053" i="20" s="1"/>
  <c r="I1054" i="20" s="1"/>
  <c r="I1055" i="20" s="1"/>
  <c r="I1056" i="20" s="1"/>
  <c r="I1057" i="20" s="1"/>
  <c r="I1058" i="20" s="1"/>
  <c r="I1059" i="20" s="1"/>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I1109" i="20" s="1"/>
  <c r="I1110" i="20" s="1"/>
  <c r="I1111" i="20" s="1"/>
  <c r="I1112" i="20" s="1"/>
  <c r="I1113" i="20" s="1"/>
  <c r="I1114" i="20" s="1"/>
  <c r="I1115" i="20" s="1"/>
  <c r="I1116" i="20" s="1"/>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I1153" i="20" s="1"/>
  <c r="I1154" i="20" s="1"/>
  <c r="I1155" i="20" s="1"/>
  <c r="I1156" i="20" s="1"/>
  <c r="I1157" i="20" s="1"/>
  <c r="I1158" i="20" s="1"/>
  <c r="I1159" i="20" s="1"/>
  <c r="I1160" i="20" s="1"/>
  <c r="I1161" i="20" s="1"/>
  <c r="I1162" i="20" s="1"/>
  <c r="I1163" i="20" s="1"/>
  <c r="I1164" i="20" s="1"/>
  <c r="I1165" i="20" s="1"/>
  <c r="I1166" i="20" s="1"/>
  <c r="I1167" i="20" s="1"/>
  <c r="I1168" i="20" s="1"/>
  <c r="I1169" i="20" s="1"/>
  <c r="I1170" i="20" s="1"/>
  <c r="I1171" i="20" s="1"/>
  <c r="I1172" i="20" s="1"/>
  <c r="I1173" i="20" s="1"/>
  <c r="I1174" i="20" s="1"/>
  <c r="I1175" i="20" s="1"/>
  <c r="I1176" i="20" s="1"/>
  <c r="I1177" i="20" s="1"/>
  <c r="I1178" i="20" s="1"/>
  <c r="I1179" i="20" s="1"/>
  <c r="I1180" i="20" s="1"/>
  <c r="I1181" i="20" s="1"/>
  <c r="I1182" i="20" s="1"/>
  <c r="I1183" i="20" s="1"/>
  <c r="I1184" i="20" s="1"/>
  <c r="I1185" i="20" s="1"/>
  <c r="I1186" i="20" s="1"/>
  <c r="I1187" i="20" s="1"/>
  <c r="I1188" i="20" s="1"/>
  <c r="I1189" i="20" s="1"/>
  <c r="I1190" i="20" s="1"/>
  <c r="I1191" i="20" s="1"/>
  <c r="I1192" i="20" s="1"/>
  <c r="I1193" i="20" s="1"/>
  <c r="I1194" i="20" s="1"/>
  <c r="I1195" i="20" s="1"/>
  <c r="I1196" i="20" s="1"/>
  <c r="I1197" i="20" s="1"/>
  <c r="I1198" i="20" s="1"/>
  <c r="I1199" i="20" s="1"/>
  <c r="I1200" i="20" s="1"/>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s="1"/>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I1245" i="20" s="1"/>
  <c r="I1246" i="20" s="1"/>
  <c r="I1247" i="20" s="1"/>
  <c r="I1248" i="20" s="1"/>
  <c r="I1249" i="20" s="1"/>
  <c r="I1250" i="20" s="1"/>
  <c r="I1251" i="20" s="1"/>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s="1"/>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I1308" i="20" s="1"/>
  <c r="I1309" i="20" s="1"/>
  <c r="I1310" i="20" s="1"/>
  <c r="I1311" i="20" s="1"/>
  <c r="I1312" i="20" s="1"/>
  <c r="I1313" i="20" s="1"/>
  <c r="I1314" i="20" s="1"/>
  <c r="I1315" i="20" s="1"/>
  <c r="I1316" i="20" s="1"/>
  <c r="I1317" i="20" s="1"/>
  <c r="I1318" i="20" s="1"/>
  <c r="I1319" i="20" s="1"/>
  <c r="I1320" i="20" s="1"/>
  <c r="I1321" i="20" s="1"/>
  <c r="I1322" i="20" s="1"/>
  <c r="I1323" i="20" s="1"/>
  <c r="I1324" i="20" s="1"/>
  <c r="I1325" i="20" s="1"/>
  <c r="I1326" i="20" s="1"/>
  <c r="I1327" i="20" s="1"/>
  <c r="I1328" i="20" s="1"/>
  <c r="I1329" i="20" s="1"/>
  <c r="I1330" i="20" s="1"/>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I1397" i="20" s="1"/>
  <c r="I1398" i="20" s="1"/>
  <c r="I1399" i="20" s="1"/>
  <c r="I1400" i="20" s="1"/>
  <c r="I1401" i="20" s="1"/>
  <c r="I1402" i="20" s="1"/>
  <c r="I1403" i="20" s="1"/>
  <c r="I1404" i="20" s="1"/>
  <c r="I1405" i="20" s="1"/>
  <c r="I1406" i="20" s="1"/>
  <c r="I1407" i="20" s="1"/>
  <c r="I1408" i="20" s="1"/>
  <c r="I1409" i="20" s="1"/>
  <c r="I1410" i="20" s="1"/>
  <c r="I1411" i="20" s="1"/>
  <c r="I1412" i="20" s="1"/>
  <c r="I1413" i="20" s="1"/>
  <c r="I1414" i="20" s="1"/>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I1436" i="20" s="1"/>
  <c r="I1437" i="20" s="1"/>
  <c r="I1438" i="20" s="1"/>
  <c r="I1439" i="20" s="1"/>
  <c r="I1440" i="20" s="1"/>
  <c r="I1441" i="20" s="1"/>
  <c r="I1442" i="20" s="1"/>
  <c r="I1443" i="20" s="1"/>
  <c r="I1444" i="20" s="1"/>
  <c r="I1445" i="20" s="1"/>
  <c r="I1446" i="20" s="1"/>
  <c r="I1447" i="20" s="1"/>
  <c r="I1448" i="20" s="1"/>
  <c r="I1449" i="20" s="1"/>
  <c r="I1450" i="20" s="1"/>
  <c r="I1451" i="20" s="1"/>
  <c r="I1452" i="20" s="1"/>
  <c r="I1453" i="20" s="1"/>
  <c r="I1454" i="20" s="1"/>
  <c r="I1455" i="20" s="1"/>
  <c r="I1456" i="20" s="1"/>
  <c r="I1457" i="20" s="1"/>
  <c r="I1458" i="20" s="1"/>
  <c r="I1459" i="20" s="1"/>
  <c r="I1460" i="20" s="1"/>
  <c r="I1461" i="20" s="1"/>
  <c r="I1462" i="20" s="1"/>
  <c r="I1463" i="20" s="1"/>
  <c r="I1464" i="20" s="1"/>
  <c r="I1465" i="20" s="1"/>
  <c r="I1466" i="20" s="1"/>
  <c r="I1467" i="20" s="1"/>
  <c r="I1468" i="20" s="1"/>
  <c r="I1469" i="20" s="1"/>
  <c r="I1470" i="20" s="1"/>
  <c r="I1471" i="20" s="1"/>
  <c r="I1472" i="20" s="1"/>
  <c r="I1473" i="20" s="1"/>
  <c r="I1474" i="20" s="1"/>
  <c r="I1475" i="20" s="1"/>
  <c r="I1476" i="20" s="1"/>
  <c r="I1477" i="20" s="1"/>
  <c r="I1478" i="20" s="1"/>
  <c r="I1479" i="20" s="1"/>
  <c r="I1480" i="20" s="1"/>
  <c r="I1481" i="20" s="1"/>
  <c r="I1482" i="20" s="1"/>
  <c r="I1483" i="20" s="1"/>
  <c r="I1484" i="20" s="1"/>
  <c r="I1485" i="20" s="1"/>
  <c r="I1486" i="20" s="1"/>
  <c r="I1487" i="20" s="1"/>
  <c r="I1488" i="20" s="1"/>
  <c r="I1489" i="20" s="1"/>
  <c r="I1490" i="20" s="1"/>
  <c r="I1491" i="20" s="1"/>
  <c r="I1492" i="20" s="1"/>
  <c r="I1493" i="20" s="1"/>
  <c r="I1494" i="20" s="1"/>
  <c r="I1495" i="20" s="1"/>
  <c r="I1496" i="20" s="1"/>
  <c r="I1497" i="20" s="1"/>
  <c r="I1498" i="20" s="1"/>
  <c r="I1499" i="20" s="1"/>
  <c r="I1500" i="20" s="1"/>
  <c r="I1501" i="20" s="1"/>
  <c r="I1502" i="20" s="1"/>
  <c r="I1503" i="20" s="1"/>
  <c r="I1504" i="20" s="1"/>
  <c r="I1505" i="20" s="1"/>
  <c r="I1506" i="20" s="1"/>
  <c r="I1507" i="20" s="1"/>
  <c r="I1508" i="20" s="1"/>
  <c r="I1509" i="20" s="1"/>
  <c r="I1510" i="20" s="1"/>
  <c r="I1511" i="20" s="1"/>
  <c r="I1512" i="20" s="1"/>
  <c r="I1513" i="20" s="1"/>
  <c r="I1514" i="20" s="1"/>
  <c r="L88" i="20"/>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s="1"/>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s="1"/>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L428" i="20" s="1"/>
  <c r="L429" i="20" s="1"/>
  <c r="L430" i="20" s="1"/>
  <c r="L431" i="20" s="1"/>
  <c r="L432" i="20" s="1"/>
  <c r="L433" i="20" s="1"/>
  <c r="L434" i="20" s="1"/>
  <c r="L435" i="20" s="1"/>
  <c r="L436" i="20" s="1"/>
  <c r="L437" i="20" s="1"/>
  <c r="L438" i="20" s="1"/>
  <c r="L439" i="20" s="1"/>
  <c r="L440" i="20" s="1"/>
  <c r="L441" i="20" s="1"/>
  <c r="L442" i="20" s="1"/>
  <c r="L443" i="20" s="1"/>
  <c r="L444" i="20" s="1"/>
  <c r="L445" i="20" s="1"/>
  <c r="L446" i="20" s="1"/>
  <c r="L447" i="20" s="1"/>
  <c r="L448" i="20" s="1"/>
  <c r="L449" i="20" s="1"/>
  <c r="L450" i="20" s="1"/>
  <c r="L451" i="20" s="1"/>
  <c r="L452" i="20" s="1"/>
  <c r="L453" i="20" s="1"/>
  <c r="L454" i="20" s="1"/>
  <c r="L455" i="20" s="1"/>
  <c r="L456" i="20" s="1"/>
  <c r="L457" i="20" s="1"/>
  <c r="L458" i="20" s="1"/>
  <c r="L459" i="20" s="1"/>
  <c r="L460" i="20" s="1"/>
  <c r="L461" i="20" s="1"/>
  <c r="L462" i="20" s="1"/>
  <c r="L463" i="20" s="1"/>
  <c r="L464" i="20" s="1"/>
  <c r="L465" i="20" s="1"/>
  <c r="L466" i="20" s="1"/>
  <c r="L467" i="20" s="1"/>
  <c r="L468" i="20" s="1"/>
  <c r="L469" i="20" s="1"/>
  <c r="L470" i="20" s="1"/>
  <c r="L471" i="20" s="1"/>
  <c r="L472" i="20" s="1"/>
  <c r="L473" i="20" s="1"/>
  <c r="L474" i="20" s="1"/>
  <c r="L475" i="20" s="1"/>
  <c r="L476" i="20" s="1"/>
  <c r="L477" i="20" s="1"/>
  <c r="L478" i="20" s="1"/>
  <c r="L479" i="20" s="1"/>
  <c r="L480" i="20" s="1"/>
  <c r="L481" i="20" s="1"/>
  <c r="L482" i="20" s="1"/>
  <c r="L483" i="20" s="1"/>
  <c r="L484" i="20" s="1"/>
  <c r="L485" i="20" s="1"/>
  <c r="L486" i="20" s="1"/>
  <c r="L487" i="20" s="1"/>
  <c r="L488" i="20" s="1"/>
  <c r="L489" i="20" s="1"/>
  <c r="L490" i="20" s="1"/>
  <c r="L491" i="20" s="1"/>
  <c r="L492" i="20" s="1"/>
  <c r="L493" i="20" s="1"/>
  <c r="L494" i="20" s="1"/>
  <c r="L495" i="20" s="1"/>
  <c r="L496" i="20" s="1"/>
  <c r="L497" i="20" s="1"/>
  <c r="L498" i="20" s="1"/>
  <c r="L499" i="20" s="1"/>
  <c r="L500" i="20" s="1"/>
  <c r="L501" i="20" s="1"/>
  <c r="L502" i="20" s="1"/>
  <c r="L503" i="20" s="1"/>
  <c r="L504" i="20" s="1"/>
  <c r="L505" i="20" s="1"/>
  <c r="L506" i="20" s="1"/>
  <c r="L507" i="20" s="1"/>
  <c r="L508" i="20" s="1"/>
  <c r="L509" i="20" s="1"/>
  <c r="L510" i="20" s="1"/>
  <c r="L511" i="20" s="1"/>
  <c r="L512" i="20" s="1"/>
  <c r="L513" i="20" s="1"/>
  <c r="L514" i="20" s="1"/>
  <c r="L515" i="20" s="1"/>
  <c r="L516" i="20" s="1"/>
  <c r="L517" i="20" s="1"/>
  <c r="L518" i="20" s="1"/>
  <c r="L519" i="20" s="1"/>
  <c r="L520" i="20" s="1"/>
  <c r="L521" i="20" s="1"/>
  <c r="L522" i="20" s="1"/>
  <c r="L523" i="20" s="1"/>
  <c r="L524" i="20" s="1"/>
  <c r="L525" i="20" s="1"/>
  <c r="L526" i="20" s="1"/>
  <c r="L527" i="20" s="1"/>
  <c r="L528" i="20" s="1"/>
  <c r="L529" i="20" s="1"/>
  <c r="L530" i="20" s="1"/>
  <c r="L531" i="20" s="1"/>
  <c r="L532" i="20" s="1"/>
  <c r="L533" i="20" s="1"/>
  <c r="L534" i="20" s="1"/>
  <c r="L535" i="20" s="1"/>
  <c r="L536" i="20" s="1"/>
  <c r="L537" i="20" s="1"/>
  <c r="L538" i="20" s="1"/>
  <c r="L539" i="20" s="1"/>
  <c r="L540" i="20" s="1"/>
  <c r="L541" i="20" s="1"/>
  <c r="L542" i="20" s="1"/>
  <c r="L543" i="20" s="1"/>
  <c r="L544" i="20" s="1"/>
  <c r="L545" i="20" s="1"/>
  <c r="L546" i="20" s="1"/>
  <c r="L547" i="20" s="1"/>
  <c r="L548" i="20" s="1"/>
  <c r="L549" i="20" s="1"/>
  <c r="L550" i="20" s="1"/>
  <c r="L551" i="20" s="1"/>
  <c r="L552" i="20" s="1"/>
  <c r="L553" i="20" s="1"/>
  <c r="L554" i="20" s="1"/>
  <c r="L555" i="20" s="1"/>
  <c r="L556" i="20" s="1"/>
  <c r="L557" i="20" s="1"/>
  <c r="L558" i="20" s="1"/>
  <c r="L559" i="20" s="1"/>
  <c r="L560" i="20" s="1"/>
  <c r="L561" i="20" s="1"/>
  <c r="L562" i="20" s="1"/>
  <c r="L563" i="20" s="1"/>
  <c r="L564" i="20" s="1"/>
  <c r="L565" i="20" s="1"/>
  <c r="L566" i="20" s="1"/>
  <c r="L567" i="20" s="1"/>
  <c r="L568" i="20" s="1"/>
  <c r="L569" i="20" s="1"/>
  <c r="L570" i="20" s="1"/>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L622" i="20" s="1"/>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s="1"/>
  <c r="L674" i="20" s="1"/>
  <c r="L675" i="20" s="1"/>
  <c r="L676" i="20" s="1"/>
  <c r="L677" i="20" s="1"/>
  <c r="L678" i="20" s="1"/>
  <c r="L679" i="20" s="1"/>
  <c r="L680" i="20" s="1"/>
  <c r="L681" i="20" s="1"/>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L701" i="20" s="1"/>
  <c r="L702" i="20" s="1"/>
  <c r="L703" i="20" s="1"/>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s="1"/>
  <c r="L726" i="20" s="1"/>
  <c r="L727" i="20" s="1"/>
  <c r="L728" i="20" s="1"/>
  <c r="L729" i="20" s="1"/>
  <c r="L730" i="20" s="1"/>
  <c r="L731" i="20" s="1"/>
  <c r="L732" i="20" s="1"/>
  <c r="L733" i="20" s="1"/>
  <c r="L734" i="20" s="1"/>
  <c r="L735" i="20" s="1"/>
  <c r="L736" i="20" s="1"/>
  <c r="L737" i="20" s="1"/>
  <c r="L738" i="20" s="1"/>
  <c r="L739" i="20" s="1"/>
  <c r="L740" i="20" s="1"/>
  <c r="L741" i="20" s="1"/>
  <c r="L742" i="20" s="1"/>
  <c r="L743" i="20" s="1"/>
  <c r="L744" i="20" s="1"/>
  <c r="L745" i="20" s="1"/>
  <c r="L746" i="20" s="1"/>
  <c r="L747" i="20" s="1"/>
  <c r="L748" i="20" s="1"/>
  <c r="L749" i="20" s="1"/>
  <c r="L750" i="20" s="1"/>
  <c r="L751" i="20" s="1"/>
  <c r="L752" i="20" s="1"/>
  <c r="L753" i="20" s="1"/>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s="1"/>
  <c r="L781" i="20" s="1"/>
  <c r="L782" i="20" s="1"/>
  <c r="L783" i="20" s="1"/>
  <c r="L784" i="20" s="1"/>
  <c r="L785" i="20" s="1"/>
  <c r="L786" i="20" s="1"/>
  <c r="L787" i="20" s="1"/>
  <c r="L788" i="20" s="1"/>
  <c r="L789" i="20" s="1"/>
  <c r="L790" i="20" s="1"/>
  <c r="L791" i="20" s="1"/>
  <c r="L792" i="20" s="1"/>
  <c r="L793" i="20" s="1"/>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s="1"/>
  <c r="L846" i="20" s="1"/>
  <c r="L847" i="20" s="1"/>
  <c r="L848" i="20" s="1"/>
  <c r="L849" i="20" s="1"/>
  <c r="L850" i="20" s="1"/>
  <c r="L851" i="20" s="1"/>
  <c r="L852" i="20" s="1"/>
  <c r="L853" i="20" s="1"/>
  <c r="L854" i="20" s="1"/>
  <c r="L855" i="20" s="1"/>
  <c r="L856" i="20" s="1"/>
  <c r="L857" i="20" s="1"/>
  <c r="L858" i="20" s="1"/>
  <c r="L859" i="20" s="1"/>
  <c r="L860" i="20" s="1"/>
  <c r="L861" i="20" s="1"/>
  <c r="L862" i="20" s="1"/>
  <c r="L863" i="20" s="1"/>
  <c r="L864" i="20" s="1"/>
  <c r="L865" i="20" s="1"/>
  <c r="L866" i="20" s="1"/>
  <c r="L867" i="20" s="1"/>
  <c r="L868" i="20" s="1"/>
  <c r="L869" i="20" s="1"/>
  <c r="L870" i="20" s="1"/>
  <c r="L871" i="20" s="1"/>
  <c r="L872" i="20" s="1"/>
  <c r="L873" i="20" s="1"/>
  <c r="L874" i="20" s="1"/>
  <c r="L875" i="20" s="1"/>
  <c r="L876" i="20" s="1"/>
  <c r="L877" i="20" s="1"/>
  <c r="L878" i="20" s="1"/>
  <c r="L879" i="20" s="1"/>
  <c r="L880" i="20" s="1"/>
  <c r="L881" i="20" s="1"/>
  <c r="L882" i="20" s="1"/>
  <c r="L883" i="20" s="1"/>
  <c r="L884" i="20" s="1"/>
  <c r="L885" i="20" s="1"/>
  <c r="L886" i="20" s="1"/>
  <c r="L887" i="20" s="1"/>
  <c r="L888" i="20" s="1"/>
  <c r="L889" i="20" s="1"/>
  <c r="L890" i="20" s="1"/>
  <c r="L891" i="20" s="1"/>
  <c r="L892" i="20" s="1"/>
  <c r="L893" i="20" s="1"/>
  <c r="L894" i="20" s="1"/>
  <c r="L895" i="20" s="1"/>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s="1"/>
  <c r="L924" i="20" s="1"/>
  <c r="L925" i="20" s="1"/>
  <c r="L926" i="20" s="1"/>
  <c r="L927" i="20" s="1"/>
  <c r="L928" i="20" s="1"/>
  <c r="L929" i="20" s="1"/>
  <c r="L930" i="20" s="1"/>
  <c r="L931" i="20" s="1"/>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s="1"/>
  <c r="L1047" i="20" s="1"/>
  <c r="L1048" i="20" s="1"/>
  <c r="L1049" i="20" s="1"/>
  <c r="L1050" i="20" s="1"/>
  <c r="L1051" i="20" s="1"/>
  <c r="L1052" i="20" s="1"/>
  <c r="L1053" i="20" s="1"/>
  <c r="L1054" i="20" s="1"/>
  <c r="L1055" i="20" s="1"/>
  <c r="L1056" i="20" s="1"/>
  <c r="L1057" i="20" s="1"/>
  <c r="L1058" i="20" s="1"/>
  <c r="L1059" i="20" s="1"/>
  <c r="L1060" i="20" s="1"/>
  <c r="L1061" i="20" s="1"/>
  <c r="L1062" i="20" s="1"/>
  <c r="L1063" i="20" s="1"/>
  <c r="L1064" i="20" s="1"/>
  <c r="L1065" i="20" s="1"/>
  <c r="L1066" i="20" s="1"/>
  <c r="L1067" i="20" s="1"/>
  <c r="L1068" i="20" s="1"/>
  <c r="L1069" i="20" s="1"/>
  <c r="L1070" i="20" s="1"/>
  <c r="L1071" i="20" s="1"/>
  <c r="L1072" i="20" s="1"/>
  <c r="L1073" i="20" s="1"/>
  <c r="L1074" i="20" s="1"/>
  <c r="L1075" i="20" s="1"/>
  <c r="L1076" i="20" s="1"/>
  <c r="L1077" i="20" s="1"/>
  <c r="L1078" i="20" s="1"/>
  <c r="L1079" i="20" s="1"/>
  <c r="L1080" i="20" s="1"/>
  <c r="L1081" i="20" s="1"/>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L1103" i="20" s="1"/>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s="1"/>
  <c r="L1157" i="20" s="1"/>
  <c r="L1158" i="20" s="1"/>
  <c r="L1159" i="20" s="1"/>
  <c r="L1160" i="20" s="1"/>
  <c r="L1161" i="20" s="1"/>
  <c r="L1162" i="20" s="1"/>
  <c r="L1163" i="20" s="1"/>
  <c r="L1164" i="20" s="1"/>
  <c r="L1165" i="20" s="1"/>
  <c r="L1166" i="20" s="1"/>
  <c r="L1167" i="20" s="1"/>
  <c r="L1168" i="20" s="1"/>
  <c r="L1169" i="20" s="1"/>
  <c r="L1170" i="20" s="1"/>
  <c r="L1171" i="20" s="1"/>
  <c r="L1172" i="20" s="1"/>
  <c r="L1173" i="20" s="1"/>
  <c r="L1174" i="20" s="1"/>
  <c r="L1175" i="20" s="1"/>
  <c r="L1176" i="20" s="1"/>
  <c r="L1177" i="20" s="1"/>
  <c r="L1178" i="20" s="1"/>
  <c r="L1179" i="20" s="1"/>
  <c r="L1180" i="20" s="1"/>
  <c r="L1181" i="20" s="1"/>
  <c r="L1182" i="20" s="1"/>
  <c r="L1183" i="20" s="1"/>
  <c r="L1184" i="20" s="1"/>
  <c r="L1185" i="20" s="1"/>
  <c r="L1186" i="20" s="1"/>
  <c r="L1187" i="20" s="1"/>
  <c r="L1188" i="20" s="1"/>
  <c r="L1189" i="20" s="1"/>
  <c r="L1190" i="20" s="1"/>
  <c r="L1191" i="20" s="1"/>
  <c r="L1192" i="20" s="1"/>
  <c r="L1193" i="20" s="1"/>
  <c r="L1194" i="20" s="1"/>
  <c r="L1195" i="20" s="1"/>
  <c r="L1196" i="20" s="1"/>
  <c r="L1197" i="20" s="1"/>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L1228" i="20" s="1"/>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L1362" i="20" s="1"/>
  <c r="L1363" i="20" s="1"/>
  <c r="L1364" i="20" s="1"/>
  <c r="L1365" i="20" s="1"/>
  <c r="L1366" i="20" s="1"/>
  <c r="L1367" i="20" s="1"/>
  <c r="L1368" i="20" s="1"/>
  <c r="L1369" i="20" s="1"/>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s="1"/>
  <c r="L1406" i="20" s="1"/>
  <c r="L1407" i="20" s="1"/>
  <c r="L1408" i="20" s="1"/>
  <c r="L1409" i="20" s="1"/>
  <c r="L1410" i="20" s="1"/>
  <c r="L1411" i="20" s="1"/>
  <c r="L1412" i="20" s="1"/>
  <c r="L1413" i="20" s="1"/>
  <c r="L1414" i="20" s="1"/>
  <c r="L1415" i="20" s="1"/>
  <c r="L1416" i="20" s="1"/>
  <c r="L1417" i="20" s="1"/>
  <c r="L1418" i="20" s="1"/>
  <c r="L1419" i="20" s="1"/>
  <c r="L1420" i="20" s="1"/>
  <c r="L1421" i="20" s="1"/>
  <c r="L1422" i="20" s="1"/>
  <c r="L1423" i="20" s="1"/>
  <c r="L1424" i="20" s="1"/>
  <c r="L1425" i="20" s="1"/>
  <c r="L1426" i="20" s="1"/>
  <c r="L1427" i="20" s="1"/>
  <c r="L1428" i="20" s="1"/>
  <c r="L1429" i="20" s="1"/>
  <c r="L1430" i="20" s="1"/>
  <c r="L1431" i="20" s="1"/>
  <c r="L1432" i="20" s="1"/>
  <c r="L1433" i="20" s="1"/>
  <c r="L1434" i="20" s="1"/>
  <c r="L1435" i="20" s="1"/>
  <c r="L1436" i="20" s="1"/>
  <c r="L1437" i="20" s="1"/>
  <c r="L1438" i="20" s="1"/>
  <c r="L1439" i="20" s="1"/>
  <c r="L1440" i="20" s="1"/>
  <c r="L1441" i="20" s="1"/>
  <c r="L1442" i="20" s="1"/>
  <c r="L1443" i="20" s="1"/>
  <c r="L1444" i="20" s="1"/>
  <c r="L1445" i="20" s="1"/>
  <c r="L1446" i="20" s="1"/>
  <c r="L1447" i="20" s="1"/>
  <c r="L1448" i="20" s="1"/>
  <c r="L1449" i="20" s="1"/>
  <c r="L1450" i="20" s="1"/>
  <c r="L1451" i="20" s="1"/>
  <c r="L1452" i="20" s="1"/>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L1473" i="20" s="1"/>
  <c r="L1474" i="20" s="1"/>
  <c r="L1475" i="20" s="1"/>
  <c r="L1476" i="20" s="1"/>
  <c r="L1477" i="20" s="1"/>
  <c r="L1478" i="20" s="1"/>
  <c r="L1479" i="20" s="1"/>
  <c r="L1480" i="20" s="1"/>
  <c r="L1481" i="20" s="1"/>
  <c r="L1482" i="20" s="1"/>
  <c r="L1483" i="20" s="1"/>
  <c r="L1484" i="20" s="1"/>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L1513" i="20" s="1"/>
  <c r="L1514" i="20" s="1"/>
  <c r="O87" i="20"/>
  <c r="O88" i="20" s="1"/>
  <c r="O89" i="20" s="1"/>
  <c r="O90" i="20" s="1"/>
  <c r="O91" i="20" s="1"/>
  <c r="O92" i="20" s="1"/>
  <c r="O93" i="20" s="1"/>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s="1"/>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O208" i="20" s="1"/>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O283" i="20" s="1"/>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O535" i="20" s="1"/>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s="1"/>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O663" i="20" s="1"/>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O1033" i="20" s="1"/>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O1279" i="20" s="1"/>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s="1"/>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O1426" i="20" s="1"/>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F87" i="20"/>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F438" i="20" s="1"/>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F631" i="20" s="1"/>
  <c r="F632" i="20" s="1"/>
  <c r="F633" i="20" s="1"/>
  <c r="F634" i="20" s="1"/>
  <c r="F635" i="20" s="1"/>
  <c r="F636" i="20" s="1"/>
  <c r="F637" i="20" s="1"/>
  <c r="F638" i="20" s="1"/>
  <c r="F639" i="20" s="1"/>
  <c r="F640" i="20" s="1"/>
  <c r="F641" i="20" s="1"/>
  <c r="F642" i="20" s="1"/>
  <c r="F643" i="20" s="1"/>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F731" i="20" s="1"/>
  <c r="F732" i="20" s="1"/>
  <c r="F733" i="20" s="1"/>
  <c r="F734" i="20" s="1"/>
  <c r="F735" i="20" s="1"/>
  <c r="F736" i="20" s="1"/>
  <c r="F737" i="20" s="1"/>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F801" i="20" s="1"/>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F843" i="20" s="1"/>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s="1"/>
  <c r="F907" i="20" s="1"/>
  <c r="F908" i="20" s="1"/>
  <c r="F909" i="20" s="1"/>
  <c r="F910" i="20" s="1"/>
  <c r="F911" i="20" s="1"/>
  <c r="F912" i="20" s="1"/>
  <c r="F913" i="20" s="1"/>
  <c r="F914" i="20" s="1"/>
  <c r="F915" i="20" s="1"/>
  <c r="F916" i="20" s="1"/>
  <c r="F917" i="20" s="1"/>
  <c r="F918" i="20" s="1"/>
  <c r="F919" i="20" s="1"/>
  <c r="F920" i="20" s="1"/>
  <c r="F921" i="20" s="1"/>
  <c r="F922" i="20" s="1"/>
  <c r="F923" i="20" s="1"/>
  <c r="F924" i="20" s="1"/>
  <c r="F925" i="20" s="1"/>
  <c r="F926" i="20" s="1"/>
  <c r="F927" i="20" s="1"/>
  <c r="F928" i="20" s="1"/>
  <c r="F929" i="20" s="1"/>
  <c r="F930" i="20" s="1"/>
  <c r="F931" i="20" s="1"/>
  <c r="F932" i="20" s="1"/>
  <c r="F933" i="20" s="1"/>
  <c r="F934" i="20" s="1"/>
  <c r="F935" i="20" s="1"/>
  <c r="F936" i="20" s="1"/>
  <c r="F937" i="20" s="1"/>
  <c r="F938" i="20" s="1"/>
  <c r="F939" i="20" s="1"/>
  <c r="F940" i="20" s="1"/>
  <c r="F941" i="20" s="1"/>
  <c r="F942" i="20" s="1"/>
  <c r="F943" i="20" s="1"/>
  <c r="F944" i="20" s="1"/>
  <c r="F945" i="20" s="1"/>
  <c r="F946" i="20" s="1"/>
  <c r="F947" i="20" s="1"/>
  <c r="F948" i="20" s="1"/>
  <c r="F949" i="20" s="1"/>
  <c r="F950" i="20" s="1"/>
  <c r="F951" i="20" s="1"/>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s="1"/>
  <c r="F998" i="20" s="1"/>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s="1"/>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s="1"/>
  <c r="F1043" i="20" s="1"/>
  <c r="F1044" i="20" s="1"/>
  <c r="F1045" i="20" s="1"/>
  <c r="F1046" i="20" s="1"/>
  <c r="F1047" i="20" s="1"/>
  <c r="F1048" i="20" s="1"/>
  <c r="F1049" i="20" s="1"/>
  <c r="F1050" i="20" s="1"/>
  <c r="F1051" i="20" s="1"/>
  <c r="F1052" i="20" s="1"/>
  <c r="F1053" i="20" s="1"/>
  <c r="F1054" i="20" s="1"/>
  <c r="F1055" i="20" s="1"/>
  <c r="F1056" i="20" s="1"/>
  <c r="F1057" i="20" s="1"/>
  <c r="F1058" i="20" s="1"/>
  <c r="F1059" i="20" s="1"/>
  <c r="F1060" i="20" s="1"/>
  <c r="F1061" i="20" s="1"/>
  <c r="F1062" i="20" s="1"/>
  <c r="F1063" i="20" s="1"/>
  <c r="F1064" i="20" s="1"/>
  <c r="F1065" i="20" s="1"/>
  <c r="F1066" i="20" s="1"/>
  <c r="F1067" i="20" s="1"/>
  <c r="F1068" i="20" s="1"/>
  <c r="F1069" i="20" s="1"/>
  <c r="F1070" i="20" s="1"/>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F1135" i="20" s="1"/>
  <c r="F1136" i="20" s="1"/>
  <c r="F1137" i="20" s="1"/>
  <c r="F1138" i="20" s="1"/>
  <c r="F1139" i="20" s="1"/>
  <c r="F1140" i="20" s="1"/>
  <c r="F1141" i="20" s="1"/>
  <c r="F1142" i="20" s="1"/>
  <c r="F1143" i="20" s="1"/>
  <c r="F1144" i="20" s="1"/>
  <c r="F1145" i="20" s="1"/>
  <c r="F1146" i="20" s="1"/>
  <c r="F1147" i="20" s="1"/>
  <c r="F1148" i="20" s="1"/>
  <c r="F1149" i="20" s="1"/>
  <c r="F1150" i="20" s="1"/>
  <c r="F1151" i="20" s="1"/>
  <c r="F1152" i="20" s="1"/>
  <c r="F1153" i="20" s="1"/>
  <c r="F1154" i="20" s="1"/>
  <c r="F1155" i="20" s="1"/>
  <c r="F1156" i="20" s="1"/>
  <c r="F1157" i="20" s="1"/>
  <c r="F1158" i="20" s="1"/>
  <c r="F1159" i="20" s="1"/>
  <c r="F1160" i="20" s="1"/>
  <c r="F1161" i="20" s="1"/>
  <c r="F1162" i="20" s="1"/>
  <c r="F1163" i="20" s="1"/>
  <c r="F1164" i="20" s="1"/>
  <c r="F1165" i="20" s="1"/>
  <c r="F1166" i="20" s="1"/>
  <c r="F1167" i="20" s="1"/>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F1203" i="20" s="1"/>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F1231" i="20" s="1"/>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F1267" i="20" s="1"/>
  <c r="F1268" i="20" s="1"/>
  <c r="F1269" i="20" s="1"/>
  <c r="F1270" i="20" s="1"/>
  <c r="F1271" i="20" s="1"/>
  <c r="F1272" i="20" s="1"/>
  <c r="F1273" i="20" s="1"/>
  <c r="F1274" i="20" s="1"/>
  <c r="F1275" i="20" s="1"/>
  <c r="F1276" i="20" s="1"/>
  <c r="F1277" i="20" s="1"/>
  <c r="F1278" i="20" s="1"/>
  <c r="F1279" i="20" s="1"/>
  <c r="F1280" i="20" s="1"/>
  <c r="F1281" i="20" s="1"/>
  <c r="F1282" i="20" s="1"/>
  <c r="F1283" i="20" s="1"/>
  <c r="F1284" i="20" s="1"/>
  <c r="F1285" i="20" s="1"/>
  <c r="F1286" i="20" s="1"/>
  <c r="F1287" i="20" s="1"/>
  <c r="F1288" i="20" s="1"/>
  <c r="F1289" i="20" s="1"/>
  <c r="F1290" i="20" s="1"/>
  <c r="F1291" i="20" s="1"/>
  <c r="F1292" i="20" s="1"/>
  <c r="F1293" i="20" s="1"/>
  <c r="F1294" i="20" s="1"/>
  <c r="F1295" i="20" s="1"/>
  <c r="F1296" i="20" s="1"/>
  <c r="F1297" i="20" s="1"/>
  <c r="F1298" i="20" s="1"/>
  <c r="F1299" i="20" s="1"/>
  <c r="F1300" i="20" s="1"/>
  <c r="F1301" i="20" s="1"/>
  <c r="F1302" i="20" s="1"/>
  <c r="F1303" i="20" s="1"/>
  <c r="F1304" i="20" s="1"/>
  <c r="F1305" i="20" s="1"/>
  <c r="F1306" i="20" s="1"/>
  <c r="F1307" i="20" s="1"/>
  <c r="F1308" i="20" s="1"/>
  <c r="F1309" i="20" s="1"/>
  <c r="F1310" i="20" s="1"/>
  <c r="F1311" i="20" s="1"/>
  <c r="F1312" i="20" s="1"/>
  <c r="F1313" i="20" s="1"/>
  <c r="F1314" i="20" s="1"/>
  <c r="F1315" i="20" s="1"/>
  <c r="F1316" i="20" s="1"/>
  <c r="F1317" i="20" s="1"/>
  <c r="F1318" i="20" s="1"/>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F1349" i="20" s="1"/>
  <c r="F1350" i="20" s="1"/>
  <c r="F1351" i="20" s="1"/>
  <c r="F1352" i="20" s="1"/>
  <c r="F1353" i="20" s="1"/>
  <c r="F1354" i="20" s="1"/>
  <c r="F1355" i="20" s="1"/>
  <c r="F1356" i="20" s="1"/>
  <c r="F1357" i="20" s="1"/>
  <c r="F1358" i="20" s="1"/>
  <c r="F1359" i="20" s="1"/>
  <c r="F1360" i="20" s="1"/>
  <c r="F1361" i="20" s="1"/>
  <c r="F1362" i="20" s="1"/>
  <c r="F1363" i="20" s="1"/>
  <c r="F1364" i="20" s="1"/>
  <c r="F1365" i="20" s="1"/>
  <c r="F1366" i="20" s="1"/>
  <c r="F1367" i="20" s="1"/>
  <c r="F1368" i="20" s="1"/>
  <c r="F1369" i="20" s="1"/>
  <c r="F1370" i="20" s="1"/>
  <c r="F1371" i="20" s="1"/>
  <c r="F1372" i="20" s="1"/>
  <c r="F1373" i="20" s="1"/>
  <c r="F1374" i="20" s="1"/>
  <c r="F1375" i="20" s="1"/>
  <c r="F1376" i="20" s="1"/>
  <c r="F1377" i="20" s="1"/>
  <c r="F1378" i="20" s="1"/>
  <c r="F1379" i="20" s="1"/>
  <c r="F1380" i="20" s="1"/>
  <c r="F1381" i="20" s="1"/>
  <c r="F1382" i="20" s="1"/>
  <c r="F1383" i="20" s="1"/>
  <c r="F1384" i="20" s="1"/>
  <c r="F1385" i="20" s="1"/>
  <c r="F1386" i="20" s="1"/>
  <c r="F1387" i="20" s="1"/>
  <c r="F1388" i="20" s="1"/>
  <c r="F1389" i="20" s="1"/>
  <c r="F1390" i="20" s="1"/>
  <c r="F1391" i="20" s="1"/>
  <c r="F1392" i="20" s="1"/>
  <c r="F1393" i="20" s="1"/>
  <c r="F1394" i="20" s="1"/>
  <c r="F1395" i="20" s="1"/>
  <c r="F1396" i="20" s="1"/>
  <c r="F1397" i="20" s="1"/>
  <c r="F1398" i="20" s="1"/>
  <c r="F1399" i="20" s="1"/>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F1457" i="20" s="1"/>
  <c r="F1458" i="20" s="1"/>
  <c r="F1459" i="20" s="1"/>
  <c r="F1460" i="20" s="1"/>
  <c r="F1461" i="20" s="1"/>
  <c r="F1462" i="20" s="1"/>
  <c r="F1463" i="20" s="1"/>
  <c r="F1464" i="20" s="1"/>
  <c r="F1465" i="20" s="1"/>
  <c r="F1466" i="20" s="1"/>
  <c r="F1467" i="20" s="1"/>
  <c r="F1468" i="20" s="1"/>
  <c r="F1469" i="20" s="1"/>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F1491" i="20" s="1"/>
  <c r="F1492" i="20" s="1"/>
  <c r="F1493" i="20" s="1"/>
  <c r="F1494" i="20" s="1"/>
  <c r="F1495" i="20" s="1"/>
  <c r="F1496" i="20" s="1"/>
  <c r="F1497" i="20" s="1"/>
  <c r="F1498" i="20" s="1"/>
  <c r="F1499" i="20" s="1"/>
  <c r="F1500" i="20" s="1"/>
  <c r="F1501" i="20" s="1"/>
  <c r="F1502" i="20" s="1"/>
  <c r="F1503" i="20" s="1"/>
  <c r="F1504" i="20" s="1"/>
  <c r="F1505" i="20" s="1"/>
  <c r="F1506" i="20" s="1"/>
  <c r="F1507" i="20" s="1"/>
  <c r="F1508" i="20" s="1"/>
  <c r="F1509" i="20" s="1"/>
  <c r="F1510" i="20" s="1"/>
  <c r="F1511" i="20" s="1"/>
  <c r="F1512" i="20" s="1"/>
  <c r="F1513" i="20" s="1"/>
  <c r="F1514" i="20" s="1"/>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<sst xmlns="http://schemas.openxmlformats.org/spreadsheetml/2006/main" count="8981" uniqueCount="445">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</sst>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0">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-1.5233658901697949E-3</c:v>
                </c:pt>
                <c:pt idx="1">
                  <c:v>-1.5266827173997621E-3</c:v>
                </c:pt>
                <c:pt idx="2">
                  <c:v>-1.529999997903044E-3</c:v>
                </c:pt>
                <c:pt idx="3">
                  <c:v>-1.5333172784063257E-3</c:v>
                </c:pt>
                <c:pt idx="4">
                  <c:v>-1.5432645871830276E-3</c:v>
                </c:pt>
                <c:pt idx="5">
                  <c:v>-1.5465773349531656E-3</c:v>
                </c:pt>
                <c:pt idx="6">
                  <c:v>-1.549887816356732E-3</c:v>
                </c:pt>
                <c:pt idx="7">
                  <c:v>-1.5531955781204118E-3</c:v>
                </c:pt>
                <c:pt idx="8">
                  <c:v>-1.5565001669708915E-3</c:v>
                </c:pt>
                <c:pt idx="9">
                  <c:v>-1.5663903633099821E-3</c:v>
                </c:pt>
                <c:pt idx="10">
                  <c:v>-1.5696777277745154E-3</c:v>
                </c:pt>
                <c:pt idx="11">
                  <c:v>-1.5729596529592759E-3</c:v>
                </c:pt>
                <c:pt idx="12">
                  <c:v>-1.5762356855909499E-3</c:v>
                </c:pt>
                <c:pt idx="13">
                  <c:v>-1.5795053723962223E-3</c:v>
                </c:pt>
                <c:pt idx="14">
                  <c:v>-1.589271825120489E-3</c:v>
                </c:pt>
                <c:pt idx="15">
                  <c:v>-1.5925115958870131E-3</c:v>
                </c:pt>
                <c:pt idx="16">
                  <c:v>-1.5957427544605639E-3</c:v>
                </c:pt>
                <c:pt idx="17">
                  <c:v>-1.5989648475678271E-3</c:v>
                </c:pt>
                <c:pt idx="18">
                  <c:v>-1.6021774219354885E-3</c:v>
                </c:pt>
                <c:pt idx="19">
                  <c:v>-1.611753499867718E-3</c:v>
                </c:pt>
                <c:pt idx="20">
                  <c:v>-1.6149234665438286E-3</c:v>
                </c:pt>
                <c:pt idx="21">
                  <c:v>-1.6180816481137653E-3</c:v>
                </c:pt>
                <c:pt idx="22">
                  <c:v>-1.6212275913042138E-3</c:v>
                </c:pt>
                <c:pt idx="23">
                  <c:v>-1.6243608428418597E-3</c:v>
                </c:pt>
                <c:pt idx="24">
                  <c:v>-1.6336799148048392E-3</c:v>
                </c:pt>
                <c:pt idx="25">
                  <c:v>-1.6367578669981315E-3</c:v>
                </c:pt>
                <c:pt idx="26">
                  <c:v>-1.6398208611720496E-3</c:v>
                </c:pt>
                <c:pt idx="27">
                  <c:v>-1.642868444053279E-3</c:v>
                </c:pt>
                <c:pt idx="28">
                  <c:v>-1.645900162368505E-3</c:v>
                </c:pt>
                <c:pt idx="29">
                  <c:v>-1.6548955971850219E-3</c:v>
                </c:pt>
                <c:pt idx="30">
                  <c:v>-1.657859324503092E-3</c:v>
                </c:pt>
                <c:pt idx="31">
                  <c:v>-1.6608049208885871E-3</c:v>
                </c:pt>
                <c:pt idx="32">
                  <c:v>-1.6637319330681929E-3</c:v>
                </c:pt>
                <c:pt idx="33">
                  <c:v>-1.6666399077685952E-3</c:v>
                </c:pt>
                <c:pt idx="34">
                  <c:v>-1.6752450742614354E-3</c:v>
                </c:pt>
                <c:pt idx="35">
                  <c:v>-1.6780723663118796E-3</c:v>
                </c:pt>
                <c:pt idx="36">
                  <c:v>-1.6808783545165474E-3</c:v>
                </c:pt>
                <c:pt idx="37">
                  <c:v>-1.6836625856021254E-3</c:v>
                </c:pt>
                <c:pt idx="38">
                  <c:v>-1.6864246062952991E-3</c:v>
                </c:pt>
                <c:pt idx="39">
                  <c:v>-1.6945728732872508E-3</c:v>
                </c:pt>
                <c:pt idx="40">
                  <c:v>-1.6972415196776633E-3</c:v>
                </c:pt>
                <c:pt idx="41">
                  <c:v>-1.6998856893090998E-3</c:v>
                </c:pt>
                <c:pt idx="42">
                  <c:v>-1.702504928908246E-3</c:v>
                </c:pt>
                <c:pt idx="43">
                  <c:v>-1.7050987852017872E-3</c:v>
                </c:pt>
                <c:pt idx="44">
                  <c:v>-1.7127235215156366E-3</c:v>
                </c:pt>
                <c:pt idx="45">
                  <c:v>-1.7152113118536142E-3</c:v>
                </c:pt>
                <c:pt idx="46">
                  <c:v>-1.7176714525194148E-3</c:v>
                </c:pt>
                <c:pt idx="47">
                  <c:v>-1.7201034902397244E-3</c:v>
                </c:pt>
                <c:pt idx="48">
                  <c:v>-1.7225069717412282E-3</c:v>
                </c:pt>
                <c:pt idx="49">
                  <c:v>-1.7295415461997634E-3</c:v>
                </c:pt>
                <c:pt idx="50">
                  <c:v>-1.7318262700929011E-3</c:v>
                </c:pt>
                <c:pt idx="51">
                  <c:v>-1.7340801714006617E-3</c:v>
                </c:pt>
                <c:pt idx="52">
                  <c:v>-1.7363027968497304E-3</c:v>
                </c:pt>
                <c:pt idx="53">
                  <c:v>-1.7384936931667929E-3</c:v>
                </c:pt>
                <c:pt idx="54">
                  <c:v>-1.7448714745927998E-3</c:v>
                </c:pt>
                <c:pt idx="55">
                  <c:v>-1.7469309216486938E-3</c:v>
                </c:pt>
                <c:pt idx="56">
                  <c:v>-1.74895637320601E-3</c:v>
                </c:pt>
                <c:pt idx="57">
                  <c:v>-1.7509473759914336E-3</c:v>
                </c:pt>
                <c:pt idx="58">
                  <c:v>-1.7529034767316506E-3</c:v>
                </c:pt>
                <c:pt idx="59">
                  <c:v>-1.7585578339479166E-3</c:v>
                </c:pt>
                <c:pt idx="60">
                  <c:v>-1.7603697937741624E-3</c:v>
                </c:pt>
                <c:pt idx="61">
                  <c:v>-1.7621445851886295E-3</c:v>
                </c:pt>
                <c:pt idx="62">
                  <c:v>-1.7638817549180041E-3</c:v>
                </c:pt>
                <c:pt idx="63">
                  <c:v>-1.7655808496889708E-3</c:v>
                </c:pt>
                <c:pt idx="64">
                  <c:v>-1.770445151518283E-3</c:v>
                </c:pt>
                <c:pt idx="65">
                  <c:v>-1.7719874137224765E-3</c:v>
                </c:pt>
                <c:pt idx="66">
                  <c:v>-1.7734893346016906E-3</c:v>
                </c:pt>
                <c:pt idx="67">
                  <c:v>-1.7749504608826113E-3</c:v>
                </c:pt>
                <c:pt idx="68">
                  <c:v>-1.7763703392919235E-3</c:v>
                </c:pt>
                <c:pt idx="69">
                  <c:v>-1.7803779545570691E-3</c:v>
                </c:pt>
                <c:pt idx="70">
                  <c:v>-1.7816283087468056E-3</c:v>
                </c:pt>
                <c:pt idx="71">
                  <c:v>-1.7828351486983624E-3</c:v>
                </c:pt>
                <c:pt idx="72">
                  <c:v>-1.783998021138425E-3</c:v>
                </c:pt>
                <c:pt idx="73">
                  <c:v>-1.7851164727936786E-3</c:v>
                </c:pt>
                <c:pt idx="74">
                  <c:v>-1.7882007703174442E-3</c:v>
                </c:pt>
                <c:pt idx="75">
                  <c:v>-1.7891370061003198E-3</c:v>
                </c:pt>
                <c:pt idx="76">
                  <c:v>-1.7900265547318146E-3</c:v>
                </c:pt>
                <c:pt idx="77">
                  <c:v>-1.7908689629386146E-3</c:v>
                </c:pt>
                <c:pt idx="78">
                  <c:v>-1.7916637774474055E-3</c:v>
                </c:pt>
                <c:pt idx="79">
                  <c:v>-1.7937581260525784E-3</c:v>
                </c:pt>
                <c:pt idx="80">
                  <c:v>-1.7943580330361884E-3</c:v>
                </c:pt>
                <c:pt idx="81">
                  <c:v>-1.7949080799552172E-3</c:v>
                </c:pt>
                <c:pt idx="82">
                  <c:v>-1.7954078135363506E-3</c:v>
                </c:pt>
                <c:pt idx="83">
                  <c:v>-1.7958567805062739E-3</c:v>
                </c:pt>
                <c:pt idx="84">
                  <c:v>-1.7968945490156409E-3</c:v>
                </c:pt>
                <c:pt idx="85">
                  <c:v>-1.7971359168075815E-3</c:v>
                </c:pt>
                <c:pt idx="86">
                  <c:v>-1.7973242516217396E-3</c:v>
                </c:pt>
                <c:pt idx="87">
                  <c:v>-1.797459100184802E-3</c:v>
                </c:pt>
                <c:pt idx="88">
                  <c:v>-1.7975400092234538E-3</c:v>
                </c:pt>
                <c:pt idx="89">
                  <c:v>-1.7974545664598022E-3</c:v>
                </c:pt>
                <c:pt idx="90">
                  <c:v>-1.7973151846676686E-3</c:v>
                </c:pt>
                <c:pt idx="91">
                  <c:v>-1.7971195969845521E-3</c:v>
                </c:pt>
                <c:pt idx="92">
                  <c:v>-1.7968673501371391E-3</c:v>
                </c:pt>
                <c:pt idx="93">
                  <c:v>-1.7965579908521148E-3</c:v>
                </c:pt>
                <c:pt idx="94">
                  <c:v>-1.7952827056382319E-3</c:v>
                </c:pt>
                <c:pt idx="95">
                  <c:v>-1.7947403638696193E-3</c:v>
                </c:pt>
                <c:pt idx="96">
                  <c:v>-1.7941386432968238E-3</c:v>
                </c:pt>
                <c:pt idx="97">
                  <c:v>-1.7934770906465312E-3</c:v>
                </c:pt>
                <c:pt idx="98">
                  <c:v>-1.7927552526454268E-3</c:v>
                </c:pt>
                <c:pt idx="99">
                  <c:v>-1.790223493804099E-3</c:v>
                </c:pt>
                <c:pt idx="100">
                  <c:v>-1.7892559816666039E-3</c:v>
                </c:pt>
                <c:pt idx="101">
                  <c:v>-1.7882259178117249E-3</c:v>
                </c:pt>
                <c:pt idx="102">
                  <c:v>-1.7871328489661483E-3</c:v>
                </c:pt>
                <c:pt idx="103">
                  <c:v>-1.7859763218565589E-3</c:v>
                </c:pt>
                <c:pt idx="104">
                  <c:v>-1.7821214582105737E-3</c:v>
                </c:pt>
                <c:pt idx="105">
                  <c:v>-1.7807065653117917E-3</c:v>
                </c:pt>
                <c:pt idx="106">
                  <c:v>-1.779225947782425E-3</c:v>
                </c:pt>
                <c:pt idx="107">
                  <c:v>-1.7776791523491599E-3</c:v>
                </c:pt>
                <c:pt idx="108">
                  <c:v>-1.7760657257386819E-3</c:v>
                </c:pt>
                <c:pt idx="109">
                  <c:v>-1.7708211261108261E-3</c:v>
                </c:pt>
                <c:pt idx="110">
                  <c:v>-1.7689366420583523E-3</c:v>
                </c:pt>
                <c:pt idx="111">
                  <c:v>-1.7669832604620939E-3</c:v>
                </c:pt>
                <c:pt idx="112">
                  <c:v>-1.7649605280487359E-3</c:v>
                </c:pt>
                <c:pt idx="113">
                  <c:v>-1.7628679915449646E-3</c:v>
                </c:pt>
                <c:pt idx="114">
                  <c:v>-1.7561670247580254E-3</c:v>
                </c:pt>
                <c:pt idx="115">
                  <c:v>-1.7537907391594557E-3</c:v>
                </c:pt>
                <c:pt idx="116">
                  <c:v>-1.7513423831039007E-3</c:v>
                </c:pt>
                <c:pt idx="117">
                  <c:v>-1.7488215033180463E-3</c:v>
                </c:pt>
                <c:pt idx="118">
                  <c:v>-1.7462276465285771E-3</c:v>
                </c:pt>
                <c:pt idx="119">
                  <c:v>-1.7380036814053413E-3</c:v>
                </c:pt>
                <c:pt idx="120">
                  <c:v>-1.7351133838682715E-3</c:v>
                </c:pt>
                <c:pt idx="121">
                  <c:v>-1.7321478429610162E-3</c:v>
                </c:pt>
                <c:pt idx="122">
                  <c:v>-1.7291066054102599E-3</c:v>
                </c:pt>
                <c:pt idx="123">
                  <c:v>-1.7259892179426893E-3</c:v>
                </c:pt>
                <c:pt idx="124">
                  <c:v>-1.7161756233059437E-3</c:v>
                </c:pt>
                <c:pt idx="125">
                  <c:v>-1.71274910343797E-3</c:v>
                </c:pt>
                <c:pt idx="126">
                  <c:v>-1.7092441672866092E-3</c:v>
                </c:pt>
                <c:pt idx="127">
                  <c:v>-1.7056603615785476E-3</c:v>
                </c:pt>
                <c:pt idx="128">
                  <c:v>-1.7019972330404702E-3</c:v>
                </c:pt>
                <c:pt idx="129">
                  <c:v>-1.6905273777130028E-3</c:v>
                </c:pt>
                <c:pt idx="130">
                  <c:v>-1.6865424251217198E-3</c:v>
                </c:pt>
                <c:pt idx="131">
                  <c:v>-1.6824758833338502E-3</c:v>
                </c:pt>
                <c:pt idx="132">
                  <c:v>-1.6783272990760786E-3</c:v>
                </c:pt>
                <c:pt idx="133">
                  <c:v>-1.6740962190750907E-3</c:v>
                </c:pt>
                <c:pt idx="134">
                  <c:v>-1.6609154823355996E-3</c:v>
                </c:pt>
                <c:pt idx="135">
                  <c:v>-1.6563663454015204E-3</c:v>
                </c:pt>
                <c:pt idx="136">
                  <c:v>-1.6517431223184642E-3</c:v>
                </c:pt>
                <c:pt idx="137">
                  <c:v>-1.6470480288033186E-3</c:v>
                </c:pt>
                <c:pt idx="138">
                  <c:v>-1.6422832805729731E-3</c:v>
                </c:pt>
                <c:pt idx="139">
                  <c:v>-1.6275932647596149E-3</c:v>
                </c:pt>
                <c:pt idx="140">
                  <c:v>-1.6225720548373502E-3</c:v>
                </c:pt>
                <c:pt idx="141">
                  <c:v>-1.6174922687843261E-3</c:v>
                </c:pt>
                <c:pt idx="142">
                  <c:v>-1.6123561223174315E-3</c:v>
                </c:pt>
                <c:pt idx="143">
                  <c:v>-1.6071658311535538E-3</c:v>
                </c:pt>
                <c:pt idx="144">
                  <c:v>-1.5912922466489112E-3</c:v>
                </c:pt>
                <c:pt idx="145">
                  <c:v>-1.5859075338659869E-3</c:v>
                </c:pt>
                <c:pt idx="146">
                  <c:v>-1.5804797549705224E-3</c:v>
                </c:pt>
                <c:pt idx="147">
                  <c:v>-1.5750111256794049E-3</c:v>
                </c:pt>
                <c:pt idx="148">
                  <c:v>-1.5695038617095237E-3</c:v>
                </c:pt>
                <c:pt idx="149">
                  <c:v>-1.5471327733801213E-3</c:v>
                </c:pt>
                <c:pt idx="150">
                  <c:v>-1.541465571769743E-3</c:v>
                </c:pt>
                <c:pt idx="151">
                  <c:v>-1.5357730297819307E-3</c:v>
                </c:pt>
                <c:pt idx="152">
                  <c:v>-1.5300573631335716E-3</c:v>
                </c:pt>
                <c:pt idx="153">
                  <c:v>-1.5127621050758911E-3</c:v>
                </c:pt>
                <c:pt idx="154">
                  <c:v>-1.5069601550949743E-3</c:v>
                </c:pt>
                <c:pt idx="155">
                  <c:v>-1.5011461112529338E-3</c:v>
                </c:pt>
                <c:pt idx="156">
                  <c:v>-1.49532220752797E-3</c:v>
                </c:pt>
                <c:pt idx="157">
                  <c:v>-1.4894906778982824E-3</c:v>
                </c:pt>
                <c:pt idx="158">
                  <c:v>-1.4719726733628739E-3</c:v>
                </c:pt>
                <c:pt idx="159">
                  <c:v>-1.4661329798962884E-3</c:v>
                </c:pt>
                <c:pt idx="160">
                  <c:v>-1.4602968304159771E-3</c:v>
                </c:pt>
                <c:pt idx="161">
                  <c:v>-1.4544664589001407E-3</c:v>
                </c:pt>
                <c:pt idx="162">
                  <c:v>-1.4486440993269785E-3</c:v>
                </c:pt>
                <c:pt idx="163">
                  <c:v>-1.4312474320455342E-3</c:v>
                </c:pt>
                <c:pt idx="164">
                  <c:v>-1.4254794600250661E-3</c:v>
                </c:pt>
                <c:pt idx="165">
                  <c:v>-1.4197306698382709E-3</c:v>
                </c:pt>
                <c:pt idx="166">
                  <c:v>-1.4140032954633483E-3</c:v>
                </c:pt>
                <c:pt idx="167">
                  <c:v>-1.4082995708784981E-3</c:v>
                </c:pt>
                <c:pt idx="168">
                  <c:v>-1.3913526356463786E-3</c:v>
                </c:pt>
                <c:pt idx="169">
                  <c:v>-1.3857658500038145E-3</c:v>
                </c:pt>
                <c:pt idx="170">
                  <c:v>-1.3802138840423217E-3</c:v>
                </c:pt>
                <c:pt idx="171">
                  <c:v>-1.3746989717400996E-3</c:v>
                </c:pt>
                <c:pt idx="172">
                  <c:v>-1.369223347075348E-3</c:v>
                </c:pt>
                <c:pt idx="173">
                  <c:v>-1.3530545386879129E-3</c:v>
                </c:pt>
                <c:pt idx="174">
                  <c:v>-1.34775840435504E-3</c:v>
                </c:pt>
                <c:pt idx="175">
                  <c:v>-1.3425127275506364E-3</c:v>
                </c:pt>
                <c:pt idx="176">
                  <c:v>-1.3373197422529015E-3</c:v>
                </c:pt>
                <c:pt idx="177">
                  <c:v>-1.332181682440035E-3</c:v>
                </c:pt>
                <c:pt idx="178">
                  <c:v>-1.3171193956926445E-3</c:v>
                </c:pt>
                <c:pt idx="179">
                  <c:v>-1.3122233776012497E-3</c:v>
                </c:pt>
                <c:pt idx="180">
                  <c:v>-1.3073934548857218E-3</c:v>
                </c:pt>
                <c:pt idx="181">
                  <c:v>-1.3026318615242608E-3</c:v>
                </c:pt>
                <c:pt idx="182">
                  <c:v>-1.2979408314950666E-3</c:v>
                </c:pt>
                <c:pt idx="183">
                  <c:v>-1.2843134611830803E-3</c:v>
                </c:pt>
                <c:pt idx="184">
                  <c:v>-1.2799270242649494E-3</c:v>
                </c:pt>
                <c:pt idx="185">
                  <c:v>-1.2756223205700845E-3</c:v>
                </c:pt>
                <c:pt idx="186">
                  <c:v>-1.2714015840766841E-3</c:v>
                </c:pt>
                <c:pt idx="187">
                  <c:v>-1.2672670487629484E-3</c:v>
                </c:pt>
                <c:pt idx="188">
                  <c:v>-1.2554029896817271E-3</c:v>
                </c:pt>
                <c:pt idx="189">
                  <c:v>-1.2516355988686475E-3</c:v>
                </c:pt>
                <c:pt idx="190">
                  <c:v>-1.2479655791262313E-3</c:v>
                </c:pt>
                <c:pt idx="191">
                  <c:v>-1.2443951644326783E-3</c:v>
                </c:pt>
                <c:pt idx="192">
                  <c:v>-1.2409265887661878E-3</c:v>
                </c:pt>
                <c:pt idx="193">
                  <c:v>-1.2311542357110912E-3</c:v>
                </c:pt>
                <c:pt idx="194">
                  <c:v>-1.2281153559348494E-3</c:v>
                </c:pt>
                <c:pt idx="195">
                  <c:v>-1.2251894850766692E-3</c:v>
                </c:pt>
                <c:pt idx="196">
                  <c:v>-1.2223788571147499E-3</c:v>
                </c:pt>
                <c:pt idx="197">
                  <c:v>-1.2196857060272916E-3</c:v>
                </c:pt>
                <c:pt idx="198">
                  <c:v>-1.2123334537936796E-3</c:v>
                </c:pt>
                <c:pt idx="199">
                  <c:v>-1.2101325499860619E-3</c:v>
                </c:pt>
                <c:pt idx="200">
                  <c:v>-1.2080602929439043E-3</c:v>
                </c:pt>
                <c:pt idx="201">
                  <c:v>-1.2061189166454058E-3</c:v>
                </c:pt>
                <c:pt idx="202">
                  <c:v>-1.2043106550687663E-3</c:v>
                </c:pt>
                <c:pt idx="203">
                  <c:v>-1.199706898451999E-3</c:v>
                </c:pt>
                <c:pt idx="204">
                  <c:v>-1.1984534355447929E-3</c:v>
                </c:pt>
                <c:pt idx="205">
                  <c:v>-1.1973442572504446E-3</c:v>
                </c:pt>
                <c:pt idx="206">
                  <c:v>-1.1963815975471531E-3</c:v>
                </c:pt>
                <c:pt idx="207">
                  <c:v>-1.1955676904131188E-3</c:v>
                </c:pt>
                <c:pt idx="208">
                  <c:v>-1.1940408242085562E-3</c:v>
                </c:pt>
                <c:pt idx="209">
                  <c:v>-1.193844267133548E-3</c:v>
                </c:pt>
                <c:pt idx="210">
                  <c:v>-1.193807632518795E-3</c:v>
                </c:pt>
                <c:pt idx="211">
                  <c:v>-1.1939331543424979E-3</c:v>
                </c:pt>
                <c:pt idx="212">
                  <c:v>-1.1942230665828559E-3</c:v>
                </c:pt>
                <c:pt idx="213">
                  <c:v>-1.1961014855858582E-3</c:v>
                </c:pt>
                <c:pt idx="214">
                  <c:v>-1.1970712992748342E-3</c:v>
                </c:pt>
                <c:pt idx="215">
                  <c:v>-1.198216673271464E-3</c:v>
                </c:pt>
                <c:pt idx="216">
                  <c:v>-1.1995398415539475E-3</c:v>
                </c:pt>
                <c:pt idx="217">
                  <c:v>-1.2010430381004843E-3</c:v>
                </c:pt>
                <c:pt idx="218">
                  <c:v>-1.2066551371064118E-3</c:v>
                </c:pt>
                <c:pt idx="219">
                  <c:v>-1.2089007864911588E-3</c:v>
                </c:pt>
                <c:pt idx="220">
                  <c:v>-1.2113376340309578E-3</c:v>
                </c:pt>
                <c:pt idx="221">
                  <c:v>-1.2139679137040085E-3</c:v>
                </c:pt>
                <c:pt idx="222">
                  <c:v>-1.2167938594885106E-3</c:v>
                </c:pt>
                <c:pt idx="223">
                  <c:v>-1.2264680332927228E-3</c:v>
                </c:pt>
                <c:pt idx="224">
                  <c:v>-1.2300989833050279E-3</c:v>
                </c:pt>
                <c:pt idx="225">
                  <c:v>-1.2339367693197829E-3</c:v>
                </c:pt>
                <c:pt idx="226">
                  <c:v>-1.2379836253151879E-3</c:v>
                </c:pt>
                <c:pt idx="227">
                  <c:v>-1.2614321442389485E-3</c:v>
                </c:pt>
                <c:pt idx="228">
                  <c:v>-1.2667803336604457E-3</c:v>
                </c:pt>
                <c:pt idx="229">
                  <c:v>-1.2723532309099914E-3</c:v>
                </c:pt>
                <c:pt idx="230">
                  <c:v>-1.2781530699657844E-3</c:v>
                </c:pt>
                <c:pt idx="231">
                  <c:v>-1.2969365777526466E-3</c:v>
                </c:pt>
                <c:pt idx="232">
                  <c:v>-1.3036665238154274E-3</c:v>
                </c:pt>
                <c:pt idx="233">
                  <c:v>-1.3106345815754544E-3</c:v>
                </c:pt>
                <c:pt idx="234">
                  <c:v>-1.3178429850109273E-3</c:v>
                </c:pt>
                <c:pt idx="235">
                  <c:v>-1.3252939681000458E-3</c:v>
                </c:pt>
                <c:pt idx="236">
                  <c:v>-1.3575683765569718E-3</c:v>
                </c:pt>
                <c:pt idx="237">
                  <c:v>-1.3662657675873144E-3</c:v>
                </c:pt>
                <c:pt idx="238">
                  <c:v>-1.3752191421405014E-3</c:v>
                </c:pt>
                <c:pt idx="239">
                  <c:v>-1.384430734194732E-3</c:v>
                </c:pt>
                <c:pt idx="240">
                  <c:v>-1.4136371551456842E-3</c:v>
                </c:pt>
                <c:pt idx="241">
                  <c:v>-1.4239039569860872E-3</c:v>
                </c:pt>
                <c:pt idx="242">
                  <c:v>-1.4344401462185324E-3</c:v>
                </c:pt>
                <c:pt idx="243">
                  <c:v>-1.4452479568212203E-3</c:v>
                </c:pt>
                <c:pt idx="244">
                  <c:v>-1.4563296227723505E-3</c:v>
                </c:pt>
                <c:pt idx="245">
                  <c:v>-1.4912400924983874E-3</c:v>
                </c:pt>
                <c:pt idx="246">
                  <c:v>-1.5034395196252819E-3</c:v>
                </c:pt>
                <c:pt idx="247">
                  <c:v>-1.5159239719916167E-3</c:v>
                </c:pt>
                <c:pt idx="248">
                  <c:v>-1.5286956835755914E-3</c:v>
                </c:pt>
                <c:pt idx="249">
                  <c:v>-1.5417568883554064E-3</c:v>
                </c:pt>
                <c:pt idx="250">
                  <c:v>-1.5826998016518891E-3</c:v>
                </c:pt>
                <c:pt idx="251">
                  <c:v>-1.5969413189970613E-3</c:v>
                </c:pt>
                <c:pt idx="252">
                  <c:v>-1.611483499429072E-3</c:v>
                </c:pt>
                <c:pt idx="253">
                  <c:v>-1.6263285769261213E-3</c:v>
                </c:pt>
                <c:pt idx="254">
                  <c:v>-1.6414787854664083E-3</c:v>
                </c:pt>
                <c:pt idx="255">
                  <c:v>-1.6887825371286959E-3</c:v>
                </c:pt>
                <c:pt idx="256">
                  <c:v>-1.7051756096239327E-3</c:v>
                </c:pt>
                <c:pt idx="257">
                  <c:v>-1.7218849830534062E-3</c:v>
                </c:pt>
                <c:pt idx="258">
                  <c:v>-1.7389128913953169E-3</c:v>
                </c:pt>
                <c:pt idx="259">
                  <c:v>-1.7562615686278621E-3</c:v>
                </c:pt>
                <c:pt idx="260">
                  <c:v>-1.8092672240919302E-3</c:v>
                </c:pt>
                <c:pt idx="261">
                  <c:v>-1.8266048657773586E-3</c:v>
                </c:pt>
                <c:pt idx="262">
                  <c:v>-1.8436161561966181E-3</c:v>
                </c:pt>
                <c:pt idx="263">
                  <c:v>-1.8603032588530315E-3</c:v>
                </c:pt>
                <c:pt idx="264">
                  <c:v>-1.8766683372499168E-3</c:v>
                </c:pt>
                <c:pt idx="265">
                  <c:v>-1.9238530619166232E-3</c:v>
                </c:pt>
                <c:pt idx="266">
                  <c:v>-1.9389516783086089E-3</c:v>
                </c:pt>
                <c:pt idx="267">
                  <c:v>-1.9537390879576723E-3</c:v>
                </c:pt>
                <c:pt idx="268">
                  <c:v>-1.9682174543671316E-3</c:v>
                </c:pt>
                <c:pt idx="269">
                  <c:v>-1.9823889410403098E-3</c:v>
                </c:pt>
                <c:pt idx="270">
                  <c:v>-2.0230837576753575E-3</c:v>
                </c:pt>
                <c:pt idx="271">
                  <c:v>-2.0360493604366123E-3</c:v>
                </c:pt>
                <c:pt idx="272">
                  <c:v>-2.0487189009781893E-3</c:v>
                </c:pt>
                <c:pt idx="273">
                  <c:v>-2.0610945428034067E-3</c:v>
                </c:pt>
                <c:pt idx="274">
                  <c:v>-2.0731784494155874E-3</c:v>
                </c:pt>
                <c:pt idx="275">
                  <c:v>-2.1077013930071082E-3</c:v>
                </c:pt>
                <c:pt idx="276">
                  <c:v>-2.1186399938003431E-3</c:v>
                </c:pt>
                <c:pt idx="277">
                  <c:v>-2.1292976768971443E-3</c:v>
                </c:pt>
                <c:pt idx="278">
                  <c:v>-2.1396766058008306E-3</c:v>
                </c:pt>
                <c:pt idx="279">
                  <c:v>-2.1497789440147247E-3</c:v>
                </c:pt>
                <c:pt idx="280">
                  <c:v>-2.1784480495508508E-3</c:v>
                </c:pt>
                <c:pt idx="281">
                  <c:v>-2.1874656600387771E-3</c:v>
                </c:pt>
                <c:pt idx="282">
                  <c:v>-2.1962174973535137E-3</c:v>
                </c:pt>
                <c:pt idx="283">
                  <c:v>-2.2047057249983794E-3</c:v>
                </c:pt>
                <c:pt idx="284">
                  <c:v>-2.2129325064766973E-3</c:v>
                </c:pt>
                <c:pt idx="285">
                  <c:v>-2.2360658089455613E-3</c:v>
                </c:pt>
                <c:pt idx="286">
                  <c:v>-2.2432684407908896E-3</c:v>
                </c:pt>
                <c:pt idx="287">
                  <c:v>-2.2502204439862712E-3</c:v>
                </c:pt>
                <c:pt idx="288">
                  <c:v>-2.256923982035028E-3</c:v>
                </c:pt>
                <c:pt idx="289">
                  <c:v>-2.2633812184404802E-3</c:v>
                </c:pt>
                <c:pt idx="290">
                  <c:v>-2.2812967528302156E-3</c:v>
                </c:pt>
                <c:pt idx="291">
                  <c:v>-2.2867904176956562E-3</c:v>
                </c:pt>
                <c:pt idx="292">
                  <c:v>-2.2920485984343941E-3</c:v>
                </c:pt>
                <c:pt idx="293">
                  <c:v>-2.2970734585497526E-3</c:v>
                </c:pt>
                <c:pt idx="294">
                  <c:v>-2.3018671615450499E-3</c:v>
                </c:pt>
                <c:pt idx="295">
                  <c:v>-2.3148829628437885E-3</c:v>
                </c:pt>
                <c:pt idx="296">
                  <c:v>-2.3187736723920519E-3</c:v>
                </c:pt>
                <c:pt idx="297">
                  <c:v>-2.3224440423368579E-3</c:v>
                </c:pt>
                <c:pt idx="298">
                  <c:v>-2.3258962361815279E-3</c:v>
                </c:pt>
                <c:pt idx="299">
                  <c:v>-2.3291324174293817E-3</c:v>
                </c:pt>
                <c:pt idx="300">
                  <c:v>-2.3375665206252553E-3</c:v>
                </c:pt>
                <c:pt idx="301">
                  <c:v>-2.3399602865190523E-3</c:v>
                </c:pt>
                <c:pt idx="302">
                  <c:v>-2.3421488573326368E-3</c:v>
                </c:pt>
                <c:pt idx="303">
                  <c:v>-2.3441343965693293E-3</c:v>
                </c:pt>
                <c:pt idx="304">
                  <c:v>-2.3459190677324504E-3</c:v>
                </c:pt>
                <c:pt idx="305">
                  <c:v>-2.3500895078135916E-3</c:v>
                </c:pt>
                <c:pt idx="306">
                  <c:v>-2.3510923417156336E-3</c:v>
                </c:pt>
                <c:pt idx="307">
                  <c:v>-2.3519051250607071E-3</c:v>
                </c:pt>
                <c:pt idx="308">
                  <c:v>-2.352530021352133E-3</c:v>
                </c:pt>
                <c:pt idx="309">
                  <c:v>-2.3529691940932318E-3</c:v>
                </c:pt>
                <c:pt idx="310">
                  <c:v>-2.3531940060477733E-3</c:v>
                </c:pt>
                <c:pt idx="311">
                  <c:v>-2.3529119196207707E-3</c:v>
                </c:pt>
                <c:pt idx="312">
                  <c:v>-2.3524549271600435E-3</c:v>
                </c:pt>
                <c:pt idx="313">
                  <c:v>-2.3518251921689141E-3</c:v>
                </c:pt>
                <c:pt idx="314">
                  <c:v>-2.3510248781507016E-3</c:v>
                </c:pt>
                <c:pt idx="315">
                  <c:v>-2.3476220969667751E-3</c:v>
                </c:pt>
                <c:pt idx="316">
                  <c:v>-2.3461611018734388E-3</c:v>
                </c:pt>
                <c:pt idx="317">
                  <c:v>-2.3445403452696228E-3</c:v>
                </c:pt>
                <c:pt idx="318">
                  <c:v>-2.3427619906586481E-3</c:v>
                </c:pt>
                <c:pt idx="319">
                  <c:v>-2.3408282015438347E-3</c:v>
                </c:pt>
                <c:pt idx="320">
                  <c:v>-2.3341158622095732E-3</c:v>
                </c:pt>
                <c:pt idx="321">
                  <c:v>-2.3315819701126136E-3</c:v>
                </c:pt>
                <c:pt idx="322">
                  <c:v>-2.3289034610284192E-3</c:v>
                </c:pt>
                <c:pt idx="323">
                  <c:v>-2.3260824984603096E-3</c:v>
                </c:pt>
                <c:pt idx="324">
                  <c:v>-2.3231212459116075E-3</c:v>
                </c:pt>
                <c:pt idx="325">
                  <c:v>-2.3134173834151424E-3</c:v>
                </c:pt>
                <c:pt idx="326">
                  <c:v>-2.3099166059772705E-3</c:v>
                </c:pt>
                <c:pt idx="327">
                  <c:v>-2.3062863560754086E-3</c:v>
                </c:pt>
                <c:pt idx="328">
                  <c:v>-2.3025287972128759E-3</c:v>
                </c:pt>
                <c:pt idx="329">
                  <c:v>-2.2986460928929946E-3</c:v>
                </c:pt>
                <c:pt idx="330">
                  <c:v>-2.286268742222459E-3</c:v>
                </c:pt>
                <c:pt idx="331">
                  <c:v>-2.2819070911063856E-3</c:v>
                </c:pt>
                <c:pt idx="332">
                  <c:v>-2.2774311120495666E-3</c:v>
                </c:pt>
                <c:pt idx="333">
                  <c:v>-2.2728429685553212E-3</c:v>
                </c:pt>
                <c:pt idx="334">
                  <c:v>-2.2681448241269712E-3</c:v>
                </c:pt>
                <c:pt idx="335">
                  <c:v>-2.2534120202704977E-3</c:v>
                </c:pt>
                <c:pt idx="336">
                  <c:v>-2.2482955071389341E-3</c:v>
                </c:pt>
                <c:pt idx="337">
                  <c:v>-2.2430798105898685E-3</c:v>
                </c:pt>
                <c:pt idx="338">
                  <c:v>-2.2377670941266217E-3</c:v>
                </c:pt>
                <c:pt idx="339">
                  <c:v>-2.232359521252514E-3</c:v>
                </c:pt>
                <c:pt idx="340">
                  <c:v>-2.2155892991982343E-3</c:v>
                </c:pt>
                <c:pt idx="341">
                  <c:v>-2.209823935713891E-3</c:v>
                </c:pt>
                <c:pt idx="342">
                  <c:v>-2.2039745333352896E-3</c:v>
                </c:pt>
                <c:pt idx="343">
                  <c:v>-2.1980432555657519E-3</c:v>
                </c:pt>
                <c:pt idx="344">
                  <c:v>-2.1920322659085977E-3</c:v>
                </c:pt>
                <c:pt idx="345">
                  <c:v>-2.1735426606446441E-3</c:v>
                </c:pt>
                <c:pt idx="346">
                  <c:v>-2.1672344584702319E-3</c:v>
                </c:pt>
                <c:pt idx="347">
                  <c:v>-2.1608573619248056E-3</c:v>
                </c:pt>
                <c:pt idx="348">
                  <c:v>-2.1544135345116879E-3</c:v>
                </c:pt>
                <c:pt idx="349">
                  <c:v>-2.1479051397341976E-3</c:v>
                </c:pt>
                <c:pt idx="350">
                  <c:v>-2.1280141862487036E-3</c:v>
                </c:pt>
                <c:pt idx="351">
                  <c:v>-2.1212691570469322E-3</c:v>
                </c:pt>
                <c:pt idx="352">
                  <c:v>-2.1144703779973932E-3</c:v>
                </c:pt>
                <c:pt idx="353">
                  <c:v>-2.107620012603405E-3</c:v>
                </c:pt>
                <c:pt idx="354">
                  <c:v>-2.1007202243682895E-3</c:v>
                </c:pt>
                <c:pt idx="355">
                  <c:v>-2.0797459576493865E-3</c:v>
                </c:pt>
                <c:pt idx="356">
                  <c:v>-2.0726701130829679E-3</c:v>
                </c:pt>
                <c:pt idx="357">
                  <c:v>-2.0655556631920249E-3</c:v>
                </c:pt>
                <c:pt idx="358">
                  <c:v>-2.0584047714798789E-3</c:v>
                </c:pt>
                <c:pt idx="359">
                  <c:v>-2.0512196014498495E-3</c:v>
                </c:pt>
                <c:pt idx="360">
                  <c:v>-2.0294800564856692E-3</c:v>
                </c:pt>
                <c:pt idx="361">
                  <c:v>-2.0221794082173139E-3</c:v>
                </c:pt>
                <c:pt idx="362">
                  <c:v>-2.0148552991476787E-3</c:v>
                </c:pt>
                <c:pt idx="363">
                  <c:v>-2.0075098927800844E-3</c:v>
                </c:pt>
                <c:pt idx="364">
                  <c:v>-2.0001453526178521E-3</c:v>
                </c:pt>
                <c:pt idx="365">
                  <c:v>-1.9779585643965275E-3</c:v>
                </c:pt>
                <c:pt idx="366">
                  <c:v>-1.9705391240889465E-3</c:v>
                </c:pt>
                <c:pt idx="367">
                  <c:v>-1.9631113675033294E-3</c:v>
                </c:pt>
                <c:pt idx="368">
                  <c:v>-1.9556774581429978E-3</c:v>
                </c:pt>
                <c:pt idx="369">
                  <c:v>-1.9482395595112724E-3</c:v>
                </c:pt>
                <c:pt idx="370">
                  <c:v>-1.925923563020936E-3</c:v>
                </c:pt>
                <c:pt idx="371">
                  <c:v>-1.9184913423368401E-3</c:v>
                </c:pt>
                <c:pt idx="372">
                  <c:v>-1.9110659498979524E-3</c:v>
                </c:pt>
                <c:pt idx="373">
                  <c:v>-1.9036495492075946E-3</c:v>
                </c:pt>
                <c:pt idx="374">
                  <c:v>-1.8962443037690868E-3</c:v>
                </c:pt>
                <c:pt idx="375">
                  <c:v>-1.8741171339978705E-3</c:v>
                </c:pt>
                <c:pt idx="376">
                  <c:v>-1.8667781445999704E-3</c:v>
                </c:pt>
                <c:pt idx="377">
                  <c:v>-1.8594611279705228E-3</c:v>
                </c:pt>
                <c:pt idx="378">
                  <c:v>-1.8521682476128495E-3</c:v>
                </c:pt>
                <c:pt idx="379">
                  <c:v>-1.8449016670302706E-3</c:v>
                </c:pt>
                <c:pt idx="380">
                  <c:v>-1.8232813589663078E-3</c:v>
                </c:pt>
                <c:pt idx="381">
                  <c:v>-1.8161416125173132E-3</c:v>
                </c:pt>
                <c:pt idx="382">
                  <c:v>-1.8090389833600165E-3</c:v>
                </c:pt>
                <c:pt idx="383">
                  <c:v>-1.8019756349977386E-3</c:v>
                </c:pt>
                <c:pt idx="384">
                  <c:v>-1.7949537309337989E-3</c:v>
                </c:pt>
                <c:pt idx="385">
                  <c:v>-1.7741583195652214E-3</c:v>
                </c:pt>
                <c:pt idx="386">
                  <c:v>-1.7673238277278441E-3</c:v>
                </c:pt>
                <c:pt idx="387">
                  <c:v>-1.7605415977054093E-3</c:v>
                </c:pt>
                <c:pt idx="388">
                  <c:v>-1.7538137930012368E-3</c:v>
                </c:pt>
                <c:pt idx="389">
                  <c:v>-1.7471425771186475E-3</c:v>
                </c:pt>
                <c:pt idx="390">
                  <c:v>-1.7274900974335876E-3</c:v>
                </c:pt>
                <c:pt idx="391">
                  <c:v>-1.7210664261122627E-3</c:v>
                </c:pt>
                <c:pt idx="392">
                  <c:v>-1.7147074865794729E-3</c:v>
                </c:pt>
                <c:pt idx="393">
                  <c:v>-1.7084127677888853E-3</c:v>
                </c:pt>
                <c:pt idx="394">
                  <c:v>-1.7021817586941696E-3</c:v>
                </c:pt>
                <c:pt idx="395">
                  <c:v>-1.6838658791219342E-3</c:v>
                </c:pt>
                <c:pt idx="396">
                  <c:v>-1.6778845983473883E-3</c:v>
                </c:pt>
                <c:pt idx="397">
                  <c:v>-1.6719644720370568E-3</c:v>
                </c:pt>
                <c:pt idx="398">
                  <c:v>-1.6661049891446066E-3</c:v>
                </c:pt>
                <c:pt idx="399">
                  <c:v>-1.6603056386237079E-3</c:v>
                </c:pt>
                <c:pt idx="400">
                  <c:v>-1.643263270827E-3</c:v>
                </c:pt>
                <c:pt idx="401">
                  <c:v>-1.6376993393289892E-3</c:v>
                </c:pt>
                <c:pt idx="402">
                  <c:v>-1.6321929849708707E-3</c:v>
                </c:pt>
                <c:pt idx="403">
                  <c:v>-1.6267436967063141E-3</c:v>
                </c:pt>
                <c:pt idx="404">
                  <c:v>-1.6213509634889882E-3</c:v>
                </c:pt>
                <c:pt idx="405">
                  <c:v>-1.5952177364892065E-3</c:v>
                </c:pt>
                <c:pt idx="406">
                  <c:v>-1.5901536015822996E-3</c:v>
                </c:pt>
                <c:pt idx="407">
                  <c:v>-1.5851424443983019E-3</c:v>
                </c:pt>
                <c:pt idx="408">
                  <c:v>-1.5656173719647767E-3</c:v>
                </c:pt>
                <c:pt idx="409">
                  <c:v>-1.5608634377003547E-3</c:v>
                </c:pt>
                <c:pt idx="410">
                  <c:v>-1.5561594148808522E-3</c:v>
                </c:pt>
                <c:pt idx="411">
                  <c:v>-1.551504792459939E-3</c:v>
                </c:pt>
                <c:pt idx="412">
                  <c:v>-1.5378322171254188E-3</c:v>
                </c:pt>
                <c:pt idx="413">
                  <c:v>-1.5333700858355462E-3</c:v>
                </c:pt>
                <c:pt idx="414">
                  <c:v>-1.5289547997126051E-3</c:v>
                </c:pt>
                <c:pt idx="415">
                  <c:v>-1.5245858477102641E-3</c:v>
                </c:pt>
                <c:pt idx="416">
                  <c:v>-1.5202627187821916E-3</c:v>
                </c:pt>
                <c:pt idx="417">
                  <c:v>-1.5075631599802677E-3</c:v>
                </c:pt>
                <c:pt idx="418">
                  <c:v>-1.5034182128859535E-3</c:v>
                </c:pt>
                <c:pt idx="419">
                  <c:v>-1.4993165336342502E-3</c:v>
                </c:pt>
                <c:pt idx="420">
                  <c:v>-1.4952576111788255E-3</c:v>
                </c:pt>
                <c:pt idx="421">
                  <c:v>-1.4912409344733485E-3</c:v>
                </c:pt>
                <c:pt idx="422">
                  <c:v>-1.4794392683932906E-3</c:v>
                </c:pt>
                <c:pt idx="423">
                  <c:v>-1.4755864642242897E-3</c:v>
                </c:pt>
                <c:pt idx="424">
                  <c:v>-1.4717733505735789E-3</c:v>
                </c:pt>
                <c:pt idx="425">
                  <c:v>-1.4679994163948273E-3</c:v>
                </c:pt>
                <c:pt idx="426">
                  <c:v>-1.4642641506417029E-3</c:v>
                </c:pt>
                <c:pt idx="427">
                  <c:v>-1.4532852534727767E-3</c:v>
                </c:pt>
                <c:pt idx="428">
                  <c:v>-1.4496995509588456E-3</c:v>
                </c:pt>
                <c:pt idx="429">
                  <c:v>-1.4461499616388843E-3</c:v>
                </c:pt>
                <c:pt idx="430">
                  <c:v>-1.4426359744665609E-3</c:v>
                </c:pt>
                <c:pt idx="431">
                  <c:v>-1.4391570783955439E-3</c:v>
                </c:pt>
                <c:pt idx="432">
                  <c:v>-1.4289258263270178E-3</c:v>
                </c:pt>
                <c:pt idx="433">
                  <c:v>-1.425582184197912E-3</c:v>
                </c:pt>
                <c:pt idx="434">
                  <c:v>-1.4222710779384553E-3</c:v>
                </c:pt>
                <c:pt idx="435">
                  <c:v>-1.4189919965023167E-3</c:v>
                </c:pt>
                <c:pt idx="436">
                  <c:v>-1.4157444288431631E-3</c:v>
                </c:pt>
                <c:pt idx="437">
                  <c:v>-1.4061856980643046E-3</c:v>
                </c:pt>
                <c:pt idx="438">
                  <c:v>-1.4030590750497801E-3</c:v>
                </c:pt>
                <c:pt idx="439">
                  <c:v>-1.3999614105805842E-3</c:v>
                </c:pt>
                <c:pt idx="440">
                  <c:v>-1.3968921936103849E-3</c:v>
                </c:pt>
                <c:pt idx="441">
                  <c:v>-1.3938509130928514E-3</c:v>
                </c:pt>
                <c:pt idx="442">
                  <c:v>-1.3848895797929275E-3</c:v>
                </c:pt>
                <c:pt idx="443">
                  <c:v>-1.3819549346227402E-3</c:v>
                </c:pt>
                <c:pt idx="444">
                  <c:v>-1.3790456706735607E-3</c:v>
                </c:pt>
                <c:pt idx="445">
                  <c:v>-1.3761612768990574E-3</c:v>
                </c:pt>
                <c:pt idx="446">
                  <c:v>-1.3733012422528991E-3</c:v>
                </c:pt>
                <c:pt idx="447">
                  <c:v>-1.3648621826211774E-3</c:v>
                </c:pt>
                <c:pt idx="448">
                  <c:v>-1.362094474025083E-3</c:v>
                </c:pt>
                <c:pt idx="449">
                  <c:v>-1.3593485693256758E-3</c:v>
                </c:pt>
                <c:pt idx="450">
                  <c:v>-1.3566239574766244E-3</c:v>
                </c:pt>
                <c:pt idx="451">
                  <c:v>-1.3539201274315976E-3</c:v>
                </c:pt>
                <c:pt idx="452">
                  <c:v>-1.3459282176573454E-3</c:v>
                </c:pt>
                <c:pt idx="453">
                  <c:v>-1.3433024043650998E-3</c:v>
                </c:pt>
                <c:pt idx="454">
                  <c:v>-1.3406948176452212E-3</c:v>
                </c:pt>
                <c:pt idx="455">
                  <c:v>-1.338104946451377E-3</c:v>
                </c:pt>
                <c:pt idx="456">
                  <c:v>-1.3355322797372366E-3</c:v>
                </c:pt>
                <c:pt idx="457">
                  <c:v>-1.3279123960097227E-3</c:v>
                </c:pt>
                <c:pt idx="458">
                  <c:v>-1.3254034367510812E-3</c:v>
                </c:pt>
                <c:pt idx="459">
                  <c:v>-1.3229091267404863E-3</c:v>
                </c:pt>
                <c:pt idx="460">
                  <c:v>-1.320428954931606E-3</c:v>
                </c:pt>
                <c:pt idx="461">
                  <c:v>-1.3179624102781088E-3</c:v>
                </c:pt>
                <c:pt idx="462">
                  <c:v>-1.3106394287865993E-3</c:v>
                </c:pt>
                <c:pt idx="463">
                  <c:v>-1.3082222822913187E-3</c:v>
                </c:pt>
                <c:pt idx="464">
                  <c:v>-1.3058162077197635E-3</c:v>
                </c:pt>
                <c:pt idx="465">
                  <c:v>-1.3034206940256022E-3</c:v>
                </c:pt>
                <c:pt idx="466">
                  <c:v>-1.3010352301625035E-3</c:v>
                </c:pt>
                <c:pt idx="467">
                  <c:v>-1.2939340270962663E-3</c:v>
                </c:pt>
                <c:pt idx="468">
                  <c:v>-1.291583652094102E-3</c:v>
                </c:pt>
                <c:pt idx="469">
                  <c:v>-1.2892407716913424E-3</c:v>
                </c:pt>
                <c:pt idx="470">
                  <c:v>-1.2869048748416563E-3</c:v>
                </c:pt>
                <c:pt idx="471">
                  <c:v>-1.2753122572677226E-3</c:v>
                </c:pt>
                <c:pt idx="472">
                  <c:v>-1.2730075297635146E-3</c:v>
                </c:pt>
                <c:pt idx="473">
                  <c:v>-1.2707062084880592E-3</c:v>
                </c:pt>
                <c:pt idx="474">
                  <c:v>-1.2684077823950253E-3</c:v>
                </c:pt>
                <c:pt idx="475">
                  <c:v>-1.2615247647471356E-3</c:v>
                </c:pt>
                <c:pt idx="476">
                  <c:v>-1.2592328089204715E-3</c:v>
                </c:pt>
                <c:pt idx="477">
                  <c:v>-1.2569411930445707E-3</c:v>
                </c:pt>
                <c:pt idx="478">
                  <c:v>-1.2546494060731023E-3</c:v>
                </c:pt>
                <c:pt idx="479">
                  <c:v>-1.2523569369597342E-3</c:v>
                </c:pt>
                <c:pt idx="480">
                  <c:v>-1.2454703263049193E-3</c:v>
                </c:pt>
                <c:pt idx="481">
                  <c:v>-1.2431700181606388E-3</c:v>
                </c:pt>
                <c:pt idx="482">
                  <c:v>-1.2408664726428014E-3</c:v>
                </c:pt>
                <c:pt idx="483">
                  <c:v>-1.2385591787050754E-3</c:v>
                </c:pt>
                <c:pt idx="484">
                  <c:v>-1.2362476253011297E-3</c:v>
                </c:pt>
                <c:pt idx="485">
                  <c:v>-1.2292822978286569E-3</c:v>
                </c:pt>
                <c:pt idx="486">
                  <c:v>-1.226948596096516E-3</c:v>
                </c:pt>
                <c:pt idx="487">
                  <c:v>-1.2246080796664977E-3</c:v>
                </c:pt>
                <c:pt idx="488">
                  <c:v>-1.22226023749227E-3</c:v>
                </c:pt>
                <c:pt idx="489">
                  <c:v>-1.2199045585275018E-3</c:v>
                </c:pt>
                <c:pt idx="490">
                  <c:v>-1.2127853904266392E-3</c:v>
                </c:pt>
                <c:pt idx="491">
                  <c:v>-1.2079907252239498E-3</c:v>
                </c:pt>
                <c:pt idx="492">
                  <c:v>-1.2055772935429768E-3</c:v>
                </c:pt>
                <c:pt idx="493">
                  <c:v>-1.2031524477471424E-3</c:v>
                </c:pt>
                <c:pt idx="494">
                  <c:v>-1.195804315207157E-3</c:v>
                </c:pt>
                <c:pt idx="495">
                  <c:v>-1.193328702488563E-3</c:v>
                </c:pt>
                <c:pt idx="496">
                  <c:v>-1.1908391204234498E-3</c:v>
                </c:pt>
                <c:pt idx="497">
                  <c:v>-1.1883350579654866E-3</c:v>
                </c:pt>
                <c:pt idx="498">
                  <c:v>-1.1858160040683417E-3</c:v>
                </c:pt>
                <c:pt idx="499">
                  <c:v>-1.1781637832785007E-3</c:v>
                </c:pt>
                <c:pt idx="500">
                  <c:v>-1.1755796531613134E-3</c:v>
                </c:pt>
                <c:pt idx="501">
                  <c:v>-1.1729779763732873E-3</c:v>
                </c:pt>
                <c:pt idx="502">
                  <c:v>-1.17035824186809E-3</c:v>
                </c:pt>
                <c:pt idx="503">
                  <c:v>-1.1677199385993905E-3</c:v>
                </c:pt>
                <c:pt idx="504">
                  <c:v>-1.1596885057489623E-3</c:v>
                </c:pt>
                <c:pt idx="505">
                  <c:v>-1.1569708169629381E-3</c:v>
                </c:pt>
                <c:pt idx="506">
                  <c:v>-1.1542320041817537E-3</c:v>
                </c:pt>
                <c:pt idx="507">
                  <c:v>-1.151471556359078E-3</c:v>
                </c:pt>
                <c:pt idx="508">
                  <c:v>-1.1486889624485797E-3</c:v>
                </c:pt>
                <c:pt idx="509">
                  <c:v>-1.1402031937268315E-3</c:v>
                </c:pt>
                <c:pt idx="510">
                  <c:v>-1.137326905001726E-3</c:v>
                </c:pt>
                <c:pt idx="511">
                  <c:v>-1.1344259149571403E-3</c:v>
                </c:pt>
                <c:pt idx="512">
                  <c:v>-1.1314997125467421E-3</c:v>
                </c:pt>
                <c:pt idx="513">
                  <c:v>-1.1285477867242007E-3</c:v>
                </c:pt>
                <c:pt idx="514">
                  <c:v>-1.1195325583203998E-3</c:v>
                </c:pt>
                <c:pt idx="515">
                  <c:v>-1.1164727405820099E-3</c:v>
                </c:pt>
                <c:pt idx="516">
                  <c:v>-1.1133853173760646E-3</c:v>
                </c:pt>
                <c:pt idx="517">
                  <c:v>-1.1102704508324777E-3</c:v>
                </c:pt>
                <c:pt idx="518">
                  <c:v>-1.1071283030811641E-3</c:v>
                </c:pt>
                <c:pt idx="519">
                  <c:v>-1.0975397938800039E-3</c:v>
                </c:pt>
                <c:pt idx="520">
                  <c:v>-1.0942901425969242E-3</c:v>
                </c:pt>
                <c:pt idx="521">
                  <c:v>-1.0910140207556886E-3</c:v>
                </c:pt>
                <c:pt idx="522">
                  <c:v>-1.0877115904862108E-3</c:v>
                </c:pt>
                <c:pt idx="523">
                  <c:v>-1.084383013918405E-3</c:v>
                </c:pt>
                <c:pt idx="524">
                  <c:v>-1.0742420277241656E-3</c:v>
                </c:pt>
                <c:pt idx="525">
                  <c:v>-1.070810487262191E-3</c:v>
                </c:pt>
                <c:pt idx="526">
                  <c:v>-1.0673536111514609E-3</c:v>
                </c:pt>
                <c:pt idx="527">
                  <c:v>-1.0638715615218875E-3</c:v>
                </c:pt>
                <c:pt idx="528">
                  <c:v>-1.0603645005033858E-3</c:v>
                </c:pt>
                <c:pt idx="529">
                  <c:v>-1.0496948704134521E-3</c:v>
                </c:pt>
                <c:pt idx="530">
                  <c:v>-1.0460893851383791E-3</c:v>
                </c:pt>
                <c:pt idx="531">
                  <c:v>-1.042459699123949E-3</c:v>
                </c:pt>
                <c:pt idx="532">
                  <c:v>-1.0388059745000753E-3</c:v>
                </c:pt>
                <c:pt idx="533">
                  <c:v>-1.0351283733966733E-3</c:v>
                </c:pt>
                <c:pt idx="534">
                  <c:v>-1.0239539325084333E-3</c:v>
                </c:pt>
                <c:pt idx="535">
                  <c:v>-1.0201824467860566E-3</c:v>
                </c:pt>
                <c:pt idx="536">
                  <c:v>-1.0163878952337219E-3</c:v>
                </c:pt>
                <c:pt idx="537">
                  <c:v>-1.0125704399813432E-3</c:v>
                </c:pt>
                <c:pt idx="538">
                  <c:v>-1.0087302431588357E-3</c:v>
                </c:pt>
                <c:pt idx="539">
                  <c:v>-9.970748245696757E-4</c:v>
                </c:pt>
                <c:pt idx="540">
                  <c:v>-9.93145282765791E-4</c:v>
                </c:pt>
                <c:pt idx="541">
                  <c:v>-9.8919381004134756E-4</c:v>
                </c:pt>
                <c:pt idx="542">
                  <c:v>-9.8522056852625947E-4</c:v>
                </c:pt>
                <c:pt idx="543">
                  <c:v>-9.8122572035044126E-4</c:v>
                </c:pt>
                <c:pt idx="544">
                  <c:v>-9.6911315715774728E-4</c:v>
                </c:pt>
                <c:pt idx="545">
                  <c:v>-9.650335036381504E-4</c:v>
                </c:pt>
                <c:pt idx="546">
                  <c:v>-9.6093305410739345E-4</c:v>
                </c:pt>
                <c:pt idx="547">
                  <c:v>-9.5681197069539148E-4</c:v>
                </c:pt>
                <c:pt idx="548">
                  <c:v>-9.526704155320586E-4</c:v>
                </c:pt>
                <c:pt idx="549">
                  <c:v>-9.4012454083321662E-4</c:v>
                </c:pt>
                <c:pt idx="550">
                  <c:v>-9.359027199637019E-4</c:v>
                </c:pt>
                <c:pt idx="551">
                  <c:v>-9.3166123799242706E-4</c:v>
                </c:pt>
                <c:pt idx="552">
                  <c:v>-9.2740025704930718E-4</c:v>
                </c:pt>
                <c:pt idx="553">
                  <c:v>-9.2311993926425515E-4</c:v>
                </c:pt>
                <c:pt idx="554">
                  <c:v>-9.1016458615665087E-4</c:v>
                </c:pt>
                <c:pt idx="555">
                  <c:v>-9.0580854230301415E-4</c:v>
                </c:pt>
                <c:pt idx="556">
                  <c:v>-9.0143397225701772E-4</c:v>
                </c:pt>
                <c:pt idx="557">
                  <c:v>-8.9704103814857382E-4</c:v>
                </c:pt>
                <c:pt idx="558">
                  <c:v>-8.9262990210759851E-4</c:v>
                </c:pt>
                <c:pt idx="559">
                  <c:v>-8.7928890368861904E-4</c:v>
                </c:pt>
                <c:pt idx="560">
                  <c:v>-8.7480658121665586E-4</c:v>
                </c:pt>
                <c:pt idx="561">
                  <c:v>-8.7030686746173151E-4</c:v>
                </c:pt>
                <c:pt idx="562">
                  <c:v>-8.657899245537601E-4</c:v>
                </c:pt>
                <c:pt idx="563">
                  <c:v>-8.6125591462265637E-4</c:v>
                </c:pt>
                <c:pt idx="564">
                  <c:v>-8.4755310398968852E-4</c:v>
                </c:pt>
                <c:pt idx="565">
                  <c:v>-8.4295244726519439E-4</c:v>
                </c:pt>
                <c:pt idx="566">
                  <c:v>-8.3833553416713842E-4</c:v>
                </c:pt>
                <c:pt idx="567">
                  <c:v>-8.3370252682543459E-4</c:v>
                </c:pt>
                <c:pt idx="568">
                  <c:v>-8.2905358736999721E-4</c:v>
                </c:pt>
                <c:pt idx="569">
                  <c:v>-8.1501279762042646E-4</c:v>
                </c:pt>
                <c:pt idx="570">
                  <c:v>-8.1030175100919768E-4</c:v>
                </c:pt>
                <c:pt idx="571">
                  <c:v>-8.0557558293380528E-4</c:v>
                </c:pt>
                <c:pt idx="572">
                  <c:v>-8.0083445552416466E-4</c:v>
                </c:pt>
                <c:pt idx="573">
                  <c:v>-7.960785309101897E-4</c:v>
                </c:pt>
                <c:pt idx="574">
                  <c:v>-7.8172359514140177E-4</c:v>
                </c:pt>
                <c:pt idx="575">
                  <c:v>-7.7691010300923267E-4</c:v>
                </c:pt>
                <c:pt idx="576">
                  <c:v>-7.7208262432229959E-4</c:v>
                </c:pt>
                <c:pt idx="577">
                  <c:v>-7.6724132121051825E-4</c:v>
                </c:pt>
                <c:pt idx="578">
                  <c:v>-7.6238635580380123E-4</c:v>
                </c:pt>
                <c:pt idx="579">
                  <c:v>-7.4774110711318292E-4</c:v>
                </c:pt>
                <c:pt idx="580">
                  <c:v>-7.4283311382586836E-4</c:v>
                </c:pt>
                <c:pt idx="581">
                  <c:v>-7.3791226889318991E-4</c:v>
                </c:pt>
                <c:pt idx="582">
                  <c:v>-7.329787344450624E-4</c:v>
                </c:pt>
                <c:pt idx="583">
                  <c:v>-7.2803267261139875E-4</c:v>
                </c:pt>
                <c:pt idx="584">
                  <c:v>-7.1312094409633716E-4</c:v>
                </c:pt>
                <c:pt idx="585">
                  <c:v>-7.0812639401967323E-4</c:v>
                </c:pt>
                <c:pt idx="586">
                  <c:v>-7.0312012720704481E-4</c:v>
                </c:pt>
                <c:pt idx="587">
                  <c:v>-6.9810230578836591E-4</c:v>
                </c:pt>
                <c:pt idx="588">
                  <c:v>-6.9307309189355092E-4</c:v>
                </c:pt>
                <c:pt idx="589">
                  <c:v>-6.7791871665143254E-4</c:v>
                </c:pt>
                <c:pt idx="590">
                  <c:v>-6.7284555415121476E-4</c:v>
                </c:pt>
                <c:pt idx="591">
                  <c:v>-6.677618098244318E-4</c:v>
                </c:pt>
                <c:pt idx="592">
                  <c:v>-6.6266764580099778E-4</c:v>
                </c:pt>
                <c:pt idx="593">
                  <c:v>-6.5756322421082689E-4</c:v>
                </c:pt>
                <c:pt idx="594">
                  <c:v>-6.4219003533903622E-4</c:v>
                </c:pt>
                <c:pt idx="595">
                  <c:v>-6.3704620478105989E-4</c:v>
                </c:pt>
                <c:pt idx="596">
                  <c:v>-6.3189292730591858E-4</c:v>
                </c:pt>
                <c:pt idx="597">
                  <c:v>-6.2673036504352474E-4</c:v>
                </c:pt>
                <c:pt idx="598">
                  <c:v>-6.2155868012379357E-4</c:v>
                </c:pt>
                <c:pt idx="599">
                  <c:v>-6.0599051071971678E-4</c:v>
                </c:pt>
                <c:pt idx="600">
                  <c:v>-6.0078395646977743E-4</c:v>
                </c:pt>
                <c:pt idx="601">
                  <c:v>-5.9556909021207252E-4</c:v>
                </c:pt>
                <c:pt idx="602">
                  <c:v>-5.9034607407651429E-4</c:v>
                </c:pt>
                <c:pt idx="603">
                  <c:v>-5.8511507019301892E-4</c:v>
                </c:pt>
                <c:pt idx="604">
                  <c:v>-5.6937575335404321E-4</c:v>
                </c:pt>
                <c:pt idx="605">
                  <c:v>-5.6411441977793637E-4</c:v>
                </c:pt>
                <c:pt idx="606">
                  <c:v>-5.5884590910346209E-4</c:v>
                </c:pt>
                <c:pt idx="607">
                  <c:v>-5.5357038346053598E-4</c:v>
                </c:pt>
                <c:pt idx="608">
                  <c:v>-5.4828800497907007E-4</c:v>
                </c:pt>
                <c:pt idx="609">
                  <c:v>-5.3240137380258258E-4</c:v>
                </c:pt>
                <c:pt idx="610">
                  <c:v>-5.2709320526610345E-4</c:v>
                </c:pt>
                <c:pt idx="611">
                  <c:v>-5.2177899454065651E-4</c:v>
                </c:pt>
                <c:pt idx="612">
                  <c:v>-5.1645890375615587E-4</c:v>
                </c:pt>
                <c:pt idx="613">
                  <c:v>-5.1113309504251584E-4</c:v>
                </c:pt>
                <c:pt idx="614">
                  <c:v>-4.9512298262590184E-4</c:v>
                </c:pt>
                <c:pt idx="615">
                  <c:v>-4.897759234948468E-4</c:v>
                </c:pt>
                <c:pt idx="616">
                  <c:v>-4.8442395708422247E-4</c:v>
                </c:pt>
                <c:pt idx="617">
                  <c:v>-4.7906724552394375E-4</c:v>
                </c:pt>
                <c:pt idx="618">
                  <c:v>-4.7370595094392494E-4</c:v>
                </c:pt>
                <c:pt idx="619">
                  <c:v>-4.575961903845709E-4</c:v>
                </c:pt>
                <c:pt idx="620">
                  <c:v>-4.522181850247336E-4</c:v>
                </c:pt>
                <c:pt idx="621">
                  <c:v>-4.4683640729472804E-4</c:v>
                </c:pt>
                <c:pt idx="622">
                  <c:v>-4.4145101932446682E-4</c:v>
                </c:pt>
                <c:pt idx="623">
                  <c:v>-4.3606218324386466E-4</c:v>
                </c:pt>
                <c:pt idx="624">
                  <c:v>-4.1987660763915586E-4</c:v>
                </c:pt>
                <c:pt idx="625">
                  <c:v>-4.1447560041633268E-4</c:v>
                </c:pt>
                <c:pt idx="626">
                  <c:v>-4.0907195573274056E-4</c:v>
                </c:pt>
                <c:pt idx="627">
                  <c:v>-4.0366583571829198E-4</c:v>
                </c:pt>
                <c:pt idx="628">
                  <c:v>-3.9825740250290292E-4</c:v>
                </c:pt>
                <c:pt idx="629">
                  <c:v>-3.8201984495022642E-4</c:v>
                </c:pt>
                <c:pt idx="630">
                  <c:v>-3.7660378023021267E-4</c:v>
                </c:pt>
                <c:pt idx="631">
                  <c:v>-3.7118621295882865E-4</c:v>
                </c:pt>
                <c:pt idx="632">
                  <c:v>-3.6576730526598818E-4</c:v>
                </c:pt>
                <c:pt idx="633">
                  <c:v>-3.6034721928160666E-4</c:v>
                </c:pt>
                <c:pt idx="634">
                  <c:v>-3.440815128783497E-4</c:v>
                </c:pt>
                <c:pt idx="635">
                  <c:v>-3.3865833502694096E-4</c:v>
                </c:pt>
                <c:pt idx="636">
                  <c:v>-3.3323478953356116E-4</c:v>
                </c:pt>
                <c:pt idx="637">
                  <c:v>-3.2781103852812433E-4</c:v>
                </c:pt>
                <c:pt idx="638">
                  <c:v>-3.2238724414054485E-4</c:v>
                </c:pt>
                <c:pt idx="639">
                  <c:v>-3.0611722198409274E-4</c:v>
                </c:pt>
                <c:pt idx="640">
                  <c:v>-3.0069487536708519E-4</c:v>
                </c:pt>
                <c:pt idx="641">
                  <c:v>-2.9527329601750503E-4</c:v>
                </c:pt>
                <c:pt idx="642">
                  <c:v>-2.8985264606526726E-4</c:v>
                </c:pt>
                <c:pt idx="643">
                  <c:v>-2.844330876402862E-4</c:v>
                </c:pt>
                <c:pt idx="644">
                  <c:v>-2.681825828280245E-4</c:v>
                </c:pt>
                <c:pt idx="645">
                  <c:v>-2.6276898014936193E-4</c:v>
                </c:pt>
                <c:pt idx="646">
                  <c:v>-2.5735708967642156E-4</c:v>
                </c:pt>
                <c:pt idx="647">
                  <c:v>-2.5194688356801472E-4</c:v>
                </c:pt>
                <c:pt idx="648">
                  <c:v>-2.465383339829494E-4</c:v>
                </c:pt>
                <c:pt idx="649">
                  <c:v>-2.303223459559041E-4</c:v>
                </c:pt>
                <c:pt idx="650">
                  <c:v>-2.2492014405230471E-4</c:v>
                </c:pt>
                <c:pt idx="651">
                  <c:v>-2.1951945946609586E-4</c:v>
                </c:pt>
                <c:pt idx="652">
                  <c:v>-2.1412026435608828E-4</c:v>
                </c:pt>
                <c:pt idx="653">
                  <c:v>-2.0872253088108966E-4</c:v>
                </c:pt>
                <c:pt idx="654">
                  <c:v>-1.9253782185425075E-4</c:v>
                </c:pt>
                <c:pt idx="655">
                  <c:v>-1.8714565650738822E-4</c:v>
                </c:pt>
                <c:pt idx="656">
                  <c:v>-1.81754813589584E-4</c:v>
                </c:pt>
                <c:pt idx="657">
                  <c:v>-1.7636526525964755E-4</c:v>
                </c:pt>
                <c:pt idx="658">
                  <c:v>-1.7097698367638859E-4</c:v>
                </c:pt>
                <c:pt idx="659">
                  <c:v>-1.5481946099477482E-4</c:v>
                </c:pt>
                <c:pt idx="660">
                  <c:v>-1.3867233675040399E-4</c:v>
                </c:pt>
                <c:pt idx="661">
                  <c:v>-1.3329214284055758E-4</c:v>
                </c:pt>
                <c:pt idx="662">
                  <c:v>-1.1715771384918597E-4</c:v>
                </c:pt>
                <c:pt idx="663">
                  <c:v>-1.0640627672484066E-4</c:v>
                </c:pt>
                <c:pt idx="664">
                  <c:v>-1.0103192930006712E-4</c:v>
                </c:pt>
                <c:pt idx="665">
                  <c:v>-9.5658458845306204E-5</c:v>
                </c:pt>
                <c:pt idx="666">
                  <c:v>-7.954303088919556E-5</c:v>
                </c:pt>
                <c:pt idx="667">
                  <c:v>-7.4172789902582438E-5</c:v>
                </c:pt>
                <c:pt idx="668">
                  <c:v>-6.8803286680029242E-5</c:v>
                </c:pt>
                <c:pt idx="669">
                  <c:v>-6.3434493380346618E-5</c:v>
                </c:pt>
                <c:pt idx="670">
                  <c:v>-5.8066382162344972E-5</c:v>
                </c:pt>
                <c:pt idx="671">
                  <c:v>-4.196586258651492E-5</c:v>
                </c:pt>
                <c:pt idx="672">
                  <c:v>-3.6600201283329524E-5</c:v>
                </c:pt>
                <c:pt idx="673">
                  <c:v>-3.1235082855872576E-5</c:v>
                </c:pt>
                <c:pt idx="674">
                  <c:v>-2.5870479462954577E-5</c:v>
                </c:pt>
                <c:pt idx="675">
                  <c:v>-2.050636326338338E-5</c:v>
                </c:pt>
                <c:pt idx="676">
                  <c:v>-4.4166594128535705E-6</c:v>
                </c:pt>
                <c:pt idx="677">
                  <c:v>9.4578642523022091E-7</c:v>
                </c:pt>
                <c:pt idx="678">
                  <c:v>6.307884275918038E-6</c:v>
                </c:pt>
                <c:pt idx="679">
                  <c:v>1.1669661980400231E-5</c:v>
                </c:pt>
                <c:pt idx="680">
                  <c:v>1.7031147379867144E-5</c:v>
                </c:pt>
                <c:pt idx="681">
                  <c:v>3.3114128160078858E-5</c:v>
                </c:pt>
                <c:pt idx="682">
                  <c:v>3.8474722751387294E-5</c:v>
                </c:pt>
                <c:pt idx="683">
                  <c:v>4.3835164243633081E-5</c:v>
                </c:pt>
                <c:pt idx="684">
                  <c:v>4.9195480478005655E-5</c:v>
                </c:pt>
                <c:pt idx="685">
                  <c:v>5.4555699295695367E-5</c:v>
                </c:pt>
                <c:pt idx="686">
                  <c:v>7.0636049660570218E-5</c:v>
                </c:pt>
                <c:pt idx="687">
                  <c:v>7.5996157223432063E-5</c:v>
                </c:pt>
                <c:pt idx="688">
                  <c:v>8.1356306575562881E-5</c:v>
                </c:pt>
                <c:pt idx="689">
                  <c:v>8.6716525558152026E-5</c:v>
                </c:pt>
                <c:pt idx="690">
                  <c:v>9.20768420123917E-5</c:v>
                </c:pt>
                <c:pt idx="691">
                  <c:v>1.0815865461691175E-4</c:v>
                </c:pt>
                <c:pt idx="692">
                  <c:v>1.1351963936965326E-4</c:v>
                </c:pt>
                <c:pt idx="693">
                  <c:v>1.188808607999953E-4</c:v>
                </c:pt>
                <c:pt idx="694">
                  <c:v>1.2424234674912986E-4</c:v>
                </c:pt>
                <c:pt idx="695">
                  <c:v>1.2960412505824643E-4</c:v>
                </c:pt>
                <c:pt idx="696">
                  <c:v>1.4569149255739121E-4</c:v>
                </c:pt>
                <c:pt idx="697">
                  <c:v>1.5105471871833948E-4</c:v>
                </c:pt>
                <c:pt idx="698">
                  <c:v>1.564183764452215E-4</c:v>
                </c:pt>
                <c:pt idx="699">
                  <c:v>1.6178249357922685E-4</c:v>
                </c:pt>
                <c:pt idx="700">
                  <c:v>1.6714709796154757E-4</c:v>
                </c:pt>
                <c:pt idx="701">
                  <c:v>1.8324411301029909E-4</c:v>
                </c:pt>
                <c:pt idx="702">
                  <c:v>1.8861094479778121E-4</c:v>
                </c:pt>
                <c:pt idx="703">
                  <c:v>1.9397840303952949E-4</c:v>
                </c:pt>
                <c:pt idx="704">
                  <c:v>1.9934651557673439E-4</c:v>
                </c:pt>
                <c:pt idx="705">
                  <c:v>2.0471531025058622E-4</c:v>
                </c:pt>
                <c:pt idx="706">
                  <c:v>2.2082606550392577E-4</c:v>
                </c:pt>
                <c:pt idx="707">
                  <c:v>2.2619786713626874E-4</c:v>
                </c:pt>
                <c:pt idx="708">
                  <c:v>2.3157049011120954E-4</c:v>
                </c:pt>
                <c:pt idx="709">
                  <c:v>2.3694396226994017E-4</c:v>
                </c:pt>
                <c:pt idx="710">
                  <c:v>2.4231831145365022E-4</c:v>
                </c:pt>
                <c:pt idx="711">
                  <c:v>2.5844689956655906E-4</c:v>
                </c:pt>
                <c:pt idx="712">
                  <c:v>2.6382503526208999E-4</c:v>
                </c:pt>
                <c:pt idx="713">
                  <c:v>2.6920418718855203E-4</c:v>
                </c:pt>
                <c:pt idx="714">
                  <c:v>2.7458438318713559E-4</c:v>
                </c:pt>
                <c:pt idx="715">
                  <c:v>2.7996565109903007E-4</c:v>
                </c:pt>
                <c:pt idx="716">
                  <c:v>2.9611616472649028E-4</c:v>
                </c:pt>
                <c:pt idx="717">
                  <c:v>3.0150199870353624E-4</c:v>
                </c:pt>
                <c:pt idx="718">
                  <c:v>3.0688904379984496E-4</c:v>
                </c:pt>
                <c:pt idx="719">
                  <c:v>3.1227732785660836E-4</c:v>
                </c:pt>
                <c:pt idx="720">
                  <c:v>3.1766687871501598E-4</c:v>
                </c:pt>
                <c:pt idx="721">
                  <c:v>3.3384341051200715E-4</c:v>
                </c:pt>
                <c:pt idx="722">
                  <c:v>3.392383069888953E-4</c:v>
                </c:pt>
                <c:pt idx="723">
                  <c:v>3.4463460947337945E-4</c:v>
                </c:pt>
                <c:pt idx="724">
                  <c:v>3.5003234580664987E-4</c:v>
                </c:pt>
                <c:pt idx="725">
                  <c:v>3.5543154382989617E-4</c:v>
                </c:pt>
                <c:pt idx="726">
                  <c:v>3.716381864514002E-4</c:v>
                </c:pt>
                <c:pt idx="727">
                  <c:v>3.770435096464575E-4</c:v>
                </c:pt>
                <c:pt idx="728">
                  <c:v>3.8245043373744331E-4</c:v>
                </c:pt>
                <c:pt idx="729">
                  <c:v>3.8785898656554777E-4</c:v>
                </c:pt>
                <c:pt idx="730">
                  <c:v>3.9326919597196139E-4</c:v>
                </c:pt>
                <c:pt idx="731">
                  <c:v>4.0951004207295967E-4</c:v>
                </c:pt>
                <c:pt idx="732">
                  <c:v>4.1492715620451335E-4</c:v>
                </c:pt>
                <c:pt idx="733">
                  <c:v>4.2034606612032687E-4</c:v>
                </c:pt>
                <c:pt idx="734">
                  <c:v>4.257667996615927E-4</c:v>
                </c:pt>
                <c:pt idx="735">
                  <c:v>4.3118938466949987E-4</c:v>
                </c:pt>
                <c:pt idx="736">
                  <c:v>4.4746852690497437E-4</c:v>
                </c:pt>
                <c:pt idx="737">
                  <c:v>4.5289879619135056E-4</c:v>
                </c:pt>
                <c:pt idx="738">
                  <c:v>4.583310561503208E-4</c:v>
                </c:pt>
                <c:pt idx="739">
                  <c:v>4.6376533462307474E-4</c:v>
                </c:pt>
                <c:pt idx="740">
                  <c:v>4.9096797913526042E-4</c:v>
                </c:pt>
                <c:pt idx="741">
                  <c:v>4.9641495335571353E-4</c:v>
                </c:pt>
                <c:pt idx="742">
                  <c:v>5.0186414097828187E-4</c:v>
                </c:pt>
                <c:pt idx="743">
                  <c:v>5.0731556984415758E-4</c:v>
                </c:pt>
                <c:pt idx="744">
                  <c:v>5.2368358231352579E-4</c:v>
                </c:pt>
                <c:pt idx="745">
                  <c:v>5.2914425456453075E-4</c:v>
                </c:pt>
                <c:pt idx="746">
                  <c:v>5.4007276825550549E-4</c:v>
                </c:pt>
                <c:pt idx="747">
                  <c:v>5.4554066537785607E-4</c:v>
                </c:pt>
                <c:pt idx="748">
                  <c:v>5.6195925194664335E-4</c:v>
                </c:pt>
                <c:pt idx="749">
                  <c:v>5.6743717200745207E-4</c:v>
                </c:pt>
                <c:pt idx="750">
                  <c:v>5.729176674058522E-4</c:v>
                </c:pt>
                <c:pt idx="751">
                  <c:v>5.7840076598303326E-4</c:v>
                </c:pt>
                <c:pt idx="752">
                  <c:v>5.8388649558018565E-4</c:v>
                </c:pt>
                <c:pt idx="753">
                  <c:v>6.0035974890337363E-4</c:v>
                </c:pt>
                <c:pt idx="754">
                  <c:v>6.058562809923147E-4</c:v>
                </c:pt>
                <c:pt idx="755">
                  <c:v>6.1135558330717898E-4</c:v>
                </c:pt>
                <c:pt idx="756">
                  <c:v>6.168576836891557E-4</c:v>
                </c:pt>
                <c:pt idx="757">
                  <c:v>6.2236260997943719E-4</c:v>
                </c:pt>
                <c:pt idx="758">
                  <c:v>6.3889462271200738E-4</c:v>
                </c:pt>
                <c:pt idx="759">
                  <c:v>6.4441113104740633E-4</c:v>
                </c:pt>
                <c:pt idx="760">
                  <c:v>6.4993060449706195E-4</c:v>
                </c:pt>
                <c:pt idx="761">
                  <c:v>6.5545307090216312E-4</c:v>
                </c:pt>
                <c:pt idx="762">
                  <c:v>6.6097855810390066E-4</c:v>
                </c:pt>
                <c:pt idx="763">
                  <c:v>6.7757342290083284E-4</c:v>
                </c:pt>
                <c:pt idx="764">
                  <c:v>6.8311127170101859E-4</c:v>
                </c:pt>
                <c:pt idx="765">
                  <c:v>6.8865228050379228E-4</c:v>
                </c:pt>
                <c:pt idx="766">
                  <c:v>6.9419647715034333E-4</c:v>
                </c:pt>
                <c:pt idx="767">
                  <c:v>6.9974388948186388E-4</c:v>
                </c:pt>
                <c:pt idx="768">
                  <c:v>7.1640569899814022E-4</c:v>
                </c:pt>
                <c:pt idx="769">
                  <c:v>7.2196624583379353E-4</c:v>
                </c:pt>
                <c:pt idx="770">
                  <c:v>7.2753010767449562E-4</c:v>
                </c:pt>
                <c:pt idx="771">
                  <c:v>7.3309727247556451E-4</c:v>
                </c:pt>
                <c:pt idx="772">
                  <c:v>7.3866772819231941E-4</c:v>
                </c:pt>
                <c:pt idx="773">
                  <c:v>7.5539872038988306E-4</c:v>
                </c:pt>
                <c:pt idx="774">
                  <c:v>7.6098221932256553E-4</c:v>
                </c:pt>
                <c:pt idx="775">
                  <c:v>7.6656894894752746E-4</c:v>
                </c:pt>
                <c:pt idx="776">
                  <c:v>7.7215889722008642E-4</c:v>
                </c:pt>
                <c:pt idx="777">
                  <c:v>7.777520520955612E-4</c:v>
                </c:pt>
                <c:pt idx="778">
                  <c:v>7.9455063589266468E-4</c:v>
                </c:pt>
                <c:pt idx="779">
                  <c:v>8.0015649673298688E-4</c:v>
                </c:pt>
                <c:pt idx="780">
                  <c:v>8.0576550395281823E-4</c:v>
                </c:pt>
                <c:pt idx="781">
                  <c:v>8.1137764550747577E-4</c:v>
                </c:pt>
                <c:pt idx="782">
                  <c:v>8.1699290935227989E-4</c:v>
                </c:pt>
                <c:pt idx="783">
                  <c:v>8.3385731418075164E-4</c:v>
                </c:pt>
                <c:pt idx="784">
                  <c:v>8.394849467393237E-4</c:v>
                </c:pt>
                <c:pt idx="785">
                  <c:v>8.4511564136463449E-4</c:v>
                </c:pt>
                <c:pt idx="786">
                  <c:v>8.5074938601200126E-4</c:v>
                </c:pt>
                <c:pt idx="787">
                  <c:v>8.5638616863674432E-4</c:v>
                </c:pt>
                <c:pt idx="788">
                  <c:v>8.7331462392841212E-4</c:v>
                </c:pt>
                <c:pt idx="789">
                  <c:v>8.7896343801584307E-4</c:v>
                </c:pt>
                <c:pt idx="790">
                  <c:v>8.8461522985724234E-4</c:v>
                </c:pt>
                <c:pt idx="791">
                  <c:v>8.9026998740792881E-4</c:v>
                </c:pt>
                <c:pt idx="792">
                  <c:v>8.9592769862322072E-4</c:v>
                </c:pt>
                <c:pt idx="793">
                  <c:v>9.1291843380991299E-4</c:v>
                </c:pt>
                <c:pt idx="794">
                  <c:v>9.1858783923681265E-4</c:v>
                </c:pt>
                <c:pt idx="795">
                  <c:v>9.2426013810491053E-4</c:v>
                </c:pt>
                <c:pt idx="796">
                  <c:v>9.2993531836952519E-4</c:v>
                </c:pt>
                <c:pt idx="797">
                  <c:v>9.3561336798597531E-4</c:v>
                </c:pt>
                <c:pt idx="798">
                  <c:v>9.5266461249952331E-4</c:v>
                </c:pt>
                <c:pt idx="799">
                  <c:v>9.5835401907650092E-4</c:v>
                </c:pt>
                <c:pt idx="800">
                  <c:v>9.640462347819057E-4</c:v>
                </c:pt>
                <c:pt idx="801">
                  <c:v>9.6974124757105836E-4</c:v>
                </c:pt>
                <c:pt idx="802">
                  <c:v>9.7543904539927661E-4</c:v>
                </c:pt>
                <c:pt idx="803">
                  <c:v>9.9254902867150887E-4</c:v>
                </c:pt>
                <c:pt idx="804">
                  <c:v>9.9825784620917305E-4</c:v>
                </c:pt>
                <c:pt idx="805">
                  <c:v>1.0039693885624966E-3</c:v>
                </c:pt>
                <c:pt idx="806">
                  <c:v>1.0096836436867969E-3</c:v>
                </c:pt>
                <c:pt idx="807">
                  <c:v>1.0154005995373916E-3</c:v>
                </c:pt>
                <c:pt idx="808">
                  <c:v>1.0325675510001362E-3</c:v>
                </c:pt>
                <c:pt idx="809">
                  <c:v>1.0382951893090986E-3</c:v>
                </c:pt>
                <c:pt idx="810">
                  <c:v>1.0440254681209494E-3</c:v>
                </c:pt>
                <c:pt idx="811">
                  <c:v>1.0497583753910061E-3</c:v>
                </c:pt>
                <c:pt idx="812">
                  <c:v>1.0554938990745887E-3</c:v>
                </c:pt>
                <c:pt idx="813">
                  <c:v>1.0727160481596733E-3</c:v>
                </c:pt>
                <c:pt idx="814">
                  <c:v>1.0784619170505429E-3</c:v>
                </c:pt>
                <c:pt idx="815">
                  <c:v>1.0842103421315303E-3</c:v>
                </c:pt>
                <c:pt idx="816">
                  <c:v>1.0899613113579546E-3</c:v>
                </c:pt>
                <c:pt idx="817">
                  <c:v>1.0957148126851341E-3</c:v>
                </c:pt>
                <c:pt idx="818">
                  <c:v>1.1129903888243877E-3</c:v>
                </c:pt>
                <c:pt idx="819">
                  <c:v>1.118753898107774E-3</c:v>
                </c:pt>
                <c:pt idx="820">
                  <c:v>1.1245198792685079E-3</c:v>
                </c:pt>
                <c:pt idx="821">
                  <c:v>1.1302883202619085E-3</c:v>
                </c:pt>
                <c:pt idx="822">
                  <c:v>1.1360592090432946E-3</c:v>
                </c:pt>
                <c:pt idx="823">
                  <c:v>1.1533864416685478E-3</c:v>
                </c:pt>
                <c:pt idx="824">
                  <c:v>1.15916700115506E-3</c:v>
                </c:pt>
                <c:pt idx="825">
                  <c:v>1.1649499482061494E-3</c:v>
                </c:pt>
                <c:pt idx="826">
                  <c:v>1.1707352707771362E-3</c:v>
                </c:pt>
                <c:pt idx="827">
                  <c:v>1.1765229568233379E-3</c:v>
                </c:pt>
                <c:pt idx="828">
                  <c:v>1.19390007536642E-3</c:v>
                </c:pt>
                <c:pt idx="829">
                  <c:v>1.1996970948666679E-3</c:v>
                </c:pt>
                <c:pt idx="830">
                  <c:v>1.2054964176187229E-3</c:v>
                </c:pt>
                <c:pt idx="831">
                  <c:v>1.2112980315779052E-3</c:v>
                </c:pt>
                <c:pt idx="832">
                  <c:v>1.2171019246995315E-3</c:v>
                </c:pt>
                <c:pt idx="833">
                  <c:v>1.2345271585922702E-3</c:v>
                </c:pt>
                <c:pt idx="834">
                  <c:v>1.2403400479168633E-3</c:v>
                </c:pt>
                <c:pt idx="835">
                  <c:v>1.2461551561804946E-3</c:v>
                </c:pt>
                <c:pt idx="836">
                  <c:v>1.2519724713384824E-3</c:v>
                </c:pt>
                <c:pt idx="837">
                  <c:v>1.2577919813461442E-3</c:v>
                </c:pt>
                <c:pt idx="838">
                  <c:v>1.2752635600203671E-3</c:v>
                </c:pt>
                <c:pt idx="839">
                  <c:v>1.2810917289799151E-3</c:v>
                </c:pt>
                <c:pt idx="840">
                  <c:v>1.2869220325657312E-3</c:v>
                </c:pt>
                <c:pt idx="841">
                  <c:v>1.2927544587331341E-3</c:v>
                </c:pt>
                <c:pt idx="842">
                  <c:v>1.2985889954374415E-3</c:v>
                </c:pt>
                <c:pt idx="843">
                  <c:v>1.3161051483249785E-3</c:v>
                </c:pt>
                <c:pt idx="844">
                  <c:v>1.3219480067300905E-3</c:v>
                </c:pt>
                <c:pt idx="845">
                  <c:v>1.3277929154487012E-3</c:v>
                </c:pt>
                <c:pt idx="846">
                  <c:v>1.3336398624361283E-3</c:v>
                </c:pt>
                <c:pt idx="847">
                  <c:v>1.3394888356476902E-3</c:v>
                </c:pt>
                <c:pt idx="848">
                  <c:v>1.3570477921803711E-3</c:v>
                </c:pt>
                <c:pt idx="849">
                  <c:v>1.3629047498416574E-3</c:v>
                </c:pt>
                <c:pt idx="850">
                  <c:v>1.3687636735036719E-3</c:v>
                </c:pt>
                <c:pt idx="851">
                  <c:v>1.3746245511217325E-3</c:v>
                </c:pt>
                <c:pt idx="852">
                  <c:v>1.3804873706511583E-3</c:v>
                </c:pt>
                <c:pt idx="853">
                  <c:v>1.3980873602608111E-3</c:v>
                </c:pt>
                <c:pt idx="854">
                  <c:v>1.4039578269888823E-3</c:v>
                </c:pt>
                <c:pt idx="855">
                  <c:v>1.4098301754049108E-3</c:v>
                </c:pt>
                <c:pt idx="856">
                  <c:v>1.415704393464215E-3</c:v>
                </c:pt>
                <c:pt idx="857">
                  <c:v>1.4215804691221146E-3</c:v>
                </c:pt>
                <c:pt idx="858">
                  <c:v>1.4392197212405671E-3</c:v>
                </c:pt>
                <c:pt idx="859">
                  <c:v>1.4451031068460317E-3</c:v>
                </c:pt>
                <c:pt idx="860">
                  <c:v>1.4509882898266838E-3</c:v>
                </c:pt>
                <c:pt idx="861">
                  <c:v>1.4568752581378421E-3</c:v>
                </c:pt>
                <c:pt idx="862">
                  <c:v>1.462763999734824E-3</c:v>
                </c:pt>
                <c:pt idx="863">
                  <c:v>1.480440743793906E-3</c:v>
                </c:pt>
                <c:pt idx="864">
                  <c:v>1.4863364580873736E-3</c:v>
                </c:pt>
                <c:pt idx="865">
                  <c:v>1.4922338854432586E-3</c:v>
                </c:pt>
                <c:pt idx="866">
                  <c:v>1.4981330138168799E-3</c:v>
                </c:pt>
                <c:pt idx="867">
                  <c:v>1.5040338311635558E-3</c:v>
                </c:pt>
                <c:pt idx="868">
                  <c:v>1.5217462965950964E-3</c:v>
                </c:pt>
                <c:pt idx="869">
                  <c:v>1.5276537493871766E-3</c:v>
                </c:pt>
                <c:pt idx="870">
                  <c:v>1.5335628309289034E-3</c:v>
                </c:pt>
                <c:pt idx="871">
                  <c:v>1.5394735291755972E-3</c:v>
                </c:pt>
                <c:pt idx="872">
                  <c:v>1.5453858320825754E-3</c:v>
                </c:pt>
                <c:pt idx="873">
                  <c:v>1.5631322483184041E-3</c:v>
                </c:pt>
                <c:pt idx="874">
                  <c:v>1.5690508494197056E-3</c:v>
                </c:pt>
                <c:pt idx="875">
                  <c:v>1.5749709949578856E-3</c:v>
                </c:pt>
                <c:pt idx="876">
                  <c:v>1.5808926728882607E-3</c:v>
                </c:pt>
                <c:pt idx="877">
                  <c:v>1.5868158711661513E-3</c:v>
                </c:pt>
                <c:pt idx="878">
                  <c:v>1.604594467638096E-3</c:v>
                </c:pt>
                <c:pt idx="879">
                  <c:v>1.6105236268592307E-3</c:v>
                </c:pt>
                <c:pt idx="880">
                  <c:v>1.6164542462044722E-3</c:v>
                </c:pt>
                <c:pt idx="881">
                  <c:v>1.6223863136291391E-3</c:v>
                </c:pt>
                <c:pt idx="882">
                  <c:v>1.6283198170885516E-3</c:v>
                </c:pt>
                <c:pt idx="883">
                  <c:v>1.64612882322844E-3</c:v>
                </c:pt>
                <c:pt idx="884">
                  <c:v>1.6520679503800163E-3</c:v>
                </c:pt>
                <c:pt idx="885">
                  <c:v>1.6580084533429293E-3</c:v>
                </c:pt>
                <c:pt idx="886">
                  <c:v>1.6639503200724986E-3</c:v>
                </c:pt>
                <c:pt idx="887">
                  <c:v>1.6698935385240424E-3</c:v>
                </c:pt>
                <c:pt idx="888">
                  <c:v>1.6877311837637039E-3</c:v>
                </c:pt>
                <c:pt idx="889">
                  <c:v>1.6936796886563308E-3</c:v>
                </c:pt>
                <c:pt idx="890">
                  <c:v>1.6996294850475254E-3</c:v>
                </c:pt>
                <c:pt idx="891">
                  <c:v>1.7055805608926057E-3</c:v>
                </c:pt>
                <c:pt idx="892">
                  <c:v>1.7115329041468906E-3</c:v>
                </c:pt>
                <c:pt idx="893">
                  <c:v>1.7293974179181553E-3</c:v>
                </c:pt>
                <c:pt idx="894">
                  <c:v>1.7353547103624433E-3</c:v>
                </c:pt>
                <c:pt idx="895">
                  <c:v>1.7413132099925275E-3</c:v>
                </c:pt>
                <c:pt idx="896">
                  <c:v>1.7472729047637284E-3</c:v>
                </c:pt>
                <c:pt idx="897">
                  <c:v>1.7532337826313637E-3</c:v>
                </c:pt>
                <c:pt idx="898">
                  <c:v>1.7711233943660612E-3</c:v>
                </c:pt>
                <c:pt idx="899">
                  <c:v>1.7770888882598134E-3</c:v>
                </c:pt>
                <c:pt idx="900">
                  <c:v>1.7830555295497549E-3</c:v>
                </c:pt>
                <c:pt idx="901">
                  <c:v>1.7890233307143693E-3</c:v>
                </c:pt>
                <c:pt idx="902">
                  <c:v>1.7949923042321367E-3</c:v>
                </c:pt>
                <c:pt idx="903">
                  <c:v>1.8129063836891824E-3</c:v>
                </c:pt>
                <c:pt idx="904">
                  <c:v>1.8188801714043832E-3</c:v>
                </c:pt>
                <c:pt idx="905">
                  <c:v>1.824855193865147E-3</c:v>
                </c:pt>
                <c:pt idx="906">
                  <c:v>1.8308314635499549E-3</c:v>
                </c:pt>
                <c:pt idx="907">
                  <c:v>1.8368089929372876E-3</c:v>
                </c:pt>
                <c:pt idx="908">
                  <c:v>1.8547492640992613E-3</c:v>
                </c:pt>
                <c:pt idx="909">
                  <c:v>1.8607319570815165E-3</c:v>
                </c:pt>
                <c:pt idx="910">
                  <c:v>1.8667159721587065E-3</c:v>
                </c:pt>
                <c:pt idx="911">
                  <c:v>1.8727013218093125E-3</c:v>
                </c:pt>
                <c:pt idx="912">
                  <c:v>1.878688018511817E-3</c:v>
                </c:pt>
                <c:pt idx="913">
                  <c:v>1.8966563157155358E-3</c:v>
                </c:pt>
                <c:pt idx="914">
                  <c:v>1.9026485254104491E-3</c:v>
                </c:pt>
                <c:pt idx="915">
                  <c:v>1.9206336610749605E-3</c:v>
                </c:pt>
                <c:pt idx="916">
                  <c:v>1.9386318186572406E-3</c:v>
                </c:pt>
                <c:pt idx="917">
                  <c:v>1.9446341565104185E-3</c:v>
                </c:pt>
                <c:pt idx="918">
                  <c:v>1.9566105148656012E-3</c:v>
                </c:pt>
                <c:pt idx="919">
                  <c:v>1.9626009579228674E-3</c:v>
                </c:pt>
                <c:pt idx="920">
                  <c:v>1.9805814911311027E-3</c:v>
                </c:pt>
                <c:pt idx="921">
                  <c:v>1.986578111467587E-3</c:v>
                </c:pt>
                <c:pt idx="922">
                  <c:v>1.9925763070650728E-3</c:v>
                </c:pt>
                <c:pt idx="923">
                  <c:v>1.9985760903000372E-3</c:v>
                </c:pt>
                <c:pt idx="924">
                  <c:v>2.0045774735489574E-3</c:v>
                </c:pt>
                <c:pt idx="925">
                  <c:v>2.0225913471442485E-3</c:v>
                </c:pt>
                <c:pt idx="926">
                  <c:v>2.0285992542137818E-3</c:v>
                </c:pt>
                <c:pt idx="927">
                  <c:v>2.0346088231796627E-3</c:v>
                </c:pt>
                <c:pt idx="928">
                  <c:v>2.0406200664183712E-3</c:v>
                </c:pt>
                <c:pt idx="929">
                  <c:v>2.0466329963063855E-3</c:v>
                </c:pt>
                <c:pt idx="930">
                  <c:v>2.064682029631042E-3</c:v>
                </c:pt>
                <c:pt idx="931">
                  <c:v>2.0707018298810605E-3</c:v>
                </c:pt>
                <c:pt idx="932">
                  <c:v>2.076723378662776E-3</c:v>
                </c:pt>
                <c:pt idx="933">
                  <c:v>2.0827466883526656E-3</c:v>
                </c:pt>
                <c:pt idx="934">
                  <c:v>2.0887717713272097E-3</c:v>
                </c:pt>
                <c:pt idx="935">
                  <c:v>2.1068577837235437E-3</c:v>
                </c:pt>
                <c:pt idx="936">
                  <c:v>2.1128900836014843E-3</c:v>
                </c:pt>
                <c:pt idx="937">
                  <c:v>2.1189242186464689E-3</c:v>
                </c:pt>
                <c:pt idx="938">
                  <c:v>2.1249602012349783E-3</c:v>
                </c:pt>
                <c:pt idx="939">
                  <c:v>2.1309980437434887E-3</c:v>
                </c:pt>
                <c:pt idx="940">
                  <c:v>2.1491228545538125E-3</c:v>
                </c:pt>
                <c:pt idx="941">
                  <c:v>2.1551682605071127E-3</c:v>
                </c:pt>
                <c:pt idx="942">
                  <c:v>2.1612155882628058E-3</c:v>
                </c:pt>
                <c:pt idx="943">
                  <c:v>2.1672648501973694E-3</c:v>
                </c:pt>
                <c:pt idx="944">
                  <c:v>2.1733160586872836E-3</c:v>
                </c:pt>
                <c:pt idx="945">
                  <c:v>2.191481487253909E-3</c:v>
                </c:pt>
                <c:pt idx="946">
                  <c:v>2.1975406057300043E-3</c:v>
                </c:pt>
                <c:pt idx="947">
                  <c:v>2.2036017326438431E-3</c:v>
                </c:pt>
                <c:pt idx="948">
                  <c:v>2.2096648803719005E-3</c:v>
                </c:pt>
                <c:pt idx="949">
                  <c:v>2.2157300612906544E-3</c:v>
                </c:pt>
                <c:pt idx="950">
                  <c:v>2.2339379269558915E-3</c:v>
                </c:pt>
                <c:pt idx="951">
                  <c:v>2.2400113644022216E-3</c:v>
                </c:pt>
                <c:pt idx="952">
                  <c:v>2.2460868969216403E-3</c:v>
                </c:pt>
                <c:pt idx="953">
                  <c:v>2.2521645368906275E-3</c:v>
                </c:pt>
                <c:pt idx="954">
                  <c:v>2.2582442966856612E-3</c:v>
                </c:pt>
                <c:pt idx="955">
                  <c:v>2.2764964187918196E-3</c:v>
                </c:pt>
                <c:pt idx="956">
                  <c:v>2.2825847816558202E-3</c:v>
                </c:pt>
                <c:pt idx="957">
                  <c:v>2.2886753262282588E-3</c:v>
                </c:pt>
                <c:pt idx="958">
                  <c:v>2.2947680648856121E-3</c:v>
                </c:pt>
                <c:pt idx="959">
                  <c:v>2.3008630100043608E-3</c:v>
                </c:pt>
                <c:pt idx="960">
                  <c:v>2.319161207893754E-3</c:v>
                </c:pt>
                <c:pt idx="961">
                  <c:v>2.325265102622862E-3</c:v>
                </c:pt>
                <c:pt idx="962">
                  <c:v>2.3313712656957558E-3</c:v>
                </c:pt>
                <c:pt idx="963">
                  <c:v>2.3374797094889142E-3</c:v>
                </c:pt>
                <c:pt idx="964">
                  <c:v>2.343590446378815E-3</c:v>
                </c:pt>
                <c:pt idx="965">
                  <c:v>2.3619365393937534E-3</c:v>
                </c:pt>
                <c:pt idx="966">
                  <c:v>2.3680565724354067E-3</c:v>
                </c:pt>
                <c:pt idx="967">
                  <c:v>2.374178960456194E-3</c:v>
                </c:pt>
                <c:pt idx="968">
                  <c:v>2.3803037158325923E-3</c:v>
                </c:pt>
                <c:pt idx="969">
                  <c:v>2.3864308509410829E-3</c:v>
                </c:pt>
                <c:pt idx="970">
                  <c:v>2.4048266584238789E-3</c:v>
                </c:pt>
                <c:pt idx="971">
                  <c:v>2.4109634362255135E-3</c:v>
                </c:pt>
                <c:pt idx="972">
                  <c:v>2.4171026556416304E-3</c:v>
                </c:pt>
                <c:pt idx="973">
                  <c:v>2.4232443290487077E-3</c:v>
                </c:pt>
                <c:pt idx="974">
                  <c:v>2.4293884688232231E-3</c:v>
                </c:pt>
                <c:pt idx="975">
                  <c:v>2.4478358101161874E-3</c:v>
                </c:pt>
                <c:pt idx="976">
                  <c:v>2.4539899391252422E-3</c:v>
                </c:pt>
                <c:pt idx="977">
                  <c:v>2.4601465963841255E-3</c:v>
                </c:pt>
                <c:pt idx="978">
                  <c:v>2.4663057942693185E-3</c:v>
                </c:pt>
                <c:pt idx="979">
                  <c:v>2.4724675451572981E-3</c:v>
                </c:pt>
                <c:pt idx="980">
                  <c:v>2.4909682396027405E-3</c:v>
                </c:pt>
                <c:pt idx="981">
                  <c:v>2.497140326266651E-3</c:v>
                </c:pt>
                <c:pt idx="982">
                  <c:v>2.50331502781574E-3</c:v>
                </c:pt>
                <c:pt idx="983">
                  <c:v>2.5094923566264843E-3</c:v>
                </c:pt>
                <c:pt idx="984">
                  <c:v>2.5156723250753642E-3</c:v>
                </c:pt>
                <c:pt idx="985">
                  <c:v>2.5342281920155978E-3</c:v>
                </c:pt>
                <c:pt idx="986">
                  <c:v>2.540418842781801E-3</c:v>
                </c:pt>
                <c:pt idx="987">
                  <c:v>2.5466121950685301E-3</c:v>
                </c:pt>
                <c:pt idx="988">
                  <c:v>2.5528082612522648E-3</c:v>
                </c:pt>
                <c:pt idx="989">
                  <c:v>2.5838297338027514E-3</c:v>
                </c:pt>
                <c:pt idx="990">
                  <c:v>2.5900423432745597E-3</c:v>
                </c:pt>
                <c:pt idx="991">
                  <c:v>2.59625775327872E-3</c:v>
                </c:pt>
                <c:pt idx="992">
                  <c:v>2.6024759761917129E-3</c:v>
                </c:pt>
                <c:pt idx="993">
                  <c:v>2.6211476461484619E-3</c:v>
                </c:pt>
                <c:pt idx="994">
                  <c:v>2.6273772444615623E-3</c:v>
                </c:pt>
                <c:pt idx="995">
                  <c:v>2.6336097175658863E-3</c:v>
                </c:pt>
                <c:pt idx="996">
                  <c:v>2.6398450778379111E-3</c:v>
                </c:pt>
                <c:pt idx="997">
                  <c:v>2.6460833376541143E-3</c:v>
                </c:pt>
                <c:pt idx="998">
                  <c:v>2.6648156381325876E-3</c:v>
                </c:pt>
                <c:pt idx="999">
                  <c:v>2.6710656198902934E-3</c:v>
                </c:pt>
                <c:pt idx="1000">
                  <c:v>2.6773185630745689E-3</c:v>
                </c:pt>
                <c:pt idx="1001">
                  <c:v>2.6835744800618941E-3</c:v>
                </c:pt>
                <c:pt idx="1002">
                  <c:v>2.708628133571255E-3</c:v>
                </c:pt>
                <c:pt idx="1003">
                  <c:v>2.7148991052210027E-3</c:v>
                </c:pt>
                <c:pt idx="1004">
                  <c:v>2.7211731249326687E-3</c:v>
                </c:pt>
                <c:pt idx="1005">
                  <c:v>2.7274502050827309E-3</c:v>
                </c:pt>
                <c:pt idx="1006">
                  <c:v>2.7337303580476703E-3</c:v>
                </c:pt>
                <c:pt idx="1007">
                  <c:v>2.752589377596525E-3</c:v>
                </c:pt>
                <c:pt idx="1008">
                  <c:v>2.7588819455857507E-3</c:v>
                </c:pt>
                <c:pt idx="1009">
                  <c:v>2.7651776482722425E-3</c:v>
                </c:pt>
                <c:pt idx="1010">
                  <c:v>2.7714764980324809E-3</c:v>
                </c:pt>
                <c:pt idx="1011">
                  <c:v>2.7777785072429437E-3</c:v>
                </c:pt>
                <c:pt idx="1012">
                  <c:v>2.7967036153404559E-3</c:v>
                </c:pt>
                <c:pt idx="1013">
                  <c:v>2.8030183861165975E-3</c:v>
                </c:pt>
                <c:pt idx="1014">
                  <c:v>2.8093363782253542E-3</c:v>
                </c:pt>
                <c:pt idx="1015">
                  <c:v>2.8156576040432035E-3</c:v>
                </c:pt>
                <c:pt idx="1016">
                  <c:v>2.8219820759466259E-3</c:v>
                </c:pt>
                <c:pt idx="1017">
                  <c:v>2.8409750919351088E-3</c:v>
                </c:pt>
                <c:pt idx="1018">
                  <c:v>2.8473126719456019E-3</c:v>
                </c:pt>
                <c:pt idx="1019">
                  <c:v>2.8536535599240596E-3</c:v>
                </c:pt>
                <c:pt idx="1020">
                  <c:v>2.8599977682469586E-3</c:v>
                </c:pt>
                <c:pt idx="1021">
                  <c:v>2.8663453092907776E-3</c:v>
                </c:pt>
                <c:pt idx="1022">
                  <c:v>2.8854080525125407E-3</c:v>
                </c:pt>
                <c:pt idx="1023">
                  <c:v>2.8917690482048253E-3</c:v>
                </c:pt>
                <c:pt idx="1024">
                  <c:v>2.8981334361115104E-3</c:v>
                </c:pt>
                <c:pt idx="1025">
                  <c:v>2.904501216664533E-3</c:v>
                </c:pt>
                <c:pt idx="1026">
                  <c:v>2.910872387906912E-3</c:v>
                </c:pt>
                <c:pt idx="1027">
                  <c:v>2.9300062262004353E-3</c:v>
                </c:pt>
                <c:pt idx="1028">
                  <c:v>2.9363909406304812E-3</c:v>
                </c:pt>
                <c:pt idx="1029">
                  <c:v>2.9427790359650048E-3</c:v>
                </c:pt>
                <c:pt idx="1030">
                  <c:v>2.9491705102470244E-3</c:v>
                </c:pt>
                <c:pt idx="1031">
                  <c:v>2.9555653615195659E-3</c:v>
                </c:pt>
                <c:pt idx="1032">
                  <c:v>2.9747701577105589E-3</c:v>
                </c:pt>
                <c:pt idx="1033">
                  <c:v>2.9811784973754214E-3</c:v>
                </c:pt>
                <c:pt idx="1034">
                  <c:v>2.9875902042459219E-3</c:v>
                </c:pt>
                <c:pt idx="1035">
                  <c:v>2.9940052763650867E-3</c:v>
                </c:pt>
                <c:pt idx="1036">
                  <c:v>3.0004237117759341E-3</c:v>
                </c:pt>
                <c:pt idx="1037">
                  <c:v>3.0196991781888233E-3</c:v>
                </c:pt>
                <c:pt idx="1038">
                  <c:v>3.0261310471966455E-3</c:v>
                </c:pt>
                <c:pt idx="1039">
                  <c:v>3.0325662697112711E-3</c:v>
                </c:pt>
                <c:pt idx="1040">
                  <c:v>3.03900484377572E-3</c:v>
                </c:pt>
                <c:pt idx="1041">
                  <c:v>3.0454467674330189E-3</c:v>
                </c:pt>
                <c:pt idx="1042">
                  <c:v>3.0647926163922378E-3</c:v>
                </c:pt>
                <c:pt idx="1043">
                  <c:v>3.0712479188511623E-3</c:v>
                </c:pt>
                <c:pt idx="1044">
                  <c:v>3.0777065611180543E-3</c:v>
                </c:pt>
                <c:pt idx="1045">
                  <c:v>3.0841685412359332E-3</c:v>
                </c:pt>
                <c:pt idx="1046">
                  <c:v>3.0906338572478233E-3</c:v>
                </c:pt>
                <c:pt idx="1047">
                  <c:v>3.1100498010778036E-3</c:v>
                </c:pt>
                <c:pt idx="1048">
                  <c:v>3.1165284410959748E-3</c:v>
                </c:pt>
                <c:pt idx="1049">
                  <c:v>3.1230104072232745E-3</c:v>
                </c:pt>
                <c:pt idx="1050">
                  <c:v>3.1294956975027261E-3</c:v>
                </c:pt>
                <c:pt idx="1051">
                  <c:v>3.1359843099773555E-3</c:v>
                </c:pt>
                <c:pt idx="1052">
                  <c:v>3.1554700610025238E-3</c:v>
                </c:pt>
                <c:pt idx="1053">
                  <c:v>3.1619719426880851E-3</c:v>
                </c:pt>
                <c:pt idx="1054">
                  <c:v>3.1684771367839403E-3</c:v>
                </c:pt>
                <c:pt idx="1055">
                  <c:v>3.174985641333109E-3</c:v>
                </c:pt>
                <c:pt idx="1056">
                  <c:v>3.1814974543786186E-3</c:v>
                </c:pt>
                <c:pt idx="1057">
                  <c:v>3.201052724923405E-3</c:v>
                </c:pt>
                <c:pt idx="1058">
                  <c:v>3.207577752384502E-3</c:v>
                </c:pt>
                <c:pt idx="1059">
                  <c:v>3.2141060785570519E-3</c:v>
                </c:pt>
                <c:pt idx="1060">
                  <c:v>3.2206377014840832E-3</c:v>
                </c:pt>
                <c:pt idx="1061">
                  <c:v>3.227172619208614E-3</c:v>
                </c:pt>
                <c:pt idx="1062">
                  <c:v>3.2467971215974535E-3</c:v>
                </c:pt>
                <c:pt idx="1063">
                  <c:v>3.2533451989422281E-3</c:v>
                </c:pt>
                <c:pt idx="1064">
                  <c:v>3.2598965612996187E-3</c:v>
                </c:pt>
                <c:pt idx="1065">
                  <c:v>3.266451206712651E-3</c:v>
                </c:pt>
                <c:pt idx="1066">
                  <c:v>3.2730091332243516E-3</c:v>
                </c:pt>
                <c:pt idx="1067">
                  <c:v>3.292702579781673E-3</c:v>
                </c:pt>
                <c:pt idx="1068">
                  <c:v>3.2992736111182651E-3</c:v>
                </c:pt>
                <c:pt idx="1069">
                  <c:v>3.30584791376864E-3</c:v>
                </c:pt>
                <c:pt idx="1070">
                  <c:v>3.3124254857758218E-3</c:v>
                </c:pt>
                <c:pt idx="1071">
                  <c:v>3.3190063251828305E-3</c:v>
                </c:pt>
                <c:pt idx="1072">
                  <c:v>3.3387684282330642E-3</c:v>
                </c:pt>
                <c:pt idx="1073">
                  <c:v>3.345362317669623E-3</c:v>
                </c:pt>
                <c:pt idx="1074">
                  <c:v>3.3519594647211247E-3</c:v>
                </c:pt>
                <c:pt idx="1075">
                  <c:v>3.3585598674305979E-3</c:v>
                </c:pt>
                <c:pt idx="1076">
                  <c:v>3.3651635238410604E-3</c:v>
                </c:pt>
                <c:pt idx="1077">
                  <c:v>3.384993995708636E-3</c:v>
                </c:pt>
                <c:pt idx="1078">
                  <c:v>3.3916106473533009E-3</c:v>
                </c:pt>
                <c:pt idx="1079">
                  <c:v>3.398230542914076E-3</c:v>
                </c:pt>
                <c:pt idx="1080">
                  <c:v>3.4048536804339811E-3</c:v>
                </c:pt>
                <c:pt idx="1081">
                  <c:v>3.4114800579560412E-3</c:v>
                </c:pt>
                <c:pt idx="1082">
                  <c:v>3.4313786109653925E-3</c:v>
                </c:pt>
                <c:pt idx="1083">
                  <c:v>3.4380179289263076E-3</c:v>
                </c:pt>
                <c:pt idx="1084">
                  <c:v>3.4446604771044961E-3</c:v>
                </c:pt>
                <c:pt idx="1085">
                  <c:v>3.4513062535429808E-3</c:v>
                </c:pt>
                <c:pt idx="1086">
                  <c:v>3.4579552562847824E-3</c:v>
                </c:pt>
                <c:pt idx="1087">
                  <c:v>3.4779216027603348E-3</c:v>
                </c:pt>
                <c:pt idx="1088">
                  <c:v>3.4845834911456444E-3</c:v>
                </c:pt>
                <c:pt idx="1089">
                  <c:v>3.4912485960493923E-3</c:v>
                </c:pt>
                <c:pt idx="1090">
                  <c:v>3.4979169155145962E-3</c:v>
                </c:pt>
                <c:pt idx="1091">
                  <c:v>3.5045884475842851E-3</c:v>
                </c:pt>
                <c:pt idx="1092">
                  <c:v>3.5246222998504724E-3</c:v>
                </c:pt>
                <c:pt idx="1093">
                  <c:v>3.5313066627683204E-3</c:v>
                </c:pt>
                <c:pt idx="1094">
                  <c:v>3.5379942285057695E-3</c:v>
                </c:pt>
                <c:pt idx="1095">
                  <c:v>3.5446849951058382E-3</c:v>
                </c:pt>
                <c:pt idx="1096">
                  <c:v>3.5513789606115525E-3</c:v>
                </c:pt>
                <c:pt idx="1097">
                  <c:v>3.5714800309928066E-3</c:v>
                </c:pt>
                <c:pt idx="1098">
                  <c:v>3.5781867725513368E-3</c:v>
                </c:pt>
                <c:pt idx="1099">
                  <c:v>3.584896703230628E-3</c:v>
                </c:pt>
                <c:pt idx="1100">
                  <c:v>3.5916098210737051E-3</c:v>
                </c:pt>
                <c:pt idx="1101">
                  <c:v>3.5983261241235936E-3</c:v>
                </c:pt>
                <c:pt idx="1102">
                  <c:v>3.6184941249443403E-3</c:v>
                </c:pt>
                <c:pt idx="1103">
                  <c:v>3.6252231492516955E-3</c:v>
                </c:pt>
                <c:pt idx="1104">
                  <c:v>3.6319553489809779E-3</c:v>
                </c:pt>
                <c:pt idx="1105">
                  <c:v>3.6386907221752072E-3</c:v>
                </c:pt>
                <c:pt idx="1106">
                  <c:v>3.6454292668774103E-3</c:v>
                </c:pt>
                <c:pt idx="1107">
                  <c:v>3.6656639104620807E-3</c:v>
                </c:pt>
                <c:pt idx="1108">
                  <c:v>3.6724151216264065E-3</c:v>
                </c:pt>
                <c:pt idx="1109">
                  <c:v>3.6791694945138191E-3</c:v>
                </c:pt>
                <c:pt idx="1110">
                  <c:v>3.6859270271673455E-3</c:v>
                </c:pt>
                <c:pt idx="1111">
                  <c:v>3.6926877176300054E-3</c:v>
                </c:pt>
                <c:pt idx="1112">
                  <c:v>3.7129887163030342E-3</c:v>
                </c:pt>
                <c:pt idx="1113">
                  <c:v>3.7197620184324718E-3</c:v>
                </c:pt>
                <c:pt idx="1114">
                  <c:v>3.7265384685861596E-3</c:v>
                </c:pt>
                <c:pt idx="1115">
                  <c:v>3.733318064807123E-3</c:v>
                </c:pt>
                <c:pt idx="1116">
                  <c:v>3.7401008051383875E-3</c:v>
                </c:pt>
                <c:pt idx="1117">
                  <c:v>3.760467871224203E-3</c:v>
                </c:pt>
                <c:pt idx="1118">
                  <c:v>3.7672631684268943E-3</c:v>
                </c:pt>
                <c:pt idx="1119">
                  <c:v>3.774061599955001E-3</c:v>
                </c:pt>
                <c:pt idx="1120">
                  <c:v>3.7808631638515488E-3</c:v>
                </c:pt>
                <c:pt idx="1121">
                  <c:v>3.7876678581595566E-3</c:v>
                </c:pt>
                <c:pt idx="1122">
                  <c:v>3.8081007039825897E-3</c:v>
                </c:pt>
                <c:pt idx="1123">
                  <c:v>3.8149179003666824E-3</c:v>
                </c:pt>
                <c:pt idx="1124">
                  <c:v>3.8217382173773512E-3</c:v>
                </c:pt>
                <c:pt idx="1125">
                  <c:v>3.8285616530576252E-3</c:v>
                </c:pt>
                <c:pt idx="1126">
                  <c:v>3.835388205450522E-3</c:v>
                </c:pt>
                <c:pt idx="1127">
                  <c:v>3.855886543335203E-3</c:v>
                </c:pt>
                <c:pt idx="1128">
                  <c:v>3.8627255430088358E-3</c:v>
                </c:pt>
                <c:pt idx="1129">
                  <c:v>3.8695676496102132E-3</c:v>
                </c:pt>
                <c:pt idx="1130">
                  <c:v>3.8764128611823542E-3</c:v>
                </c:pt>
                <c:pt idx="1131">
                  <c:v>3.8832611757682843E-3</c:v>
                </c:pt>
                <c:pt idx="1132">
                  <c:v>3.9038247180390446E-3</c:v>
                </c:pt>
                <c:pt idx="1133">
                  <c:v>3.9106854251103641E-3</c:v>
                </c:pt>
                <c:pt idx="1134">
                  <c:v>3.9175492254105888E-3</c:v>
                </c:pt>
                <c:pt idx="1135">
                  <c:v>3.9244161169827447E-3</c:v>
                </c:pt>
                <c:pt idx="1136">
                  <c:v>3.9312860978698511E-3</c:v>
                </c:pt>
                <c:pt idx="1137">
                  <c:v>3.951914556851119E-3</c:v>
                </c:pt>
                <c:pt idx="1138">
                  <c:v>3.9587968754282677E-3</c:v>
                </c:pt>
                <c:pt idx="1139">
                  <c:v>3.9656822735354876E-3</c:v>
                </c:pt>
                <c:pt idx="1140">
                  <c:v>3.9725707492157978E-3</c:v>
                </c:pt>
                <c:pt idx="1141">
                  <c:v>3.9794623005122258E-3</c:v>
                </c:pt>
                <c:pt idx="1142">
                  <c:v>4.0001553885284325E-3</c:v>
                </c:pt>
                <c:pt idx="1143">
                  <c:v>4.0070592227195541E-3</c:v>
                </c:pt>
                <c:pt idx="1144">
                  <c:v>4.0139661227419111E-3</c:v>
                </c:pt>
                <c:pt idx="1145">
                  <c:v>4.0208760866385206E-3</c:v>
                </c:pt>
                <c:pt idx="1146">
                  <c:v>4.0277891124524097E-3</c:v>
                </c:pt>
                <c:pt idx="1147">
                  <c:v>4.0485465418279897E-3</c:v>
                </c:pt>
                <c:pt idx="1148">
                  <c:v>4.0554717957412278E-3</c:v>
                </c:pt>
                <c:pt idx="1149">
                  <c:v>4.0624001017868618E-3</c:v>
                </c:pt>
                <c:pt idx="1150">
                  <c:v>4.0693314580079153E-3</c:v>
                </c:pt>
                <c:pt idx="1151">
                  <c:v>4.0762658624474138E-3</c:v>
                </c:pt>
                <c:pt idx="1152">
                  <c:v>4.0970873455067908E-3</c:v>
                </c:pt>
                <c:pt idx="1153">
                  <c:v>4.1040339232502896E-3</c:v>
                </c:pt>
                <c:pt idx="1154">
                  <c:v>4.1109835394273495E-3</c:v>
                </c:pt>
                <c:pt idx="1155">
                  <c:v>4.1179361920454698E-3</c:v>
                </c:pt>
                <c:pt idx="1156">
                  <c:v>4.1248918789700793E-3</c:v>
                </c:pt>
                <c:pt idx="1157">
                  <c:v>4.1457771238818638E-3</c:v>
                </c:pt>
                <c:pt idx="1158">
                  <c:v>4.1527449263314619E-3</c:v>
                </c:pt>
                <c:pt idx="1159">
                  <c:v>4.1597157522370656E-3</c:v>
                </c:pt>
                <c:pt idx="1160">
                  <c:v>4.1666895994285852E-3</c:v>
                </c:pt>
                <c:pt idx="1161">
                  <c:v>4.1736664657359181E-3</c:v>
                </c:pt>
                <c:pt idx="1162">
                  <c:v>4.1946151576518608E-3</c:v>
                </c:pt>
                <c:pt idx="1163">
                  <c:v>4.2016040787215053E-3</c:v>
                </c:pt>
                <c:pt idx="1164">
                  <c:v>4.2085960080564845E-3</c:v>
                </c:pt>
                <c:pt idx="1165">
                  <c:v>4.2155909434867063E-3</c:v>
                </c:pt>
                <c:pt idx="1166">
                  <c:v>4.2225888828420766E-3</c:v>
                </c:pt>
                <c:pt idx="1167">
                  <c:v>4.2436007027581027E-3</c:v>
                </c:pt>
                <c:pt idx="1168">
                  <c:v>4.2506106361130972E-3</c:v>
                </c:pt>
                <c:pt idx="1169">
                  <c:v>4.2576235625427609E-3</c:v>
                </c:pt>
                <c:pt idx="1170">
                  <c:v>4.2646394798769981E-3</c:v>
                </c:pt>
                <c:pt idx="1171">
                  <c:v>4.2927330148577452E-3</c:v>
                </c:pt>
                <c:pt idx="1172">
                  <c:v>4.2997638541634057E-3</c:v>
                </c:pt>
                <c:pt idx="1173">
                  <c:v>4.3067976713530619E-3</c:v>
                </c:pt>
                <c:pt idx="1174">
                  <c:v>4.3138344642566209E-3</c:v>
                </c:pt>
                <c:pt idx="1175">
                  <c:v>4.3420886117788854E-3</c:v>
                </c:pt>
                <c:pt idx="1176">
                  <c:v>4.3491596068983857E-3</c:v>
                </c:pt>
                <c:pt idx="1177">
                  <c:v>4.3562335809374953E-3</c:v>
                </c:pt>
                <c:pt idx="1178">
                  <c:v>4.3633105317082361E-3</c:v>
                </c:pt>
                <c:pt idx="1179">
                  <c:v>4.3703904570226264E-3</c:v>
                </c:pt>
                <c:pt idx="1180">
                  <c:v>4.3916480583478766E-3</c:v>
                </c:pt>
                <c:pt idx="1181">
                  <c:v>4.3987398599570505E-3</c:v>
                </c:pt>
                <c:pt idx="1182">
                  <c:v>4.4058346251699696E-3</c:v>
                </c:pt>
                <c:pt idx="1183">
                  <c:v>4.4129323517986515E-3</c:v>
                </c:pt>
                <c:pt idx="1184">
                  <c:v>4.4200330376551146E-3</c:v>
                </c:pt>
                <c:pt idx="1185">
                  <c:v>4.4413528287113816E-3</c:v>
                </c:pt>
                <c:pt idx="1186">
                  <c:v>4.4484653295991591E-3</c:v>
                </c:pt>
                <c:pt idx="1187">
                  <c:v>4.4555807787748144E-3</c:v>
                </c:pt>
                <c:pt idx="1188">
                  <c:v>4.4626991740503641E-3</c:v>
                </c:pt>
                <c:pt idx="1189">
                  <c:v>4.4698205132378283E-3</c:v>
                </c:pt>
                <c:pt idx="1190">
                  <c:v>4.4912021723918965E-3</c:v>
                </c:pt>
                <c:pt idx="1191">
                  <c:v>4.4983352653472078E-3</c:v>
                </c:pt>
                <c:pt idx="1192">
                  <c:v>4.5054712912745275E-3</c:v>
                </c:pt>
                <c:pt idx="1193">
                  <c:v>4.5126102479858725E-3</c:v>
                </c:pt>
                <c:pt idx="1194">
                  <c:v>4.5197521332932672E-3</c:v>
                </c:pt>
                <c:pt idx="1195">
                  <c:v>4.5411953389119198E-3</c:v>
                </c:pt>
                <c:pt idx="1196">
                  <c:v>4.5483489167236907E-3</c:v>
                </c:pt>
                <c:pt idx="1197">
                  <c:v>4.5555054121916034E-3</c:v>
                </c:pt>
                <c:pt idx="1198">
                  <c:v>4.5626648231276773E-3</c:v>
                </c:pt>
                <c:pt idx="1199">
                  <c:v>4.569827147343929E-3</c:v>
                </c:pt>
                <c:pt idx="1200">
                  <c:v>4.5913315777939504E-3</c:v>
                </c:pt>
                <c:pt idx="1201">
                  <c:v>4.5985055332511101E-3</c:v>
                </c:pt>
                <c:pt idx="1202">
                  <c:v>4.6056823910485441E-3</c:v>
                </c:pt>
                <c:pt idx="1203">
                  <c:v>4.6128621489982709E-3</c:v>
                </c:pt>
                <c:pt idx="1204">
                  <c:v>4.6200448049123098E-3</c:v>
                </c:pt>
                <c:pt idx="1205">
                  <c:v>4.6416101385604851E-3</c:v>
                </c:pt>
                <c:pt idx="1206">
                  <c:v>4.6488043644519611E-3</c:v>
                </c:pt>
                <c:pt idx="1207">
                  <c:v>4.6560014773678448E-3</c:v>
                </c:pt>
                <c:pt idx="1208">
                  <c:v>4.6632014751201538E-3</c:v>
                </c:pt>
                <c:pt idx="1209">
                  <c:v>4.6704043555209065E-3</c:v>
                </c:pt>
                <c:pt idx="1210">
                  <c:v>4.6920302707340236E-3</c:v>
                </c:pt>
                <c:pt idx="1211">
                  <c:v>4.6992446598487451E-3</c:v>
                </c:pt>
                <c:pt idx="1212">
                  <c:v>4.7064619206720042E-3</c:v>
                </c:pt>
                <c:pt idx="1213">
                  <c:v>4.7136820510158238E-3</c:v>
                </c:pt>
                <c:pt idx="1214">
                  <c:v>4.7209050486922205E-3</c:v>
                </c:pt>
                <c:pt idx="1215">
                  <c:v>4.7425912238370617E-3</c:v>
                </c:pt>
                <c:pt idx="1216">
                  <c:v>4.7498256689639563E-3</c:v>
                </c:pt>
                <c:pt idx="1217">
                  <c:v>4.7570629704835219E-3</c:v>
                </c:pt>
                <c:pt idx="1218">
                  <c:v>4.7643031262077813E-3</c:v>
                </c:pt>
                <c:pt idx="1219">
                  <c:v>4.771546133948746E-3</c:v>
                </c:pt>
                <c:pt idx="1220">
                  <c:v>4.7932922473920975E-3</c:v>
                </c:pt>
                <c:pt idx="1221">
                  <c:v>4.8005466413200944E-3</c:v>
                </c:pt>
                <c:pt idx="1222">
                  <c:v>4.8078038763248957E-3</c:v>
                </c:pt>
                <c:pt idx="1223">
                  <c:v>4.8150639502185198E-3</c:v>
                </c:pt>
                <c:pt idx="1224">
                  <c:v>4.8223268608129852E-3</c:v>
                </c:pt>
                <c:pt idx="1225">
                  <c:v>4.8441325909216295E-3</c:v>
                </c:pt>
                <c:pt idx="1226">
                  <c:v>4.8514068264396554E-3</c:v>
                </c:pt>
                <c:pt idx="1227">
                  <c:v>4.858683887718619E-3</c:v>
                </c:pt>
                <c:pt idx="1228">
                  <c:v>4.8659637725705389E-3</c:v>
                </c:pt>
                <c:pt idx="1229">
                  <c:v>4.8732464788074342E-3</c:v>
                </c:pt>
                <c:pt idx="1230">
                  <c:v>4.8951115039481555E-3</c:v>
                </c:pt>
                <c:pt idx="1231">
                  <c:v>4.9024054738451396E-3</c:v>
                </c:pt>
                <c:pt idx="1232">
                  <c:v>4.909702254187194E-3</c:v>
                </c:pt>
                <c:pt idx="1233">
                  <c:v>4.917001842786338E-3</c:v>
                </c:pt>
                <c:pt idx="1234">
                  <c:v>4.9243042374545881E-3</c:v>
                </c:pt>
                <c:pt idx="1235">
                  <c:v>4.9462282359941769E-3</c:v>
                </c:pt>
                <c:pt idx="1236">
                  <c:v>4.953541833059045E-3</c:v>
                </c:pt>
                <c:pt idx="1237">
                  <c:v>4.9608582252531177E-3</c:v>
                </c:pt>
                <c:pt idx="1238">
                  <c:v>4.9681774103884123E-3</c:v>
                </c:pt>
                <c:pt idx="1239">
                  <c:v>5.0048151536038693E-3</c:v>
                </c:pt>
                <c:pt idx="1240">
                  <c:v>5.0121510504388903E-3</c:v>
                </c:pt>
                <c:pt idx="1241">
                  <c:v>5.0194897248992624E-3</c:v>
                </c:pt>
                <c:pt idx="1242">
                  <c:v>5.02683117479701E-3</c:v>
                </c:pt>
                <c:pt idx="1243">
                  <c:v>5.0488721552346795E-3</c:v>
                </c:pt>
                <c:pt idx="1244">
                  <c:v>5.0562246850021078E-3</c:v>
                </c:pt>
                <c:pt idx="1245">
                  <c:v>5.0635799792670046E-3</c:v>
                </c:pt>
                <c:pt idx="1246">
                  <c:v>5.0709380358413868E-3</c:v>
                </c:pt>
                <c:pt idx="1247">
                  <c:v>5.0782988525372762E-3</c:v>
                </c:pt>
                <c:pt idx="1248">
                  <c:v>5.1003978414741608E-3</c:v>
                </c:pt>
                <c:pt idx="1249">
                  <c:v>5.1077696767762608E-3</c:v>
                </c:pt>
                <c:pt idx="1250">
                  <c:v>5.1151442612599601E-3</c:v>
                </c:pt>
                <c:pt idx="1251">
                  <c:v>5.1225215927372799E-3</c:v>
                </c:pt>
                <c:pt idx="1252">
                  <c:v>5.1299016690202369E-3</c:v>
                </c:pt>
                <c:pt idx="1253">
                  <c:v>5.1520583448231251E-3</c:v>
                </c:pt>
                <c:pt idx="1254">
                  <c:v>5.1594493784488243E-3</c:v>
                </c:pt>
                <c:pt idx="1255">
                  <c:v>5.1668431459402572E-3</c:v>
                </c:pt>
                <c:pt idx="1256">
                  <c:v>5.1742396451094413E-3</c:v>
                </c:pt>
                <c:pt idx="1257">
                  <c:v>5.181638873768395E-3</c:v>
                </c:pt>
                <c:pt idx="1258">
                  <c:v>5.2038529148040738E-3</c:v>
                </c:pt>
                <c:pt idx="1259">
                  <c:v>5.2112630395423007E-3</c:v>
                </c:pt>
                <c:pt idx="1260">
                  <c:v>5.2186758828303911E-3</c:v>
                </c:pt>
                <c:pt idx="1261">
                  <c:v>5.2260914424803679E-3</c:v>
                </c:pt>
                <c:pt idx="1262">
                  <c:v>5.2335097163042485E-3</c:v>
                </c:pt>
                <c:pt idx="1263">
                  <c:v>5.2557808009394994E-3</c:v>
                </c:pt>
                <c:pt idx="1264">
                  <c:v>5.2632099095791824E-3</c:v>
                </c:pt>
                <c:pt idx="1265">
                  <c:v>5.2706417214528631E-3</c:v>
                </c:pt>
                <c:pt idx="1266">
                  <c:v>5.2780762343725626E-3</c:v>
                </c:pt>
                <c:pt idx="1267">
                  <c:v>5.2855134461502942E-3</c:v>
                </c:pt>
                <c:pt idx="1268">
                  <c:v>5.3078412527519016E-3</c:v>
                </c:pt>
                <c:pt idx="1269">
                  <c:v>5.315289238081969E-3</c:v>
                </c:pt>
                <c:pt idx="1270">
                  <c:v>5.3227399113301667E-3</c:v>
                </c:pt>
                <c:pt idx="1271">
                  <c:v>5.3301932703085156E-3</c:v>
                </c:pt>
                <c:pt idx="1272">
                  <c:v>5.3376493128290316E-3</c:v>
                </c:pt>
                <c:pt idx="1273">
                  <c:v>5.3600335197637782E-3</c:v>
                </c:pt>
                <c:pt idx="1274">
                  <c:v>5.3675002745731592E-3</c:v>
                </c:pt>
                <c:pt idx="1275">
                  <c:v>5.3749697019848022E-3</c:v>
                </c:pt>
                <c:pt idx="1276">
                  <c:v>5.382441799810728E-3</c:v>
                </c:pt>
                <c:pt idx="1277">
                  <c:v>5.3899165658629544E-3</c:v>
                </c:pt>
                <c:pt idx="1278">
                  <c:v>5.4123568514976321E-3</c:v>
                </c:pt>
                <c:pt idx="1279">
                  <c:v>5.4198422685752508E-3</c:v>
                </c:pt>
                <c:pt idx="1280">
                  <c:v>5.4273303429392674E-3</c:v>
                </c:pt>
                <c:pt idx="1281">
                  <c:v>5.4348210740860544E-3</c:v>
                </c:pt>
                <c:pt idx="1282">
                  <c:v>5.442314468249409E-3</c:v>
                </c:pt>
                <c:pt idx="1283">
                  <c:v>5.4648107080203919E-3</c:v>
                </c:pt>
                <c:pt idx="1284">
                  <c:v>5.4723148334315337E-3</c:v>
                </c:pt>
                <c:pt idx="1285">
                  <c:v>5.4798216614500017E-3</c:v>
                </c:pt>
                <c:pt idx="1286">
                  <c:v>5.4873311999939457E-3</c:v>
                </c:pt>
                <c:pt idx="1287">
                  <c:v>5.4948434569815231E-3</c:v>
                </c:pt>
                <c:pt idx="1288">
                  <c:v>5.5173966177875606E-3</c:v>
                </c:pt>
                <c:pt idx="1289">
                  <c:v>5.524919827731181E-3</c:v>
                </c:pt>
                <c:pt idx="1290">
                  <c:v>5.5324457957091917E-3</c:v>
                </c:pt>
                <c:pt idx="1291">
                  <c:v>5.5399745296397457E-3</c:v>
                </c:pt>
                <c:pt idx="1292">
                  <c:v>5.5475060374409937E-3</c:v>
                </c:pt>
                <c:pt idx="1293">
                  <c:v>5.5701172832504251E-3</c:v>
                </c:pt>
                <c:pt idx="1294">
                  <c:v>5.577659965715972E-3</c:v>
                </c:pt>
                <c:pt idx="1295">
                  <c:v>5.5852054616429732E-3</c:v>
                </c:pt>
                <c:pt idx="1296">
                  <c:v>5.5927537789495808E-3</c:v>
                </c:pt>
                <c:pt idx="1297">
                  <c:v>5.6003049255539472E-3</c:v>
                </c:pt>
                <c:pt idx="1298">
                  <c:v>5.6229754203351171E-3</c:v>
                </c:pt>
                <c:pt idx="1299">
                  <c:v>5.6305379633120375E-3</c:v>
                </c:pt>
                <c:pt idx="1300">
                  <c:v>5.638103375177477E-3</c:v>
                </c:pt>
                <c:pt idx="1301">
                  <c:v>5.645671663849587E-3</c:v>
                </c:pt>
                <c:pt idx="1302">
                  <c:v>5.6532428372465188E-3</c:v>
                </c:pt>
                <c:pt idx="1303">
                  <c:v>5.6759737449677697E-3</c:v>
                </c:pt>
                <c:pt idx="1304">
                  <c:v>5.6835565364455123E-3</c:v>
                </c:pt>
                <c:pt idx="1305">
                  <c:v>5.6911422522388346E-3</c:v>
                </c:pt>
                <c:pt idx="1306">
                  <c:v>5.6987309002658939E-3</c:v>
                </c:pt>
                <c:pt idx="1307">
                  <c:v>5.706322488444839E-3</c:v>
                </c:pt>
                <c:pt idx="1308">
                  <c:v>5.7291149730745138E-3</c:v>
                </c:pt>
                <c:pt idx="1309">
                  <c:v>5.7367184010425239E-3</c:v>
                </c:pt>
                <c:pt idx="1310">
                  <c:v>5.7443248087531784E-3</c:v>
                </c:pt>
                <c:pt idx="1311">
                  <c:v>5.7519342041246367E-3</c:v>
                </c:pt>
                <c:pt idx="1312">
                  <c:v>5.7595465950750395E-3</c:v>
                </c:pt>
                <c:pt idx="1313">
                  <c:v>5.7824018205814781E-3</c:v>
                </c:pt>
                <c:pt idx="1314">
                  <c:v>5.7900262730292045E-3</c:v>
                </c:pt>
                <c:pt idx="1315">
                  <c:v>5.7976537606466427E-3</c:v>
                </c:pt>
                <c:pt idx="1316">
                  <c:v>5.8052842913519417E-3</c:v>
                </c:pt>
                <c:pt idx="1317">
                  <c:v>5.8129178730632527E-3</c:v>
                </c:pt>
                <c:pt idx="1318">
                  <c:v>5.8358370034147979E-3</c:v>
                </c:pt>
                <c:pt idx="1319">
                  <c:v>5.8434828683316883E-3</c:v>
                </c:pt>
                <c:pt idx="1320">
                  <c:v>5.851131823845352E-3</c:v>
                </c:pt>
                <c:pt idx="1321">
                  <c:v>5.858783877873943E-3</c:v>
                </c:pt>
                <c:pt idx="1322">
                  <c:v>5.8664390383356118E-3</c:v>
                </c:pt>
                <c:pt idx="1323">
                  <c:v>5.8894232375006064E-3</c:v>
                </c:pt>
                <c:pt idx="1324">
                  <c:v>5.8970909028761053E-3</c:v>
                </c:pt>
                <c:pt idx="1325">
                  <c:v>5.9047617142754449E-3</c:v>
                </c:pt>
                <c:pt idx="1326">
                  <c:v>5.9124356796167732E-3</c:v>
                </c:pt>
                <c:pt idx="1327">
                  <c:v>5.920112806818245E-3</c:v>
                </c:pt>
                <c:pt idx="1328">
                  <c:v>5.9431632387650308E-3</c:v>
                </c:pt>
                <c:pt idx="1329">
                  <c:v>5.9508530925885868E-3</c:v>
                </c:pt>
                <c:pt idx="1330">
                  <c:v>5.9585461478630511E-3</c:v>
                </c:pt>
                <c:pt idx="1331">
                  <c:v>5.9662424125065637E-3</c:v>
                </c:pt>
                <c:pt idx="1332">
                  <c:v>5.9739418944372855E-3</c:v>
                </c:pt>
                <c:pt idx="1333">
                  <c:v>5.9970597231342043E-3</c:v>
                </c:pt>
                <c:pt idx="1334">
                  <c:v>6.0047721533952689E-3</c:v>
                </c:pt>
                <c:pt idx="1335">
                  <c:v>6.0124878405342997E-3</c:v>
                </c:pt>
                <c:pt idx="1336">
                  <c:v>6.0202067924694453E-3</c:v>
                </c:pt>
                <c:pt idx="1337">
                  <c:v>6.0279290171188667E-3</c:v>
                </c:pt>
                <c:pt idx="1338">
                  <c:v>6.0511154065342587E-3</c:v>
                </c:pt>
                <c:pt idx="1339">
                  <c:v>6.0588508012222771E-3</c:v>
                </c:pt>
                <c:pt idx="1340">
                  <c:v>6.0665895082153247E-3</c:v>
                </c:pt>
                <c:pt idx="1341">
                  <c:v>6.0743315354315538E-3</c:v>
                </c:pt>
                <c:pt idx="1342">
                  <c:v>6.0820768907891174E-3</c:v>
                </c:pt>
                <c:pt idx="1343">
                  <c:v>6.105333004891327E-3</c:v>
                </c:pt>
                <c:pt idx="1344">
                  <c:v>6.1130917519957454E-3</c:v>
                </c:pt>
                <c:pt idx="1345">
                  <c:v>6.1208538668322569E-3</c:v>
                </c:pt>
                <c:pt idx="1346">
                  <c:v>6.1286193573190147E-3</c:v>
                </c:pt>
                <c:pt idx="1347">
                  <c:v>6.1363882313741703E-3</c:v>
                </c:pt>
                <c:pt idx="1348">
                  <c:v>6.1597152341315384E-3</c:v>
                </c:pt>
                <c:pt idx="1349">
                  <c:v>6.1674977216418072E-3</c:v>
                </c:pt>
                <c:pt idx="1350">
                  <c:v>6.1752836323112296E-3</c:v>
                </c:pt>
                <c:pt idx="1351">
                  <c:v>6.1830729740579623E-3</c:v>
                </c:pt>
                <c:pt idx="1352">
                  <c:v>6.1908657548001575E-3</c:v>
                </c:pt>
                <c:pt idx="1353">
                  <c:v>6.2142648101810305E-3</c:v>
                </c:pt>
                <c:pt idx="1354">
                  <c:v>6.2220714260865914E-3</c:v>
                </c:pt>
                <c:pt idx="1355">
                  <c:v>6.2298815205783717E-3</c:v>
                </c:pt>
                <c:pt idx="1356">
                  <c:v>6.2376951015745306E-3</c:v>
                </c:pt>
                <c:pt idx="1357">
                  <c:v>6.2455121769932108E-3</c:v>
                </c:pt>
                <c:pt idx="1358">
                  <c:v>6.268984448965927E-3</c:v>
                </c:pt>
                <c:pt idx="1359">
                  <c:v>6.2768155812562322E-3</c:v>
                </c:pt>
                <c:pt idx="1360">
                  <c:v>6.2846502475598209E-3</c:v>
                </c:pt>
                <c:pt idx="1361">
                  <c:v>6.292488455794846E-3</c:v>
                </c:pt>
                <c:pt idx="1362">
                  <c:v>6.3003302138794591E-3</c:v>
                </c:pt>
                <c:pt idx="1363">
                  <c:v>6.3238768664123637E-3</c:v>
                </c:pt>
                <c:pt idx="1364">
                  <c:v>6.3317329030768577E-3</c:v>
                </c:pt>
                <c:pt idx="1365">
                  <c:v>6.3395925291817E-3</c:v>
                </c:pt>
                <c:pt idx="1366">
                  <c:v>6.3474557526450454E-3</c:v>
                </c:pt>
                <c:pt idx="1367">
                  <c:v>6.3553225813850435E-3</c:v>
                </c:pt>
                <c:pt idx="1368">
                  <c:v>6.3789447784464749E-3</c:v>
                </c:pt>
                <c:pt idx="1369">
                  <c:v>6.3868261074746038E-3</c:v>
                </c:pt>
                <c:pt idx="1370">
                  <c:v>6.3947110813701467E-3</c:v>
                </c:pt>
                <c:pt idx="1371">
                  <c:v>6.4025997080512558E-3</c:v>
                </c:pt>
                <c:pt idx="1372">
                  <c:v>6.4104919954360833E-3</c:v>
                </c:pt>
                <c:pt idx="1373">
                  <c:v>6.4341909009943861E-3</c:v>
                </c:pt>
                <c:pt idx="1374">
                  <c:v>6.4420979103755995E-3</c:v>
                </c:pt>
                <c:pt idx="1375">
                  <c:v>6.4500086200512943E-3</c:v>
                </c:pt>
                <c:pt idx="1376">
                  <c:v>6.4579230379396141E-3</c:v>
                </c:pt>
                <c:pt idx="1377">
                  <c:v>6.465841171958718E-3</c:v>
                </c:pt>
                <c:pt idx="1378">
                  <c:v>6.4896179499822322E-3</c:v>
                </c:pt>
                <c:pt idx="1379">
                  <c:v>6.4975510277059806E-3</c:v>
                </c:pt>
                <c:pt idx="1380">
                  <c:v>6.5054878611512683E-3</c:v>
                </c:pt>
                <c:pt idx="1381">
                  <c:v>6.5134284582362475E-3</c:v>
                </c:pt>
                <c:pt idx="1382">
                  <c:v>6.5213728268790766E-3</c:v>
                </c:pt>
                <c:pt idx="1383">
                  <c:v>6.5452286413361458E-3</c:v>
                </c:pt>
                <c:pt idx="1384">
                  <c:v>6.5531881753918726E-3</c:v>
                </c:pt>
                <c:pt idx="1385">
                  <c:v>6.5611515205962045E-3</c:v>
                </c:pt>
                <c:pt idx="1386">
                  <c:v>6.5691186848672927E-3</c:v>
                </c:pt>
                <c:pt idx="1387">
                  <c:v>6.5770896761232914E-3</c:v>
                </c:pt>
                <c:pt idx="1388">
                  <c:v>6.6010256909822566E-3</c:v>
                </c:pt>
                <c:pt idx="1389">
                  <c:v>6.6090120693594115E-3</c:v>
                </c:pt>
                <c:pt idx="1390">
                  <c:v>6.6170023143122328E-3</c:v>
                </c:pt>
                <c:pt idx="1391">
                  <c:v>6.6249964337588762E-3</c:v>
                </c:pt>
                <c:pt idx="1392">
                  <c:v>6.6329944356174932E-3</c:v>
                </c:pt>
                <c:pt idx="1393">
                  <c:v>6.6570118148466979E-3</c:v>
                </c:pt>
                <c:pt idx="1394">
                  <c:v>6.6650254255347253E-3</c:v>
                </c:pt>
                <c:pt idx="1395">
                  <c:v>6.6730429582254865E-3</c:v>
                </c:pt>
                <c:pt idx="1396">
                  <c:v>6.6810644208371321E-3</c:v>
                </c:pt>
                <c:pt idx="1397">
                  <c:v>6.6890898212878143E-3</c:v>
                </c:pt>
                <c:pt idx="1398">
                  <c:v>6.7131897288556031E-3</c:v>
                </c:pt>
                <c:pt idx="1399">
                  <c:v>6.7212309598439525E-3</c:v>
                </c:pt>
                <c:pt idx="1400">
                  <c:v>6.7292761682620963E-3</c:v>
                </c:pt>
                <c:pt idx="1401">
                  <c:v>6.737325362028191E-3</c:v>
                </c:pt>
                <c:pt idx="1402">
                  <c:v>6.7453785490603872E-3</c:v>
                </c:pt>
                <c:pt idx="1403">
                  <c:v>6.7695621489350993E-3</c:v>
                </c:pt>
                <c:pt idx="1404">
                  <c:v>6.7776313882132178E-3</c:v>
                </c:pt>
                <c:pt idx="1405">
                  <c:v>6.7857046603481963E-3</c:v>
                </c:pt>
                <c:pt idx="1406">
                  <c:v>6.7937819732581889E-3</c:v>
                </c:pt>
                <c:pt idx="1407">
                  <c:v>6.8018633348613427E-3</c:v>
                </c:pt>
                <c:pt idx="1408">
                  <c:v>6.8261317910113199E-3</c:v>
                </c:pt>
                <c:pt idx="1409">
                  <c:v>6.8342294265686552E-3</c:v>
                </c:pt>
                <c:pt idx="1410">
                  <c:v>6.8423311504099147E-3</c:v>
                </c:pt>
                <c:pt idx="1411">
                  <c:v>6.8504369704532504E-3</c:v>
                </c:pt>
                <c:pt idx="1412">
                  <c:v>6.8585468865439434E-3</c:v>
                </c:pt>
                <c:pt idx="1413">
                  <c:v>6.8829008543466056E-3</c:v>
                </c:pt>
                <c:pt idx="1414">
                  <c:v>6.8910267817274291E-3</c:v>
                </c:pt>
                <c:pt idx="1415">
                  <c:v>6.8991566106330875E-3</c:v>
                </c:pt>
                <c:pt idx="1416">
                  <c:v>6.9072903005445042E-3</c:v>
                </c:pt>
                <c:pt idx="1417">
                  <c:v>6.9154278109426013E-3</c:v>
                </c:pt>
                <c:pt idx="1418">
                  <c:v>6.9398628598661832E-3</c:v>
                </c:pt>
                <c:pt idx="1419">
                  <c:v>6.9480152470202108E-3</c:v>
                </c:pt>
                <c:pt idx="1420">
                  <c:v>6.9561712520655287E-3</c:v>
                </c:pt>
                <c:pt idx="1421">
                  <c:v>6.9643308344830542E-3</c:v>
                </c:pt>
                <c:pt idx="1422">
                  <c:v>6.9724939537537103E-3</c:v>
                </c:pt>
                <c:pt idx="1423">
                  <c:v>6.9970041274936782E-3</c:v>
                </c:pt>
                <c:pt idx="1424">
                  <c:v>7.0051809889860707E-3</c:v>
                </c:pt>
                <c:pt idx="1425">
                  <c:v>7.013361184736203E-3</c:v>
                </c:pt>
                <c:pt idx="1426">
                  <c:v>7.021544674224992E-3</c:v>
                </c:pt>
                <c:pt idx="1427">
                  <c:v>7.0297314169333646E-3</c:v>
                </c:pt>
                <c:pt idx="1428">
                  <c:v>7.0543107591851889E-3</c:v>
                </c:pt>
                <c:pt idx="1429">
                  <c:v>7.0625101095811021E-3</c:v>
                </c:pt>
                <c:pt idx="1430">
                  <c:v>7.0707125106012044E-3</c:v>
                </c:pt>
                <c:pt idx="1431">
                  <c:v>7.0789179217264188E-3</c:v>
                </c:pt>
                <c:pt idx="1432">
                  <c:v>7.0871263024376643E-3</c:v>
                </c:pt>
                <c:pt idx="1433">
                  <c:v>7.1117688568968079E-3</c:v>
                </c:pt>
                <c:pt idx="1434">
                  <c:v>7.1199887107613992E-3</c:v>
                </c:pt>
                <c:pt idx="1435">
                  <c:v>7.1282113316166297E-3</c:v>
                </c:pt>
                <c:pt idx="1436">
                  <c:v>7.1364366789434218E-3</c:v>
                </c:pt>
                <c:pt idx="1437">
                  <c:v>7.1446647122226968E-3</c:v>
                </c:pt>
                <c:pt idx="1438">
                  <c:v>7.1693645225846354E-3</c:v>
                </c:pt>
                <c:pt idx="1439">
                  <c:v>7.1776028944830587E-3</c:v>
                </c:pt>
                <c:pt idx="1440">
                  <c:v>7.1858437497385741E-3</c:v>
                </c:pt>
                <c:pt idx="1441">
                  <c:v>7.1940870478321012E-3</c:v>
                </c:pt>
                <c:pt idx="1442">
                  <c:v>7.2023327482445632E-3</c:v>
                </c:pt>
                <c:pt idx="1443">
                  <c:v>7.2270838582047664E-3</c:v>
                </c:pt>
                <c:pt idx="1444">
                  <c:v>7.2353387627021801E-3</c:v>
                </c:pt>
                <c:pt idx="1445">
                  <c:v>7.2435958669231316E-3</c:v>
                </c:pt>
                <c:pt idx="1446">
                  <c:v>7.2518551303485503E-3</c:v>
                </c:pt>
                <c:pt idx="1447">
                  <c:v>7.2601165124593541E-3</c:v>
                </c:pt>
                <c:pt idx="1448">
                  <c:v>7.2849129657132925E-3</c:v>
                </c:pt>
                <c:pt idx="1449">
                  <c:v>7.2931824173748504E-3</c:v>
                </c:pt>
                <c:pt idx="1450">
                  <c:v>7.3014537851264043E-3</c:v>
                </c:pt>
                <c:pt idx="1451">
                  <c:v>7.3097270284488694E-3</c:v>
                </c:pt>
                <c:pt idx="1452">
                  <c:v>7.3180021068231698E-3</c:v>
                </c:pt>
                <c:pt idx="1453">
                  <c:v>7.3428379470663087E-3</c:v>
                </c:pt>
                <c:pt idx="1454">
                  <c:v>7.3511199604571701E-3</c:v>
                </c:pt>
                <c:pt idx="1455">
                  <c:v>7.3594036063044758E-3</c:v>
                </c:pt>
                <c:pt idx="1456">
                  <c:v>7.3676888440891482E-3</c:v>
                </c:pt>
                <c:pt idx="1457">
                  <c:v>7.3759756332921053E-3</c:v>
                </c:pt>
                <c:pt idx="1458">
                  <c:v>7.4008449042199135E-3</c:v>
                </c:pt>
                <c:pt idx="1459">
                  <c:v>7.409137493905235E-3</c:v>
                </c:pt>
                <c:pt idx="1460">
                  <c:v>7.41743143241345E-3</c:v>
                </c:pt>
                <c:pt idx="1461">
                  <c:v>7.4257266792254811E-3</c:v>
                </c:pt>
                <c:pt idx="1462">
                  <c:v>7.4340231938222522E-3</c:v>
                </c:pt>
                <c:pt idx="1463">
                  <c:v>7.4589199391302029E-3</c:v>
                </c:pt>
                <c:pt idx="1464">
                  <c:v>7.4672211196751366E-3</c:v>
                </c:pt>
                <c:pt idx="1465">
                  <c:v>7.4755233654094193E-3</c:v>
                </c:pt>
                <c:pt idx="1466">
                  <c:v>7.4838266358139673E-3</c:v>
                </c:pt>
                <c:pt idx="1467">
                  <c:v>7.4921308903697055E-3</c:v>
                </c:pt>
                <c:pt idx="1468">
                  <c:v>7.5170491537532675E-3</c:v>
                </c:pt>
                <c:pt idx="1469">
                  <c:v>7.5253569397229769E-3</c:v>
                </c:pt>
                <c:pt idx="1470">
                  <c:v>7.5336655072484812E-3</c:v>
                </c:pt>
                <c:pt idx="1471">
                  <c:v>7.5419748158107027E-3</c:v>
                </c:pt>
                <c:pt idx="1472">
                  <c:v>7.5502848248905656E-3</c:v>
                </c:pt>
                <c:pt idx="1473">
                  <c:v>7.5752186500452068E-3</c:v>
                </c:pt>
                <c:pt idx="1474">
                  <c:v>7.5835310560048441E-3</c:v>
                </c:pt>
                <c:pt idx="1475">
                  <c:v>7.5918439598867283E-3</c:v>
                </c:pt>
                <c:pt idx="1476">
                  <c:v>7.600157321171779E-3</c:v>
                </c:pt>
                <c:pt idx="1477">
                  <c:v>7.6084710993409256E-3</c:v>
                </c:pt>
                <c:pt idx="1478">
                  <c:v>7.6334145299621148E-3</c:v>
                </c:pt>
                <c:pt idx="1479">
                  <c:v>7.6417295704768375E-3</c:v>
                </c:pt>
                <c:pt idx="1480">
                  <c:v>7.6500448252802573E-3</c:v>
                </c:pt>
                <c:pt idx="1481">
                  <c:v>7.6583602538532972E-3</c:v>
                </c:pt>
                <c:pt idx="1482">
                  <c:v>7.6666758156768771E-3</c:v>
                </c:pt>
                <c:pt idx="1483">
                  <c:v>7.6916228954600849E-3</c:v>
                </c:pt>
                <c:pt idx="1484">
                  <c:v>7.6999385850950479E-3</c:v>
                </c:pt>
                <c:pt idx="1485">
                  <c:v>7.7082542053851615E-3</c:v>
                </c:pt>
                <c:pt idx="1486">
                  <c:v>7.7165697158113455E-3</c:v>
                </c:pt>
                <c:pt idx="1487">
                  <c:v>7.7248850758545205E-3</c:v>
                </c:pt>
                <c:pt idx="1488">
                  <c:v>7.7498298484952165E-3</c:v>
                </c:pt>
                <c:pt idx="1489">
                  <c:v>7.7581442018155779E-3</c:v>
                </c:pt>
                <c:pt idx="1490">
                  <c:v>7.7664582021575394E-3</c:v>
                </c:pt>
                <c:pt idx="1491">
                  <c:v>7.7747718090020231E-3</c:v>
                </c:pt>
                <c:pt idx="1492">
                  <c:v>7.7830849818299489E-3</c:v>
                </c:pt>
                <c:pt idx="1493">
                  <c:v>7.8080214910236038E-3</c:v>
                </c:pt>
                <c:pt idx="1494">
                  <c:v>7.8163325225945185E-3</c:v>
                </c:pt>
                <c:pt idx="1495">
                  <c:v>7.8246429175534826E-3</c:v>
                </c:pt>
                <c:pt idx="1496">
                  <c:v>7.8329526353814235E-3</c:v>
                </c:pt>
                <c:pt idx="1497">
                  <c:v>7.8412616355592567E-3</c:v>
                </c:pt>
                <c:pt idx="1498">
                  <c:v>7.86618392500134E-3</c:v>
                </c:pt>
                <c:pt idx="1499">
                  <c:v>7.8744896493879654E-3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-1.484155408285231E-4</c:v>
                </c:pt>
                <c:pt idx="1">
                  <c:v>-1.4920773826929294E-4</c:v>
                </c:pt>
                <c:pt idx="2">
                  <c:v>-1.4999996589647399E-4</c:v>
                </c:pt>
                <c:pt idx="3">
                  <c:v>-1.5079219352365499E-4</c:v>
                </c:pt>
                <c:pt idx="4">
                  <c:v>-1.5316857454108663E-4</c:v>
                </c:pt>
                <c:pt idx="5">
                  <c:v>-1.5396050030415628E-4</c:v>
                </c:pt>
                <c:pt idx="6">
                  <c:v>-1.5475227513517031E-4</c:v>
                </c:pt>
                <c:pt idx="7">
                  <c:v>-1.555438688477175E-4</c:v>
                </c:pt>
                <c:pt idx="8">
                  <c:v>-1.5633525125538679E-4</c:v>
                </c:pt>
                <c:pt idx="9">
                  <c:v>-1.5870782878501575E-4</c:v>
                </c:pt>
                <c:pt idx="10">
                  <c:v>-1.5949806410906208E-4</c:v>
                </c:pt>
                <c:pt idx="11">
                  <c:v>-1.602879371961747E-4</c:v>
                </c:pt>
                <c:pt idx="12">
                  <c:v>-1.6107741785994267E-4</c:v>
                </c:pt>
                <c:pt idx="13">
                  <c:v>-1.6186647591395477E-4</c:v>
                </c:pt>
                <c:pt idx="14">
                  <c:v>-1.6423081255334467E-4</c:v>
                </c:pt>
                <c:pt idx="15">
                  <c:v>-1.6501787830422199E-4</c:v>
                </c:pt>
                <c:pt idx="16">
                  <c:v>-1.6580437051328791E-4</c:v>
                </c:pt>
                <c:pt idx="17">
                  <c:v>-1.6659025899413109E-4</c:v>
                </c:pt>
                <c:pt idx="18">
                  <c:v>-1.6737551356034056E-4</c:v>
                </c:pt>
                <c:pt idx="19">
                  <c:v>-1.6972717190705483E-4</c:v>
                </c:pt>
                <c:pt idx="20">
                  <c:v>-1.7050958895061785E-4</c:v>
                </c:pt>
                <c:pt idx="21">
                  <c:v>-1.7129122114749136E-4</c:v>
                </c:pt>
                <c:pt idx="22">
                  <c:v>-1.7207203831126437E-4</c:v>
                </c:pt>
                <c:pt idx="23">
                  <c:v>-1.7285201025552565E-4</c:v>
                </c:pt>
                <c:pt idx="24">
                  <c:v>-1.7518655290712801E-4</c:v>
                </c:pt>
                <c:pt idx="25">
                  <c:v>-1.7596284210923111E-4</c:v>
                </c:pt>
                <c:pt idx="26">
                  <c:v>-1.7673813515976694E-4</c:v>
                </c:pt>
                <c:pt idx="27">
                  <c:v>-1.7751240187232419E-4</c:v>
                </c:pt>
                <c:pt idx="28">
                  <c:v>-1.7828561206049181E-4</c:v>
                </c:pt>
                <c:pt idx="29">
                  <c:v>-1.8059860161454572E-4</c:v>
                </c:pt>
                <c:pt idx="30">
                  <c:v>-1.8136728384104348E-4</c:v>
                </c:pt>
                <c:pt idx="31">
                  <c:v>-1.8213475861109603E-4</c:v>
                </c:pt>
                <c:pt idx="32">
                  <c:v>-1.8290099573829211E-4</c:v>
                </c:pt>
                <c:pt idx="33">
                  <c:v>-1.8366596503622068E-4</c:v>
                </c:pt>
                <c:pt idx="34">
                  <c:v>-1.8595296409028961E-4</c:v>
                </c:pt>
                <c:pt idx="35">
                  <c:v>-1.8671256020703661E-4</c:v>
                </c:pt>
                <c:pt idx="36">
                  <c:v>-1.874707375624604E-4</c:v>
                </c:pt>
                <c:pt idx="37">
                  <c:v>-1.8822746597014985E-4</c:v>
                </c:pt>
                <c:pt idx="38">
                  <c:v>-1.8898271524369375E-4</c:v>
                </c:pt>
                <c:pt idx="39">
                  <c:v>-1.9123928639534142E-4</c:v>
                </c:pt>
                <c:pt idx="40">
                  <c:v>-1.9198831726819211E-4</c:v>
                </c:pt>
                <c:pt idx="41">
                  <c:v>-1.927357180748417E-4</c:v>
                </c:pt>
                <c:pt idx="42">
                  <c:v>-1.9348145862887895E-4</c:v>
                </c:pt>
                <c:pt idx="43">
                  <c:v>-1.9422550874389284E-4</c:v>
                </c:pt>
                <c:pt idx="44">
                  <c:v>-1.9644721459068266E-4</c:v>
                </c:pt>
                <c:pt idx="45">
                  <c:v>-1.9718420108549159E-4</c:v>
                </c:pt>
                <c:pt idx="46">
                  <c:v>-1.9791934620922141E-4</c:v>
                </c:pt>
                <c:pt idx="47">
                  <c:v>-1.986526197754611E-4</c:v>
                </c:pt>
                <c:pt idx="48">
                  <c:v>-1.9938399159779934E-4</c:v>
                </c:pt>
                <c:pt idx="49">
                  <c:v>-2.0156639473729502E-4</c:v>
                </c:pt>
                <c:pt idx="50">
                  <c:v>-2.0228985771991669E-4</c:v>
                </c:pt>
                <c:pt idx="51">
                  <c:v>-2.0301126802658136E-4</c:v>
                </c:pt>
                <c:pt idx="52">
                  <c:v>-2.0373059547087785E-4</c:v>
                </c:pt>
                <c:pt idx="53">
                  <c:v>-2.0444780986639515E-4</c:v>
                </c:pt>
                <c:pt idx="54">
                  <c:v>-2.0658647289616006E-4</c:v>
                </c:pt>
                <c:pt idx="55">
                  <c:v>-2.0729493323244896E-4</c:v>
                </c:pt>
                <c:pt idx="56">
                  <c:v>-2.0800112958790294E-4</c:v>
                </c:pt>
                <c:pt idx="57">
                  <c:v>-2.0870503177611088E-4</c:v>
                </c:pt>
                <c:pt idx="58">
                  <c:v>-2.0940660961066168E-4</c:v>
                </c:pt>
                <c:pt idx="59">
                  <c:v>-2.1149709512825946E-4</c:v>
                </c:pt>
                <c:pt idx="60">
                  <c:v>-2.1218907368407018E-4</c:v>
                </c:pt>
                <c:pt idx="61">
                  <c:v>-2.1287857695416801E-4</c:v>
                </c:pt>
                <c:pt idx="62">
                  <c:v>-2.1356557475214191E-4</c:v>
                </c:pt>
                <c:pt idx="63">
                  <c:v>-2.1425003689158061E-4</c:v>
                </c:pt>
                <c:pt idx="64">
                  <c:v>-2.1628790749457489E-4</c:v>
                </c:pt>
                <c:pt idx="65">
                  <c:v>-2.1696192513576186E-4</c:v>
                </c:pt>
                <c:pt idx="66">
                  <c:v>-2.1763325618635811E-4</c:v>
                </c:pt>
                <c:pt idx="67">
                  <c:v>-2.1830187045995236E-4</c:v>
                </c:pt>
                <c:pt idx="68">
                  <c:v>-2.1896773777013365E-4</c:v>
                </c:pt>
                <c:pt idx="69">
                  <c:v>-2.2094855605608789E-4</c:v>
                </c:pt>
                <c:pt idx="70">
                  <c:v>-2.2160313364850571E-4</c:v>
                </c:pt>
                <c:pt idx="71">
                  <c:v>-2.2225481334545478E-4</c:v>
                </c:pt>
                <c:pt idx="72">
                  <c:v>-2.2290356496052405E-4</c:v>
                </c:pt>
                <c:pt idx="73">
                  <c:v>-2.2354935830730231E-4</c:v>
                </c:pt>
                <c:pt idx="74">
                  <c:v>-2.2546868687378017E-4</c:v>
                </c:pt>
                <c:pt idx="75">
                  <c:v>-2.2610234528328325E-4</c:v>
                </c:pt>
                <c:pt idx="76">
                  <c:v>-2.2673289449243975E-4</c:v>
                </c:pt>
                <c:pt idx="77">
                  <c:v>-2.2736030431483848E-4</c:v>
                </c:pt>
                <c:pt idx="78">
                  <c:v>-2.2798454456406835E-4</c:v>
                </c:pt>
                <c:pt idx="79">
                  <c:v>-2.2983794600863323E-4</c:v>
                </c:pt>
                <c:pt idx="80">
                  <c:v>-2.3044920610107618E-4</c:v>
                </c:pt>
                <c:pt idx="81">
                  <c:v>-2.3105714568829461E-4</c:v>
                </c:pt>
                <c:pt idx="82">
                  <c:v>-2.3166173458387732E-4</c:v>
                </c:pt>
                <c:pt idx="83">
                  <c:v>-2.322629426014133E-4</c:v>
                </c:pt>
                <c:pt idx="84">
                  <c:v>-2.3404597952162879E-4</c:v>
                </c:pt>
                <c:pt idx="85">
                  <c:v>-2.3463336216286614E-4</c:v>
                </c:pt>
                <c:pt idx="86">
                  <c:v>-2.3521721299400098E-4</c:v>
                </c:pt>
                <c:pt idx="87">
                  <c:v>-2.3579750182862232E-4</c:v>
                </c:pt>
                <c:pt idx="88">
                  <c:v>-2.3637419848031877E-4</c:v>
                </c:pt>
                <c:pt idx="89">
                  <c:v>-2.3808243347374852E-4</c:v>
                </c:pt>
                <c:pt idx="90">
                  <c:v>-2.3864445952963474E-4</c:v>
                </c:pt>
                <c:pt idx="91">
                  <c:v>-2.3920274247054055E-4</c:v>
                </c:pt>
                <c:pt idx="92">
                  <c:v>-2.3975725211005484E-4</c:v>
                </c:pt>
                <c:pt idx="93">
                  <c:v>-2.4030795826176647E-4</c:v>
                </c:pt>
                <c:pt idx="94">
                  <c:v>-2.4193695392597396E-4</c:v>
                </c:pt>
                <c:pt idx="95">
                  <c:v>-2.4247214426236364E-4</c:v>
                </c:pt>
                <c:pt idx="96">
                  <c:v>-2.4300338017889492E-4</c:v>
                </c:pt>
                <c:pt idx="97">
                  <c:v>-2.4353063148915675E-4</c:v>
                </c:pt>
                <c:pt idx="98">
                  <c:v>-2.4405386800673798E-4</c:v>
                </c:pt>
                <c:pt idx="99">
                  <c:v>-2.4559918693928685E-4</c:v>
                </c:pt>
                <c:pt idx="100">
                  <c:v>-2.4610606242203434E-4</c:v>
                </c:pt>
                <c:pt idx="101">
                  <c:v>-2.4660877218004565E-4</c:v>
                </c:pt>
                <c:pt idx="102">
                  <c:v>-2.4710728602690956E-4</c:v>
                </c:pt>
                <c:pt idx="103">
                  <c:v>-2.4760157377621498E-4</c:v>
                </c:pt>
                <c:pt idx="104">
                  <c:v>-2.4905877857466863E-4</c:v>
                </c:pt>
                <c:pt idx="105">
                  <c:v>-2.4953586006962858E-4</c:v>
                </c:pt>
                <c:pt idx="106">
                  <c:v>-2.5000856453497445E-4</c:v>
                </c:pt>
                <c:pt idx="107">
                  <c:v>-2.5047686178429493E-4</c:v>
                </c:pt>
                <c:pt idx="108">
                  <c:v>-2.5094072163117897E-4</c:v>
                </c:pt>
                <c:pt idx="109">
                  <c:v>-2.5230537489310108E-4</c:v>
                </c:pt>
                <c:pt idx="110">
                  <c:v>-2.5275118326612803E-4</c:v>
                </c:pt>
                <c:pt idx="111">
                  <c:v>-2.5319240330466284E-4</c:v>
                </c:pt>
                <c:pt idx="112">
                  <c:v>-2.5362900482229448E-4</c:v>
                </c:pt>
                <c:pt idx="113">
                  <c:v>-2.5406095763261168E-4</c:v>
                </c:pt>
                <c:pt idx="114">
                  <c:v>-2.553286219555658E-4</c:v>
                </c:pt>
                <c:pt idx="115">
                  <c:v>-2.5574167807251424E-4</c:v>
                </c:pt>
                <c:pt idx="116">
                  <c:v>-2.5614993455009264E-4</c:v>
                </c:pt>
                <c:pt idx="117">
                  <c:v>-2.5655336120188987E-4</c:v>
                </c:pt>
                <c:pt idx="118">
                  <c:v>-2.5695192784149482E-4</c:v>
                </c:pt>
                <c:pt idx="119">
                  <c:v>-2.5811816582304442E-4</c:v>
                </c:pt>
                <c:pt idx="120">
                  <c:v>-2.5849699054976888E-4</c:v>
                </c:pt>
                <c:pt idx="121">
                  <c:v>-2.588708043322453E-4</c:v>
                </c:pt>
                <c:pt idx="122">
                  <c:v>-2.5923957698406266E-4</c:v>
                </c:pt>
                <c:pt idx="123">
                  <c:v>-2.596032783188098E-4</c:v>
                </c:pt>
                <c:pt idx="124">
                  <c:v>-2.6066365255651859E-4</c:v>
                </c:pt>
                <c:pt idx="125">
                  <c:v>-2.610067667588735E-4</c:v>
                </c:pt>
                <c:pt idx="126">
                  <c:v>-2.6134465871210255E-4</c:v>
                </c:pt>
                <c:pt idx="127">
                  <c:v>-2.6167729822979457E-4</c:v>
                </c:pt>
                <c:pt idx="128">
                  <c:v>-2.6200465512553843E-4</c:v>
                </c:pt>
                <c:pt idx="129">
                  <c:v>-2.6295472821696983E-4</c:v>
                </c:pt>
                <c:pt idx="130">
                  <c:v>-2.6326065276080978E-4</c:v>
                </c:pt>
                <c:pt idx="131">
                  <c:v>-2.6356114375064593E-4</c:v>
                </c:pt>
                <c:pt idx="132">
                  <c:v>-2.6385617100006711E-4</c:v>
                </c:pt>
                <c:pt idx="133">
                  <c:v>-2.6414570432266229E-4</c:v>
                </c:pt>
                <c:pt idx="134">
                  <c:v>-2.6498103886537984E-4</c:v>
                </c:pt>
                <c:pt idx="135">
                  <c:v>-2.6524829461655933E-4</c:v>
                </c:pt>
                <c:pt idx="136">
                  <c:v>-2.6550990550885711E-4</c:v>
                </c:pt>
                <c:pt idx="137">
                  <c:v>-2.6576584135586199E-4</c:v>
                </c:pt>
                <c:pt idx="138">
                  <c:v>-2.6601607197116291E-4</c:v>
                </c:pt>
                <c:pt idx="139">
                  <c:v>-2.6673223056273031E-4</c:v>
                </c:pt>
                <c:pt idx="140">
                  <c:v>-2.6695933838710386E-4</c:v>
                </c:pt>
                <c:pt idx="141">
                  <c:v>-2.6718059004771777E-4</c:v>
                </c:pt>
                <c:pt idx="142">
                  <c:v>-2.6739595535816088E-4</c:v>
                </c:pt>
                <c:pt idx="143">
                  <c:v>-2.6760540413202209E-4</c:v>
                </c:pt>
                <c:pt idx="144">
                  <c:v>-2.6819794937000272E-4</c:v>
                </c:pt>
                <c:pt idx="145">
                  <c:v>-2.6838343013342489E-4</c:v>
                </c:pt>
                <c:pt idx="146">
                  <c:v>-2.6856284342820946E-4</c:v>
                </c:pt>
                <c:pt idx="147">
                  <c:v>-2.6873615906794534E-4</c:v>
                </c:pt>
                <c:pt idx="148">
                  <c:v>-2.6890334686622132E-4</c:v>
                </c:pt>
                <c:pt idx="149">
                  <c:v>-2.6951021591650406E-4</c:v>
                </c:pt>
                <c:pt idx="150">
                  <c:v>-2.6964631171131384E-4</c:v>
                </c:pt>
                <c:pt idx="151">
                  <c:v>-2.6977609854619697E-4</c:v>
                </c:pt>
                <c:pt idx="152">
                  <c:v>-2.6989954623474226E-4</c:v>
                </c:pt>
                <c:pt idx="153">
                  <c:v>-2.7023210601861096E-4</c:v>
                </c:pt>
                <c:pt idx="154">
                  <c:v>-2.703301186950688E-4</c:v>
                </c:pt>
                <c:pt idx="155">
                  <c:v>-2.7042160543287584E-4</c:v>
                </c:pt>
                <c:pt idx="156">
                  <c:v>-2.7050653579683301E-4</c:v>
                </c:pt>
                <c:pt idx="157">
                  <c:v>-2.7058487935174136E-4</c:v>
                </c:pt>
                <c:pt idx="158">
                  <c:v>-2.7078008481018365E-4</c:v>
                </c:pt>
                <c:pt idx="159">
                  <c:v>-2.7083177677690682E-4</c:v>
                </c:pt>
                <c:pt idx="160">
                  <c:v>-2.7087672975858632E-4</c:v>
                </c:pt>
                <c:pt idx="161">
                  <c:v>-2.7091491332002299E-4</c:v>
                </c:pt>
                <c:pt idx="162">
                  <c:v>-2.7094629702601792E-4</c:v>
                </c:pt>
                <c:pt idx="163">
                  <c:v>-2.7099934465936248E-4</c:v>
                </c:pt>
                <c:pt idx="164">
                  <c:v>-2.7100322459160065E-4</c:v>
                </c:pt>
                <c:pt idx="165">
                  <c:v>-2.7100015249240209E-4</c:v>
                </c:pt>
                <c:pt idx="166">
                  <c:v>-2.7099009792656782E-4</c:v>
                </c:pt>
                <c:pt idx="167">
                  <c:v>-2.7097303045889895E-4</c:v>
                </c:pt>
                <c:pt idx="168">
                  <c:v>-2.7087944629289448E-4</c:v>
                </c:pt>
                <c:pt idx="169">
                  <c:v>-2.7083402286589713E-4</c:v>
                </c:pt>
                <c:pt idx="170">
                  <c:v>-2.7078143436107011E-4</c:v>
                </c:pt>
                <c:pt idx="171">
                  <c:v>-2.7072165034321458E-4</c:v>
                </c:pt>
                <c:pt idx="172">
                  <c:v>-2.7065464037713142E-4</c:v>
                </c:pt>
                <c:pt idx="173">
                  <c:v>-2.7040995043752663E-4</c:v>
                </c:pt>
                <c:pt idx="174">
                  <c:v>-2.7031373232654326E-4</c:v>
                </c:pt>
                <c:pt idx="175">
                  <c:v>-2.7021013609133753E-4</c:v>
                </c:pt>
                <c:pt idx="176">
                  <c:v>-2.7009913129671015E-4</c:v>
                </c:pt>
                <c:pt idx="177">
                  <c:v>-2.6998068750746227E-4</c:v>
                </c:pt>
                <c:pt idx="178">
                  <c:v>-2.6958041782000592E-4</c:v>
                </c:pt>
                <c:pt idx="179">
                  <c:v>-2.6943191370028621E-4</c:v>
                </c:pt>
                <c:pt idx="180">
                  <c:v>-2.6927581840995111E-4</c:v>
                </c:pt>
                <c:pt idx="181">
                  <c:v>-2.6911210151380155E-4</c:v>
                </c:pt>
                <c:pt idx="182">
                  <c:v>-2.6894073257663858E-4</c:v>
                </c:pt>
                <c:pt idx="183">
                  <c:v>-2.6838040916707932E-4</c:v>
                </c:pt>
                <c:pt idx="184">
                  <c:v>-2.6817812771387284E-4</c:v>
                </c:pt>
                <c:pt idx="185">
                  <c:v>-2.6796804204365799E-4</c:v>
                </c:pt>
                <c:pt idx="186">
                  <c:v>-2.6775012172123582E-4</c:v>
                </c:pt>
                <c:pt idx="187">
                  <c:v>-2.6752433631140732E-4</c:v>
                </c:pt>
                <c:pt idx="188">
                  <c:v>-2.6679948520549391E-4</c:v>
                </c:pt>
                <c:pt idx="189">
                  <c:v>-2.6654193509405017E-4</c:v>
                </c:pt>
                <c:pt idx="190">
                  <c:v>-2.6627636771920515E-4</c:v>
                </c:pt>
                <c:pt idx="191">
                  <c:v>-2.6600275264575989E-4</c:v>
                </c:pt>
                <c:pt idx="192">
                  <c:v>-2.6572105943851537E-4</c:v>
                </c:pt>
                <c:pt idx="193">
                  <c:v>-2.6482720666199652E-4</c:v>
                </c:pt>
                <c:pt idx="194">
                  <c:v>-2.645128965675652E-4</c:v>
                </c:pt>
                <c:pt idx="195">
                  <c:v>-2.6419035616333957E-4</c:v>
                </c:pt>
                <c:pt idx="196">
                  <c:v>-2.6385955501412084E-4</c:v>
                </c:pt>
                <c:pt idx="197">
                  <c:v>-2.6352046268470993E-4</c:v>
                </c:pt>
                <c:pt idx="198">
                  <c:v>-2.6245313426333429E-4</c:v>
                </c:pt>
                <c:pt idx="199">
                  <c:v>-2.6208057286116485E-4</c:v>
                </c:pt>
                <c:pt idx="200">
                  <c:v>-2.6169956810280823E-4</c:v>
                </c:pt>
                <c:pt idx="201">
                  <c:v>-2.613100895530656E-4</c:v>
                </c:pt>
                <c:pt idx="202">
                  <c:v>-2.6091210677673787E-4</c:v>
                </c:pt>
                <c:pt idx="203">
                  <c:v>-2.5966682873625419E-4</c:v>
                </c:pt>
                <c:pt idx="204">
                  <c:v>-2.592345247015962E-4</c:v>
                </c:pt>
                <c:pt idx="205">
                  <c:v>-2.5879356426435817E-4</c:v>
                </c:pt>
                <c:pt idx="206">
                  <c:v>-2.5834391698934119E-4</c:v>
                </c:pt>
                <c:pt idx="207">
                  <c:v>-2.5788555244134616E-4</c:v>
                </c:pt>
                <c:pt idx="208">
                  <c:v>-2.5645785080750315E-4</c:v>
                </c:pt>
                <c:pt idx="209">
                  <c:v>-2.5596431281560623E-4</c:v>
                </c:pt>
                <c:pt idx="210">
                  <c:v>-2.5546190537473635E-4</c:v>
                </c:pt>
                <c:pt idx="211">
                  <c:v>-2.5495059804969455E-4</c:v>
                </c:pt>
                <c:pt idx="212">
                  <c:v>-2.5443036040528178E-4</c:v>
                </c:pt>
                <c:pt idx="213">
                  <c:v>-2.5281576120382825E-4</c:v>
                </c:pt>
                <c:pt idx="214">
                  <c:v>-2.5225949792994192E-4</c:v>
                </c:pt>
                <c:pt idx="215">
                  <c:v>-2.5169415216068976E-4</c:v>
                </c:pt>
                <c:pt idx="216">
                  <c:v>-2.5111969346087272E-4</c:v>
                </c:pt>
                <c:pt idx="217">
                  <c:v>-2.5053609139529193E-4</c:v>
                </c:pt>
                <c:pt idx="218">
                  <c:v>-2.4873012065197638E-4</c:v>
                </c:pt>
                <c:pt idx="219">
                  <c:v>-2.4810964077135025E-4</c:v>
                </c:pt>
                <c:pt idx="220">
                  <c:v>-2.4747986534896538E-4</c:v>
                </c:pt>
                <c:pt idx="221">
                  <c:v>-2.4684076394962276E-4</c:v>
                </c:pt>
                <c:pt idx="222">
                  <c:v>-2.4619230613812332E-4</c:v>
                </c:pt>
                <c:pt idx="223">
                  <c:v>-2.4419048987869461E-4</c:v>
                </c:pt>
                <c:pt idx="224">
                  <c:v>-2.4350430206657831E-4</c:v>
                </c:pt>
                <c:pt idx="225">
                  <c:v>-2.4280860566631025E-4</c:v>
                </c:pt>
                <c:pt idx="226">
                  <c:v>-2.4210337024269151E-4</c:v>
                </c:pt>
                <c:pt idx="227">
                  <c:v>-2.3843304254237294E-4</c:v>
                </c:pt>
                <c:pt idx="228">
                  <c:v>-2.376699338394713E-4</c:v>
                </c:pt>
                <c:pt idx="229">
                  <c:v>-2.3689707306682607E-4</c:v>
                </c:pt>
                <c:pt idx="230">
                  <c:v>-2.3611442978923829E-4</c:v>
                </c:pt>
                <c:pt idx="231">
                  <c:v>-2.3370750057482933E-4</c:v>
                </c:pt>
                <c:pt idx="232">
                  <c:v>-2.3288542292548123E-4</c:v>
                </c:pt>
                <c:pt idx="233">
                  <c:v>-2.3205341059519556E-4</c:v>
                </c:pt>
                <c:pt idx="234">
                  <c:v>-2.3121143314877341E-4</c:v>
                </c:pt>
                <c:pt idx="235">
                  <c:v>-2.3035946015101576E-4</c:v>
                </c:pt>
                <c:pt idx="236">
                  <c:v>-2.2685100394265011E-4</c:v>
                </c:pt>
                <c:pt idx="237">
                  <c:v>-2.2594859666023005E-4</c:v>
                </c:pt>
                <c:pt idx="238">
                  <c:v>-2.2503601121528051E-4</c:v>
                </c:pt>
                <c:pt idx="239">
                  <c:v>-2.2411321717260259E-4</c:v>
                </c:pt>
                <c:pt idx="240">
                  <c:v>-2.2128327910620827E-4</c:v>
                </c:pt>
                <c:pt idx="241">
                  <c:v>-2.2031934632062671E-4</c:v>
                </c:pt>
                <c:pt idx="242">
                  <c:v>-2.1934505276132175E-4</c:v>
                </c:pt>
                <c:pt idx="243">
                  <c:v>-2.1836036799309446E-4</c:v>
                </c:pt>
                <c:pt idx="244">
                  <c:v>-2.1736526158074577E-4</c:v>
                </c:pt>
                <c:pt idx="245">
                  <c:v>-2.1431710812698182E-4</c:v>
                </c:pt>
                <c:pt idx="246">
                  <c:v>-2.1328001078615785E-4</c:v>
                </c:pt>
                <c:pt idx="247">
                  <c:v>-2.1223233962521762E-4</c:v>
                </c:pt>
                <c:pt idx="248">
                  <c:v>-2.1117406420896205E-4</c:v>
                </c:pt>
                <c:pt idx="249">
                  <c:v>-2.1010515410219233E-4</c:v>
                </c:pt>
                <c:pt idx="250">
                  <c:v>-2.068343112868074E-4</c:v>
                </c:pt>
                <c:pt idx="251">
                  <c:v>-2.0572255806599062E-4</c:v>
                </c:pt>
                <c:pt idx="252">
                  <c:v>-2.0460001797866469E-4</c:v>
                </c:pt>
                <c:pt idx="253">
                  <c:v>-2.0346666058963049E-4</c:v>
                </c:pt>
                <c:pt idx="254">
                  <c:v>-2.0232245546368912E-4</c:v>
                </c:pt>
                <c:pt idx="255">
                  <c:v>-1.9882444931243207E-4</c:v>
                </c:pt>
                <c:pt idx="256">
                  <c:v>-1.9763654888687207E-4</c:v>
                </c:pt>
                <c:pt idx="257">
                  <c:v>-1.9643764854840993E-4</c:v>
                </c:pt>
                <c:pt idx="258">
                  <c:v>-1.9522771786184662E-4</c:v>
                </c:pt>
                <c:pt idx="259">
                  <c:v>-1.9400672639198331E-4</c:v>
                </c:pt>
                <c:pt idx="260">
                  <c:v>-1.902772785191314E-4</c:v>
                </c:pt>
                <c:pt idx="261">
                  <c:v>-1.8901200759280224E-4</c:v>
                </c:pt>
                <c:pt idx="262">
                  <c:v>-1.8773569756364808E-4</c:v>
                </c:pt>
                <c:pt idx="263">
                  <c:v>-1.8644836146058727E-4</c:v>
                </c:pt>
                <c:pt idx="264">
                  <c:v>-1.8515001231253852E-4</c:v>
                </c:pt>
                <c:pt idx="265">
                  <c:v>-1.8118901688764862E-4</c:v>
                </c:pt>
                <c:pt idx="266">
                  <c:v>-1.7984674584883265E-4</c:v>
                </c:pt>
                <c:pt idx="267">
                  <c:v>-1.7849352690962102E-4</c:v>
                </c:pt>
                <c:pt idx="268">
                  <c:v>-1.7712937309893249E-4</c:v>
                </c:pt>
                <c:pt idx="269">
                  <c:v>-1.7575429744568529E-4</c:v>
                </c:pt>
                <c:pt idx="270">
                  <c:v>-1.7156366971977772E-4</c:v>
                </c:pt>
                <c:pt idx="271">
                  <c:v>-1.7014503698548156E-4</c:v>
                </c:pt>
                <c:pt idx="272">
                  <c:v>-1.6871554755321935E-4</c:v>
                </c:pt>
                <c:pt idx="273">
                  <c:v>-1.6727521445190972E-4</c:v>
                </c:pt>
                <c:pt idx="274">
                  <c:v>-1.6582405071047097E-4</c:v>
                </c:pt>
                <c:pt idx="275">
                  <c:v>-1.61405705934566E-4</c:v>
                </c:pt>
                <c:pt idx="276">
                  <c:v>-1.599113499217965E-4</c:v>
                </c:pt>
                <c:pt idx="277">
                  <c:v>-1.5840622841349039E-4</c:v>
                </c:pt>
                <c:pt idx="278">
                  <c:v>-1.5689035443856644E-4</c:v>
                </c:pt>
                <c:pt idx="279">
                  <c:v>-1.5536374102594286E-4</c:v>
                </c:pt>
                <c:pt idx="280">
                  <c:v>-1.5071959445106094E-4</c:v>
                </c:pt>
                <c:pt idx="281">
                  <c:v>-1.4915015357682459E-4</c:v>
                </c:pt>
                <c:pt idx="282">
                  <c:v>-1.475700384094814E-4</c:v>
                </c:pt>
                <c:pt idx="283">
                  <c:v>-1.4597926197794988E-4</c:v>
                </c:pt>
                <c:pt idx="284">
                  <c:v>-1.4437783731114834E-4</c:v>
                </c:pt>
                <c:pt idx="285">
                  <c:v>-1.3950980418830949E-4</c:v>
                </c:pt>
                <c:pt idx="286">
                  <c:v>-1.3786591686961328E-4</c:v>
                </c:pt>
                <c:pt idx="287">
                  <c:v>-1.3621144646023989E-4</c:v>
                </c:pt>
                <c:pt idx="288">
                  <c:v>-1.3454640598910744E-4</c:v>
                </c:pt>
                <c:pt idx="289">
                  <c:v>-1.3287080848513468E-4</c:v>
                </c:pt>
                <c:pt idx="290">
                  <c:v>-1.2778080406535911E-4</c:v>
                </c:pt>
                <c:pt idx="291">
                  <c:v>-1.2606310871920981E-4</c:v>
                </c:pt>
                <c:pt idx="292">
                  <c:v>-1.243349214848128E-4</c:v>
                </c:pt>
                <c:pt idx="293">
                  <c:v>-1.2259625539108631E-4</c:v>
                </c:pt>
                <c:pt idx="294">
                  <c:v>-1.2084712346694911E-4</c:v>
                </c:pt>
                <c:pt idx="295">
                  <c:v>-1.1553706300125713E-4</c:v>
                </c:pt>
                <c:pt idx="296">
                  <c:v>-1.1374619804466146E-4</c:v>
                </c:pt>
                <c:pt idx="297">
                  <c:v>-1.1194493240224763E-4</c:v>
                </c:pt>
                <c:pt idx="298">
                  <c:v>-1.1013327910293382E-4</c:v>
                </c:pt>
                <c:pt idx="299">
                  <c:v>-1.0831125117563885E-4</c:v>
                </c:pt>
                <c:pt idx="300">
                  <c:v>-1.0278304991505087E-4</c:v>
                </c:pt>
                <c:pt idx="301">
                  <c:v>-1.0091965376501573E-4</c:v>
                </c:pt>
                <c:pt idx="302">
                  <c:v>-9.9045948131591655E-5</c:v>
                </c:pt>
                <c:pt idx="303">
                  <c:v>-9.7161946043697455E-5</c:v>
                </c:pt>
                <c:pt idx="304">
                  <c:v>-9.5267660530251339E-5</c:v>
                </c:pt>
                <c:pt idx="305">
                  <c:v>-8.9523233725787588E-5</c:v>
                </c:pt>
                <c:pt idx="306">
                  <c:v>-8.7587944799319563E-5</c:v>
                </c:pt>
                <c:pt idx="307">
                  <c:v>-8.5642437591892183E-5</c:v>
                </c:pt>
                <c:pt idx="308">
                  <c:v>-8.3686725132424197E-5</c:v>
                </c:pt>
                <c:pt idx="309">
                  <c:v>-8.1720820449833869E-5</c:v>
                </c:pt>
                <c:pt idx="310">
                  <c:v>-7.5762083352514571E-5</c:v>
                </c:pt>
                <c:pt idx="311">
                  <c:v>-7.3755540066620413E-5</c:v>
                </c:pt>
                <c:pt idx="312">
                  <c:v>-7.1738869702196514E-5</c:v>
                </c:pt>
                <c:pt idx="313">
                  <c:v>-6.9712085288161515E-5</c:v>
                </c:pt>
                <c:pt idx="314">
                  <c:v>-6.7675199853433666E-5</c:v>
                </c:pt>
                <c:pt idx="315">
                  <c:v>-6.1504067714279306E-5</c:v>
                </c:pt>
                <c:pt idx="316">
                  <c:v>-5.9426908485965692E-5</c:v>
                </c:pt>
                <c:pt idx="317">
                  <c:v>-5.7339713381552115E-5</c:v>
                </c:pt>
                <c:pt idx="318">
                  <c:v>-5.52424954299567E-5</c:v>
                </c:pt>
                <c:pt idx="319">
                  <c:v>-5.3135267660098145E-5</c:v>
                </c:pt>
                <c:pt idx="320">
                  <c:v>-4.6753655730128756E-5</c:v>
                </c:pt>
                <c:pt idx="321">
                  <c:v>-4.4606518976402583E-5</c:v>
                </c:pt>
                <c:pt idx="322">
                  <c:v>-4.2449437549005979E-5</c:v>
                </c:pt>
                <c:pt idx="323">
                  <c:v>-4.0282424476857057E-5</c:v>
                </c:pt>
                <c:pt idx="324">
                  <c:v>-3.8105492788874636E-5</c:v>
                </c:pt>
                <c:pt idx="325">
                  <c:v>-3.1515316319110457E-5</c:v>
                </c:pt>
                <c:pt idx="326">
                  <c:v>-2.9298840456978443E-5</c:v>
                </c:pt>
                <c:pt idx="327">
                  <c:v>-2.7072511123605518E-5</c:v>
                </c:pt>
                <c:pt idx="328">
                  <c:v>-2.4836341347909822E-5</c:v>
                </c:pt>
                <c:pt idx="329">
                  <c:v>-2.25903441588102E-5</c:v>
                </c:pt>
                <c:pt idx="330">
                  <c:v>-1.5793518400271538E-5</c:v>
                </c:pt>
                <c:pt idx="331">
                  <c:v>-1.350834184674047E-5</c:v>
                </c:pt>
                <c:pt idx="332">
                  <c:v>-1.121340302439805E-5</c:v>
                </c:pt>
                <c:pt idx="333">
                  <c:v>-8.9087149621623531E-6</c:v>
                </c:pt>
                <c:pt idx="334">
                  <c:v>-6.5942906889523316E-6</c:v>
                </c:pt>
                <c:pt idx="335">
                  <c:v>4.0726910734048116E-7</c:v>
                </c:pt>
                <c:pt idx="336">
                  <c:v>2.7605079352636811E-6</c:v>
                </c:pt>
                <c:pt idx="337">
                  <c:v>5.1234178295690648E-6</c:v>
                </c:pt>
                <c:pt idx="338">
                  <c:v>7.4959857613377868E-6</c:v>
                </c:pt>
                <c:pt idx="339">
                  <c:v>9.8781987016517334E-6</c:v>
                </c:pt>
                <c:pt idx="340">
                  <c:v>1.7082577284678444E-5</c:v>
                </c:pt>
                <c:pt idx="341">
                  <c:v>1.950323996998722E-5</c:v>
                </c:pt>
                <c:pt idx="342">
                  <c:v>2.1933482519248646E-5</c:v>
                </c:pt>
                <c:pt idx="343">
                  <c:v>2.4373291903543822E-5</c:v>
                </c:pt>
                <c:pt idx="344">
                  <c:v>2.6822655093954745E-5</c:v>
                </c:pt>
                <c:pt idx="345">
                  <c:v>3.4227937212695048E-5</c:v>
                </c:pt>
                <c:pt idx="346">
                  <c:v>3.6715385338382584E-5</c:v>
                </c:pt>
                <c:pt idx="347">
                  <c:v>3.9212322125593266E-5</c:v>
                </c:pt>
                <c:pt idx="348">
                  <c:v>4.1718734545408219E-5</c:v>
                </c:pt>
                <c:pt idx="349">
                  <c:v>4.423460956890933E-5</c:v>
                </c:pt>
                <c:pt idx="350">
                  <c:v>5.1838879972342702E-5</c:v>
                </c:pt>
                <c:pt idx="351">
                  <c:v>5.4392475121402511E-5</c:v>
                </c:pt>
                <c:pt idx="352">
                  <c:v>5.6955467729555498E-5</c:v>
                </c:pt>
                <c:pt idx="353">
                  <c:v>5.9527844767883603E-5</c:v>
                </c:pt>
                <c:pt idx="354">
                  <c:v>6.2109593207468117E-5</c:v>
                </c:pt>
                <c:pt idx="355">
                  <c:v>6.9910936644574577E-5</c:v>
                </c:pt>
                <c:pt idx="356">
                  <c:v>7.253004039999971E-5</c:v>
                </c:pt>
                <c:pt idx="357">
                  <c:v>7.5158450412088433E-5</c:v>
                </c:pt>
                <c:pt idx="358">
                  <c:v>7.779615365192274E-5</c:v>
                </c:pt>
                <c:pt idx="359">
                  <c:v>8.0443137090583733E-5</c:v>
                </c:pt>
                <c:pt idx="360">
                  <c:v>8.8439638310343246E-5</c:v>
                </c:pt>
                <c:pt idx="361">
                  <c:v>9.1123612255126834E-5</c:v>
                </c:pt>
                <c:pt idx="362">
                  <c:v>9.3816801254144533E-5</c:v>
                </c:pt>
                <c:pt idx="363">
                  <c:v>9.6519192278478311E-5</c:v>
                </c:pt>
                <c:pt idx="364">
                  <c:v>9.9230772299209187E-5</c:v>
                </c:pt>
                <c:pt idx="365">
                  <c:v>1.0742051605060126E-4</c:v>
                </c:pt>
                <c:pt idx="366">
                  <c:v>1.1016872176773638E-4</c:v>
                </c:pt>
                <c:pt idx="367">
                  <c:v>1.1292605133667656E-4</c:v>
                </c:pt>
                <c:pt idx="368">
                  <c:v>1.1569249172850308E-4</c:v>
                </c:pt>
                <c:pt idx="369">
                  <c:v>1.1846802991429708E-4</c:v>
                </c:pt>
                <c:pt idx="370">
                  <c:v>1.2684910094630137E-4</c:v>
                </c:pt>
                <c:pt idx="371">
                  <c:v>1.2966090001878154E-4</c:v>
                </c:pt>
                <c:pt idx="372">
                  <c:v>1.324817317406371E-4</c:v>
                </c:pt>
                <c:pt idx="373">
                  <c:v>1.353115830829494E-4</c:v>
                </c:pt>
                <c:pt idx="374">
                  <c:v>1.3815044101680001E-4</c:v>
                </c:pt>
                <c:pt idx="375">
                  <c:v>1.4672092407839633E-4</c:v>
                </c:pt>
                <c:pt idx="376">
                  <c:v>1.4959567808921467E-4</c:v>
                </c:pt>
                <c:pt idx="377">
                  <c:v>1.5247937354697904E-4</c:v>
                </c:pt>
                <c:pt idx="378">
                  <c:v>1.5537199742277045E-4</c:v>
                </c:pt>
                <c:pt idx="379">
                  <c:v>1.5827353668767071E-4</c:v>
                </c:pt>
                <c:pt idx="380">
                  <c:v>1.6703151652783848E-4</c:v>
                </c:pt>
                <c:pt idx="381">
                  <c:v>1.6996858705998859E-4</c:v>
                </c:pt>
                <c:pt idx="382">
                  <c:v>1.7291450783665498E-4</c:v>
                </c:pt>
                <c:pt idx="383">
                  <c:v>1.7586926582891874E-4</c:v>
                </c:pt>
                <c:pt idx="384">
                  <c:v>1.7883284800786195E-4</c:v>
                </c:pt>
                <c:pt idx="385">
                  <c:v>1.8777640937558116E-4</c:v>
                </c:pt>
                <c:pt idx="386">
                  <c:v>1.9077515801205596E-4</c:v>
                </c:pt>
                <c:pt idx="387">
                  <c:v>1.9378266569061728E-4</c:v>
                </c:pt>
                <c:pt idx="388">
                  <c:v>1.9679891938234695E-4</c:v>
                </c:pt>
                <c:pt idx="389">
                  <c:v>1.9982390605832628E-4</c:v>
                </c:pt>
                <c:pt idx="390">
                  <c:v>2.0895113370257662E-4</c:v>
                </c:pt>
                <c:pt idx="391">
                  <c:v>2.1201092202636953E-4</c:v>
                </c:pt>
                <c:pt idx="392">
                  <c:v>2.1507937818981922E-4</c:v>
                </c:pt>
                <c:pt idx="393">
                  <c:v>2.1815648916400786E-4</c:v>
                </c:pt>
                <c:pt idx="394">
                  <c:v>2.2124224192001629E-4</c:v>
                </c:pt>
                <c:pt idx="395">
                  <c:v>2.3055122058977779E-4</c:v>
                </c:pt>
                <c:pt idx="396">
                  <c:v>2.3367141018388194E-4</c:v>
                </c:pt>
                <c:pt idx="397">
                  <c:v>2.3680017641521329E-4</c:v>
                </c:pt>
                <c:pt idx="398">
                  <c:v>2.3993750625485411E-4</c:v>
                </c:pt>
                <c:pt idx="399">
                  <c:v>2.4308338667388511E-4</c:v>
                </c:pt>
                <c:pt idx="400">
                  <c:v>2.5257220111813729E-4</c:v>
                </c:pt>
                <c:pt idx="401">
                  <c:v>2.5575215356554552E-4</c:v>
                </c:pt>
                <c:pt idx="402">
                  <c:v>2.5894059144775214E-4</c:v>
                </c:pt>
                <c:pt idx="403">
                  <c:v>2.6213750173583828E-4</c:v>
                </c:pt>
                <c:pt idx="404">
                  <c:v>2.6534287140088516E-4</c:v>
                </c:pt>
                <c:pt idx="405">
                  <c:v>2.8149615436838852E-4</c:v>
                </c:pt>
                <c:pt idx="406">
                  <c:v>2.8475200668791301E-4</c:v>
                </c:pt>
                <c:pt idx="407">
                  <c:v>2.880162271819693E-4</c:v>
                </c:pt>
                <c:pt idx="408">
                  <c:v>3.0115653032513874E-4</c:v>
                </c:pt>
                <c:pt idx="409">
                  <c:v>3.0446239625807488E-4</c:v>
                </c:pt>
                <c:pt idx="410">
                  <c:v>3.0777655219203141E-4</c:v>
                </c:pt>
                <c:pt idx="411">
                  <c:v>3.1109898509809012E-4</c:v>
                </c:pt>
                <c:pt idx="412">
                  <c:v>3.2111581535969216E-4</c:v>
                </c:pt>
                <c:pt idx="413">
                  <c:v>3.2447122586497354E-4</c:v>
                </c:pt>
                <c:pt idx="414">
                  <c:v>3.2783484819776446E-4</c:v>
                </c:pt>
                <c:pt idx="415">
                  <c:v>3.3120666932914605E-4</c:v>
                </c:pt>
                <c:pt idx="416">
                  <c:v>3.3458667623019987E-4</c:v>
                </c:pt>
                <c:pt idx="417">
                  <c:v>3.4477568126221208E-4</c:v>
                </c:pt>
                <c:pt idx="418">
                  <c:v>3.4818830095277066E-4</c:v>
                </c:pt>
                <c:pt idx="419">
                  <c:v>3.5160904126840917E-4</c:v>
                </c:pt>
                <c:pt idx="420">
                  <c:v>3.5503788918020938E-4</c:v>
                </c:pt>
                <c:pt idx="421">
                  <c:v>3.5847483165925233E-4</c:v>
                </c:pt>
                <c:pt idx="422">
                  <c:v>3.6883409621065328E-4</c:v>
                </c:pt>
                <c:pt idx="423">
                  <c:v>3.7230328666948279E-4</c:v>
                </c:pt>
                <c:pt idx="424">
                  <c:v>3.7578050655096278E-4</c:v>
                </c:pt>
                <c:pt idx="425">
                  <c:v>3.7926574282617432E-4</c:v>
                </c:pt>
                <c:pt idx="426">
                  <c:v>3.8275898246619908E-4</c:v>
                </c:pt>
                <c:pt idx="427">
                  <c:v>3.9328659128596926E-4</c:v>
                </c:pt>
                <c:pt idx="428">
                  <c:v>3.968117140960624E-4</c:v>
                </c:pt>
                <c:pt idx="429">
                  <c:v>4.0034477512637678E-4</c:v>
                </c:pt>
                <c:pt idx="430">
                  <c:v>4.0388576134799337E-4</c:v>
                </c:pt>
                <c:pt idx="431">
                  <c:v>4.0743465973199357E-4</c:v>
                </c:pt>
                <c:pt idx="432">
                  <c:v>4.1812869756911242E-4</c:v>
                </c:pt>
                <c:pt idx="433">
                  <c:v>4.2170911431346303E-4</c:v>
                </c:pt>
                <c:pt idx="434">
                  <c:v>4.2529737807560472E-4</c:v>
                </c:pt>
                <c:pt idx="435">
                  <c:v>4.2889347582661917E-4</c:v>
                </c:pt>
                <c:pt idx="436">
                  <c:v>4.324973945375882E-4</c:v>
                </c:pt>
                <c:pt idx="437">
                  <c:v>4.4335594614103551E-4</c:v>
                </c:pt>
                <c:pt idx="438">
                  <c:v>4.4699101840263628E-4</c:v>
                </c:pt>
                <c:pt idx="439">
                  <c:v>4.5063384647959901E-4</c:v>
                </c:pt>
                <c:pt idx="440">
                  <c:v>4.5428441734300521E-4</c:v>
                </c:pt>
                <c:pt idx="441">
                  <c:v>4.5794271796393562E-4</c:v>
                </c:pt>
                <c:pt idx="442">
                  <c:v>4.6896386808269121E-4</c:v>
                </c:pt>
                <c:pt idx="443">
                  <c:v>4.7265295744453555E-4</c:v>
                </c:pt>
                <c:pt idx="444">
                  <c:v>4.7634971141931223E-4</c:v>
                </c:pt>
                <c:pt idx="445">
                  <c:v>4.8005411697810287E-4</c:v>
                </c:pt>
                <c:pt idx="446">
                  <c:v>4.837661610919886E-4</c:v>
                </c:pt>
                <c:pt idx="447">
                  <c:v>4.9494799447503187E-4</c:v>
                </c:pt>
                <c:pt idx="448">
                  <c:v>4.9869046252011345E-4</c:v>
                </c:pt>
                <c:pt idx="449">
                  <c:v>5.0244050397569781E-4</c:v>
                </c:pt>
                <c:pt idx="450">
                  <c:v>5.0619810581286587E-4</c:v>
                </c:pt>
                <c:pt idx="451">
                  <c:v>5.0996325500269972E-4</c:v>
                </c:pt>
                <c:pt idx="452">
                  <c:v>5.2130385639901126E-4</c:v>
                </c:pt>
                <c:pt idx="453">
                  <c:v>5.250990647103225E-4</c:v>
                </c:pt>
                <c:pt idx="454">
                  <c:v>5.2890175522970714E-4</c:v>
                </c:pt>
                <c:pt idx="455">
                  <c:v>5.3271191492824661E-4</c:v>
                </c:pt>
                <c:pt idx="456">
                  <c:v>5.3652953077702238E-4</c:v>
                </c:pt>
                <c:pt idx="457">
                  <c:v>5.4802698493558043E-4</c:v>
                </c:pt>
                <c:pt idx="458">
                  <c:v>5.5187429509611556E-4</c:v>
                </c:pt>
                <c:pt idx="459">
                  <c:v>5.5572899626229447E-4</c:v>
                </c:pt>
                <c:pt idx="460">
                  <c:v>5.5959107540519794E-4</c:v>
                </c:pt>
                <c:pt idx="461">
                  <c:v>5.634605194959081E-4</c:v>
                </c:pt>
                <c:pt idx="462">
                  <c:v>5.7511291116569348E-4</c:v>
                </c:pt>
                <c:pt idx="463">
                  <c:v>5.7901168475844498E-4</c:v>
                </c:pt>
                <c:pt idx="464">
                  <c:v>5.8291775815441074E-4</c:v>
                </c:pt>
                <c:pt idx="465">
                  <c:v>5.8683111832467222E-4</c:v>
                </c:pt>
                <c:pt idx="466">
                  <c:v>5.9075175224031033E-4</c:v>
                </c:pt>
                <c:pt idx="467">
                  <c:v>6.0255716617030265E-4</c:v>
                </c:pt>
                <c:pt idx="468">
                  <c:v>6.0650676477826441E-4</c:v>
                </c:pt>
                <c:pt idx="469">
                  <c:v>6.1046357198701016E-4</c:v>
                </c:pt>
                <c:pt idx="470">
                  <c:v>6.1442757476762213E-4</c:v>
                </c:pt>
                <c:pt idx="471">
                  <c:v>6.3435506623652502E-4</c:v>
                </c:pt>
                <c:pt idx="472">
                  <c:v>6.3836196884104477E-4</c:v>
                </c:pt>
                <c:pt idx="473">
                  <c:v>6.4237597581500111E-4</c:v>
                </c:pt>
                <c:pt idx="474">
                  <c:v>6.4639707412947485E-4</c:v>
                </c:pt>
                <c:pt idx="475">
                  <c:v>6.5850278682682022E-4</c:v>
                </c:pt>
                <c:pt idx="476">
                  <c:v>6.625521202141809E-4</c:v>
                </c:pt>
                <c:pt idx="477">
                  <c:v>6.6660847979746723E-4</c:v>
                </c:pt>
                <c:pt idx="478">
                  <c:v>6.7067185254776054E-4</c:v>
                </c:pt>
                <c:pt idx="479">
                  <c:v>6.7474222543614261E-4</c:v>
                </c:pt>
                <c:pt idx="480">
                  <c:v>6.8699521464063342E-4</c:v>
                </c:pt>
                <c:pt idx="481">
                  <c:v>6.9109345779218409E-4</c:v>
                </c:pt>
                <c:pt idx="482">
                  <c:v>6.9519863593723089E-4</c:v>
                </c:pt>
                <c:pt idx="483">
                  <c:v>6.9931073604685451E-4</c:v>
                </c:pt>
                <c:pt idx="484">
                  <c:v>7.0342974509213707E-4</c:v>
                </c:pt>
                <c:pt idx="485">
                  <c:v>7.1582809555275424E-4</c:v>
                </c:pt>
                <c:pt idx="486">
                  <c:v>7.1997461005148748E-4</c:v>
                </c:pt>
                <c:pt idx="487">
                  <c:v>7.2412796834128701E-4</c:v>
                </c:pt>
                <c:pt idx="488">
                  <c:v>7.2828815739323495E-4</c:v>
                </c:pt>
                <c:pt idx="489">
                  <c:v>7.3245516417841199E-4</c:v>
                </c:pt>
                <c:pt idx="490">
                  <c:v>7.4499696064413417E-4</c:v>
                </c:pt>
                <c:pt idx="491">
                  <c:v>7.5339200809059024E-4</c:v>
                </c:pt>
                <c:pt idx="492">
                  <c:v>7.5759964766785475E-4</c:v>
                </c:pt>
                <c:pt idx="493">
                  <c:v>7.6181401377591897E-4</c:v>
                </c:pt>
                <c:pt idx="494">
                  <c:v>7.7449734099572663E-4</c:v>
                </c:pt>
                <c:pt idx="495">
                  <c:v>7.7873848293780515E-4</c:v>
                </c:pt>
                <c:pt idx="496">
                  <c:v>7.829862862660914E-4</c:v>
                </c:pt>
                <c:pt idx="497">
                  <c:v>7.8724073795166649E-4</c:v>
                </c:pt>
                <c:pt idx="498">
                  <c:v>7.9150182496561146E-4</c:v>
                </c:pt>
                <c:pt idx="499">
                  <c:v>8.043247676884841E-4</c:v>
                </c:pt>
                <c:pt idx="500">
                  <c:v>8.0861226572672557E-4</c:v>
                </c:pt>
                <c:pt idx="501">
                  <c:v>8.1290633394874448E-4</c:v>
                </c:pt>
                <c:pt idx="502">
                  <c:v>8.1720695932562275E-4</c:v>
                </c:pt>
                <c:pt idx="503">
                  <c:v>8.2151412882844202E-4</c:v>
                </c:pt>
                <c:pt idx="504">
                  <c:v>8.3447477180335872E-4</c:v>
                </c:pt>
                <c:pt idx="505">
                  <c:v>8.3880798752075615E-4</c:v>
                </c:pt>
                <c:pt idx="506">
                  <c:v>8.4314768221950163E-4</c:v>
                </c:pt>
                <c:pt idx="507">
                  <c:v>8.4749384287067706E-4</c:v>
                </c:pt>
                <c:pt idx="508">
                  <c:v>8.5184645644536313E-4</c:v>
                </c:pt>
                <c:pt idx="509">
                  <c:v>8.6494288442130458E-4</c:v>
                </c:pt>
                <c:pt idx="510">
                  <c:v>8.6932117940085067E-4</c:v>
                </c:pt>
                <c:pt idx="511">
                  <c:v>8.7370586215931531E-4</c:v>
                </c:pt>
                <c:pt idx="512">
                  <c:v>8.7809691966778071E-4</c:v>
                </c:pt>
                <c:pt idx="513">
                  <c:v>8.8249433889732757E-4</c:v>
                </c:pt>
                <c:pt idx="514">
                  <c:v>8.9572463662327296E-4</c:v>
                </c:pt>
                <c:pt idx="515">
                  <c:v>9.0014737154563487E-4</c:v>
                </c:pt>
                <c:pt idx="516">
                  <c:v>9.0457639763052479E-4</c:v>
                </c:pt>
                <c:pt idx="517">
                  <c:v>9.0901169643506363E-4</c:v>
                </c:pt>
                <c:pt idx="518">
                  <c:v>9.134532495163717E-4</c:v>
                </c:pt>
                <c:pt idx="519">
                  <c:v>9.2681524999211511E-4</c:v>
                </c:pt>
                <c:pt idx="520">
                  <c:v>9.3128163575170557E-4</c:v>
                </c:pt>
                <c:pt idx="521">
                  <c:v>9.3575418357366789E-4</c:v>
                </c:pt>
                <c:pt idx="522">
                  <c:v>9.4023287501512269E-4</c:v>
                </c:pt>
                <c:pt idx="523">
                  <c:v>9.4471769163319036E-4</c:v>
                </c:pt>
                <c:pt idx="524">
                  <c:v>9.5820870811827582E-4</c:v>
                </c:pt>
                <c:pt idx="525">
                  <c:v>9.6271784101400072E-4</c:v>
                </c:pt>
                <c:pt idx="526">
                  <c:v>9.6723300687194059E-4</c:v>
                </c:pt>
                <c:pt idx="527">
                  <c:v>9.7175418724921735E-4</c:v>
                </c:pt>
                <c:pt idx="528">
                  <c:v>9.7628136370295064E-4</c:v>
                </c:pt>
                <c:pt idx="529">
                  <c:v>9.8989868509409616E-4</c:v>
                </c:pt>
                <c:pt idx="530">
                  <c:v>9.9444966142486183E-4</c:v>
                </c:pt>
                <c:pt idx="531">
                  <c:v>9.9900654161768558E-4</c:v>
                </c:pt>
                <c:pt idx="532">
                  <c:v>1.0035693072296902E-3</c:v>
                </c:pt>
                <c:pt idx="533">
                  <c:v>1.0081379398179946E-3</c:v>
                </c:pt>
                <c:pt idx="534">
                  <c:v>1.0218788550119173E-3</c:v>
                </c:pt>
                <c:pt idx="535">
                  <c:v>1.0264707710766292E-3</c:v>
                </c:pt>
                <c:pt idx="536">
                  <c:v>1.0310684619032444E-3</c:v>
                </c:pt>
                <c:pt idx="537">
                  <c:v>1.0356719090488828E-3</c:v>
                </c:pt>
                <c:pt idx="538">
                  <c:v>1.0402810940706648E-3</c:v>
                </c:pt>
                <c:pt idx="539">
                  <c:v>1.0541428919640819E-3</c:v>
                </c:pt>
                <c:pt idx="540">
                  <c:v>1.0587748440616465E-3</c:v>
                </c:pt>
                <c:pt idx="541">
                  <c:v>1.0634124418209578E-3</c:v>
                </c:pt>
                <c:pt idx="542">
                  <c:v>1.0680556667991361E-3</c:v>
                </c:pt>
                <c:pt idx="543">
                  <c:v>1.0727045005533024E-3</c:v>
                </c:pt>
                <c:pt idx="544">
                  <c:v>1.0866844700429328E-3</c:v>
                </c:pt>
                <c:pt idx="545">
                  <c:v>1.0913555544722548E-3</c:v>
                </c:pt>
                <c:pt idx="546">
                  <c:v>1.0960321554631684E-3</c:v>
                </c:pt>
                <c:pt idx="547">
                  <c:v>1.100714254572793E-3</c:v>
                </c:pt>
                <c:pt idx="548">
                  <c:v>1.1054018333582487E-3</c:v>
                </c:pt>
                <c:pt idx="549">
                  <c:v>1.1194972633408102E-3</c:v>
                </c:pt>
                <c:pt idx="550">
                  <c:v>1.1242065764007977E-3</c:v>
                </c:pt>
                <c:pt idx="551">
                  <c:v>1.1289212769222193E-3</c:v>
                </c:pt>
                <c:pt idx="552">
                  <c:v>1.1336413464621948E-3</c:v>
                </c:pt>
                <c:pt idx="553">
                  <c:v>1.1383667665778464E-3</c:v>
                </c:pt>
                <c:pt idx="554">
                  <c:v>1.1525749459500576E-3</c:v>
                </c:pt>
                <c:pt idx="555">
                  <c:v>1.1573215839396156E-3</c:v>
                </c:pt>
                <c:pt idx="556">
                  <c:v>1.1620734802904504E-3</c:v>
                </c:pt>
                <c:pt idx="557">
                  <c:v>1.1668306165596848E-3</c:v>
                </c:pt>
                <c:pt idx="558">
                  <c:v>1.171592974304437E-3</c:v>
                </c:pt>
                <c:pt idx="559">
                  <c:v>1.1859111919630156E-3</c:v>
                </c:pt>
                <c:pt idx="560">
                  <c:v>1.1906942511810499E-3</c:v>
                </c:pt>
                <c:pt idx="561">
                  <c:v>1.1954824396602057E-3</c:v>
                </c:pt>
                <c:pt idx="562">
                  <c:v>1.2002757389576037E-3</c:v>
                </c:pt>
                <c:pt idx="563">
                  <c:v>1.2050741306303637E-3</c:v>
                </c:pt>
                <c:pt idx="564">
                  <c:v>1.2194996754720264E-3</c:v>
                </c:pt>
                <c:pt idx="565">
                  <c:v>1.2243182522174434E-3</c:v>
                </c:pt>
                <c:pt idx="566">
                  <c:v>1.2291418291238254E-3</c:v>
                </c:pt>
                <c:pt idx="567">
                  <c:v>1.2339703877482934E-3</c:v>
                </c:pt>
                <c:pt idx="568">
                  <c:v>1.2388039096479675E-3</c:v>
                </c:pt>
                <c:pt idx="569">
                  <c:v>1.2533340705694334E-3</c:v>
                </c:pt>
                <c:pt idx="570">
                  <c:v>1.2581872611411378E-3</c:v>
                </c:pt>
                <c:pt idx="571">
                  <c:v>1.2630453227736517E-3</c:v>
                </c:pt>
                <c:pt idx="572">
                  <c:v>1.2679082370240955E-3</c:v>
                </c:pt>
                <c:pt idx="573">
                  <c:v>1.2727759854495894E-3</c:v>
                </c:pt>
                <c:pt idx="574">
                  <c:v>1.2874080513475771E-3</c:v>
                </c:pt>
                <c:pt idx="575">
                  <c:v>1.2922949520444756E-3</c:v>
                </c:pt>
                <c:pt idx="576">
                  <c:v>1.2971865947020282E-3</c:v>
                </c:pt>
                <c:pt idx="577">
                  <c:v>1.3020829608773529E-3</c:v>
                </c:pt>
                <c:pt idx="578">
                  <c:v>1.3069840321275725E-3</c:v>
                </c:pt>
                <c:pt idx="579">
                  <c:v>1.3217152918987988E-3</c:v>
                </c:pt>
                <c:pt idx="580">
                  <c:v>1.3266349990197989E-3</c:v>
                </c:pt>
                <c:pt idx="581">
                  <c:v>1.3315593190012954E-3</c:v>
                </c:pt>
                <c:pt idx="582">
                  <c:v>1.3364882334004078E-3</c:v>
                </c:pt>
                <c:pt idx="583">
                  <c:v>1.3414217237742588E-3</c:v>
                </c:pt>
                <c:pt idx="584">
                  <c:v>1.3562494663154415E-3</c:v>
                </c:pt>
                <c:pt idx="585">
                  <c:v>1.3612010761594477E-3</c:v>
                </c:pt>
                <c:pt idx="586">
                  <c:v>1.3661571697637944E-3</c:v>
                </c:pt>
                <c:pt idx="587">
                  <c:v>1.3711177286856017E-3</c:v>
                </c:pt>
                <c:pt idx="588">
                  <c:v>1.3760827344819902E-3</c:v>
                </c:pt>
                <c:pt idx="589">
                  <c:v>1.3910042486898466E-3</c:v>
                </c:pt>
                <c:pt idx="590">
                  <c:v>1.3959868575557656E-3</c:v>
                </c:pt>
                <c:pt idx="591">
                  <c:v>1.4009738210818681E-3</c:v>
                </c:pt>
                <c:pt idx="592">
                  <c:v>1.4059651208252753E-3</c:v>
                </c:pt>
                <c:pt idx="593">
                  <c:v>1.4109607383431071E-3</c:v>
                </c:pt>
                <c:pt idx="594">
                  <c:v>1.4259733131143577E-3</c:v>
                </c:pt>
                <c:pt idx="595">
                  <c:v>1.4309860173010946E-3</c:v>
                </c:pt>
                <c:pt idx="596">
                  <c:v>1.4360029470478583E-3</c:v>
                </c:pt>
                <c:pt idx="597">
                  <c:v>1.4410240839117711E-3</c:v>
                </c:pt>
                <c:pt idx="598">
                  <c:v>1.4460494094499529E-3</c:v>
                </c:pt>
                <c:pt idx="599">
                  <c:v>1.4611503336813148E-3</c:v>
                </c:pt>
                <c:pt idx="600">
                  <c:v>1.4661922294877763E-3</c:v>
                </c:pt>
                <c:pt idx="601">
                  <c:v>1.4712382217541085E-3</c:v>
                </c:pt>
                <c:pt idx="602">
                  <c:v>1.4762882920374332E-3</c:v>
                </c:pt>
                <c:pt idx="603">
                  <c:v>1.4813424218948692E-3</c:v>
                </c:pt>
                <c:pt idx="604">
                  <c:v>1.49652898448306E-3</c:v>
                </c:pt>
                <c:pt idx="605">
                  <c:v>1.5015991682081518E-3</c:v>
                </c:pt>
                <c:pt idx="606">
                  <c:v>1.5066733192929586E-3</c:v>
                </c:pt>
                <c:pt idx="607">
                  <c:v>1.5117514192946003E-3</c:v>
                </c:pt>
                <c:pt idx="608">
                  <c:v>1.5168334497701985E-3</c:v>
                </c:pt>
                <c:pt idx="609">
                  <c:v>1.5321029396119354E-3</c:v>
                </c:pt>
                <c:pt idx="610">
                  <c:v>1.5372005075545636E-3</c:v>
                </c:pt>
                <c:pt idx="611">
                  <c:v>1.5423019137567504E-3</c:v>
                </c:pt>
                <c:pt idx="612">
                  <c:v>1.5474071397756169E-3</c:v>
                </c:pt>
                <c:pt idx="613">
                  <c:v>1.5525161671682828E-3</c:v>
                </c:pt>
                <c:pt idx="614">
                  <c:v>1.5678658731602842E-3</c:v>
                </c:pt>
                <c:pt idx="615">
                  <c:v>1.5729899216193539E-3</c:v>
                </c:pt>
                <c:pt idx="616">
                  <c:v>1.578117679237827E-3</c:v>
                </c:pt>
                <c:pt idx="617">
                  <c:v>1.5832491275728229E-3</c:v>
                </c:pt>
                <c:pt idx="618">
                  <c:v>1.5883842481814623E-3</c:v>
                </c:pt>
                <c:pt idx="619">
                  <c:v>1.6038114592204465E-3</c:v>
                </c:pt>
                <c:pt idx="620">
                  <c:v>1.608961084494865E-3</c:v>
                </c:pt>
                <c:pt idx="621">
                  <c:v>1.6141142898285293E-3</c:v>
                </c:pt>
                <c:pt idx="622">
                  <c:v>1.6192710567785608E-3</c:v>
                </c:pt>
                <c:pt idx="623">
                  <c:v>1.6244313669020799E-3</c:v>
                </c:pt>
                <c:pt idx="624">
                  <c:v>1.6399333718847655E-3</c:v>
                </c:pt>
                <c:pt idx="625">
                  <c:v>1.6451076702734386E-3</c:v>
                </c:pt>
                <c:pt idx="626">
                  <c:v>1.6502854196212007E-3</c:v>
                </c:pt>
                <c:pt idx="627">
                  <c:v>1.6554666014851744E-3</c:v>
                </c:pt>
                <c:pt idx="628">
                  <c:v>1.6606511974224779E-3</c:v>
                </c:pt>
                <c:pt idx="629">
                  <c:v>1.6762252852455816E-3</c:v>
                </c:pt>
                <c:pt idx="630">
                  <c:v>1.6814233530474153E-3</c:v>
                </c:pt>
                <c:pt idx="631">
                  <c:v>1.6866247427081819E-3</c:v>
                </c:pt>
                <c:pt idx="632">
                  <c:v>1.6918294357850035E-3</c:v>
                </c:pt>
                <c:pt idx="633">
                  <c:v>1.6970374138349984E-3</c:v>
                </c:pt>
                <c:pt idx="634">
                  <c:v>1.7126808733952384E-3</c:v>
                </c:pt>
                <c:pt idx="635">
                  <c:v>1.717901806909138E-3</c:v>
                </c:pt>
                <c:pt idx="636">
                  <c:v>1.7231259331818149E-3</c:v>
                </c:pt>
                <c:pt idx="637">
                  <c:v>1.7283532337703897E-3</c:v>
                </c:pt>
                <c:pt idx="638">
                  <c:v>1.733583690231983E-3</c:v>
                </c:pt>
                <c:pt idx="639">
                  <c:v>1.7492938104260774E-3</c:v>
                </c:pt>
                <c:pt idx="640">
                  <c:v>1.7545367059509484E-3</c:v>
                </c:pt>
                <c:pt idx="641">
                  <c:v>1.7597826651344415E-3</c:v>
                </c:pt>
                <c:pt idx="642">
                  <c:v>1.7650316695336764E-3</c:v>
                </c:pt>
                <c:pt idx="643">
                  <c:v>1.7702837007057728E-3</c:v>
                </c:pt>
                <c:pt idx="644">
                  <c:v>1.7860577704304408E-3</c:v>
                </c:pt>
                <c:pt idx="645">
                  <c:v>1.7913217242651902E-3</c:v>
                </c:pt>
                <c:pt idx="646">
                  <c:v>1.7965886126584051E-3</c:v>
                </c:pt>
                <c:pt idx="647">
                  <c:v>1.8018584171672046E-3</c:v>
                </c:pt>
                <c:pt idx="648">
                  <c:v>1.8071311193487104E-3</c:v>
                </c:pt>
                <c:pt idx="649">
                  <c:v>1.8229664275006688E-3</c:v>
                </c:pt>
                <c:pt idx="650">
                  <c:v>1.8282505359442033E-3</c:v>
                </c:pt>
                <c:pt idx="651">
                  <c:v>1.8335374498460464E-3</c:v>
                </c:pt>
                <c:pt idx="652">
                  <c:v>1.8388271507633175E-3</c:v>
                </c:pt>
                <c:pt idx="653">
                  <c:v>1.8441196202531387E-3</c:v>
                </c:pt>
                <c:pt idx="654">
                  <c:v>1.8600134557291046E-3</c:v>
                </c:pt>
                <c:pt idx="655">
                  <c:v>1.8653168150803295E-3</c:v>
                </c:pt>
                <c:pt idx="656">
                  <c:v>1.8706228507897064E-3</c:v>
                </c:pt>
                <c:pt idx="657">
                  <c:v>1.875931544414356E-3</c:v>
                </c:pt>
                <c:pt idx="658">
                  <c:v>1.8812428775113988E-3</c:v>
                </c:pt>
                <c:pt idx="659">
                  <c:v>1.8971925292080901E-3</c:v>
                </c:pt>
                <c:pt idx="660">
                  <c:v>1.9131652722126616E-3</c:v>
                </c:pt>
                <c:pt idx="661">
                  <c:v>1.9184945652158316E-3</c:v>
                </c:pt>
                <c:pt idx="662">
                  <c:v>1.9344973220299683E-3</c:v>
                </c:pt>
                <c:pt idx="663">
                  <c:v>1.9451780403144533E-3</c:v>
                </c:pt>
                <c:pt idx="664">
                  <c:v>1.9505220082505765E-3</c:v>
                </c:pt>
                <c:pt idx="665">
                  <c:v>1.95586835745878E-3</c:v>
                </c:pt>
                <c:pt idx="666">
                  <c:v>1.9719215082870797E-3</c:v>
                </c:pt>
                <c:pt idx="667">
                  <c:v>1.9772771981548106E-3</c:v>
                </c:pt>
                <c:pt idx="668">
                  <c:v>1.982635177080225E-3</c:v>
                </c:pt>
                <c:pt idx="669">
                  <c:v>1.9879954266204436E-3</c:v>
                </c:pt>
                <c:pt idx="670">
                  <c:v>1.9933579283325856E-3</c:v>
                </c:pt>
                <c:pt idx="671">
                  <c:v>2.0094587620717659E-3</c:v>
                </c:pt>
                <c:pt idx="672">
                  <c:v>2.0148300880428113E-3</c:v>
                </c:pt>
                <c:pt idx="673">
                  <c:v>2.0202035739713842E-3</c:v>
                </c:pt>
                <c:pt idx="674">
                  <c:v>2.0255792014146033E-3</c:v>
                </c:pt>
                <c:pt idx="675">
                  <c:v>2.0309569519295916E-3</c:v>
                </c:pt>
                <c:pt idx="676">
                  <c:v>2.0471027574763688E-3</c:v>
                </c:pt>
                <c:pt idx="677">
                  <c:v>2.0524888158496351E-3</c:v>
                </c:pt>
                <c:pt idx="678">
                  <c:v>2.0578769050802713E-3</c:v>
                </c:pt>
                <c:pt idx="679">
                  <c:v>2.063267006725399E-3</c:v>
                </c:pt>
                <c:pt idx="680">
                  <c:v>2.0686591023421387E-3</c:v>
                </c:pt>
                <c:pt idx="681">
                  <c:v>2.0848471685932326E-3</c:v>
                </c:pt>
                <c:pt idx="682">
                  <c:v>2.0902470556676237E-3</c:v>
                </c:pt>
                <c:pt idx="683">
                  <c:v>2.0956488444992304E-3</c:v>
                </c:pt>
                <c:pt idx="684">
                  <c:v>2.1010525166451715E-3</c:v>
                </c:pt>
                <c:pt idx="685">
                  <c:v>2.1064580536625686E-3</c:v>
                </c:pt>
                <c:pt idx="686">
                  <c:v>2.1226856695146967E-3</c:v>
                </c:pt>
                <c:pt idx="687">
                  <c:v>2.1280984815891207E-3</c:v>
                </c:pt>
                <c:pt idx="688">
                  <c:v>2.1335130663206032E-3</c:v>
                </c:pt>
                <c:pt idx="689">
                  <c:v>2.1389294052662632E-3</c:v>
                </c:pt>
                <c:pt idx="690">
                  <c:v>2.1443474799832233E-3</c:v>
                </c:pt>
                <c:pt idx="691">
                  <c:v>2.1606119343331046E-3</c:v>
                </c:pt>
                <c:pt idx="692">
                  <c:v>2.1660367677064666E-3</c:v>
                </c:pt>
                <c:pt idx="693">
                  <c:v>2.1714632446367304E-3</c:v>
                </c:pt>
                <c:pt idx="694">
                  <c:v>2.1768913466810166E-3</c:v>
                </c:pt>
                <c:pt idx="695">
                  <c:v>2.1823210553964462E-3</c:v>
                </c:pt>
                <c:pt idx="696">
                  <c:v>2.1986196371407965E-3</c:v>
                </c:pt>
                <c:pt idx="697">
                  <c:v>2.204055588112003E-3</c:v>
                </c:pt>
                <c:pt idx="698">
                  <c:v>2.2094930535399553E-3</c:v>
                </c:pt>
                <c:pt idx="699">
                  <c:v>2.2149320149817725E-3</c:v>
                </c:pt>
                <c:pt idx="700">
                  <c:v>2.2203724539945776E-3</c:v>
                </c:pt>
                <c:pt idx="701">
                  <c:v>2.2367024520301157E-3</c:v>
                </c:pt>
                <c:pt idx="702">
                  <c:v>2.2421486168980728E-3</c:v>
                </c:pt>
                <c:pt idx="703">
                  <c:v>2.2475961671226184E-3</c:v>
                </c:pt>
                <c:pt idx="704">
                  <c:v>2.2530450842608734E-3</c:v>
                </c:pt>
                <c:pt idx="705">
                  <c:v>2.2584953498699599E-3</c:v>
                </c:pt>
                <c:pt idx="706">
                  <c:v>2.2748540530934049E-3</c:v>
                </c:pt>
                <c:pt idx="707">
                  <c:v>2.2803095281570176E-3</c:v>
                </c:pt>
                <c:pt idx="708">
                  <c:v>2.2857662594770621E-3</c:v>
                </c:pt>
                <c:pt idx="709">
                  <c:v>2.2912242286106613E-3</c:v>
                </c:pt>
                <c:pt idx="710">
                  <c:v>2.2966834171149349E-3</c:v>
                </c:pt>
                <c:pt idx="711">
                  <c:v>2.3130681144230033E-3</c:v>
                </c:pt>
                <c:pt idx="712">
                  <c:v>2.3185319959811782E-3</c:v>
                </c:pt>
                <c:pt idx="713">
                  <c:v>2.3239970046956301E-3</c:v>
                </c:pt>
                <c:pt idx="714">
                  <c:v>2.3294631221234788E-3</c:v>
                </c:pt>
                <c:pt idx="715">
                  <c:v>2.3349303298218446E-3</c:v>
                </c:pt>
                <c:pt idx="716">
                  <c:v>2.3513383101112562E-3</c:v>
                </c:pt>
                <c:pt idx="717">
                  <c:v>2.3568096944628992E-3</c:v>
                </c:pt>
                <c:pt idx="718">
                  <c:v>2.3622820768706616E-3</c:v>
                </c:pt>
                <c:pt idx="719">
                  <c:v>2.3677554388916657E-3</c:v>
                </c:pt>
                <c:pt idx="720">
                  <c:v>2.3732297620830318E-3</c:v>
                </c:pt>
                <c:pt idx="721">
                  <c:v>2.3896583142505026E-3</c:v>
                </c:pt>
                <c:pt idx="722">
                  <c:v>2.3951362976945192E-3</c:v>
                </c:pt>
                <c:pt idx="723">
                  <c:v>2.4006151500945007E-3</c:v>
                </c:pt>
                <c:pt idx="724">
                  <c:v>2.4060948530075662E-3</c:v>
                </c:pt>
                <c:pt idx="725">
                  <c:v>2.4115753879908369E-3</c:v>
                </c:pt>
                <c:pt idx="726">
                  <c:v>2.4280218009330853E-3</c:v>
                </c:pt>
                <c:pt idx="727">
                  <c:v>2.433505479768382E-3</c:v>
                </c:pt>
                <c:pt idx="728">
                  <c:v>2.4389898984594877E-3</c:v>
                </c:pt>
                <c:pt idx="729">
                  <c:v>2.4444750385635206E-3</c:v>
                </c:pt>
                <c:pt idx="730">
                  <c:v>2.4499608816376025E-3</c:v>
                </c:pt>
                <c:pt idx="731">
                  <c:v>2.4664224442513477E-3</c:v>
                </c:pt>
                <c:pt idx="732">
                  <c:v>2.4719109147768306E-3</c:v>
                </c:pt>
                <c:pt idx="733">
                  <c:v>2.4773999960579643E-3</c:v>
                </c:pt>
                <c:pt idx="734">
                  <c:v>2.4828896696518711E-3</c:v>
                </c:pt>
                <c:pt idx="735">
                  <c:v>2.4883799171156705E-3</c:v>
                </c:pt>
                <c:pt idx="736">
                  <c:v>2.5048539182976302E-3</c:v>
                </c:pt>
                <c:pt idx="737">
                  <c:v>2.5103462768122043E-3</c:v>
                </c:pt>
                <c:pt idx="738">
                  <c:v>2.5158391169822747E-3</c:v>
                </c:pt>
                <c:pt idx="739">
                  <c:v>2.5213324203649614E-3</c:v>
                </c:pt>
                <c:pt idx="740">
                  <c:v>2.5488052399668475E-3</c:v>
                </c:pt>
                <c:pt idx="741">
                  <c:v>2.5543009353247597E-3</c:v>
                </c:pt>
                <c:pt idx="742">
                  <c:v>2.559796964795131E-3</c:v>
                </c:pt>
                <c:pt idx="743">
                  <c:v>2.5652933099350821E-3</c:v>
                </c:pt>
                <c:pt idx="744">
                  <c:v>2.5817840549436223E-3</c:v>
                </c:pt>
                <c:pt idx="745">
                  <c:v>2.5872814783331E-3</c:v>
                </c:pt>
                <c:pt idx="746">
                  <c:v>2.5982769770347231E-3</c:v>
                </c:pt>
                <c:pt idx="747">
                  <c:v>2.6037750154611103E-3</c:v>
                </c:pt>
                <c:pt idx="748">
                  <c:v>2.6202700657280177E-3</c:v>
                </c:pt>
                <c:pt idx="749">
                  <c:v>2.6257686660033047E-3</c:v>
                </c:pt>
                <c:pt idx="750">
                  <c:v>2.6312673606336185E-3</c:v>
                </c:pt>
                <c:pt idx="751">
                  <c:v>2.6367661311760796E-3</c:v>
                </c:pt>
                <c:pt idx="752">
                  <c:v>2.6422649591878074E-3</c:v>
                </c:pt>
                <c:pt idx="753">
                  <c:v>2.658761603609801E-3</c:v>
                </c:pt>
                <c:pt idx="754">
                  <c:v>2.6642604770698046E-3</c:v>
                </c:pt>
                <c:pt idx="755">
                  <c:v>2.6697593157846782E-3</c:v>
                </c:pt>
                <c:pt idx="756">
                  <c:v>2.6752581013115419E-3</c:v>
                </c:pt>
                <c:pt idx="757">
                  <c:v>2.6807568152075164E-3</c:v>
                </c:pt>
                <c:pt idx="758">
                  <c:v>2.697252342681315E-3</c:v>
                </c:pt>
                <c:pt idx="759">
                  <c:v>2.7027505856249399E-3</c:v>
                </c:pt>
                <c:pt idx="760">
                  <c:v>2.7082486647232785E-3</c:v>
                </c:pt>
                <c:pt idx="761">
                  <c:v>2.7137465615334521E-3</c:v>
                </c:pt>
                <c:pt idx="762">
                  <c:v>2.719244257612581E-3</c:v>
                </c:pt>
                <c:pt idx="763">
                  <c:v>2.7357359570348997E-3</c:v>
                </c:pt>
                <c:pt idx="764">
                  <c:v>2.7412326657610536E-3</c:v>
                </c:pt>
                <c:pt idx="765">
                  <c:v>2.7467290815417641E-3</c:v>
                </c:pt>
                <c:pt idx="766">
                  <c:v>2.7522251859341523E-3</c:v>
                </c:pt>
                <c:pt idx="767">
                  <c:v>2.7577209604953403E-3</c:v>
                </c:pt>
                <c:pt idx="768">
                  <c:v>2.7742061207628988E-3</c:v>
                </c:pt>
                <c:pt idx="769">
                  <c:v>2.7797003973381289E-3</c:v>
                </c:pt>
                <c:pt idx="770">
                  <c:v>2.7851942864736213E-3</c:v>
                </c:pt>
                <c:pt idx="771">
                  <c:v>2.7906878043323534E-3</c:v>
                </c:pt>
                <c:pt idx="772">
                  <c:v>2.7961809670773068E-3</c:v>
                </c:pt>
                <c:pt idx="773">
                  <c:v>2.8126584862592945E-3</c:v>
                </c:pt>
                <c:pt idx="774">
                  <c:v>2.8181503901789336E-3</c:v>
                </c:pt>
                <c:pt idx="775">
                  <c:v>2.8236420197996943E-3</c:v>
                </c:pt>
                <c:pt idx="776">
                  <c:v>2.8291333912845583E-3</c:v>
                </c:pt>
                <c:pt idx="777">
                  <c:v>2.8346245207965031E-3</c:v>
                </c:pt>
                <c:pt idx="778">
                  <c:v>2.8510966191246327E-3</c:v>
                </c:pt>
                <c:pt idx="779">
                  <c:v>2.856586942374706E-3</c:v>
                </c:pt>
                <c:pt idx="780">
                  <c:v>2.862077104466764E-3</c:v>
                </c:pt>
                <c:pt idx="781">
                  <c:v>2.867567121563783E-3</c:v>
                </c:pt>
                <c:pt idx="782">
                  <c:v>2.8730570098287464E-3</c:v>
                </c:pt>
                <c:pt idx="783">
                  <c:v>2.8895260632610959E-3</c:v>
                </c:pt>
                <c:pt idx="784">
                  <c:v>2.8950155978276324E-3</c:v>
                </c:pt>
                <c:pt idx="785">
                  <c:v>2.9005050843770126E-3</c:v>
                </c:pt>
                <c:pt idx="786">
                  <c:v>2.9059945390722155E-3</c:v>
                </c:pt>
                <c:pt idx="787">
                  <c:v>2.9114839780762232E-3</c:v>
                </c:pt>
                <c:pt idx="788">
                  <c:v>2.9279523625708715E-3</c:v>
                </c:pt>
                <c:pt idx="789">
                  <c:v>2.933441900439896E-3</c:v>
                </c:pt>
                <c:pt idx="790">
                  <c:v>2.938931503432626E-3</c:v>
                </c:pt>
                <c:pt idx="791">
                  <c:v>2.9444211877120395E-3</c:v>
                </c:pt>
                <c:pt idx="792">
                  <c:v>2.9499109694411186E-3</c:v>
                </c:pt>
                <c:pt idx="793">
                  <c:v>2.9663810609561444E-3</c:v>
                </c:pt>
                <c:pt idx="794">
                  <c:v>2.971871394113684E-3</c:v>
                </c:pt>
                <c:pt idx="795">
                  <c:v>2.9773619055357891E-3</c:v>
                </c:pt>
                <c:pt idx="796">
                  <c:v>2.9828526113854404E-3</c:v>
                </c:pt>
                <c:pt idx="797">
                  <c:v>2.9883435278256166E-3</c:v>
                </c:pt>
                <c:pt idx="798">
                  <c:v>3.0048177023191012E-3</c:v>
                </c:pt>
                <c:pt idx="799">
                  <c:v>3.0103096227511823E-3</c:v>
                </c:pt>
                <c:pt idx="800">
                  <c:v>3.0158018345886892E-3</c:v>
                </c:pt>
                <c:pt idx="801">
                  <c:v>3.0212943539946026E-3</c:v>
                </c:pt>
                <c:pt idx="802">
                  <c:v>3.0267871971319041E-3</c:v>
                </c:pt>
                <c:pt idx="803">
                  <c:v>3.0432678305619266E-3</c:v>
                </c:pt>
                <c:pt idx="804">
                  <c:v>3.0487621302545749E-3</c:v>
                </c:pt>
                <c:pt idx="805">
                  <c:v>3.0542568344935107E-3</c:v>
                </c:pt>
                <c:pt idx="806">
                  <c:v>3.0597519594417148E-3</c:v>
                </c:pt>
                <c:pt idx="807">
                  <c:v>3.0652475212621651E-3</c:v>
                </c:pt>
                <c:pt idx="808">
                  <c:v>3.0817369895868056E-3</c:v>
                </c:pt>
                <c:pt idx="809">
                  <c:v>3.0872344605260482E-3</c:v>
                </c:pt>
                <c:pt idx="810">
                  <c:v>3.09273244915244E-3</c:v>
                </c:pt>
                <c:pt idx="811">
                  <c:v>3.0982309716289587E-3</c:v>
                </c:pt>
                <c:pt idx="812">
                  <c:v>3.1037300441185871E-3</c:v>
                </c:pt>
                <c:pt idx="813">
                  <c:v>3.1202307232959235E-3</c:v>
                </c:pt>
                <c:pt idx="814">
                  <c:v>3.1257321574677875E-3</c:v>
                </c:pt>
                <c:pt idx="815">
                  <c:v>3.1312342224676603E-3</c:v>
                </c:pt>
                <c:pt idx="816">
                  <c:v>3.1367369344585229E-3</c:v>
                </c:pt>
                <c:pt idx="817">
                  <c:v>3.1422403096033544E-3</c:v>
                </c:pt>
                <c:pt idx="818">
                  <c:v>3.158754575591467E-3</c:v>
                </c:pt>
                <c:pt idx="819">
                  <c:v>3.1642607649819774E-3</c:v>
                </c:pt>
                <c:pt idx="820">
                  <c:v>3.1697676983413591E-3</c:v>
                </c:pt>
                <c:pt idx="821">
                  <c:v>3.1752753918325902E-3</c:v>
                </c:pt>
                <c:pt idx="822">
                  <c:v>3.1807838616186523E-3</c:v>
                </c:pt>
                <c:pt idx="823">
                  <c:v>3.1973140903756203E-3</c:v>
                </c:pt>
                <c:pt idx="824">
                  <c:v>3.2028258269708059E-3</c:v>
                </c:pt>
                <c:pt idx="825">
                  <c:v>3.2083384206757206E-3</c:v>
                </c:pt>
                <c:pt idx="826">
                  <c:v>3.2138518876533477E-3</c:v>
                </c:pt>
                <c:pt idx="827">
                  <c:v>3.2193662440666662E-3</c:v>
                </c:pt>
                <c:pt idx="828">
                  <c:v>3.2359148115505706E-3</c:v>
                </c:pt>
                <c:pt idx="829">
                  <c:v>3.2414328873364554E-3</c:v>
                </c:pt>
                <c:pt idx="830">
                  <c:v>3.246951933372932E-3</c:v>
                </c:pt>
                <c:pt idx="831">
                  <c:v>3.2524719658229809E-3</c:v>
                </c:pt>
                <c:pt idx="832">
                  <c:v>3.257993000849582E-3</c:v>
                </c:pt>
                <c:pt idx="833">
                  <c:v>3.2745622830185005E-3</c:v>
                </c:pt>
                <c:pt idx="834">
                  <c:v>3.2800874899811122E-3</c:v>
                </c:pt>
                <c:pt idx="835">
                  <c:v>3.2856137803351773E-3</c:v>
                </c:pt>
                <c:pt idx="836">
                  <c:v>3.2911411702436751E-3</c:v>
                </c:pt>
                <c:pt idx="837">
                  <c:v>3.2966696758695855E-3</c:v>
                </c:pt>
                <c:pt idx="838">
                  <c:v>3.3132620486815978E-3</c:v>
                </c:pt>
                <c:pt idx="839">
                  <c:v>3.3187951788069625E-3</c:v>
                </c:pt>
                <c:pt idx="840">
                  <c:v>3.3243295054646415E-3</c:v>
                </c:pt>
                <c:pt idx="841">
                  <c:v>3.3298650448176145E-3</c:v>
                </c:pt>
                <c:pt idx="842">
                  <c:v>3.3354018130288612E-3</c:v>
                </c:pt>
                <c:pt idx="843">
                  <c:v>3.3520196524420478E-3</c:v>
                </c:pt>
                <c:pt idx="844">
                  <c:v>3.3575614977161914E-3</c:v>
                </c:pt>
                <c:pt idx="845">
                  <c:v>3.3631046526635105E-3</c:v>
                </c:pt>
                <c:pt idx="846">
                  <c:v>3.3686491334469853E-3</c:v>
                </c:pt>
                <c:pt idx="847">
                  <c:v>3.3741949562295947E-3</c:v>
                </c:pt>
                <c:pt idx="848">
                  <c:v>3.3908406382020346E-3</c:v>
                </c:pt>
                <c:pt idx="849">
                  <c:v>3.3963919906109846E-3</c:v>
                </c:pt>
                <c:pt idx="850">
                  <c:v>3.4019447658339714E-3</c:v>
                </c:pt>
                <c:pt idx="851">
                  <c:v>3.4074989800339729E-3</c:v>
                </c:pt>
                <c:pt idx="852">
                  <c:v>3.4130546493739717E-3</c:v>
                </c:pt>
                <c:pt idx="853">
                  <c:v>3.4297305498637446E-3</c:v>
                </c:pt>
                <c:pt idx="854">
                  <c:v>3.4352922013935272E-3</c:v>
                </c:pt>
                <c:pt idx="855">
                  <c:v>3.4408553888782083E-3</c:v>
                </c:pt>
                <c:pt idx="856">
                  <c:v>3.4464201284807642E-3</c:v>
                </c:pt>
                <c:pt idx="857">
                  <c:v>3.4519864363641781E-3</c:v>
                </c:pt>
                <c:pt idx="858">
                  <c:v>3.4686949313293622E-3</c:v>
                </c:pt>
                <c:pt idx="859">
                  <c:v>3.474267673966005E-3</c:v>
                </c:pt>
                <c:pt idx="860">
                  <c:v>3.479842065698405E-3</c:v>
                </c:pt>
                <c:pt idx="861">
                  <c:v>3.4854181226895435E-3</c:v>
                </c:pt>
                <c:pt idx="862">
                  <c:v>3.4909958611023984E-3</c:v>
                </c:pt>
                <c:pt idx="863">
                  <c:v>3.5077393265010742E-3</c:v>
                </c:pt>
                <c:pt idx="864">
                  <c:v>3.5133239522306026E-3</c:v>
                </c:pt>
                <c:pt idx="865">
                  <c:v>3.5189103401967498E-3</c:v>
                </c:pt>
                <c:pt idx="866">
                  <c:v>3.5244985065624951E-3</c:v>
                </c:pt>
                <c:pt idx="867">
                  <c:v>3.5300884674908202E-3</c:v>
                </c:pt>
                <c:pt idx="868">
                  <c:v>3.546869279281066E-3</c:v>
                </c:pt>
                <c:pt idx="869">
                  <c:v>3.552466580089507E-3</c:v>
                </c:pt>
                <c:pt idx="870">
                  <c:v>3.5580657562754264E-3</c:v>
                </c:pt>
                <c:pt idx="871">
                  <c:v>3.5636668240018061E-3</c:v>
                </c:pt>
                <c:pt idx="872">
                  <c:v>3.569269799431625E-3</c:v>
                </c:pt>
                <c:pt idx="873">
                  <c:v>3.5860903335715229E-3</c:v>
                </c:pt>
                <c:pt idx="874">
                  <c:v>3.5917011014449012E-3</c:v>
                </c:pt>
                <c:pt idx="875">
                  <c:v>3.5973138578366212E-3</c:v>
                </c:pt>
                <c:pt idx="876">
                  <c:v>3.602928618909661E-3</c:v>
                </c:pt>
                <c:pt idx="877">
                  <c:v>3.6085454008270013E-3</c:v>
                </c:pt>
                <c:pt idx="878">
                  <c:v>3.6254080332746288E-3</c:v>
                </c:pt>
                <c:pt idx="879">
                  <c:v>3.6310330601989739E-3</c:v>
                </c:pt>
                <c:pt idx="880">
                  <c:v>3.6366601887825195E-3</c:v>
                </c:pt>
                <c:pt idx="881">
                  <c:v>3.6422894351882461E-3</c:v>
                </c:pt>
                <c:pt idx="882">
                  <c:v>3.6479208155791349E-3</c:v>
                </c:pt>
                <c:pt idx="883">
                  <c:v>3.6648279222925707E-3</c:v>
                </c:pt>
                <c:pt idx="884">
                  <c:v>3.6704680002539068E-3</c:v>
                </c:pt>
                <c:pt idx="885">
                  <c:v>3.6761102930153054E-3</c:v>
                </c:pt>
                <c:pt idx="886">
                  <c:v>3.6817548167397463E-3</c:v>
                </c:pt>
                <c:pt idx="887">
                  <c:v>3.6874015875902099E-3</c:v>
                </c:pt>
                <c:pt idx="888">
                  <c:v>3.7043555445275332E-3</c:v>
                </c:pt>
                <c:pt idx="889">
                  <c:v>3.7100114655118878E-3</c:v>
                </c:pt>
                <c:pt idx="890">
                  <c:v>3.7156697144371652E-3</c:v>
                </c:pt>
                <c:pt idx="891">
                  <c:v>3.7213303074663463E-3</c:v>
                </c:pt>
                <c:pt idx="892">
                  <c:v>3.7269932607624109E-3</c:v>
                </c:pt>
                <c:pt idx="893">
                  <c:v>3.7439964438817043E-3</c:v>
                </c:pt>
                <c:pt idx="894">
                  <c:v>3.7496689998751027E-3</c:v>
                </c:pt>
                <c:pt idx="895">
                  <c:v>3.7553439969502849E-3</c:v>
                </c:pt>
                <c:pt idx="896">
                  <c:v>3.7610214512702324E-3</c:v>
                </c:pt>
                <c:pt idx="897">
                  <c:v>3.7667013789979237E-3</c:v>
                </c:pt>
                <c:pt idx="898">
                  <c:v>3.7837561642572659E-3</c:v>
                </c:pt>
                <c:pt idx="899">
                  <c:v>3.7894461472457366E-3</c:v>
                </c:pt>
                <c:pt idx="900">
                  <c:v>3.7951386844568506E-3</c:v>
                </c:pt>
                <c:pt idx="901">
                  <c:v>3.8008337920535915E-3</c:v>
                </c:pt>
                <c:pt idx="902">
                  <c:v>3.8065314861989354E-3</c:v>
                </c:pt>
                <c:pt idx="903">
                  <c:v>3.8236402495564056E-3</c:v>
                </c:pt>
                <c:pt idx="904">
                  <c:v>3.8293484515259726E-3</c:v>
                </c:pt>
                <c:pt idx="905">
                  <c:v>3.8350593208590468E-3</c:v>
                </c:pt>
                <c:pt idx="906">
                  <c:v>3.8407728737186063E-3</c:v>
                </c:pt>
                <c:pt idx="907">
                  <c:v>3.846489126267632E-3</c:v>
                </c:pt>
                <c:pt idx="908">
                  <c:v>3.8636542436813071E-3</c:v>
                </c:pt>
                <c:pt idx="909">
                  <c:v>3.8693814566179993E-3</c:v>
                </c:pt>
                <c:pt idx="910">
                  <c:v>3.8751114500590574E-3</c:v>
                </c:pt>
                <c:pt idx="911">
                  <c:v>3.8808442401674632E-3</c:v>
                </c:pt>
                <c:pt idx="912">
                  <c:v>3.8865798431061962E-3</c:v>
                </c:pt>
                <c:pt idx="913">
                  <c:v>3.903803690534158E-3</c:v>
                </c:pt>
                <c:pt idx="914">
                  <c:v>3.9095507064239995E-3</c:v>
                </c:pt>
                <c:pt idx="915">
                  <c:v>3.9268091806168139E-3</c:v>
                </c:pt>
                <c:pt idx="916">
                  <c:v>3.9440941340171433E-3</c:v>
                </c:pt>
                <c:pt idx="917">
                  <c:v>3.949861744846162E-3</c:v>
                </c:pt>
                <c:pt idx="918">
                  <c:v>3.9613744448335183E-3</c:v>
                </c:pt>
                <c:pt idx="919">
                  <c:v>3.9671353204713579E-3</c:v>
                </c:pt>
                <c:pt idx="920">
                  <c:v>3.9844362423318161E-3</c:v>
                </c:pt>
                <c:pt idx="921">
                  <c:v>3.9902093680371422E-3</c:v>
                </c:pt>
                <c:pt idx="922">
                  <c:v>3.9959855963364885E-3</c:v>
                </c:pt>
                <c:pt idx="923">
                  <c:v>4.0017649432607105E-3</c:v>
                </c:pt>
                <c:pt idx="924">
                  <c:v>4.0075474248406663E-3</c:v>
                </c:pt>
                <c:pt idx="925">
                  <c:v>4.0249138378235291E-3</c:v>
                </c:pt>
                <c:pt idx="926">
                  <c:v>4.0307090183350084E-3</c:v>
                </c:pt>
                <c:pt idx="927">
                  <c:v>4.0365074136565135E-3</c:v>
                </c:pt>
                <c:pt idx="928">
                  <c:v>4.0423090398189034E-3</c:v>
                </c:pt>
                <c:pt idx="929">
                  <c:v>4.048113912853037E-3</c:v>
                </c:pt>
                <c:pt idx="930">
                  <c:v>4.0655481734944779E-3</c:v>
                </c:pt>
                <c:pt idx="931">
                  <c:v>4.071366194324166E-3</c:v>
                </c:pt>
                <c:pt idx="932">
                  <c:v>4.0771875421798899E-3</c:v>
                </c:pt>
                <c:pt idx="933">
                  <c:v>4.0830122330925067E-3</c:v>
                </c:pt>
                <c:pt idx="934">
                  <c:v>4.0888402830928736E-3</c:v>
                </c:pt>
                <c:pt idx="935">
                  <c:v>4.1063447479290699E-3</c:v>
                </c:pt>
                <c:pt idx="936">
                  <c:v>4.1121863945890267E-3</c:v>
                </c:pt>
                <c:pt idx="937">
                  <c:v>4.1180314804910266E-3</c:v>
                </c:pt>
                <c:pt idx="938">
                  <c:v>4.1238800216659268E-3</c:v>
                </c:pt>
                <c:pt idx="939">
                  <c:v>4.1297320341445887E-3</c:v>
                </c:pt>
                <c:pt idx="940">
                  <c:v>4.1473090597117139E-3</c:v>
                </c:pt>
                <c:pt idx="941">
                  <c:v>4.1531751177139977E-3</c:v>
                </c:pt>
                <c:pt idx="942">
                  <c:v>4.1590447271743327E-3</c:v>
                </c:pt>
                <c:pt idx="943">
                  <c:v>4.164917904123577E-3</c:v>
                </c:pt>
                <c:pt idx="944">
                  <c:v>4.1707946645925904E-3</c:v>
                </c:pt>
                <c:pt idx="945">
                  <c:v>4.1884466074268217E-3</c:v>
                </c:pt>
                <c:pt idx="946">
                  <c:v>4.1943378622834896E-3</c:v>
                </c:pt>
                <c:pt idx="947">
                  <c:v>4.2002327808142188E-3</c:v>
                </c:pt>
                <c:pt idx="948">
                  <c:v>4.2061313790498654E-3</c:v>
                </c:pt>
                <c:pt idx="949">
                  <c:v>4.2120336730212876E-3</c:v>
                </c:pt>
                <c:pt idx="950">
                  <c:v>4.2297628896587995E-3</c:v>
                </c:pt>
                <c:pt idx="951">
                  <c:v>4.2356801268819124E-3</c:v>
                </c:pt>
                <c:pt idx="952">
                  <c:v>4.2416011399950913E-3</c:v>
                </c:pt>
                <c:pt idx="953">
                  <c:v>4.2475259450291993E-3</c:v>
                </c:pt>
                <c:pt idx="954">
                  <c:v>4.253454558015091E-3</c:v>
                </c:pt>
                <c:pt idx="955">
                  <c:v>4.2712634049920572E-3</c:v>
                </c:pt>
                <c:pt idx="956">
                  <c:v>4.2772074100936724E-3</c:v>
                </c:pt>
                <c:pt idx="957">
                  <c:v>4.2831553033013626E-3</c:v>
                </c:pt>
                <c:pt idx="958">
                  <c:v>4.2891071006459875E-3</c:v>
                </c:pt>
                <c:pt idx="959">
                  <c:v>4.2950628181584061E-3</c:v>
                </c:pt>
                <c:pt idx="960">
                  <c:v>4.3129536520110055E-3</c:v>
                </c:pt>
                <c:pt idx="961">
                  <c:v>4.3189252105031804E-3</c:v>
                </c:pt>
                <c:pt idx="962">
                  <c:v>4.3249007693174392E-3</c:v>
                </c:pt>
                <c:pt idx="963">
                  <c:v>4.3308803444846418E-3</c:v>
                </c:pt>
                <c:pt idx="964">
                  <c:v>4.3368639520356463E-3</c:v>
                </c:pt>
                <c:pt idx="965">
                  <c:v>4.3548391293000517E-3</c:v>
                </c:pt>
                <c:pt idx="966">
                  <c:v>4.3608390266948452E-3</c:v>
                </c:pt>
                <c:pt idx="967">
                  <c:v>4.3668430366277317E-3</c:v>
                </c:pt>
                <c:pt idx="968">
                  <c:v>4.3728511751295702E-3</c:v>
                </c:pt>
                <c:pt idx="969">
                  <c:v>4.3788634582312179E-3</c:v>
                </c:pt>
                <c:pt idx="970">
                  <c:v>4.3969253354436064E-3</c:v>
                </c:pt>
                <c:pt idx="971">
                  <c:v>4.4029543572530758E-3</c:v>
                </c:pt>
                <c:pt idx="972">
                  <c:v>4.4089876038166491E-3</c:v>
                </c:pt>
                <c:pt idx="973">
                  <c:v>4.4150250911651817E-3</c:v>
                </c:pt>
                <c:pt idx="974">
                  <c:v>4.4210668353295316E-3</c:v>
                </c:pt>
                <c:pt idx="975">
                  <c:v>4.4392177690260777E-3</c:v>
                </c:pt>
                <c:pt idx="976">
                  <c:v>4.4452767007622839E-3</c:v>
                </c:pt>
                <c:pt idx="977">
                  <c:v>4.4513399694686004E-3</c:v>
                </c:pt>
                <c:pt idx="978">
                  <c:v>4.4574075911758843E-3</c:v>
                </c:pt>
                <c:pt idx="979">
                  <c:v>4.4634795819149965E-3</c:v>
                </c:pt>
                <c:pt idx="980">
                  <c:v>4.4817219286318738E-3</c:v>
                </c:pt>
                <c:pt idx="981">
                  <c:v>4.4878115558068758E-3</c:v>
                </c:pt>
                <c:pt idx="982">
                  <c:v>4.4939056321679945E-3</c:v>
                </c:pt>
                <c:pt idx="983">
                  <c:v>4.5000041737460889E-3</c:v>
                </c:pt>
                <c:pt idx="984">
                  <c:v>4.5061071965720205E-3</c:v>
                </c:pt>
                <c:pt idx="985">
                  <c:v>4.5244433128454054E-3</c:v>
                </c:pt>
                <c:pt idx="986">
                  <c:v>4.5305644209712595E-3</c:v>
                </c:pt>
                <c:pt idx="987">
                  <c:v>4.5366900904992404E-3</c:v>
                </c:pt>
                <c:pt idx="988">
                  <c:v>4.5428203374602042E-3</c:v>
                </c:pt>
                <c:pt idx="989">
                  <c:v>4.5735407948398477E-3</c:v>
                </c:pt>
                <c:pt idx="990">
                  <c:v>4.5796988430467471E-3</c:v>
                </c:pt>
                <c:pt idx="991">
                  <c:v>4.5858615809026403E-3</c:v>
                </c:pt>
                <c:pt idx="992">
                  <c:v>4.5920290244383854E-3</c:v>
                </c:pt>
                <c:pt idx="993">
                  <c:v>4.6105597494333125E-3</c:v>
                </c:pt>
                <c:pt idx="994">
                  <c:v>4.6167461759970465E-3</c:v>
                </c:pt>
                <c:pt idx="995">
                  <c:v>4.6229373883949244E-3</c:v>
                </c:pt>
                <c:pt idx="996">
                  <c:v>4.6291334026578044E-3</c:v>
                </c:pt>
                <c:pt idx="997">
                  <c:v>4.6353342348165434E-3</c:v>
                </c:pt>
                <c:pt idx="998">
                  <c:v>4.653965798976506E-3</c:v>
                </c:pt>
                <c:pt idx="999">
                  <c:v>4.6601860630272685E-3</c:v>
                </c:pt>
                <c:pt idx="1000">
                  <c:v>4.6664112251281822E-3</c:v>
                </c:pt>
                <c:pt idx="1001">
                  <c:v>4.672641301310107E-3</c:v>
                </c:pt>
                <c:pt idx="1002">
                  <c:v>4.6976110674650717E-3</c:v>
                </c:pt>
                <c:pt idx="1003">
                  <c:v>4.70386595451492E-3</c:v>
                </c:pt>
                <c:pt idx="1004">
                  <c:v>4.7101258518309303E-3</c:v>
                </c:pt>
                <c:pt idx="1005">
                  <c:v>4.7163907754439564E-3</c:v>
                </c:pt>
                <c:pt idx="1006">
                  <c:v>4.7226607413848607E-3</c:v>
                </c:pt>
                <c:pt idx="1007">
                  <c:v>4.7415010534834169E-3</c:v>
                </c:pt>
                <c:pt idx="1008">
                  <c:v>4.7477913490444109E-3</c:v>
                </c:pt>
                <c:pt idx="1009">
                  <c:v>4.7540867670875717E-3</c:v>
                </c:pt>
                <c:pt idx="1010">
                  <c:v>4.7603873236437616E-3</c:v>
                </c:pt>
                <c:pt idx="1011">
                  <c:v>4.7666930347438361E-3</c:v>
                </c:pt>
                <c:pt idx="1012">
                  <c:v>4.7856412556159522E-3</c:v>
                </c:pt>
                <c:pt idx="1013">
                  <c:v>4.7919677452001493E-3</c:v>
                </c:pt>
                <c:pt idx="1014">
                  <c:v>4.7982994694825247E-3</c:v>
                </c:pt>
                <c:pt idx="1015">
                  <c:v>4.8046364444939323E-3</c:v>
                </c:pt>
                <c:pt idx="1016">
                  <c:v>4.8109786862652361E-3</c:v>
                </c:pt>
                <c:pt idx="1017">
                  <c:v>4.8300371724470884E-3</c:v>
                </c:pt>
                <c:pt idx="1018">
                  <c:v>4.8364006415665467E-3</c:v>
                </c:pt>
                <c:pt idx="1019">
                  <c:v>4.8427694576001915E-3</c:v>
                </c:pt>
                <c:pt idx="1020">
                  <c:v>4.8491436365788801E-3</c:v>
                </c:pt>
                <c:pt idx="1021">
                  <c:v>4.8555231945334697E-3</c:v>
                </c:pt>
                <c:pt idx="1022">
                  <c:v>4.8746943025612319E-3</c:v>
                </c:pt>
                <c:pt idx="1023">
                  <c:v>4.8810955367280121E-3</c:v>
                </c:pt>
                <c:pt idx="1024">
                  <c:v>4.8875022248507484E-3</c:v>
                </c:pt>
                <c:pt idx="1025">
                  <c:v>4.8939143570891188E-3</c:v>
                </c:pt>
                <c:pt idx="1026">
                  <c:v>4.900331918428558E-3</c:v>
                </c:pt>
                <c:pt idx="1027">
                  <c:v>4.9196170269077003E-3</c:v>
                </c:pt>
                <c:pt idx="1028">
                  <c:v>4.926056154505816E-3</c:v>
                </c:pt>
                <c:pt idx="1029">
                  <c:v>4.9325006361322019E-3</c:v>
                </c:pt>
                <c:pt idx="1030">
                  <c:v>4.9389504567722911E-3</c:v>
                </c:pt>
                <c:pt idx="1031">
                  <c:v>4.9454056014115256E-3</c:v>
                </c:pt>
                <c:pt idx="1032">
                  <c:v>4.964802829178494E-3</c:v>
                </c:pt>
                <c:pt idx="1033">
                  <c:v>4.9712791196686989E-3</c:v>
                </c:pt>
                <c:pt idx="1034">
                  <c:v>4.9777606590852451E-3</c:v>
                </c:pt>
                <c:pt idx="1035">
                  <c:v>4.9842474324135709E-3</c:v>
                </c:pt>
                <c:pt idx="1036">
                  <c:v>4.9907394246391148E-3</c:v>
                </c:pt>
                <c:pt idx="1037">
                  <c:v>5.0102465645534486E-3</c:v>
                </c:pt>
                <c:pt idx="1038">
                  <c:v>5.016759282222256E-3</c:v>
                </c:pt>
                <c:pt idx="1039">
                  <c:v>5.023277143715481E-3</c:v>
                </c:pt>
                <c:pt idx="1040">
                  <c:v>5.029800134018555E-3</c:v>
                </c:pt>
                <c:pt idx="1041">
                  <c:v>5.0363282381169243E-3</c:v>
                </c:pt>
                <c:pt idx="1042">
                  <c:v>5.0559430830381686E-3</c:v>
                </c:pt>
                <c:pt idx="1043">
                  <c:v>5.0624914921720927E-3</c:v>
                </c:pt>
                <c:pt idx="1044">
                  <c:v>5.0690449400285081E-3</c:v>
                </c:pt>
                <c:pt idx="1045">
                  <c:v>5.0756034115928455E-3</c:v>
                </c:pt>
                <c:pt idx="1046">
                  <c:v>5.0821668918505508E-3</c:v>
                </c:pt>
                <c:pt idx="1047">
                  <c:v>5.1018872346382501E-3</c:v>
                </c:pt>
                <c:pt idx="1048">
                  <c:v>5.1084705995238068E-3</c:v>
                </c:pt>
                <c:pt idx="1049">
                  <c:v>5.1150588980299234E-3</c:v>
                </c:pt>
                <c:pt idx="1050">
                  <c:v>5.1216521151420408E-3</c:v>
                </c:pt>
                <c:pt idx="1051">
                  <c:v>5.1282502358455991E-3</c:v>
                </c:pt>
                <c:pt idx="1052">
                  <c:v>5.1480738693592933E-3</c:v>
                </c:pt>
                <c:pt idx="1053">
                  <c:v>5.1546914542829961E-3</c:v>
                </c:pt>
                <c:pt idx="1054">
                  <c:v>5.1613138677253341E-3</c:v>
                </c:pt>
                <c:pt idx="1055">
                  <c:v>5.1679410946717441E-3</c:v>
                </c:pt>
                <c:pt idx="1056">
                  <c:v>5.1745731201076695E-3</c:v>
                </c:pt>
                <c:pt idx="1057">
                  <c:v>5.1944978372069012E-3</c:v>
                </c:pt>
                <c:pt idx="1058">
                  <c:v>5.2011489064552642E-3</c:v>
                </c:pt>
                <c:pt idx="1059">
                  <c:v>5.2078046991203353E-3</c:v>
                </c:pt>
                <c:pt idx="1060">
                  <c:v>5.2144652001875538E-3</c:v>
                </c:pt>
                <c:pt idx="1061">
                  <c:v>5.221130394642357E-3</c:v>
                </c:pt>
                <c:pt idx="1062">
                  <c:v>5.2411539881866724E-3</c:v>
                </c:pt>
                <c:pt idx="1063">
                  <c:v>5.2478378060462115E-3</c:v>
                </c:pt>
                <c:pt idx="1064">
                  <c:v>5.2545262422205299E-3</c:v>
                </c:pt>
                <c:pt idx="1065">
                  <c:v>5.2612192816950676E-3</c:v>
                </c:pt>
                <c:pt idx="1066">
                  <c:v>5.2679169094552681E-3</c:v>
                </c:pt>
                <c:pt idx="1067">
                  <c:v>5.2880371723042097E-3</c:v>
                </c:pt>
                <c:pt idx="1068">
                  <c:v>5.2947530030614358E-3</c:v>
                </c:pt>
                <c:pt idx="1069">
                  <c:v>5.3014733470315156E-3</c:v>
                </c:pt>
                <c:pt idx="1070">
                  <c:v>5.3081981891998911E-3</c:v>
                </c:pt>
                <c:pt idx="1071">
                  <c:v>5.3149275145519988E-3</c:v>
                </c:pt>
                <c:pt idx="1072">
                  <c:v>5.3351422395651084E-3</c:v>
                </c:pt>
                <c:pt idx="1073">
                  <c:v>5.3418893475065399E-3</c:v>
                </c:pt>
                <c:pt idx="1074">
                  <c:v>5.3486408635588954E-3</c:v>
                </c:pt>
                <c:pt idx="1075">
                  <c:v>5.355396772707622E-3</c:v>
                </c:pt>
                <c:pt idx="1076">
                  <c:v>5.3621570599381527E-3</c:v>
                </c:pt>
                <c:pt idx="1077">
                  <c:v>5.3824640399749747E-3</c:v>
                </c:pt>
                <c:pt idx="1078">
                  <c:v>5.3892416893871198E-3</c:v>
                </c:pt>
                <c:pt idx="1079">
                  <c:v>5.3960236418082695E-3</c:v>
                </c:pt>
                <c:pt idx="1080">
                  <c:v>5.4028098822238588E-3</c:v>
                </c:pt>
                <c:pt idx="1081">
                  <c:v>5.409600395619326E-3</c:v>
                </c:pt>
                <c:pt idx="1082">
                  <c:v>5.4299974235394047E-3</c:v>
                </c:pt>
                <c:pt idx="1083">
                  <c:v>5.4368048787087819E-3</c:v>
                </c:pt>
                <c:pt idx="1084">
                  <c:v>5.4436165317852349E-3</c:v>
                </c:pt>
                <c:pt idx="1085">
                  <c:v>5.4504323677542045E-3</c:v>
                </c:pt>
                <c:pt idx="1086">
                  <c:v>5.457252371601125E-3</c:v>
                </c:pt>
                <c:pt idx="1087">
                  <c:v>5.4777372402639978E-3</c:v>
                </c:pt>
                <c:pt idx="1088">
                  <c:v>5.4845737654771222E-3</c:v>
                </c:pt>
                <c:pt idx="1089">
                  <c:v>5.491414383495396E-3</c:v>
                </c:pt>
                <c:pt idx="1090">
                  <c:v>5.498259079304256E-3</c:v>
                </c:pt>
                <c:pt idx="1091">
                  <c:v>5.5051078378891456E-3</c:v>
                </c:pt>
                <c:pt idx="1092">
                  <c:v>5.5256783401543578E-3</c:v>
                </c:pt>
                <c:pt idx="1093">
                  <c:v>5.5325431996977436E-3</c:v>
                </c:pt>
                <c:pt idx="1094">
                  <c:v>5.5394120469443508E-3</c:v>
                </c:pt>
                <c:pt idx="1095">
                  <c:v>5.5462848668796196E-3</c:v>
                </c:pt>
                <c:pt idx="1096">
                  <c:v>5.5531616444889865E-3</c:v>
                </c:pt>
                <c:pt idx="1097">
                  <c:v>5.5738155732160859E-3</c:v>
                </c:pt>
                <c:pt idx="1098">
                  <c:v>5.5807080313762438E-3</c:v>
                </c:pt>
                <c:pt idx="1099">
                  <c:v>5.5876043721376995E-3</c:v>
                </c:pt>
                <c:pt idx="1100">
                  <c:v>5.5945045804858878E-3</c:v>
                </c:pt>
                <c:pt idx="1101">
                  <c:v>5.6014086414062532E-3</c:v>
                </c:pt>
                <c:pt idx="1102">
                  <c:v>5.6221437894547754E-3</c:v>
                </c:pt>
                <c:pt idx="1103">
                  <c:v>5.629063110518224E-3</c:v>
                </c:pt>
                <c:pt idx="1104">
                  <c:v>5.6359862090810441E-3</c:v>
                </c:pt>
                <c:pt idx="1105">
                  <c:v>5.6429130701286679E-3</c:v>
                </c:pt>
                <c:pt idx="1106">
                  <c:v>5.6498436786465425E-3</c:v>
                </c:pt>
                <c:pt idx="1107">
                  <c:v>5.6706578388760328E-3</c:v>
                </c:pt>
                <c:pt idx="1108">
                  <c:v>5.6776032871292872E-3</c:v>
                </c:pt>
                <c:pt idx="1109">
                  <c:v>5.6845524077799798E-3</c:v>
                </c:pt>
                <c:pt idx="1110">
                  <c:v>5.6915051858135576E-3</c:v>
                </c:pt>
                <c:pt idx="1111">
                  <c:v>5.6984616062154547E-3</c:v>
                </c:pt>
                <c:pt idx="1112">
                  <c:v>5.7193525714854584E-3</c:v>
                </c:pt>
                <c:pt idx="1113">
                  <c:v>5.7263234112150284E-3</c:v>
                </c:pt>
                <c:pt idx="1114">
                  <c:v>5.7332978182401146E-3</c:v>
                </c:pt>
                <c:pt idx="1115">
                  <c:v>5.7402757775461555E-3</c:v>
                </c:pt>
                <c:pt idx="1116">
                  <c:v>5.7472572741185911E-3</c:v>
                </c:pt>
                <c:pt idx="1117">
                  <c:v>5.7682228372886507E-3</c:v>
                </c:pt>
                <c:pt idx="1118">
                  <c:v>5.7752183327810513E-3</c:v>
                </c:pt>
                <c:pt idx="1119">
                  <c:v>5.782217290467042E-3</c:v>
                </c:pt>
                <c:pt idx="1120">
                  <c:v>5.7892196953320645E-3</c:v>
                </c:pt>
                <c:pt idx="1121">
                  <c:v>5.7962255323615501E-3</c:v>
                </c:pt>
                <c:pt idx="1122">
                  <c:v>5.8172634862912074E-3</c:v>
                </c:pt>
                <c:pt idx="1123">
                  <c:v>5.8242829018329573E-3</c:v>
                </c:pt>
                <c:pt idx="1124">
                  <c:v>5.8313056744663675E-3</c:v>
                </c:pt>
                <c:pt idx="1125">
                  <c:v>5.8383317891768814E-3</c:v>
                </c:pt>
                <c:pt idx="1126">
                  <c:v>5.8453612309499357E-3</c:v>
                </c:pt>
                <c:pt idx="1127">
                  <c:v>5.866469368498735E-3</c:v>
                </c:pt>
                <c:pt idx="1128">
                  <c:v>5.8735119683763423E-3</c:v>
                </c:pt>
                <c:pt idx="1129">
                  <c:v>5.8805578202436887E-3</c:v>
                </c:pt>
                <c:pt idx="1130">
                  <c:v>5.8876069090862092E-3</c:v>
                </c:pt>
                <c:pt idx="1131">
                  <c:v>5.8946592198893437E-3</c:v>
                </c:pt>
                <c:pt idx="1132">
                  <c:v>5.9158353339168286E-3</c:v>
                </c:pt>
                <c:pt idx="1133">
                  <c:v>5.9229003824168118E-3</c:v>
                </c:pt>
                <c:pt idx="1134">
                  <c:v>5.9299685778046052E-3</c:v>
                </c:pt>
                <c:pt idx="1135">
                  <c:v>5.9370399050656499E-3</c:v>
                </c:pt>
                <c:pt idx="1136">
                  <c:v>5.9441143491853789E-3</c:v>
                </c:pt>
                <c:pt idx="1137">
                  <c:v>5.9653562325510884E-3</c:v>
                </c:pt>
                <c:pt idx="1138">
                  <c:v>5.9724429939599618E-3</c:v>
                </c:pt>
                <c:pt idx="1139">
                  <c:v>5.9795327971547199E-3</c:v>
                </c:pt>
                <c:pt idx="1140">
                  <c:v>5.9866256271207969E-3</c:v>
                </c:pt>
                <c:pt idx="1141">
                  <c:v>5.9937214688436389E-3</c:v>
                </c:pt>
                <c:pt idx="1142">
                  <c:v>6.0150269144071192E-3</c:v>
                </c:pt>
                <c:pt idx="1143">
                  <c:v>6.022134653011396E-3</c:v>
                </c:pt>
                <c:pt idx="1144">
                  <c:v>6.0292453282996313E-3</c:v>
                </c:pt>
                <c:pt idx="1145">
                  <c:v>6.0363589252572592E-3</c:v>
                </c:pt>
                <c:pt idx="1146">
                  <c:v>6.043475428869724E-3</c:v>
                </c:pt>
                <c:pt idx="1147">
                  <c:v>6.0648422294905186E-3</c:v>
                </c:pt>
                <c:pt idx="1148">
                  <c:v>6.0719702095767122E-3</c:v>
                </c:pt>
                <c:pt idx="1149">
                  <c:v>6.0791010212449372E-3</c:v>
                </c:pt>
                <c:pt idx="1150">
                  <c:v>6.0862346494806293E-3</c:v>
                </c:pt>
                <c:pt idx="1151">
                  <c:v>6.0933710792692346E-3</c:v>
                </c:pt>
                <c:pt idx="1152">
                  <c:v>6.1147970278068835E-3</c:v>
                </c:pt>
                <c:pt idx="1153">
                  <c:v>6.1219445136615107E-3</c:v>
                </c:pt>
                <c:pt idx="1154">
                  <c:v>6.129094725996243E-3</c:v>
                </c:pt>
                <c:pt idx="1155">
                  <c:v>6.1362476497965153E-3</c:v>
                </c:pt>
                <c:pt idx="1156">
                  <c:v>6.1434032700477719E-3</c:v>
                </c:pt>
                <c:pt idx="1157">
                  <c:v>6.1648861593618185E-3</c:v>
                </c:pt>
                <c:pt idx="1158">
                  <c:v>6.1720524152713944E-3</c:v>
                </c:pt>
                <c:pt idx="1159">
                  <c:v>6.1792212925591439E-3</c:v>
                </c:pt>
                <c:pt idx="1160">
                  <c:v>6.1863927762105123E-3</c:v>
                </c:pt>
                <c:pt idx="1161">
                  <c:v>6.1935668512109344E-3</c:v>
                </c:pt>
                <c:pt idx="1162">
                  <c:v>6.2151044741609249E-3</c:v>
                </c:pt>
                <c:pt idx="1163">
                  <c:v>6.2222887644119602E-3</c:v>
                </c:pt>
                <c:pt idx="1164">
                  <c:v>6.2294755709392472E-3</c:v>
                </c:pt>
                <c:pt idx="1165">
                  <c:v>6.2366648787282198E-3</c:v>
                </c:pt>
                <c:pt idx="1166">
                  <c:v>6.2438566727643259E-3</c:v>
                </c:pt>
                <c:pt idx="1167">
                  <c:v>6.2654468222098011E-3</c:v>
                </c:pt>
                <c:pt idx="1168">
                  <c:v>6.2726484110888093E-3</c:v>
                </c:pt>
                <c:pt idx="1169">
                  <c:v>6.2798524111421436E-3</c:v>
                </c:pt>
                <c:pt idx="1170">
                  <c:v>6.2870588073552424E-3</c:v>
                </c:pt>
                <c:pt idx="1171">
                  <c:v>6.3159080535140442E-3</c:v>
                </c:pt>
                <c:pt idx="1172">
                  <c:v>6.3231262053075454E-3</c:v>
                </c:pt>
                <c:pt idx="1173">
                  <c:v>6.3303466631734412E-3</c:v>
                </c:pt>
                <c:pt idx="1174">
                  <c:v>6.3375694120971779E-3</c:v>
                </c:pt>
                <c:pt idx="1175">
                  <c:v>6.3665622825794963E-3</c:v>
                </c:pt>
                <c:pt idx="1176">
                  <c:v>6.3738161079923503E-3</c:v>
                </c:pt>
                <c:pt idx="1177">
                  <c:v>6.3810721462455007E-3</c:v>
                </c:pt>
                <c:pt idx="1178">
                  <c:v>6.3883303822006438E-3</c:v>
                </c:pt>
                <c:pt idx="1179">
                  <c:v>6.3955908007194678E-3</c:v>
                </c:pt>
                <c:pt idx="1180">
                  <c:v>6.4173850002749696E-3</c:v>
                </c:pt>
                <c:pt idx="1181">
                  <c:v>6.4246539976654613E-3</c:v>
                </c:pt>
                <c:pt idx="1182">
                  <c:v>6.4319251019280994E-3</c:v>
                </c:pt>
                <c:pt idx="1183">
                  <c:v>6.4391982979245836E-3</c:v>
                </c:pt>
                <c:pt idx="1184">
                  <c:v>6.4464735705166022E-3</c:v>
                </c:pt>
                <c:pt idx="1185">
                  <c:v>6.468311696482809E-3</c:v>
                </c:pt>
                <c:pt idx="1186">
                  <c:v>6.4755951240739046E-3</c:v>
                </c:pt>
                <c:pt idx="1187">
                  <c:v>6.4828805525690043E-3</c:v>
                </c:pt>
                <c:pt idx="1188">
                  <c:v>6.4901679668298009E-3</c:v>
                </c:pt>
                <c:pt idx="1189">
                  <c:v>6.4974573517179862E-3</c:v>
                </c:pt>
                <c:pt idx="1190">
                  <c:v>6.519337178763812E-3</c:v>
                </c:pt>
                <c:pt idx="1191">
                  <c:v>6.5266342947784889E-3</c:v>
                </c:pt>
                <c:pt idx="1192">
                  <c:v>6.5339333057290207E-3</c:v>
                </c:pt>
                <c:pt idx="1193">
                  <c:v>6.5412341964771002E-3</c:v>
                </c:pt>
                <c:pt idx="1194">
                  <c:v>6.5485369518844235E-3</c:v>
                </c:pt>
                <c:pt idx="1195">
                  <c:v>6.5704562546787847E-3</c:v>
                </c:pt>
                <c:pt idx="1196">
                  <c:v>6.5777663173400133E-3</c:v>
                </c:pt>
                <c:pt idx="1197">
                  <c:v>6.5850781689689494E-3</c:v>
                </c:pt>
                <c:pt idx="1198">
                  <c:v>6.5923917944272891E-3</c:v>
                </c:pt>
                <c:pt idx="1199">
                  <c:v>6.5997071785767226E-3</c:v>
                </c:pt>
                <c:pt idx="1200">
                  <c:v>6.6216637317885324E-3</c:v>
                </c:pt>
                <c:pt idx="1201">
                  <c:v>6.6289859993192831E-3</c:v>
                </c:pt>
                <c:pt idx="1202">
                  <c:v>6.6363099498495956E-3</c:v>
                </c:pt>
                <c:pt idx="1203">
                  <c:v>6.6436355682411635E-3</c:v>
                </c:pt>
                <c:pt idx="1204">
                  <c:v>6.650962839355682E-3</c:v>
                </c:pt>
                <c:pt idx="1205">
                  <c:v>6.6729544176538568E-3</c:v>
                </c:pt>
                <c:pt idx="1206">
                  <c:v>6.6802881482771036E-3</c:v>
                </c:pt>
                <c:pt idx="1207">
                  <c:v>6.6876234559317647E-3</c:v>
                </c:pt>
                <c:pt idx="1208">
                  <c:v>6.6949603254795346E-3</c:v>
                </c:pt>
                <c:pt idx="1209">
                  <c:v>6.702298741782106E-3</c:v>
                </c:pt>
                <c:pt idx="1210">
                  <c:v>6.7243231198355676E-3</c:v>
                </c:pt>
                <c:pt idx="1211">
                  <c:v>6.7316675717742809E-3</c:v>
                </c:pt>
                <c:pt idx="1212">
                  <c:v>6.7390134947762602E-3</c:v>
                </c:pt>
                <c:pt idx="1213">
                  <c:v>6.7463608737032025E-3</c:v>
                </c:pt>
                <c:pt idx="1214">
                  <c:v>6.7537096934168024E-3</c:v>
                </c:pt>
                <c:pt idx="1215">
                  <c:v>6.775764645894463E-3</c:v>
                </c:pt>
                <c:pt idx="1216">
                  <c:v>6.7831190773716141E-3</c:v>
                </c:pt>
                <c:pt idx="1217">
                  <c:v>6.7904748739438872E-3</c:v>
                </c:pt>
                <c:pt idx="1218">
                  <c:v>6.7978320204729777E-3</c:v>
                </c:pt>
                <c:pt idx="1219">
                  <c:v>6.8051905018205738E-3</c:v>
                </c:pt>
                <c:pt idx="1220">
                  <c:v>6.8272738033913483E-3</c:v>
                </c:pt>
                <c:pt idx="1221">
                  <c:v>6.8346374726299119E-3</c:v>
                </c:pt>
                <c:pt idx="1222">
                  <c:v>6.8420024009954511E-3</c:v>
                </c:pt>
                <c:pt idx="1223">
                  <c:v>6.8493685733496575E-3</c:v>
                </c:pt>
                <c:pt idx="1224">
                  <c:v>6.856735974554223E-3</c:v>
                </c:pt>
                <c:pt idx="1225">
                  <c:v>6.8788453998870286E-3</c:v>
                </c:pt>
                <c:pt idx="1226">
                  <c:v>6.8862175651099753E-3</c:v>
                </c:pt>
                <c:pt idx="1227">
                  <c:v>6.8935908834917509E-3</c:v>
                </c:pt>
                <c:pt idx="1228">
                  <c:v>6.9009653398940472E-3</c:v>
                </c:pt>
                <c:pt idx="1229">
                  <c:v>6.9083409191785586E-3</c:v>
                </c:pt>
                <c:pt idx="1230">
                  <c:v>6.9304742429423093E-3</c:v>
                </c:pt>
                <c:pt idx="1231">
                  <c:v>6.9378541623726113E-3</c:v>
                </c:pt>
                <c:pt idx="1232">
                  <c:v>6.9452351289935954E-3</c:v>
                </c:pt>
                <c:pt idx="1233">
                  <c:v>6.952617127666952E-3</c:v>
                </c:pt>
                <c:pt idx="1234">
                  <c:v>6.9600001432543772E-3</c:v>
                </c:pt>
                <c:pt idx="1235">
                  <c:v>6.9821551401179948E-3</c:v>
                </c:pt>
                <c:pt idx="1236">
                  <c:v>6.9895420719786223E-3</c:v>
                </c:pt>
                <c:pt idx="1237">
                  <c:v>6.9969299450617873E-3</c:v>
                </c:pt>
                <c:pt idx="1238">
                  <c:v>7.0043187442291781E-3</c:v>
                </c:pt>
                <c:pt idx="1239">
                  <c:v>7.0412761014888147E-3</c:v>
                </c:pt>
                <c:pt idx="1240">
                  <c:v>7.0486701392571327E-3</c:v>
                </c:pt>
                <c:pt idx="1241">
                  <c:v>7.0560649971415264E-3</c:v>
                </c:pt>
                <c:pt idx="1242">
                  <c:v>7.0634606600036972E-3</c:v>
                </c:pt>
                <c:pt idx="1243">
                  <c:v>7.0856523270737895E-3</c:v>
                </c:pt>
                <c:pt idx="1244">
                  <c:v>7.0930510584639892E-3</c:v>
                </c:pt>
                <c:pt idx="1245">
                  <c:v>7.1004505191404306E-3</c:v>
                </c:pt>
                <c:pt idx="1246">
                  <c:v>7.1078506939648047E-3</c:v>
                </c:pt>
                <c:pt idx="1247">
                  <c:v>7.1152515677988075E-3</c:v>
                </c:pt>
                <c:pt idx="1248">
                  <c:v>7.1374582319755084E-3</c:v>
                </c:pt>
                <c:pt idx="1249">
                  <c:v>7.1448617504649521E-3</c:v>
                </c:pt>
                <c:pt idx="1250">
                  <c:v>7.1522658922724891E-3</c:v>
                </c:pt>
                <c:pt idx="1251">
                  <c:v>7.1596706422598147E-3</c:v>
                </c:pt>
                <c:pt idx="1252">
                  <c:v>7.16707598528862E-3</c:v>
                </c:pt>
                <c:pt idx="1253">
                  <c:v>7.189295421240847E-3</c:v>
                </c:pt>
                <c:pt idx="1254">
                  <c:v>7.1967029850525076E-3</c:v>
                </c:pt>
                <c:pt idx="1255">
                  <c:v>7.2041110662141123E-3</c:v>
                </c:pt>
                <c:pt idx="1256">
                  <c:v>7.2115196495873592E-3</c:v>
                </c:pt>
                <c:pt idx="1257">
                  <c:v>7.218928720033939E-3</c:v>
                </c:pt>
                <c:pt idx="1258">
                  <c:v>7.241158702430613E-3</c:v>
                </c:pt>
                <c:pt idx="1259">
                  <c:v>7.2485695697874601E-3</c:v>
                </c:pt>
                <c:pt idx="1260">
                  <c:v>7.2559808485261048E-3</c:v>
                </c:pt>
                <c:pt idx="1261">
                  <c:v>7.2633925235082459E-3</c:v>
                </c:pt>
                <c:pt idx="1262">
                  <c:v>7.2708045795955717E-3</c:v>
                </c:pt>
                <c:pt idx="1263">
                  <c:v>7.2930428831056047E-3</c:v>
                </c:pt>
                <c:pt idx="1264">
                  <c:v>7.3004563122306123E-3</c:v>
                </c:pt>
                <c:pt idx="1265">
                  <c:v>7.3078700467692709E-3</c:v>
                </c:pt>
                <c:pt idx="1266">
                  <c:v>7.3152840715832784E-3</c:v>
                </c:pt>
                <c:pt idx="1267">
                  <c:v>7.3226983715343206E-3</c:v>
                </c:pt>
                <c:pt idx="1268">
                  <c:v>7.3449427708266301E-3</c:v>
                </c:pt>
                <c:pt idx="1269">
                  <c:v>7.3523580199427686E-3</c:v>
                </c:pt>
                <c:pt idx="1270">
                  <c:v>7.3597734685044115E-3</c:v>
                </c:pt>
                <c:pt idx="1271">
                  <c:v>7.3671891013732567E-3</c:v>
                </c:pt>
                <c:pt idx="1272">
                  <c:v>7.3746049034109935E-3</c:v>
                </c:pt>
                <c:pt idx="1273">
                  <c:v>7.3968531731544917E-3</c:v>
                </c:pt>
                <c:pt idx="1274">
                  <c:v>7.4042695004847333E-3</c:v>
                </c:pt>
                <c:pt idx="1275">
                  <c:v>7.4116859212923344E-3</c:v>
                </c:pt>
                <c:pt idx="1276">
                  <c:v>7.4191024204389878E-3</c:v>
                </c:pt>
                <c:pt idx="1277">
                  <c:v>7.4265189827863887E-3</c:v>
                </c:pt>
                <c:pt idx="1278">
                  <c:v>7.4487688976499966E-3</c:v>
                </c:pt>
                <c:pt idx="1279">
                  <c:v>7.4561855614173117E-3</c:v>
                </c:pt>
                <c:pt idx="1280">
                  <c:v>7.4636022126938414E-3</c:v>
                </c:pt>
                <c:pt idx="1281">
                  <c:v>7.471018838372671E-3</c:v>
                </c:pt>
                <c:pt idx="1282">
                  <c:v>7.4784354334724631E-3</c:v>
                </c:pt>
                <c:pt idx="1283">
                  <c:v>7.5006850057981718E-3</c:v>
                </c:pt>
                <c:pt idx="1284">
                  <c:v>7.5081014490823725E-3</c:v>
                </c:pt>
                <c:pt idx="1285">
                  <c:v>7.5155178470378177E-3</c:v>
                </c:pt>
                <c:pt idx="1286">
                  <c:v>7.5229341967145581E-3</c:v>
                </c:pt>
                <c:pt idx="1287">
                  <c:v>7.5303504951626564E-3</c:v>
                </c:pt>
                <c:pt idx="1288">
                  <c:v>7.5525990536356473E-3</c:v>
                </c:pt>
                <c:pt idx="1289">
                  <c:v>7.5600151176697279E-3</c:v>
                </c:pt>
                <c:pt idx="1290">
                  <c:v>7.5674311157254452E-3</c:v>
                </c:pt>
                <c:pt idx="1291">
                  <c:v>7.5748470448528549E-3</c:v>
                </c:pt>
                <c:pt idx="1292">
                  <c:v>7.582262902102014E-3</c:v>
                </c:pt>
                <c:pt idx="1293">
                  <c:v>7.6045100130805385E-3</c:v>
                </c:pt>
                <c:pt idx="1294">
                  <c:v>7.6119255533172517E-3</c:v>
                </c:pt>
                <c:pt idx="1295">
                  <c:v>7.6193410069259945E-3</c:v>
                </c:pt>
                <c:pt idx="1296">
                  <c:v>7.6267563709568227E-3</c:v>
                </c:pt>
                <c:pt idx="1297">
                  <c:v>7.6341716424597923E-3</c:v>
                </c:pt>
                <c:pt idx="1298">
                  <c:v>7.6564168723021108E-3</c:v>
                </c:pt>
                <c:pt idx="1299">
                  <c:v>7.6638317441942083E-3</c:v>
                </c:pt>
                <c:pt idx="1300">
                  <c:v>7.6712465088087291E-3</c:v>
                </c:pt>
                <c:pt idx="1301">
                  <c:v>7.6786611631957285E-3</c:v>
                </c:pt>
                <c:pt idx="1302">
                  <c:v>7.6860757044052621E-3</c:v>
                </c:pt>
                <c:pt idx="1303">
                  <c:v>7.7083186194696332E-3</c:v>
                </c:pt>
                <c:pt idx="1304">
                  <c:v>7.7157326784698674E-3</c:v>
                </c:pt>
                <c:pt idx="1305">
                  <c:v>7.7231466095429155E-3</c:v>
                </c:pt>
                <c:pt idx="1306">
                  <c:v>7.7305604097388366E-3</c:v>
                </c:pt>
                <c:pt idx="1307">
                  <c:v>7.7379740761076869E-3</c:v>
                </c:pt>
                <c:pt idx="1308">
                  <c:v>7.7602142427523665E-3</c:v>
                </c:pt>
                <c:pt idx="1309">
                  <c:v>7.7676273443134892E-3</c:v>
                </c:pt>
                <c:pt idx="1310">
                  <c:v>7.7750402972978187E-3</c:v>
                </c:pt>
                <c:pt idx="1311">
                  <c:v>7.7824530987554178E-3</c:v>
                </c:pt>
                <c:pt idx="1312">
                  <c:v>7.7898657457363338E-3</c:v>
                </c:pt>
                <c:pt idx="1313">
                  <c:v>7.8121027303195761E-3</c:v>
                </c:pt>
                <c:pt idx="1314">
                  <c:v>7.8195147298943408E-3</c:v>
                </c:pt>
                <c:pt idx="1315">
                  <c:v>7.8269265602427078E-3</c:v>
                </c:pt>
                <c:pt idx="1316">
                  <c:v>7.8343382184147305E-3</c:v>
                </c:pt>
                <c:pt idx="1317">
                  <c:v>7.8417497014604681E-3</c:v>
                </c:pt>
                <c:pt idx="1318">
                  <c:v>7.8639830703405317E-3</c:v>
                </c:pt>
                <c:pt idx="1319">
                  <c:v>7.8713938233816901E-3</c:v>
                </c:pt>
                <c:pt idx="1320">
                  <c:v>7.8788043865468411E-3</c:v>
                </c:pt>
                <c:pt idx="1321">
                  <c:v>7.8862147568860459E-3</c:v>
                </c:pt>
                <c:pt idx="1322">
                  <c:v>7.893624931449357E-3</c:v>
                </c:pt>
                <c:pt idx="1323">
                  <c:v>7.915854250984497E-3</c:v>
                </c:pt>
                <c:pt idx="1324">
                  <c:v>7.9232636129447972E-3</c:v>
                </c:pt>
                <c:pt idx="1325">
                  <c:v>7.93067276437949E-3</c:v>
                </c:pt>
                <c:pt idx="1326">
                  <c:v>7.9380817023386261E-3</c:v>
                </c:pt>
                <c:pt idx="1327">
                  <c:v>7.9454904238722614E-3</c:v>
                </c:pt>
                <c:pt idx="1328">
                  <c:v>7.9677152604207373E-3</c:v>
                </c:pt>
                <c:pt idx="1329">
                  <c:v>7.9751230867529353E-3</c:v>
                </c:pt>
                <c:pt idx="1330">
                  <c:v>7.9825306819099207E-3</c:v>
                </c:pt>
                <c:pt idx="1331">
                  <c:v>7.9899380429417372E-3</c:v>
                </c:pt>
                <c:pt idx="1332">
                  <c:v>7.9973451668984511E-3</c:v>
                </c:pt>
                <c:pt idx="1333">
                  <c:v>8.0195650868185153E-3</c:v>
                </c:pt>
                <c:pt idx="1334">
                  <c:v>8.0269712329753672E-3</c:v>
                </c:pt>
                <c:pt idx="1335">
                  <c:v>8.0343771273073926E-3</c:v>
                </c:pt>
                <c:pt idx="1336">
                  <c:v>8.0417827668646472E-3</c:v>
                </c:pt>
                <c:pt idx="1337">
                  <c:v>8.0491881486971922E-3</c:v>
                </c:pt>
                <c:pt idx="1338">
                  <c:v>8.0714027183471024E-3</c:v>
                </c:pt>
                <c:pt idx="1339">
                  <c:v>8.0788070397813539E-3</c:v>
                </c:pt>
                <c:pt idx="1340">
                  <c:v>8.0862110887411753E-3</c:v>
                </c:pt>
                <c:pt idx="1341">
                  <c:v>8.0936148622766206E-3</c:v>
                </c:pt>
                <c:pt idx="1342">
                  <c:v>8.1010183574377458E-3</c:v>
                </c:pt>
                <c:pt idx="1343">
                  <c:v>8.1232271431757597E-3</c:v>
                </c:pt>
                <c:pt idx="1344">
                  <c:v>8.1306294953401668E-3</c:v>
                </c:pt>
                <c:pt idx="1345">
                  <c:v>8.138031554380535E-3</c:v>
                </c:pt>
                <c:pt idx="1346">
                  <c:v>8.1454333173469218E-3</c:v>
                </c:pt>
                <c:pt idx="1347">
                  <c:v>8.1528347812893798E-3</c:v>
                </c:pt>
                <c:pt idx="1348">
                  <c:v>8.1750373494737551E-3</c:v>
                </c:pt>
                <c:pt idx="1349">
                  <c:v>8.1824375878210721E-3</c:v>
                </c:pt>
                <c:pt idx="1350">
                  <c:v>8.1898375123947379E-3</c:v>
                </c:pt>
                <c:pt idx="1351">
                  <c:v>8.1972371202448154E-3</c:v>
                </c:pt>
                <c:pt idx="1352">
                  <c:v>8.2046364084213605E-3</c:v>
                </c:pt>
                <c:pt idx="1353">
                  <c:v>8.2268323254103565E-3</c:v>
                </c:pt>
                <c:pt idx="1354">
                  <c:v>8.2342303053933273E-3</c:v>
                </c:pt>
                <c:pt idx="1355">
                  <c:v>8.2416279509530434E-3</c:v>
                </c:pt>
                <c:pt idx="1356">
                  <c:v>8.249025259139571E-3</c:v>
                </c:pt>
                <c:pt idx="1357">
                  <c:v>8.2564222270029505E-3</c:v>
                </c:pt>
                <c:pt idx="1358">
                  <c:v>8.2786110591548199E-3</c:v>
                </c:pt>
                <c:pt idx="1359">
                  <c:v>8.2860066362262039E-3</c:v>
                </c:pt>
                <c:pt idx="1360">
                  <c:v>8.2934018582247297E-3</c:v>
                </c:pt>
                <c:pt idx="1361">
                  <c:v>8.3007967222004497E-3</c:v>
                </c:pt>
                <c:pt idx="1362">
                  <c:v>8.3081912252034196E-3</c:v>
                </c:pt>
                <c:pt idx="1363">
                  <c:v>8.33037253887642E-3</c:v>
                </c:pt>
                <c:pt idx="1364">
                  <c:v>8.3377655684889664E-3</c:v>
                </c:pt>
                <c:pt idx="1365">
                  <c:v>8.3451582223790476E-3</c:v>
                </c:pt>
                <c:pt idx="1366">
                  <c:v>8.3525504975967193E-3</c:v>
                </c:pt>
                <c:pt idx="1367">
                  <c:v>8.3599423911920358E-3</c:v>
                </c:pt>
                <c:pt idx="1368">
                  <c:v>8.3821157527444214E-3</c:v>
                </c:pt>
                <c:pt idx="1369">
                  <c:v>8.3895060903508827E-3</c:v>
                </c:pt>
                <c:pt idx="1370">
                  <c:v>8.3968960315852718E-3</c:v>
                </c:pt>
                <c:pt idx="1371">
                  <c:v>8.4042855734976444E-3</c:v>
                </c:pt>
                <c:pt idx="1372">
                  <c:v>8.4116747131380565E-3</c:v>
                </c:pt>
                <c:pt idx="1373">
                  <c:v>8.4338396889280867E-3</c:v>
                </c:pt>
                <c:pt idx="1374">
                  <c:v>8.4412271899812139E-3</c:v>
                </c:pt>
                <c:pt idx="1375">
                  <c:v>8.4486142740126668E-3</c:v>
                </c:pt>
                <c:pt idx="1376">
                  <c:v>8.4560009380724929E-3</c:v>
                </c:pt>
                <c:pt idx="1377">
                  <c:v>8.4633871792107514E-3</c:v>
                </c:pt>
                <c:pt idx="1378">
                  <c:v>8.4855433355966823E-3</c:v>
                </c:pt>
                <c:pt idx="1379">
                  <c:v>8.4929278555492312E-3</c:v>
                </c:pt>
                <c:pt idx="1380">
                  <c:v>8.5003119378304955E-3</c:v>
                </c:pt>
                <c:pt idx="1381">
                  <c:v>8.5076955794905259E-3</c:v>
                </c:pt>
                <c:pt idx="1382">
                  <c:v>8.5150787775793851E-3</c:v>
                </c:pt>
                <c:pt idx="1383">
                  <c:v>8.5372256809194743E-3</c:v>
                </c:pt>
                <c:pt idx="1384">
                  <c:v>8.5446070752241959E-3</c:v>
                </c:pt>
                <c:pt idx="1385">
                  <c:v>8.551988011208024E-3</c:v>
                </c:pt>
                <c:pt idx="1386">
                  <c:v>8.5593684859210147E-3</c:v>
                </c:pt>
                <c:pt idx="1387">
                  <c:v>8.5667484964132255E-3</c:v>
                </c:pt>
                <c:pt idx="1388">
                  <c:v>8.5888857130657272E-3</c:v>
                </c:pt>
                <c:pt idx="1389">
                  <c:v>8.596263837175374E-3</c:v>
                </c:pt>
                <c:pt idx="1390">
                  <c:v>8.6036414823145186E-3</c:v>
                </c:pt>
                <c:pt idx="1391">
                  <c:v>8.6110186455332204E-3</c:v>
                </c:pt>
                <c:pt idx="1392">
                  <c:v>8.6183953238815336E-3</c:v>
                </c:pt>
                <c:pt idx="1393">
                  <c:v>8.6405224202047073E-3</c:v>
                </c:pt>
                <c:pt idx="1394">
                  <c:v>8.6478971295720318E-3</c:v>
                </c:pt>
                <c:pt idx="1395">
                  <c:v>8.6552713393192472E-3</c:v>
                </c:pt>
                <c:pt idx="1396">
                  <c:v>8.662645046496411E-3</c:v>
                </c:pt>
                <c:pt idx="1397">
                  <c:v>8.6700182481535808E-3</c:v>
                </c:pt>
                <c:pt idx="1398">
                  <c:v>8.6921347905056841E-3</c:v>
                </c:pt>
                <c:pt idx="1399">
                  <c:v>8.6995059405834355E-3</c:v>
                </c:pt>
                <c:pt idx="1400">
                  <c:v>8.7068765703914707E-3</c:v>
                </c:pt>
                <c:pt idx="1401">
                  <c:v>8.7142466769798508E-3</c:v>
                </c:pt>
                <c:pt idx="1402">
                  <c:v>8.7216162573986282E-3</c:v>
                </c:pt>
                <c:pt idx="1403">
                  <c:v>8.7437218121379154E-3</c:v>
                </c:pt>
                <c:pt idx="1404">
                  <c:v>8.7510892583788479E-3</c:v>
                </c:pt>
                <c:pt idx="1405">
                  <c:v>8.7584561637004607E-3</c:v>
                </c:pt>
                <c:pt idx="1406">
                  <c:v>8.7658225251528079E-3</c:v>
                </c:pt>
                <c:pt idx="1407">
                  <c:v>8.7731883397859454E-3</c:v>
                </c:pt>
                <c:pt idx="1408">
                  <c:v>8.7952824732706707E-3</c:v>
                </c:pt>
                <c:pt idx="1409">
                  <c:v>8.8026460711275387E-3</c:v>
                </c:pt>
                <c:pt idx="1410">
                  <c:v>8.8100091074154764E-3</c:v>
                </c:pt>
                <c:pt idx="1411">
                  <c:v>8.8173715791845433E-3</c:v>
                </c:pt>
                <c:pt idx="1412">
                  <c:v>8.8247334834847951E-3</c:v>
                </c:pt>
                <c:pt idx="1413">
                  <c:v>8.8468157620732162E-3</c:v>
                </c:pt>
                <c:pt idx="1414">
                  <c:v>8.8541753669987688E-3</c:v>
                </c:pt>
                <c:pt idx="1415">
                  <c:v>8.8615343897057875E-3</c:v>
                </c:pt>
                <c:pt idx="1416">
                  <c:v>8.8688928272443249E-3</c:v>
                </c:pt>
                <c:pt idx="1417">
                  <c:v>8.8762506766644437E-3</c:v>
                </c:pt>
                <c:pt idx="1418">
                  <c:v>8.8983206667148217E-3</c:v>
                </c:pt>
                <c:pt idx="1419">
                  <c:v>8.9056761341618097E-3</c:v>
                </c:pt>
                <c:pt idx="1420">
                  <c:v>8.9130309987406568E-3</c:v>
                </c:pt>
                <c:pt idx="1421">
                  <c:v>8.9203852575014189E-3</c:v>
                </c:pt>
                <c:pt idx="1422">
                  <c:v>8.9277389074941538E-3</c:v>
                </c:pt>
                <c:pt idx="1423">
                  <c:v>8.949796175364743E-3</c:v>
                </c:pt>
                <c:pt idx="1424">
                  <c:v>8.9571473607859223E-3</c:v>
                </c:pt>
                <c:pt idx="1425">
                  <c:v>8.9644979226893538E-3</c:v>
                </c:pt>
                <c:pt idx="1426">
                  <c:v>8.9718478581250916E-3</c:v>
                </c:pt>
                <c:pt idx="1427">
                  <c:v>8.9791971641431951E-3</c:v>
                </c:pt>
                <c:pt idx="1428">
                  <c:v>9.0012412761922497E-3</c:v>
                </c:pt>
                <c:pt idx="1429">
                  <c:v>9.008588035040373E-3</c:v>
                </c:pt>
                <c:pt idx="1430">
                  <c:v>9.0159341497211398E-3</c:v>
                </c:pt>
                <c:pt idx="1431">
                  <c:v>9.0232796172846075E-3</c:v>
                </c:pt>
                <c:pt idx="1432">
                  <c:v>9.0306244347808321E-3</c:v>
                </c:pt>
                <c:pt idx="1433">
                  <c:v>9.0526549573666116E-3</c:v>
                </c:pt>
                <c:pt idx="1434">
                  <c:v>9.059997145094428E-3</c:v>
                </c:pt>
                <c:pt idx="1435">
                  <c:v>9.0673386680052825E-3</c:v>
                </c:pt>
                <c:pt idx="1436">
                  <c:v>9.074679523149231E-3</c:v>
                </c:pt>
                <c:pt idx="1437">
                  <c:v>9.0820197075763293E-3</c:v>
                </c:pt>
                <c:pt idx="1438">
                  <c:v>9.1040362070570879E-3</c:v>
                </c:pt>
                <c:pt idx="1439">
                  <c:v>9.1113736791173534E-3</c:v>
                </c:pt>
                <c:pt idx="1440">
                  <c:v>9.1187104657110465E-3</c:v>
                </c:pt>
                <c:pt idx="1441">
                  <c:v>9.1260465638882283E-3</c:v>
                </c:pt>
                <c:pt idx="1442">
                  <c:v>9.133381970698953E-3</c:v>
                </c:pt>
                <c:pt idx="1443">
                  <c:v>9.1553840134329517E-3</c:v>
                </c:pt>
                <c:pt idx="1444">
                  <c:v>9.1627166252784137E-3</c:v>
                </c:pt>
                <c:pt idx="1445">
                  <c:v>9.1700485310076962E-3</c:v>
                </c:pt>
                <c:pt idx="1446">
                  <c:v>9.1773797276708639E-3</c:v>
                </c:pt>
                <c:pt idx="1447">
                  <c:v>9.1847102123179675E-3</c:v>
                </c:pt>
                <c:pt idx="1448">
                  <c:v>9.2066973646634607E-3</c:v>
                </c:pt>
                <c:pt idx="1449">
                  <c:v>9.2140249717468734E-3</c:v>
                </c:pt>
                <c:pt idx="1450">
                  <c:v>9.2213518520645032E-3</c:v>
                </c:pt>
                <c:pt idx="1451">
                  <c:v>9.2286780026664093E-3</c:v>
                </c:pt>
                <c:pt idx="1452">
                  <c:v>9.2360034206026408E-3</c:v>
                </c:pt>
                <c:pt idx="1453">
                  <c:v>9.2579752489178845E-3</c:v>
                </c:pt>
                <c:pt idx="1454">
                  <c:v>9.2652977066920005E-3</c:v>
                </c:pt>
                <c:pt idx="1455">
                  <c:v>9.2726194170507266E-3</c:v>
                </c:pt>
                <c:pt idx="1456">
                  <c:v>9.279940377044122E-3</c:v>
                </c:pt>
                <c:pt idx="1457">
                  <c:v>9.2872605837222393E-3</c:v>
                </c:pt>
                <c:pt idx="1458">
                  <c:v>9.3092166543654875E-3</c:v>
                </c:pt>
                <c:pt idx="1459">
                  <c:v>9.3165338182830595E-3</c:v>
                </c:pt>
                <c:pt idx="1460">
                  <c:v>9.3238502141356344E-3</c:v>
                </c:pt>
                <c:pt idx="1461">
                  <c:v>9.3311658389732717E-3</c:v>
                </c:pt>
                <c:pt idx="1462">
                  <c:v>9.3384806898460238E-3</c:v>
                </c:pt>
                <c:pt idx="1463">
                  <c:v>9.3604205691755395E-3</c:v>
                </c:pt>
                <c:pt idx="1464">
                  <c:v>9.3677322946893165E-3</c:v>
                </c:pt>
                <c:pt idx="1465">
                  <c:v>9.3750432314884929E-3</c:v>
                </c:pt>
                <c:pt idx="1466">
                  <c:v>9.3823533766231211E-3</c:v>
                </c:pt>
                <c:pt idx="1467">
                  <c:v>9.3896627271432605E-3</c:v>
                </c:pt>
                <c:pt idx="1468">
                  <c:v>9.4115859815172981E-3</c:v>
                </c:pt>
                <c:pt idx="1469">
                  <c:v>9.4188921240800378E-3</c:v>
                </c:pt>
                <c:pt idx="1470">
                  <c:v>9.4261974572785682E-3</c:v>
                </c:pt>
                <c:pt idx="1471">
                  <c:v>9.4335019781629417E-3</c:v>
                </c:pt>
                <c:pt idx="1472">
                  <c:v>9.4408056837832193E-3</c:v>
                </c:pt>
                <c:pt idx="1473">
                  <c:v>9.4627118795600346E-3</c:v>
                </c:pt>
                <c:pt idx="1474">
                  <c:v>9.4700122946244861E-3</c:v>
                </c:pt>
                <c:pt idx="1475">
                  <c:v>9.4773118796751231E-3</c:v>
                </c:pt>
                <c:pt idx="1476">
                  <c:v>9.4846106317619926E-3</c:v>
                </c:pt>
                <c:pt idx="1477">
                  <c:v>9.4919085479351663E-3</c:v>
                </c:pt>
                <c:pt idx="1478">
                  <c:v>9.5137972514730135E-3</c:v>
                </c:pt>
                <c:pt idx="1479">
                  <c:v>9.5210917944919295E-3</c:v>
                </c:pt>
                <c:pt idx="1480">
                  <c:v>9.5283854868474203E-3</c:v>
                </c:pt>
                <c:pt idx="1481">
                  <c:v>9.5356783255895472E-3</c:v>
                </c:pt>
                <c:pt idx="1482">
                  <c:v>9.5429703077683625E-3</c:v>
                </c:pt>
                <c:pt idx="1483">
                  <c:v>9.5648410854254993E-3</c:v>
                </c:pt>
                <c:pt idx="1484">
                  <c:v>9.5721296118516305E-3</c:v>
                </c:pt>
                <c:pt idx="1485">
                  <c:v>9.5794172669647331E-3</c:v>
                </c:pt>
                <c:pt idx="1486">
                  <c:v>9.5867040478148612E-3</c:v>
                </c:pt>
                <c:pt idx="1487">
                  <c:v>9.5939899514520723E-3</c:v>
                </c:pt>
                <c:pt idx="1488">
                  <c:v>9.6158423695867565E-3</c:v>
                </c:pt>
                <c:pt idx="1489">
                  <c:v>9.623124734872859E-3</c:v>
                </c:pt>
                <c:pt idx="1490">
                  <c:v>9.6304062081963241E-3</c:v>
                </c:pt>
                <c:pt idx="1491">
                  <c:v>9.6376867866072077E-3</c:v>
                </c:pt>
                <c:pt idx="1492">
                  <c:v>9.6449664671555656E-3</c:v>
                </c:pt>
                <c:pt idx="1493">
                  <c:v>9.6668000921260582E-3</c:v>
                </c:pt>
                <c:pt idx="1494">
                  <c:v>9.6740761517248794E-3</c:v>
                </c:pt>
                <c:pt idx="1495">
                  <c:v>9.6813512987114561E-3</c:v>
                </c:pt>
                <c:pt idx="1496">
                  <c:v>9.6886255301358477E-3</c:v>
                </c:pt>
                <c:pt idx="1497">
                  <c:v>9.6958988430481084E-3</c:v>
                </c:pt>
                <c:pt idx="1498">
                  <c:v>9.7177132412126603E-3</c:v>
                </c:pt>
                <c:pt idx="1499">
                  <c:v>9.7249828505769562E-3</c:v>
                </c:pt>
              </c:numCache>
            </c:numRef>
          </c:val>
          <c:smooth val="0"/>
        </c:ser>
        <c:dLbls>
          <c:showLegendKey val="0"/>
          <c:showVal val="0"/>
          <c:showCatName val="0"/>
          <c:showSerName val="0"/>
          <c:showPercent val="0"/>
          <c:showBubbleSize val="0"/>
        </c:dLbls>
        <c:marker val="1"/>
        <c:smooth val="0"/>
        <c:axId val="502863360"/>
        <c:axId val="502919168"/>
      </c:lineChart>
      <c:dateAx>
        <c:axId val="502863360"/>
        <c:scaling>
          <c:orientation val="minMax"/>
        </c:scaling>
        <c:delete val="0"/>
        <c:axPos val="b"/>
        <c:numFmt formatCode="d\-mmm\-yy" sourceLinked="1"/>
        <c:majorTickMark val="out"/>
        <c:minorTickMark val="none"/>
        <c:tickLblPos val="nextTo"/>
        <c:crossAx val="502919168"/>
        <c:crosses val="autoZero"/>
        <c:auto val="1"/>
        <c:lblOffset val="100"/>
        <c:baseTimeUnit val="days"/>
      </c:dateAx>
      <c:valAx>
        <c:axId val="502919168"/>
        <c:scaling>
          <c:orientation val="minMax"/>
        </c:scaling>
        <c:delete val="0"/>
        <c:axPos val="l"/>
        <c:majorGridlines/>
        <c:numFmt formatCode="0.00000%" sourceLinked="1"/>
        <c:majorTickMark val="out"/>
        <c:minorTickMark val="none"/>
        <c:tickLblPos val="nextTo"/>
        <c:crossAx val="502863360"/>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28575</xdr:colOff>
      <xdr:row>84</xdr:row>
      <xdr:rowOff>57151</xdr:rowOff>
    </xdr:from>
    <xdr:to>
      <xdr:col>29</xdr:col>
      <xdr:colOff>590550</xdr:colOff>
      <xdr:row>84</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84</xdr:row>
      <xdr:rowOff>57150</xdr:rowOff>
    </xdr:from>
    <xdr:to>
      <xdr:col>24</xdr:col>
      <xdr:colOff>561975</xdr:colOff>
      <xdr:row>84</xdr:row>
      <xdr:rowOff>57150</xdr:rowOff>
    </xdr:to>
    <xdr:cxnSp macro="">
      <xdr:nvCxnSpPr>
        <xdr:cNvPr id="17" name="Straight Arrow Connector 16"/>
        <xdr:cNvCxnSpPr/>
      </xdr:nvCxnSpPr>
      <xdr:spPr>
        <a:xfrm>
          <a:off x="34118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28575</xdr:colOff>
      <xdr:row>84</xdr:row>
      <xdr:rowOff>57150</xdr:rowOff>
    </xdr:from>
    <xdr:to>
      <xdr:col>32</xdr:col>
      <xdr:colOff>561975</xdr:colOff>
      <xdr:row>84</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 ca="1">_xll.meCurveFrequency($F$20,$F21)</f>
        <v>1D</v>
      </c>
      <c r="H21" s="130"/>
      <c r="I21" s="130"/>
      <c r="J21" s="130"/>
      <c r="K21" s="130"/>
      <c r="L21" s="83"/>
    </row>
    <row r="22" spans="2:12" x14ac:dyDescent="0.25">
      <c r="B22" s="82"/>
      <c r="C22" s="130"/>
      <c r="D22" s="130"/>
      <c r="E22" s="431" t="s">
        <v>387</v>
      </c>
      <c r="F22" s="105" t="s">
        <v>201</v>
      </c>
      <c r="G22" s="166" t="str">
        <f ca="1">_xll.meCurveFrequency($F$20,$F22)</f>
        <v>1M</v>
      </c>
      <c r="H22" s="130"/>
      <c r="I22" s="130"/>
      <c r="J22" s="130"/>
      <c r="K22" s="130"/>
      <c r="L22" s="83"/>
    </row>
    <row r="23" spans="2:12" x14ac:dyDescent="0.25">
      <c r="B23" s="82"/>
      <c r="C23" s="130"/>
      <c r="D23" s="130"/>
      <c r="E23" s="431" t="s">
        <v>387</v>
      </c>
      <c r="F23" s="105" t="s">
        <v>170</v>
      </c>
      <c r="G23" s="166" t="str">
        <f ca="1">_xll.meCurveFrequency($F$20,$F23)</f>
        <v>3M</v>
      </c>
      <c r="H23" s="130"/>
      <c r="I23" s="130"/>
      <c r="J23" s="130"/>
      <c r="K23" s="130"/>
      <c r="L23" s="83"/>
    </row>
    <row r="24" spans="2:12" x14ac:dyDescent="0.25">
      <c r="B24" s="82"/>
      <c r="C24" s="130"/>
      <c r="D24" s="130"/>
      <c r="E24" s="431" t="s">
        <v>387</v>
      </c>
      <c r="F24" s="105" t="s">
        <v>162</v>
      </c>
      <c r="G24" s="166" t="str">
        <f ca="1">_xll.meCurveFrequency($F$20,$F24)</f>
        <v>6M</v>
      </c>
      <c r="H24" s="130"/>
      <c r="I24" s="130"/>
      <c r="J24" s="130"/>
      <c r="K24" s="130"/>
      <c r="L24" s="83"/>
    </row>
    <row r="25" spans="2:12" x14ac:dyDescent="0.25">
      <c r="B25" s="82"/>
      <c r="C25" s="130"/>
      <c r="D25" s="130"/>
      <c r="E25" s="432" t="s">
        <v>387</v>
      </c>
      <c r="F25" s="106" t="s">
        <v>208</v>
      </c>
      <c r="G25" s="167" t="str">
        <f ca="1">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(0.03800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(0.01600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39"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0"/>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0"/>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0"/>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0"/>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0"/>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0"/>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0"/>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0"/>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0"/>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0"/>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0"/>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0"/>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0"/>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1"/>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2"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3"/>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3"/>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3"/>
      <c r="F53" s="219" t="s">
        <v>140</v>
      </c>
      <c r="G53" s="152" t="s">
        <v>22</v>
      </c>
      <c r="H53" s="201"/>
      <c r="I53" s="48"/>
      <c r="J53" s="74"/>
      <c r="K53" s="191"/>
      <c r="L53" s="192"/>
      <c r="M53" s="193"/>
      <c r="N53" s="39"/>
    </row>
    <row r="54" spans="2:16" ht="30" x14ac:dyDescent="0.25">
      <c r="B54" s="4"/>
      <c r="C54" s="175" t="s">
        <v>301</v>
      </c>
      <c r="D54" s="130"/>
      <c r="E54" s="443"/>
      <c r="F54" s="219" t="s">
        <v>141</v>
      </c>
      <c r="G54" s="138" t="s">
        <v>101</v>
      </c>
      <c r="H54" s="202"/>
      <c r="I54" s="48"/>
      <c r="J54" s="74"/>
      <c r="K54" s="191"/>
      <c r="L54" s="192"/>
      <c r="M54" s="193"/>
      <c r="N54" s="39"/>
    </row>
    <row r="55" spans="2:16" ht="30" x14ac:dyDescent="0.25">
      <c r="B55" s="4"/>
      <c r="C55" s="175" t="s">
        <v>302</v>
      </c>
      <c r="D55" s="130"/>
      <c r="E55" s="443"/>
      <c r="F55" s="219" t="s">
        <v>142</v>
      </c>
      <c r="G55" s="138" t="s">
        <v>9</v>
      </c>
      <c r="H55" s="202"/>
      <c r="I55" s="48"/>
      <c r="J55" s="74"/>
      <c r="K55" s="191"/>
      <c r="L55" s="192"/>
      <c r="M55" s="193"/>
      <c r="N55" s="39"/>
    </row>
    <row r="56" spans="2:16" ht="30" x14ac:dyDescent="0.25">
      <c r="B56" s="4"/>
      <c r="C56" s="175" t="s">
        <v>303</v>
      </c>
      <c r="D56" s="130"/>
      <c r="E56" s="443"/>
      <c r="F56" s="219" t="s">
        <v>143</v>
      </c>
      <c r="G56" s="205" t="s">
        <v>82</v>
      </c>
      <c r="H56" s="203" t="s">
        <v>182</v>
      </c>
      <c r="I56" s="48"/>
      <c r="J56" s="74"/>
      <c r="K56" s="191"/>
      <c r="L56" s="192"/>
      <c r="M56" s="193"/>
      <c r="N56" s="39"/>
    </row>
    <row r="57" spans="2:16" ht="30" x14ac:dyDescent="0.25">
      <c r="B57" s="4"/>
      <c r="C57" s="175" t="s">
        <v>304</v>
      </c>
      <c r="D57" s="130"/>
      <c r="E57" s="443"/>
      <c r="F57" s="219" t="s">
        <v>144</v>
      </c>
      <c r="G57" s="152" t="s">
        <v>94</v>
      </c>
      <c r="H57" s="202"/>
      <c r="I57" s="48"/>
      <c r="J57" s="74"/>
      <c r="K57" s="191"/>
      <c r="L57" s="192"/>
      <c r="M57" s="193"/>
      <c r="N57" s="39"/>
      <c r="P57" s="115"/>
    </row>
    <row r="58" spans="2:16" ht="30" x14ac:dyDescent="0.25">
      <c r="B58" s="4"/>
      <c r="C58" s="175" t="s">
        <v>305</v>
      </c>
      <c r="D58" s="130"/>
      <c r="E58" s="443"/>
      <c r="F58" s="219" t="s">
        <v>146</v>
      </c>
      <c r="G58" s="138" t="s">
        <v>124</v>
      </c>
      <c r="H58" s="202"/>
      <c r="I58" s="48"/>
      <c r="J58" s="74"/>
      <c r="K58" s="191"/>
      <c r="L58" s="192"/>
      <c r="M58" s="193"/>
      <c r="N58" s="39"/>
      <c r="P58" s="115"/>
    </row>
    <row r="59" spans="2:16" ht="30" x14ac:dyDescent="0.25">
      <c r="B59" s="4"/>
      <c r="C59" s="175" t="s">
        <v>306</v>
      </c>
      <c r="D59" s="130"/>
      <c r="E59" s="443"/>
      <c r="F59" s="219" t="s">
        <v>147</v>
      </c>
      <c r="G59" s="138" t="s">
        <v>2</v>
      </c>
      <c r="H59" s="202"/>
      <c r="I59" s="48"/>
      <c r="J59" s="74"/>
      <c r="K59" s="191"/>
      <c r="L59" s="192"/>
      <c r="M59" s="193"/>
      <c r="N59" s="39"/>
      <c r="P59" s="115"/>
    </row>
    <row r="60" spans="2:16" ht="30" x14ac:dyDescent="0.25">
      <c r="B60" s="4"/>
      <c r="C60" s="175" t="s">
        <v>307</v>
      </c>
      <c r="D60" s="130"/>
      <c r="E60" s="443"/>
      <c r="F60" s="219" t="s">
        <v>148</v>
      </c>
      <c r="G60" s="138" t="s">
        <v>91</v>
      </c>
      <c r="H60" s="202"/>
      <c r="I60" s="48"/>
      <c r="J60" s="74"/>
      <c r="K60" s="191"/>
      <c r="L60" s="192"/>
      <c r="M60" s="193"/>
      <c r="N60" s="39"/>
      <c r="P60" s="115"/>
    </row>
    <row r="61" spans="2:16" ht="30" x14ac:dyDescent="0.25">
      <c r="B61" s="4"/>
      <c r="C61" s="175" t="s">
        <v>308</v>
      </c>
      <c r="D61" s="130"/>
      <c r="E61" s="443"/>
      <c r="F61" s="219" t="s">
        <v>149</v>
      </c>
      <c r="G61" s="138" t="s">
        <v>2</v>
      </c>
      <c r="H61" s="202"/>
      <c r="I61" s="48"/>
      <c r="J61" s="74"/>
      <c r="K61" s="191"/>
      <c r="L61" s="192"/>
      <c r="M61" s="193"/>
      <c r="N61" s="39"/>
      <c r="P61" s="115"/>
    </row>
    <row r="62" spans="2:16" ht="30" x14ac:dyDescent="0.25">
      <c r="B62" s="4"/>
      <c r="C62" s="175" t="s">
        <v>309</v>
      </c>
      <c r="D62" s="130"/>
      <c r="E62" s="443"/>
      <c r="F62" s="219" t="s">
        <v>150</v>
      </c>
      <c r="G62" s="138">
        <v>2</v>
      </c>
      <c r="H62" s="202"/>
      <c r="I62" s="48"/>
      <c r="J62" s="74"/>
      <c r="K62" s="191"/>
      <c r="L62" s="192"/>
      <c r="M62" s="193"/>
      <c r="N62" s="39"/>
      <c r="P62" s="115"/>
    </row>
    <row r="63" spans="2:16" ht="30" x14ac:dyDescent="0.25">
      <c r="B63" s="4"/>
      <c r="C63" s="175" t="s">
        <v>310</v>
      </c>
      <c r="D63" s="130"/>
      <c r="E63" s="444"/>
      <c r="F63" s="237" t="s">
        <v>151</v>
      </c>
      <c r="G63" s="152" t="s">
        <v>22</v>
      </c>
      <c r="H63" s="202"/>
      <c r="I63" s="48"/>
      <c r="J63" s="74"/>
      <c r="K63" s="191"/>
      <c r="L63" s="192"/>
      <c r="M63" s="193"/>
      <c r="N63" s="39"/>
      <c r="P63" s="115"/>
    </row>
    <row r="64" spans="2:16" ht="30" x14ac:dyDescent="0.25">
      <c r="B64" s="4"/>
      <c r="C64" s="175" t="s">
        <v>311</v>
      </c>
      <c r="D64" s="130"/>
      <c r="E64" s="445"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46"/>
      <c r="F65" s="219" t="s">
        <v>112</v>
      </c>
      <c r="G65" s="138" t="b">
        <v>1</v>
      </c>
      <c r="H65" s="202"/>
      <c r="I65" s="48"/>
      <c r="J65" s="74"/>
      <c r="K65" s="191"/>
      <c r="L65" s="192"/>
      <c r="M65" s="193"/>
      <c r="N65" s="39"/>
      <c r="P65" s="115"/>
    </row>
    <row r="66" spans="2:16" ht="30" x14ac:dyDescent="0.25">
      <c r="B66" s="4"/>
      <c r="C66" s="176" t="s">
        <v>314</v>
      </c>
      <c r="D66" s="130"/>
      <c r="E66" s="446"/>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46"/>
      <c r="F67" s="219" t="s">
        <v>155</v>
      </c>
      <c r="G67" s="138" t="b">
        <v>1</v>
      </c>
      <c r="H67" s="202"/>
      <c r="I67" s="48"/>
      <c r="J67" s="74"/>
      <c r="K67" s="191"/>
      <c r="L67" s="192"/>
      <c r="M67" s="193"/>
      <c r="N67" s="39"/>
      <c r="P67" s="115"/>
    </row>
    <row r="68" spans="2:16" ht="45" x14ac:dyDescent="0.25">
      <c r="B68" s="4"/>
      <c r="C68" s="176" t="s">
        <v>316</v>
      </c>
      <c r="D68" s="130"/>
      <c r="E68" s="446"/>
      <c r="F68" s="219" t="s">
        <v>156</v>
      </c>
      <c r="G68" s="138" t="b">
        <v>1</v>
      </c>
      <c r="H68" s="202"/>
      <c r="I68" s="48"/>
      <c r="J68" s="74"/>
      <c r="K68" s="191"/>
      <c r="L68" s="192"/>
      <c r="M68" s="193"/>
      <c r="N68" s="39"/>
      <c r="P68" s="115"/>
    </row>
    <row r="69" spans="2:16" ht="45" x14ac:dyDescent="0.25">
      <c r="B69" s="4"/>
      <c r="C69" s="176" t="s">
        <v>317</v>
      </c>
      <c r="D69" s="130"/>
      <c r="E69" s="446"/>
      <c r="F69" s="219" t="s">
        <v>157</v>
      </c>
      <c r="G69" s="152" t="s">
        <v>94</v>
      </c>
      <c r="H69" s="202"/>
      <c r="I69" s="48"/>
      <c r="J69" s="74"/>
      <c r="K69" s="191"/>
      <c r="L69" s="192"/>
      <c r="M69" s="193"/>
      <c r="N69" s="39"/>
    </row>
    <row r="70" spans="2:16" ht="30" x14ac:dyDescent="0.25">
      <c r="B70" s="4"/>
      <c r="C70" s="176" t="s">
        <v>318</v>
      </c>
      <c r="D70" s="130"/>
      <c r="E70" s="446"/>
      <c r="F70" s="219" t="s">
        <v>158</v>
      </c>
      <c r="G70" s="138" t="b">
        <v>0</v>
      </c>
      <c r="H70" s="202"/>
      <c r="I70" s="48"/>
      <c r="J70" s="74"/>
      <c r="K70" s="191"/>
      <c r="L70" s="192"/>
      <c r="M70" s="193"/>
      <c r="N70" s="39"/>
    </row>
    <row r="71" spans="2:16" ht="30" x14ac:dyDescent="0.25">
      <c r="B71" s="4"/>
      <c r="C71" s="176" t="s">
        <v>258</v>
      </c>
      <c r="D71" s="130"/>
      <c r="E71" s="446"/>
      <c r="F71" s="219" t="s">
        <v>113</v>
      </c>
      <c r="G71" s="140">
        <v>1.0000000000000001E-9</v>
      </c>
      <c r="H71" s="202"/>
      <c r="I71" s="48"/>
      <c r="J71" s="74"/>
      <c r="K71" s="191"/>
      <c r="L71" s="192"/>
      <c r="M71" s="193"/>
      <c r="N71" s="39"/>
    </row>
    <row r="72" spans="2:16" ht="30" x14ac:dyDescent="0.25">
      <c r="B72" s="4"/>
      <c r="C72" s="177" t="s">
        <v>259</v>
      </c>
      <c r="D72" s="130"/>
      <c r="E72" s="446"/>
      <c r="F72" s="219" t="s">
        <v>114</v>
      </c>
      <c r="G72" s="164">
        <v>1000</v>
      </c>
      <c r="H72" s="202"/>
      <c r="I72" s="48"/>
      <c r="J72" s="74"/>
      <c r="K72" s="191"/>
      <c r="L72" s="192"/>
      <c r="M72" s="193"/>
      <c r="N72" s="39"/>
    </row>
    <row r="73" spans="2:16" x14ac:dyDescent="0.25">
      <c r="B73" s="4"/>
      <c r="C73" s="173"/>
      <c r="D73" s="130"/>
      <c r="E73" s="446"/>
      <c r="F73" s="219"/>
      <c r="G73" s="138"/>
      <c r="H73" s="202"/>
      <c r="I73" s="48"/>
      <c r="J73" s="74"/>
      <c r="K73" s="191"/>
      <c r="L73" s="192"/>
      <c r="M73" s="193"/>
      <c r="N73" s="39"/>
    </row>
    <row r="74" spans="2:16" x14ac:dyDescent="0.25">
      <c r="B74" s="4"/>
      <c r="C74" s="173"/>
      <c r="D74" s="130"/>
      <c r="E74" s="446"/>
      <c r="F74" s="219"/>
      <c r="G74" s="138"/>
      <c r="H74" s="202"/>
      <c r="I74" s="48"/>
      <c r="J74" s="74"/>
      <c r="K74" s="191"/>
      <c r="L74" s="192"/>
      <c r="M74" s="193"/>
      <c r="N74" s="39"/>
    </row>
    <row r="75" spans="2:16" x14ac:dyDescent="0.25">
      <c r="B75" s="4"/>
      <c r="C75" s="173"/>
      <c r="D75" s="130"/>
      <c r="E75" s="446"/>
      <c r="F75" s="219"/>
      <c r="G75" s="138"/>
      <c r="H75" s="202"/>
      <c r="I75" s="48"/>
      <c r="J75" s="74"/>
      <c r="K75" s="191"/>
      <c r="L75" s="192"/>
      <c r="M75" s="193"/>
      <c r="N75" s="39"/>
    </row>
    <row r="76" spans="2:16" x14ac:dyDescent="0.25">
      <c r="B76" s="4"/>
      <c r="C76" s="174"/>
      <c r="D76" s="130"/>
      <c r="E76" s="447"/>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(0.02400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0"/>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0"/>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0"/>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200</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161</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161</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(0.01600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0"/>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0"/>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0"/>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26</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56</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56</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tabSelected="1"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-3.4874538955719106E-3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-1.5233658901697949E-3</v>
      </c>
      <c r="N15" s="5" t="s">
        <v>4</v>
      </c>
      <c r="O15" s="93">
        <f>COB</f>
        <v>42521</v>
      </c>
      <c r="P15" s="94">
        <f t="array" aca="1" ref="P15:P1514" ca="1">IF(AND(isEUROISLoaded,P$10,NOW()),_xll.meCurveForwardRates(O$15:O$1514,P$8,P$9))</f>
        <v>-1.484155408285231E-4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-3.4887271197833456E-3</v>
      </c>
      <c r="H16" s="92" t="s">
        <v>4</v>
      </c>
      <c r="I16" s="97">
        <f ca="1">_xll.meDateFromTenor(I15,"1D","FOLLOWING","TGT")</f>
        <v>42522</v>
      </c>
      <c r="J16" s="95">
        <f ca="1"/>
        <v>-2.6082681064085378E-3</v>
      </c>
      <c r="K16" s="5" t="s">
        <v>4</v>
      </c>
      <c r="L16" s="97">
        <f ca="1">_xll.meDateFromTenor(L15,"1D","FOLLOWING","TGT")</f>
        <v>42522</v>
      </c>
      <c r="M16" s="95">
        <f ca="1"/>
        <v>-1.5266827173997621E-3</v>
      </c>
      <c r="N16" s="5" t="s">
        <v>4</v>
      </c>
      <c r="O16" s="97">
        <f ca="1">_xll.meDateFromTenor(O15,"1D","FOLLOWING","TGT")</f>
        <v>42522</v>
      </c>
      <c r="P16" s="95">
        <f ca="1"/>
        <v>-1.4920773826929294E-4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-3.4899996600854448E-3</v>
      </c>
      <c r="H17" s="92" t="s">
        <v>4</v>
      </c>
      <c r="I17" s="97">
        <f ca="1">_xll.meDateFromTenor(I16,"1D","FOLLOWING","TGT")</f>
        <v>42523</v>
      </c>
      <c r="J17" s="95">
        <f ca="1"/>
        <v>-2.6099999999998199E-3</v>
      </c>
      <c r="K17" s="5" t="s">
        <v>4</v>
      </c>
      <c r="L17" s="97">
        <f ca="1">_xll.meDateFromTenor(L16,"1D","FOLLOWING","TGT")</f>
        <v>42523</v>
      </c>
      <c r="M17" s="95">
        <f ca="1"/>
        <v>-1.529999997903044E-3</v>
      </c>
      <c r="N17" s="5" t="s">
        <v>4</v>
      </c>
      <c r="O17" s="97">
        <f ca="1">_xll.meDateFromTenor(O16,"1D","FOLLOWING","TGT")</f>
        <v>42523</v>
      </c>
      <c r="P17" s="95">
        <f ca="1"/>
        <v>-1.4999996589647399E-4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-3.4912722003875435E-3</v>
      </c>
      <c r="H18" s="92" t="s">
        <v>4</v>
      </c>
      <c r="I18" s="97">
        <f ca="1">_xll.meDateFromTenor(I17,"1D","FOLLOWING","TGT")</f>
        <v>42524</v>
      </c>
      <c r="J18" s="95">
        <f ca="1"/>
        <v>-2.6117318935911012E-3</v>
      </c>
      <c r="K18" s="5" t="s">
        <v>4</v>
      </c>
      <c r="L18" s="97">
        <f ca="1">_xll.meDateFromTenor(L17,"1D","FOLLOWING","TGT")</f>
        <v>42524</v>
      </c>
      <c r="M18" s="95">
        <f ca="1"/>
        <v>-1.5333172784063257E-3</v>
      </c>
      <c r="N18" s="5" t="s">
        <v>4</v>
      </c>
      <c r="O18" s="97">
        <f ca="1">_xll.meDateFromTenor(O17,"1D","FOLLOWING","TGT")</f>
        <v>42524</v>
      </c>
      <c r="P18" s="95">
        <f ca="1"/>
        <v>-1.5079219352365499E-4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-3.495096660387199E-3</v>
      </c>
      <c r="H19" s="92" t="s">
        <v>4</v>
      </c>
      <c r="I19" s="97">
        <f ca="1">_xll.meDateFromTenor(I18,"1D","FOLLOWING","TGT")</f>
        <v>42527</v>
      </c>
      <c r="J19" s="95">
        <f ca="1"/>
        <v>-2.6169275743646932E-3</v>
      </c>
      <c r="K19" s="5" t="s">
        <v>4</v>
      </c>
      <c r="L19" s="97">
        <f ca="1">_xll.meDateFromTenor(L18,"1D","FOLLOWING","TGT")</f>
        <v>42527</v>
      </c>
      <c r="M19" s="95">
        <f ca="1"/>
        <v>-1.5432645871830276E-3</v>
      </c>
      <c r="N19" s="5" t="s">
        <v>4</v>
      </c>
      <c r="O19" s="97">
        <f ca="1">_xll.meDateFromTenor(O18,"1D","FOLLOWING","TGT")</f>
        <v>42527</v>
      </c>
      <c r="P19" s="95">
        <f ca="1"/>
        <v>-1.5316857454108663E-4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-3.4963760397826557E-3</v>
      </c>
      <c r="H20" s="92" t="s">
        <v>4</v>
      </c>
      <c r="I20" s="97">
        <f ca="1">_xll.meDateFromTenor(I19,"1D","FOLLOWING","TGT")</f>
        <v>42528</v>
      </c>
      <c r="J20" s="95">
        <f ca="1"/>
        <v>-2.618659467955863E-3</v>
      </c>
      <c r="K20" s="5" t="s">
        <v>4</v>
      </c>
      <c r="L20" s="97">
        <f ca="1">_xll.meDateFromTenor(L19,"1D","FOLLOWING","TGT")</f>
        <v>42528</v>
      </c>
      <c r="M20" s="95">
        <f ca="1"/>
        <v>-1.5465773349531656E-3</v>
      </c>
      <c r="N20" s="5" t="s">
        <v>4</v>
      </c>
      <c r="O20" s="97">
        <f ca="1">_xll.meDateFromTenor(O19,"1D","FOLLOWING","TGT")</f>
        <v>42528</v>
      </c>
      <c r="P20" s="95">
        <f ca="1"/>
        <v>-1.5396050030415628E-4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-3.4976588387247917E-3</v>
      </c>
      <c r="H21" s="92" t="s">
        <v>4</v>
      </c>
      <c r="I21" s="97">
        <f ca="1">_xll.meDateFromTenor(I20,"1D","FOLLOWING","TGT")</f>
        <v>42529</v>
      </c>
      <c r="J21" s="95">
        <f ca="1"/>
        <v>-2.6203913615470398E-3</v>
      </c>
      <c r="K21" s="5" t="s">
        <v>4</v>
      </c>
      <c r="L21" s="97">
        <f ca="1">_xll.meDateFromTenor(L20,"1D","FOLLOWING","TGT")</f>
        <v>42529</v>
      </c>
      <c r="M21" s="95">
        <f ca="1"/>
        <v>-1.549887816356732E-3</v>
      </c>
      <c r="N21" s="5" t="s">
        <v>4</v>
      </c>
      <c r="O21" s="97">
        <f ca="1">_xll.meDateFromTenor(O20,"1D","FOLLOWING","TGT")</f>
        <v>42529</v>
      </c>
      <c r="P21" s="95">
        <f ca="1"/>
        <v>-1.5475227513517031E-4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-3.4989457411229428E-3</v>
      </c>
      <c r="H22" s="92" t="s">
        <v>4</v>
      </c>
      <c r="I22" s="97">
        <f ca="1">_xll.meDateFromTenor(I21,"1D","FOLLOWING","TGT")</f>
        <v>42530</v>
      </c>
      <c r="J22" s="95">
        <f ca="1"/>
        <v>-2.622123255138214E-3</v>
      </c>
      <c r="K22" s="5" t="s">
        <v>4</v>
      </c>
      <c r="L22" s="97">
        <f ca="1">_xll.meDateFromTenor(L21,"1D","FOLLOWING","TGT")</f>
        <v>42530</v>
      </c>
      <c r="M22" s="95">
        <f ca="1"/>
        <v>-1.5531955781204118E-3</v>
      </c>
      <c r="N22" s="5" t="s">
        <v>4</v>
      </c>
      <c r="O22" s="97">
        <f ca="1">_xll.meDateFromTenor(O21,"1D","FOLLOWING","TGT")</f>
        <v>42530</v>
      </c>
      <c r="P22" s="95">
        <f ca="1"/>
        <v>-1.555438688477175E-4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-3.5002374308864435E-3</v>
      </c>
      <c r="H23" s="92" t="s">
        <v>4</v>
      </c>
      <c r="I23" s="97">
        <f ca="1">_xll.meDateFromTenor(I22,"1D","FOLLOWING","TGT")</f>
        <v>42531</v>
      </c>
      <c r="J23" s="95">
        <f ca="1"/>
        <v>-2.6238551487293869E-3</v>
      </c>
      <c r="K23" s="5" t="s">
        <v>4</v>
      </c>
      <c r="L23" s="97">
        <f ca="1">_xll.meDateFromTenor(L22,"1D","FOLLOWING","TGT")</f>
        <v>42531</v>
      </c>
      <c r="M23" s="95">
        <f ca="1"/>
        <v>-1.5565001669708915E-3</v>
      </c>
      <c r="N23" s="5" t="s">
        <v>4</v>
      </c>
      <c r="O23" s="97">
        <f ca="1">_xll.meDateFromTenor(O22,"1D","FOLLOWING","TGT")</f>
        <v>42531</v>
      </c>
      <c r="P23" s="95">
        <f ca="1"/>
        <v>-1.5633525125538679E-4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-3.5041480634624088E-3</v>
      </c>
      <c r="H24" s="92" t="s">
        <v>4</v>
      </c>
      <c r="I24" s="97">
        <f ca="1">_xll.meDateFromTenor(I23,"1D","FOLLOWING","TGT")</f>
        <v>42534</v>
      </c>
      <c r="J24" s="95">
        <f ca="1"/>
        <v>-2.6290508295029069E-3</v>
      </c>
      <c r="K24" s="5" t="s">
        <v>4</v>
      </c>
      <c r="L24" s="97">
        <f ca="1">_xll.meDateFromTenor(L23,"1D","FOLLOWING","TGT")</f>
        <v>42534</v>
      </c>
      <c r="M24" s="95">
        <f ca="1"/>
        <v>-1.5663903633099821E-3</v>
      </c>
      <c r="N24" s="5" t="s">
        <v>4</v>
      </c>
      <c r="O24" s="97">
        <f ca="1">_xll.meDateFromTenor(O23,"1D","FOLLOWING","TGT")</f>
        <v>42534</v>
      </c>
      <c r="P24" s="95">
        <f ca="1"/>
        <v>-1.5870782878501575E-4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-3.50546574178067E-3</v>
      </c>
      <c r="H25" s="92" t="s">
        <v>4</v>
      </c>
      <c r="I25" s="97">
        <f ca="1">_xll.meDateFromTenor(I24,"1D","FOLLOWING","TGT")</f>
        <v>42535</v>
      </c>
      <c r="J25" s="95">
        <f ca="1"/>
        <v>-2.6307827230940802E-3</v>
      </c>
      <c r="K25" s="5" t="s">
        <v>4</v>
      </c>
      <c r="L25" s="97">
        <f ca="1">_xll.meDateFromTenor(L24,"1D","FOLLOWING","TGT")</f>
        <v>42535</v>
      </c>
      <c r="M25" s="95">
        <f ca="1"/>
        <v>-1.5696777277745154E-3</v>
      </c>
      <c r="N25" s="5" t="s">
        <v>4</v>
      </c>
      <c r="O25" s="97">
        <f ca="1">_xll.meDateFromTenor(O24,"1D","FOLLOWING","TGT")</f>
        <v>42535</v>
      </c>
      <c r="P25" s="95">
        <f ca="1"/>
        <v>-1.5949806410906208E-4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-3.5067916270109614E-3</v>
      </c>
      <c r="H26" s="92" t="s">
        <v>4</v>
      </c>
      <c r="I26" s="97">
        <f ca="1">_xll.meDateFromTenor(I25,"1D","FOLLOWING","TGT")</f>
        <v>42536</v>
      </c>
      <c r="J26" s="95">
        <f ca="1"/>
        <v>-2.6325146166852531E-3</v>
      </c>
      <c r="K26" s="5" t="s">
        <v>4</v>
      </c>
      <c r="L26" s="97">
        <f ca="1">_xll.meDateFromTenor(L25,"1D","FOLLOWING","TGT")</f>
        <v>42536</v>
      </c>
      <c r="M26" s="95">
        <f ca="1"/>
        <v>-1.5729596529592759E-3</v>
      </c>
      <c r="N26" s="5" t="s">
        <v>4</v>
      </c>
      <c r="O26" s="97">
        <f ca="1">_xll.meDateFromTenor(O25,"1D","FOLLOWING","TGT")</f>
        <v>42536</v>
      </c>
      <c r="P26" s="95">
        <f ca="1"/>
        <v>-1.602879371961747E-4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-3.5081264030626174E-3</v>
      </c>
      <c r="H27" s="92" t="s">
        <v>4</v>
      </c>
      <c r="I27" s="97">
        <f ca="1">_xll.meDateFromTenor(I26,"1D","FOLLOWING","TGT")</f>
        <v>42537</v>
      </c>
      <c r="J27" s="95">
        <f ca="1"/>
        <v>-2.6342465102764268E-3</v>
      </c>
      <c r="K27" s="5" t="s">
        <v>4</v>
      </c>
      <c r="L27" s="97">
        <f ca="1">_xll.meDateFromTenor(L26,"1D","FOLLOWING","TGT")</f>
        <v>42537</v>
      </c>
      <c r="M27" s="95">
        <f ca="1"/>
        <v>-1.5762356855909499E-3</v>
      </c>
      <c r="N27" s="5" t="s">
        <v>4</v>
      </c>
      <c r="O27" s="97">
        <f ca="1">_xll.meDateFromTenor(O26,"1D","FOLLOWING","TGT")</f>
        <v>42537</v>
      </c>
      <c r="P27" s="95">
        <f ca="1"/>
        <v>-1.6107741785994267E-4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-3.5094707538449745E-3</v>
      </c>
      <c r="H28" s="92" t="s">
        <v>4</v>
      </c>
      <c r="I28" s="97">
        <f ca="1">_xll.meDateFromTenor(I27,"1D","FOLLOWING","TGT")</f>
        <v>42538</v>
      </c>
      <c r="J28" s="95">
        <f ca="1"/>
        <v>-2.6359784038676001E-3</v>
      </c>
      <c r="K28" s="5" t="s">
        <v>4</v>
      </c>
      <c r="L28" s="97">
        <f ca="1">_xll.meDateFromTenor(L27,"1D","FOLLOWING","TGT")</f>
        <v>42538</v>
      </c>
      <c r="M28" s="95">
        <f ca="1"/>
        <v>-1.5795053723962223E-3</v>
      </c>
      <c r="N28" s="5" t="s">
        <v>4</v>
      </c>
      <c r="O28" s="97">
        <f ca="1">_xll.meDateFromTenor(O27,"1D","FOLLOWING","TGT")</f>
        <v>42538</v>
      </c>
      <c r="P28" s="95">
        <f ca="1"/>
        <v>-1.6186647591395477E-4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-3.5135680936696115E-3</v>
      </c>
      <c r="H29" s="92" t="s">
        <v>4</v>
      </c>
      <c r="I29" s="97">
        <f ca="1">_xll.meDateFromTenor(I28,"1D","FOLLOWING","TGT")</f>
        <v>42541</v>
      </c>
      <c r="J29" s="95">
        <f ca="1"/>
        <v>-2.6411740846411201E-3</v>
      </c>
      <c r="K29" s="5" t="s">
        <v>4</v>
      </c>
      <c r="L29" s="97">
        <f ca="1">_xll.meDateFromTenor(L28,"1D","FOLLOWING","TGT")</f>
        <v>42541</v>
      </c>
      <c r="M29" s="95">
        <f ca="1"/>
        <v>-1.589271825120489E-3</v>
      </c>
      <c r="N29" s="5" t="s">
        <v>4</v>
      </c>
      <c r="O29" s="97">
        <f ca="1">_xll.meDateFromTenor(O28,"1D","FOLLOWING","TGT")</f>
        <v>42541</v>
      </c>
      <c r="P29" s="95">
        <f ca="1"/>
        <v>-1.6423081255334467E-4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-3.5149575824681314E-3</v>
      </c>
      <c r="H30" s="92" t="s">
        <v>4</v>
      </c>
      <c r="I30" s="97">
        <f ca="1">_xll.meDateFromTenor(I29,"1D","FOLLOWING","TGT")</f>
        <v>42542</v>
      </c>
      <c r="J30" s="95">
        <f ca="1"/>
        <v>-2.642905978232293E-3</v>
      </c>
      <c r="K30" s="5" t="s">
        <v>4</v>
      </c>
      <c r="L30" s="97">
        <f ca="1">_xll.meDateFromTenor(L29,"1D","FOLLOWING","TGT")</f>
        <v>42542</v>
      </c>
      <c r="M30" s="95">
        <f ca="1"/>
        <v>-1.5925115958870131E-3</v>
      </c>
      <c r="N30" s="5" t="s">
        <v>4</v>
      </c>
      <c r="O30" s="97">
        <f ca="1">_xll.meDateFromTenor(O29,"1D","FOLLOWING","TGT")</f>
        <v>42542</v>
      </c>
      <c r="P30" s="95">
        <f ca="1"/>
        <v>-1.6501787830422199E-4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-3.5163600655440308E-3</v>
      </c>
      <c r="H31" s="92" t="s">
        <v>4</v>
      </c>
      <c r="I31" s="97">
        <f ca="1">_xll.meDateFromTenor(I30,"1D","FOLLOWING","TGT")</f>
        <v>42543</v>
      </c>
      <c r="J31" s="95">
        <f ca="1"/>
        <v>-2.6446378718234667E-3</v>
      </c>
      <c r="K31" s="5" t="s">
        <v>4</v>
      </c>
      <c r="L31" s="97">
        <f ca="1">_xll.meDateFromTenor(L30,"1D","FOLLOWING","TGT")</f>
        <v>42543</v>
      </c>
      <c r="M31" s="95">
        <f ca="1"/>
        <v>-1.5957427544605639E-3</v>
      </c>
      <c r="N31" s="5" t="s">
        <v>4</v>
      </c>
      <c r="O31" s="97">
        <f ca="1">_xll.meDateFromTenor(O30,"1D","FOLLOWING","TGT")</f>
        <v>42543</v>
      </c>
      <c r="P31" s="95">
        <f ca="1"/>
        <v>-1.6580437051328791E-4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-3.5177762268066471E-3</v>
      </c>
      <c r="H32" s="92" t="s">
        <v>4</v>
      </c>
      <c r="I32" s="97">
        <f ca="1">_xll.meDateFromTenor(I31,"1D","FOLLOWING","TGT")</f>
        <v>42544</v>
      </c>
      <c r="J32" s="95">
        <f ca="1"/>
        <v>-2.6463697654146401E-3</v>
      </c>
      <c r="K32" s="5" t="s">
        <v>4</v>
      </c>
      <c r="L32" s="97">
        <f ca="1">_xll.meDateFromTenor(L31,"1D","FOLLOWING","TGT")</f>
        <v>42544</v>
      </c>
      <c r="M32" s="95">
        <f ca="1"/>
        <v>-1.5989648475678271E-3</v>
      </c>
      <c r="N32" s="5" t="s">
        <v>4</v>
      </c>
      <c r="O32" s="97">
        <f ca="1">_xll.meDateFromTenor(O31,"1D","FOLLOWING","TGT")</f>
        <v>42544</v>
      </c>
      <c r="P32" s="95">
        <f ca="1"/>
        <v>-1.6659025899413109E-4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-3.519206750165314E-3</v>
      </c>
      <c r="H33" s="92" t="s">
        <v>4</v>
      </c>
      <c r="I33" s="97">
        <f ca="1">_xll.meDateFromTenor(I32,"1D","FOLLOWING","TGT")</f>
        <v>42545</v>
      </c>
      <c r="J33" s="95">
        <f ca="1"/>
        <v>-2.6481016590058134E-3</v>
      </c>
      <c r="K33" s="5" t="s">
        <v>4</v>
      </c>
      <c r="L33" s="97">
        <f ca="1">_xll.meDateFromTenor(L32,"1D","FOLLOWING","TGT")</f>
        <v>42545</v>
      </c>
      <c r="M33" s="95">
        <f ca="1"/>
        <v>-1.6021774219354885E-3</v>
      </c>
      <c r="N33" s="5" t="s">
        <v>4</v>
      </c>
      <c r="O33" s="97">
        <f ca="1">_xll.meDateFromTenor(O32,"1D","FOLLOWING","TGT")</f>
        <v>42545</v>
      </c>
      <c r="P33" s="95">
        <f ca="1"/>
        <v>-1.6737551356034056E-4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-3.5235913319109839E-3</v>
      </c>
      <c r="H34" s="92" t="s">
        <v>4</v>
      </c>
      <c r="I34" s="97">
        <f ca="1">_xll.meDateFromTenor(I33,"1D","FOLLOWING","TGT")</f>
        <v>42548</v>
      </c>
      <c r="J34" s="95">
        <f ca="1"/>
        <v>-2.6532973397793338E-3</v>
      </c>
      <c r="K34" s="5" t="s">
        <v>4</v>
      </c>
      <c r="L34" s="97">
        <f ca="1">_xll.meDateFromTenor(L33,"1D","FOLLOWING","TGT")</f>
        <v>42548</v>
      </c>
      <c r="M34" s="95">
        <f ca="1"/>
        <v>-1.611753499867718E-3</v>
      </c>
      <c r="N34" s="5" t="s">
        <v>4</v>
      </c>
      <c r="O34" s="97">
        <f ca="1">_xll.meDateFromTenor(O33,"1D","FOLLOWING","TGT")</f>
        <v>42548</v>
      </c>
      <c r="P34" s="95">
        <f ca="1"/>
        <v>-1.6972717190705483E-4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-3.5250861427472157E-3</v>
      </c>
      <c r="H35" s="92" t="s">
        <v>4</v>
      </c>
      <c r="I35" s="97">
        <f ca="1">_xll.meDateFromTenor(I34,"1D","FOLLOWING","TGT")</f>
        <v>42549</v>
      </c>
      <c r="J35" s="95">
        <f ca="1"/>
        <v>-2.6550292333705071E-3</v>
      </c>
      <c r="K35" s="5" t="s">
        <v>4</v>
      </c>
      <c r="L35" s="97">
        <f ca="1">_xll.meDateFromTenor(L34,"1D","FOLLOWING","TGT")</f>
        <v>42549</v>
      </c>
      <c r="M35" s="95">
        <f ca="1"/>
        <v>-1.6149234665438286E-3</v>
      </c>
      <c r="N35" s="5" t="s">
        <v>4</v>
      </c>
      <c r="O35" s="97">
        <f ca="1">_xll.meDateFromTenor(O34,"1D","FOLLOWING","TGT")</f>
        <v>42549</v>
      </c>
      <c r="P35" s="95">
        <f ca="1"/>
        <v>-1.7050958895061785E-4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-3.5265987352261783E-3</v>
      </c>
      <c r="H36" s="92" t="s">
        <v>4</v>
      </c>
      <c r="I36" s="97">
        <f ca="1">_xll.meDateFromTenor(I35,"1D","FOLLOWING","TGT")</f>
        <v>42550</v>
      </c>
      <c r="J36" s="95">
        <f ca="1"/>
        <v>-2.6567611269616804E-3</v>
      </c>
      <c r="K36" s="5" t="s">
        <v>4</v>
      </c>
      <c r="L36" s="97">
        <f ca="1">_xll.meDateFromTenor(L35,"1D","FOLLOWING","TGT")</f>
        <v>42550</v>
      </c>
      <c r="M36" s="95">
        <f ca="1"/>
        <v>-1.6180816481137653E-3</v>
      </c>
      <c r="N36" s="5" t="s">
        <v>4</v>
      </c>
      <c r="O36" s="97">
        <f ca="1">_xll.meDateFromTenor(O35,"1D","FOLLOWING","TGT")</f>
        <v>42550</v>
      </c>
      <c r="P36" s="95">
        <f ca="1"/>
        <v>-1.7129122114749136E-4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-3.528129793257207E-3</v>
      </c>
      <c r="H37" s="92" t="s">
        <v>4</v>
      </c>
      <c r="I37" s="97">
        <f ca="1">_xll.meDateFromTenor(I36,"1D","FOLLOWING","TGT")</f>
        <v>42551</v>
      </c>
      <c r="J37" s="95">
        <f ca="1"/>
        <v>-2.6584930205528537E-3</v>
      </c>
      <c r="K37" s="5" t="s">
        <v>4</v>
      </c>
      <c r="L37" s="97">
        <f ca="1">_xll.meDateFromTenor(L36,"1D","FOLLOWING","TGT")</f>
        <v>42551</v>
      </c>
      <c r="M37" s="95">
        <f ca="1"/>
        <v>-1.6212275913042138E-3</v>
      </c>
      <c r="N37" s="5" t="s">
        <v>4</v>
      </c>
      <c r="O37" s="97">
        <f ca="1">_xll.meDateFromTenor(O36,"1D","FOLLOWING","TGT")</f>
        <v>42551</v>
      </c>
      <c r="P37" s="95">
        <f ca="1"/>
        <v>-1.7207203831126437E-4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-3.5296800007496385E-3</v>
      </c>
      <c r="H38" s="92" t="s">
        <v>4</v>
      </c>
      <c r="I38" s="97">
        <f ca="1">_xll.meDateFromTenor(I37,"1D","FOLLOWING","TGT")</f>
        <v>42552</v>
      </c>
      <c r="J38" s="95">
        <f ca="1"/>
        <v>-2.6602249141440271E-3</v>
      </c>
      <c r="K38" s="5" t="s">
        <v>4</v>
      </c>
      <c r="L38" s="97">
        <f ca="1">_xll.meDateFromTenor(L37,"1D","FOLLOWING","TGT")</f>
        <v>42552</v>
      </c>
      <c r="M38" s="95">
        <f ca="1"/>
        <v>-1.6243608428418597E-3</v>
      </c>
      <c r="N38" s="5" t="s">
        <v>4</v>
      </c>
      <c r="O38" s="97">
        <f ca="1">_xll.meDateFromTenor(O37,"1D","FOLLOWING","TGT")</f>
        <v>42552</v>
      </c>
      <c r="P38" s="95">
        <f ca="1"/>
        <v>-1.7285201025552565E-4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-3.5344523590887028E-3</v>
      </c>
      <c r="H39" s="92" t="s">
        <v>4</v>
      </c>
      <c r="I39" s="97">
        <f ca="1">_xll.meDateFromTenor(I38,"1D","FOLLOWING","TGT")</f>
        <v>42555</v>
      </c>
      <c r="J39" s="95">
        <f ca="1"/>
        <v>-2.665420594917547E-3</v>
      </c>
      <c r="K39" s="5" t="s">
        <v>4</v>
      </c>
      <c r="L39" s="97">
        <f ca="1">_xll.meDateFromTenor(L38,"1D","FOLLOWING","TGT")</f>
        <v>42555</v>
      </c>
      <c r="M39" s="95">
        <f ca="1"/>
        <v>-1.6336799148048392E-3</v>
      </c>
      <c r="N39" s="5" t="s">
        <v>4</v>
      </c>
      <c r="O39" s="97">
        <f ca="1">_xll.meDateFromTenor(O38,"1D","FOLLOWING","TGT")</f>
        <v>42555</v>
      </c>
      <c r="P39" s="95">
        <f ca="1"/>
        <v>-1.7518655290712801E-4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-3.5360857044054411E-3</v>
      </c>
      <c r="H40" s="92" t="s">
        <v>4</v>
      </c>
      <c r="I40" s="97">
        <f ca="1">_xll.meDateFromTenor(I39,"1D","FOLLOWING","TGT")</f>
        <v>42556</v>
      </c>
      <c r="J40" s="95">
        <f ca="1"/>
        <v>-2.6671524885087203E-3</v>
      </c>
      <c r="K40" s="5" t="s">
        <v>4</v>
      </c>
      <c r="L40" s="97">
        <f ca="1">_xll.meDateFromTenor(L39,"1D","FOLLOWING","TGT")</f>
        <v>42556</v>
      </c>
      <c r="M40" s="95">
        <f ca="1"/>
        <v>-1.6367578669981315E-3</v>
      </c>
      <c r="N40" s="5" t="s">
        <v>4</v>
      </c>
      <c r="O40" s="97">
        <f ca="1">_xll.meDateFromTenor(O39,"1D","FOLLOWING","TGT")</f>
        <v>42556</v>
      </c>
      <c r="P40" s="95">
        <f ca="1"/>
        <v>-1.7596284210923111E-4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-3.5377398240423017E-3</v>
      </c>
      <c r="H41" s="92" t="s">
        <v>4</v>
      </c>
      <c r="I41" s="97">
        <f ca="1">_xll.meDateFromTenor(I40,"1D","FOLLOWING","TGT")</f>
        <v>42557</v>
      </c>
      <c r="J41" s="95">
        <f ca="1"/>
        <v>-2.6688843820998937E-3</v>
      </c>
      <c r="K41" s="5" t="s">
        <v>4</v>
      </c>
      <c r="L41" s="97">
        <f ca="1">_xll.meDateFromTenor(L40,"1D","FOLLOWING","TGT")</f>
        <v>42557</v>
      </c>
      <c r="M41" s="95">
        <f ca="1"/>
        <v>-1.6398208611720496E-3</v>
      </c>
      <c r="N41" s="5" t="s">
        <v>4</v>
      </c>
      <c r="O41" s="97">
        <f ca="1">_xll.meDateFromTenor(O40,"1D","FOLLOWING","TGT")</f>
        <v>42557</v>
      </c>
      <c r="P41" s="95">
        <f ca="1"/>
        <v>-1.7673813515976694E-4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-3.539413607220663E-3</v>
      </c>
      <c r="H42" s="92" t="s">
        <v>4</v>
      </c>
      <c r="I42" s="97">
        <f ca="1">_xll.meDateFromTenor(I41,"1D","FOLLOWING","TGT")</f>
        <v>42558</v>
      </c>
      <c r="J42" s="95">
        <f ca="1"/>
        <v>-2.670616275691067E-3</v>
      </c>
      <c r="K42" s="5" t="s">
        <v>4</v>
      </c>
      <c r="L42" s="97">
        <f ca="1">_xll.meDateFromTenor(L41,"1D","FOLLOWING","TGT")</f>
        <v>42558</v>
      </c>
      <c r="M42" s="95">
        <f ca="1"/>
        <v>-1.642868444053279E-3</v>
      </c>
      <c r="N42" s="5" t="s">
        <v>4</v>
      </c>
      <c r="O42" s="97">
        <f ca="1">_xll.meDateFromTenor(O41,"1D","FOLLOWING","TGT")</f>
        <v>42558</v>
      </c>
      <c r="P42" s="95">
        <f ca="1"/>
        <v>-1.7751240187232419E-4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-3.5411059431619024E-3</v>
      </c>
      <c r="H43" s="92" t="s">
        <v>4</v>
      </c>
      <c r="I43" s="97">
        <f ca="1">_xll.meDateFromTenor(I42,"1D","FOLLOWING","TGT")</f>
        <v>42559</v>
      </c>
      <c r="J43" s="95">
        <f ca="1"/>
        <v>-2.6723481692822403E-3</v>
      </c>
      <c r="K43" s="5" t="s">
        <v>4</v>
      </c>
      <c r="L43" s="97">
        <f ca="1">_xll.meDateFromTenor(L42,"1D","FOLLOWING","TGT")</f>
        <v>42559</v>
      </c>
      <c r="M43" s="95">
        <f ca="1"/>
        <v>-1.645900162368505E-3</v>
      </c>
      <c r="N43" s="5" t="s">
        <v>4</v>
      </c>
      <c r="O43" s="97">
        <f ca="1">_xll.meDateFromTenor(O42,"1D","FOLLOWING","TGT")</f>
        <v>42559</v>
      </c>
      <c r="P43" s="95">
        <f ca="1"/>
        <v>-1.7828561206049181E-4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-3.5462831597766601E-3</v>
      </c>
      <c r="H44" s="92" t="s">
        <v>4</v>
      </c>
      <c r="I44" s="97">
        <f ca="1">_xll.meDateFromTenor(I43,"1D","FOLLOWING","TGT")</f>
        <v>42562</v>
      </c>
      <c r="J44" s="95">
        <f ca="1"/>
        <v>-2.6775438500557603E-3</v>
      </c>
      <c r="K44" s="5" t="s">
        <v>4</v>
      </c>
      <c r="L44" s="97">
        <f ca="1">_xll.meDateFromTenor(L43,"1D","FOLLOWING","TGT")</f>
        <v>42562</v>
      </c>
      <c r="M44" s="95">
        <f ca="1"/>
        <v>-1.6548955971850219E-3</v>
      </c>
      <c r="N44" s="5" t="s">
        <v>4</v>
      </c>
      <c r="O44" s="97">
        <f ca="1">_xll.meDateFromTenor(O43,"1D","FOLLOWING","TGT")</f>
        <v>42562</v>
      </c>
      <c r="P44" s="95">
        <f ca="1"/>
        <v>-1.8059860161454572E-4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-3.5480385989831846E-3</v>
      </c>
      <c r="H45" s="92" t="s">
        <v>4</v>
      </c>
      <c r="I45" s="97">
        <f ca="1">_xll.meDateFromTenor(I44,"1D","FOLLOWING","TGT")</f>
        <v>42563</v>
      </c>
      <c r="J45" s="95">
        <f ca="1"/>
        <v>-2.6792757436469336E-3</v>
      </c>
      <c r="K45" s="5" t="s">
        <v>4</v>
      </c>
      <c r="L45" s="97">
        <f ca="1">_xll.meDateFromTenor(L44,"1D","FOLLOWING","TGT")</f>
        <v>42563</v>
      </c>
      <c r="M45" s="95">
        <f ca="1"/>
        <v>-1.657859324503092E-3</v>
      </c>
      <c r="N45" s="5" t="s">
        <v>4</v>
      </c>
      <c r="O45" s="97">
        <f ca="1">_xll.meDateFromTenor(O44,"1D","FOLLOWING","TGT")</f>
        <v>42563</v>
      </c>
      <c r="P45" s="95">
        <f ca="1"/>
        <v>-1.8136728384104348E-4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-3.5498070370594734E-3</v>
      </c>
      <c r="H46" s="92" t="s">
        <v>4</v>
      </c>
      <c r="I46" s="97">
        <f ca="1">_xll.meDateFromTenor(I45,"1D","FOLLOWING","TGT")</f>
        <v>42564</v>
      </c>
      <c r="J46" s="95">
        <f ca="1"/>
        <v>-2.6810076372381069E-3</v>
      </c>
      <c r="K46" s="5" t="s">
        <v>4</v>
      </c>
      <c r="L46" s="97">
        <f ca="1">_xll.meDateFromTenor(L45,"1D","FOLLOWING","TGT")</f>
        <v>42564</v>
      </c>
      <c r="M46" s="95">
        <f ca="1"/>
        <v>-1.6608049208885871E-3</v>
      </c>
      <c r="N46" s="5" t="s">
        <v>4</v>
      </c>
      <c r="O46" s="97">
        <f ca="1">_xll.meDateFromTenor(O45,"1D","FOLLOWING","TGT")</f>
        <v>42564</v>
      </c>
      <c r="P46" s="95">
        <f ca="1"/>
        <v>-1.8213475861109603E-4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-3.5515873632269053E-3</v>
      </c>
      <c r="H47" s="92" t="s">
        <v>4</v>
      </c>
      <c r="I47" s="97">
        <f ca="1">_xll.meDateFromTenor(I46,"1D","FOLLOWING","TGT")</f>
        <v>42565</v>
      </c>
      <c r="J47" s="95">
        <f ca="1"/>
        <v>-2.6827395308292807E-3</v>
      </c>
      <c r="K47" s="5" t="s">
        <v>4</v>
      </c>
      <c r="L47" s="97">
        <f ca="1">_xll.meDateFromTenor(L46,"1D","FOLLOWING","TGT")</f>
        <v>42565</v>
      </c>
      <c r="M47" s="95">
        <f ca="1"/>
        <v>-1.6637319330681929E-3</v>
      </c>
      <c r="N47" s="5" t="s">
        <v>4</v>
      </c>
      <c r="O47" s="97">
        <f ca="1">_xll.meDateFromTenor(O46,"1D","FOLLOWING","TGT")</f>
        <v>42565</v>
      </c>
      <c r="P47" s="95">
        <f ca="1"/>
        <v>-1.8290099573829211E-4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-3.553378466706857E-3</v>
      </c>
      <c r="H48" s="92" t="s">
        <v>4</v>
      </c>
      <c r="I48" s="97">
        <f ca="1">_xll.meDateFromTenor(I47,"1D","FOLLOWING","TGT")</f>
        <v>42566</v>
      </c>
      <c r="J48" s="95">
        <f ca="1"/>
        <v>-2.6844714244204544E-3</v>
      </c>
      <c r="K48" s="5" t="s">
        <v>4</v>
      </c>
      <c r="L48" s="97">
        <f ca="1">_xll.meDateFromTenor(L47,"1D","FOLLOWING","TGT")</f>
        <v>42566</v>
      </c>
      <c r="M48" s="95">
        <f ca="1"/>
        <v>-1.6666399077685952E-3</v>
      </c>
      <c r="N48" s="5" t="s">
        <v>4</v>
      </c>
      <c r="O48" s="97">
        <f ca="1">_xll.meDateFromTenor(O47,"1D","FOLLOWING","TGT")</f>
        <v>42566</v>
      </c>
      <c r="P48" s="95">
        <f ca="1"/>
        <v>-1.8366596503622068E-4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-3.5588053332356053E-3</v>
      </c>
      <c r="H49" s="92" t="s">
        <v>4</v>
      </c>
      <c r="I49" s="97">
        <f ca="1">_xll.meDateFromTenor(I48,"1D","FOLLOWING","TGT")</f>
        <v>42569</v>
      </c>
      <c r="J49" s="95">
        <f ca="1"/>
        <v>-2.6896671051939739E-3</v>
      </c>
      <c r="K49" s="5" t="s">
        <v>4</v>
      </c>
      <c r="L49" s="97">
        <f ca="1">_xll.meDateFromTenor(L48,"1D","FOLLOWING","TGT")</f>
        <v>42569</v>
      </c>
      <c r="M49" s="95">
        <f ca="1"/>
        <v>-1.6752450742614354E-3</v>
      </c>
      <c r="N49" s="5" t="s">
        <v>4</v>
      </c>
      <c r="O49" s="97">
        <f ca="1">_xll.meDateFromTenor(O48,"1D","FOLLOWING","TGT")</f>
        <v>42569</v>
      </c>
      <c r="P49" s="95">
        <f ca="1"/>
        <v>-1.8595296409028961E-4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-3.5606284381794104E-3</v>
      </c>
      <c r="H50" s="92" t="s">
        <v>4</v>
      </c>
      <c r="I50" s="97">
        <f ca="1">_xll.meDateFromTenor(I49,"1D","FOLLOWING","TGT")</f>
        <v>42570</v>
      </c>
      <c r="J50" s="95">
        <f ca="1"/>
        <v>-2.6913989987851473E-3</v>
      </c>
      <c r="K50" s="5" t="s">
        <v>4</v>
      </c>
      <c r="L50" s="97">
        <f ca="1">_xll.meDateFromTenor(L49,"1D","FOLLOWING","TGT")</f>
        <v>42570</v>
      </c>
      <c r="M50" s="95">
        <f ca="1"/>
        <v>-1.6780723663118796E-3</v>
      </c>
      <c r="N50" s="5" t="s">
        <v>4</v>
      </c>
      <c r="O50" s="97">
        <f ca="1">_xll.meDateFromTenor(O49,"1D","FOLLOWING","TGT")</f>
        <v>42570</v>
      </c>
      <c r="P50" s="95">
        <f ca="1"/>
        <v>-1.8671256020703661E-4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-3.5624567665426226E-3</v>
      </c>
      <c r="H51" s="92" t="s">
        <v>4</v>
      </c>
      <c r="I51" s="97">
        <f ca="1">_xll.meDateFromTenor(I50,"1D","FOLLOWING","TGT")</f>
        <v>42571</v>
      </c>
      <c r="J51" s="95">
        <f ca="1"/>
        <v>-2.6931308923763206E-3</v>
      </c>
      <c r="K51" s="5" t="s">
        <v>4</v>
      </c>
      <c r="L51" s="97">
        <f ca="1">_xll.meDateFromTenor(L50,"1D","FOLLOWING","TGT")</f>
        <v>42571</v>
      </c>
      <c r="M51" s="95">
        <f ca="1"/>
        <v>-1.6808783545165474E-3</v>
      </c>
      <c r="N51" s="5" t="s">
        <v>4</v>
      </c>
      <c r="O51" s="97">
        <f ca="1">_xll.meDateFromTenor(O50,"1D","FOLLOWING","TGT")</f>
        <v>42571</v>
      </c>
      <c r="P51" s="95">
        <f ca="1"/>
        <v>-1.874707375624604E-4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-3.5642892075466192E-3</v>
      </c>
      <c r="H52" s="92" t="s">
        <v>4</v>
      </c>
      <c r="I52" s="97">
        <f ca="1">_xll.meDateFromTenor(I51,"1D","FOLLOWING","TGT")</f>
        <v>42572</v>
      </c>
      <c r="J52" s="95">
        <f ca="1"/>
        <v>-2.6948627859674952E-3</v>
      </c>
      <c r="K52" s="5" t="s">
        <v>4</v>
      </c>
      <c r="L52" s="97">
        <f ca="1">_xll.meDateFromTenor(L51,"1D","FOLLOWING","TGT")</f>
        <v>42572</v>
      </c>
      <c r="M52" s="95">
        <f ca="1"/>
        <v>-1.6836625856021254E-3</v>
      </c>
      <c r="N52" s="5" t="s">
        <v>4</v>
      </c>
      <c r="O52" s="97">
        <f ca="1">_xll.meDateFromTenor(O51,"1D","FOLLOWING","TGT")</f>
        <v>42572</v>
      </c>
      <c r="P52" s="95">
        <f ca="1"/>
        <v>-1.8822746597014985E-4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-3.5661246504127778E-3</v>
      </c>
      <c r="H53" s="92" t="s">
        <v>4</v>
      </c>
      <c r="I53" s="97">
        <f ca="1">_xll.meDateFromTenor(I52,"1D","FOLLOWING","TGT")</f>
        <v>42573</v>
      </c>
      <c r="J53" s="95">
        <f ca="1"/>
        <v>-2.6965946795586672E-3</v>
      </c>
      <c r="K53" s="5" t="s">
        <v>4</v>
      </c>
      <c r="L53" s="97">
        <f ca="1">_xll.meDateFromTenor(L52,"1D","FOLLOWING","TGT")</f>
        <v>42573</v>
      </c>
      <c r="M53" s="95">
        <f ca="1"/>
        <v>-1.6864246062952991E-3</v>
      </c>
      <c r="N53" s="5" t="s">
        <v>4</v>
      </c>
      <c r="O53" s="97">
        <f ca="1">_xll.meDateFromTenor(O52,"1D","FOLLOWING","TGT")</f>
        <v>42573</v>
      </c>
      <c r="P53" s="95">
        <f ca="1"/>
        <v>-1.8898271524369375E-4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-3.5716378823980005E-3</v>
      </c>
      <c r="H54" s="92" t="s">
        <v>4</v>
      </c>
      <c r="I54" s="97">
        <f ca="1">_xll.meDateFromTenor(I53,"1D","FOLLOWING","TGT")</f>
        <v>42576</v>
      </c>
      <c r="J54" s="95">
        <f ca="1"/>
        <v>-2.701790360332198E-3</v>
      </c>
      <c r="K54" s="5" t="s">
        <v>4</v>
      </c>
      <c r="L54" s="97">
        <f ca="1">_xll.meDateFromTenor(L53,"1D","FOLLOWING","TGT")</f>
        <v>42576</v>
      </c>
      <c r="M54" s="95">
        <f ca="1"/>
        <v>-1.6945728732872508E-3</v>
      </c>
      <c r="N54" s="5" t="s">
        <v>4</v>
      </c>
      <c r="O54" s="97">
        <f ca="1">_xll.meDateFromTenor(O53,"1D","FOLLOWING","TGT")</f>
        <v>42576</v>
      </c>
      <c r="P54" s="95">
        <f ca="1"/>
        <v>-1.9123928639534142E-4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-3.5734742249265818E-3</v>
      </c>
      <c r="H55" s="92" t="s">
        <v>4</v>
      </c>
      <c r="I55" s="97">
        <f ca="1">_xll.meDateFromTenor(I54,"1D","FOLLOWING","TGT")</f>
        <v>42577</v>
      </c>
      <c r="J55" s="95">
        <f ca="1"/>
        <v>-2.7035222539233605E-3</v>
      </c>
      <c r="K55" s="5" t="s">
        <v>4</v>
      </c>
      <c r="L55" s="97">
        <f ca="1">_xll.meDateFromTenor(L54,"1D","FOLLOWING","TGT")</f>
        <v>42577</v>
      </c>
      <c r="M55" s="95">
        <f ca="1"/>
        <v>-1.6972415196776633E-3</v>
      </c>
      <c r="N55" s="5" t="s">
        <v>4</v>
      </c>
      <c r="O55" s="97">
        <f ca="1">_xll.meDateFromTenor(O54,"1D","FOLLOWING","TGT")</f>
        <v>42577</v>
      </c>
      <c r="P55" s="95">
        <f ca="1"/>
        <v>-1.9198831726819211E-4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-3.575308015424212E-3</v>
      </c>
      <c r="H56" s="92" t="s">
        <v>4</v>
      </c>
      <c r="I56" s="97">
        <f ca="1">_xll.meDateFromTenor(I55,"1D","FOLLOWING","TGT")</f>
        <v>42578</v>
      </c>
      <c r="J56" s="95">
        <f ca="1"/>
        <v>-2.7052541475144935E-3</v>
      </c>
      <c r="K56" s="5" t="s">
        <v>4</v>
      </c>
      <c r="L56" s="97">
        <f ca="1">_xll.meDateFromTenor(L55,"1D","FOLLOWING","TGT")</f>
        <v>42578</v>
      </c>
      <c r="M56" s="95">
        <f ca="1"/>
        <v>-1.6998856893090998E-3</v>
      </c>
      <c r="N56" s="5" t="s">
        <v>4</v>
      </c>
      <c r="O56" s="97">
        <f ca="1">_xll.meDateFromTenor(O55,"1D","FOLLOWING","TGT")</f>
        <v>42578</v>
      </c>
      <c r="P56" s="95">
        <f ca="1"/>
        <v>-1.927357180748417E-4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-3.5771381431122682E-3</v>
      </c>
      <c r="H57" s="92" t="s">
        <v>4</v>
      </c>
      <c r="I57" s="97">
        <f ca="1">_xll.meDateFromTenor(I56,"1D","FOLLOWING","TGT")</f>
        <v>42579</v>
      </c>
      <c r="J57" s="95">
        <f ca="1"/>
        <v>-2.7069860411057071E-3</v>
      </c>
      <c r="K57" s="5" t="s">
        <v>4</v>
      </c>
      <c r="L57" s="97">
        <f ca="1">_xll.meDateFromTenor(L56,"1D","FOLLOWING","TGT")</f>
        <v>42579</v>
      </c>
      <c r="M57" s="95">
        <f ca="1"/>
        <v>-1.702504928908246E-3</v>
      </c>
      <c r="N57" s="5" t="s">
        <v>4</v>
      </c>
      <c r="O57" s="97">
        <f ca="1">_xll.meDateFromTenor(O56,"1D","FOLLOWING","TGT")</f>
        <v>42579</v>
      </c>
      <c r="P57" s="95">
        <f ca="1"/>
        <v>-1.9348145862887895E-4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-3.5789634972121297E-3</v>
      </c>
      <c r="H58" s="92" t="s">
        <v>4</v>
      </c>
      <c r="I58" s="97">
        <f ca="1">_xll.meDateFromTenor(I57,"1D","FOLLOWING","TGT")</f>
        <v>42580</v>
      </c>
      <c r="J58" s="95">
        <f ca="1"/>
        <v>-2.7087179346970331E-3</v>
      </c>
      <c r="K58" s="5" t="s">
        <v>4</v>
      </c>
      <c r="L58" s="97">
        <f ca="1">_xll.meDateFromTenor(L57,"1D","FOLLOWING","TGT")</f>
        <v>42580</v>
      </c>
      <c r="M58" s="95">
        <f ca="1"/>
        <v>-1.7050987852017872E-3</v>
      </c>
      <c r="N58" s="5" t="s">
        <v>4</v>
      </c>
      <c r="O58" s="97">
        <f ca="1">_xll.meDateFromTenor(O57,"1D","FOLLOWING","TGT")</f>
        <v>42580</v>
      </c>
      <c r="P58" s="95">
        <f ca="1"/>
        <v>-1.9422550874389284E-4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-3.5843998101963105E-3</v>
      </c>
      <c r="H59" s="92" t="s">
        <v>4</v>
      </c>
      <c r="I59" s="97">
        <f ca="1">_xll.meDateFromTenor(I58,"1D","FOLLOWING","TGT")</f>
        <v>42583</v>
      </c>
      <c r="J59" s="95">
        <f ca="1"/>
        <v>-2.7139136154704009E-3</v>
      </c>
      <c r="K59" s="5" t="s">
        <v>4</v>
      </c>
      <c r="L59" s="97">
        <f ca="1">_xll.meDateFromTenor(L58,"1D","FOLLOWING","TGT")</f>
        <v>42583</v>
      </c>
      <c r="M59" s="95">
        <f ca="1"/>
        <v>-1.7127235215156366E-3</v>
      </c>
      <c r="N59" s="5" t="s">
        <v>4</v>
      </c>
      <c r="O59" s="97">
        <f ca="1">_xll.meDateFromTenor(O58,"1D","FOLLOWING","TGT")</f>
        <v>42583</v>
      </c>
      <c r="P59" s="95">
        <f ca="1"/>
        <v>-1.9644721459068266E-4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-3.5861949621571626E-3</v>
      </c>
      <c r="H60" s="92" t="s">
        <v>4</v>
      </c>
      <c r="I60" s="97">
        <f ca="1">_xll.meDateFromTenor(I59,"1D","FOLLOWING","TGT")</f>
        <v>42584</v>
      </c>
      <c r="J60" s="95">
        <f ca="1"/>
        <v>-2.715645509063694E-3</v>
      </c>
      <c r="K60" s="5" t="s">
        <v>4</v>
      </c>
      <c r="L60" s="97">
        <f ca="1">_xll.meDateFromTenor(L59,"1D","FOLLOWING","TGT")</f>
        <v>42584</v>
      </c>
      <c r="M60" s="95">
        <f ca="1"/>
        <v>-1.7152113118536142E-3</v>
      </c>
      <c r="N60" s="5" t="s">
        <v>4</v>
      </c>
      <c r="O60" s="97">
        <f ca="1">_xll.meDateFromTenor(O59,"1D","FOLLOWING","TGT")</f>
        <v>42584</v>
      </c>
      <c r="P60" s="95">
        <f ca="1"/>
        <v>-1.9718420108549159E-4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-3.5879800212081201E-3</v>
      </c>
      <c r="H61" s="92" t="s">
        <v>4</v>
      </c>
      <c r="I61" s="97">
        <f ca="1">_xll.meDateFromTenor(I60,"1D","FOLLOWING","TGT")</f>
        <v>42585</v>
      </c>
      <c r="J61" s="95">
        <f ca="1"/>
        <v>-2.7173774026527475E-3</v>
      </c>
      <c r="K61" s="5" t="s">
        <v>4</v>
      </c>
      <c r="L61" s="97">
        <f ca="1">_xll.meDateFromTenor(L60,"1D","FOLLOWING","TGT")</f>
        <v>42585</v>
      </c>
      <c r="M61" s="95">
        <f ca="1"/>
        <v>-1.7176714525194148E-3</v>
      </c>
      <c r="N61" s="5" t="s">
        <v>4</v>
      </c>
      <c r="O61" s="97">
        <f ca="1">_xll.meDateFromTenor(O60,"1D","FOLLOWING","TGT")</f>
        <v>42585</v>
      </c>
      <c r="P61" s="95">
        <f ca="1"/>
        <v>-1.9791934620922141E-4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-3.589755049427633E-3</v>
      </c>
      <c r="H62" s="92" t="s">
        <v>4</v>
      </c>
      <c r="I62" s="97">
        <f ca="1">_xll.meDateFromTenor(I61,"1D","FOLLOWING","TGT")</f>
        <v>42586</v>
      </c>
      <c r="J62" s="95">
        <f ca="1"/>
        <v>-2.7191092962360092E-3</v>
      </c>
      <c r="K62" s="5" t="s">
        <v>4</v>
      </c>
      <c r="L62" s="97">
        <f ca="1">_xll.meDateFromTenor(L61,"1D","FOLLOWING","TGT")</f>
        <v>42586</v>
      </c>
      <c r="M62" s="95">
        <f ca="1"/>
        <v>-1.7201034902397244E-3</v>
      </c>
      <c r="N62" s="5" t="s">
        <v>4</v>
      </c>
      <c r="O62" s="97">
        <f ca="1">_xll.meDateFromTenor(O61,"1D","FOLLOWING","TGT")</f>
        <v>42586</v>
      </c>
      <c r="P62" s="95">
        <f ca="1"/>
        <v>-1.986526197754611E-4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-3.5915203434655667E-3</v>
      </c>
      <c r="H63" s="92" t="s">
        <v>4</v>
      </c>
      <c r="I63" s="97">
        <f ca="1">_xll.meDateFromTenor(I62,"1D","FOLLOWING","TGT")</f>
        <v>42587</v>
      </c>
      <c r="J63" s="95">
        <f ca="1"/>
        <v>-2.7208411898350941E-3</v>
      </c>
      <c r="K63" s="5" t="s">
        <v>4</v>
      </c>
      <c r="L63" s="97">
        <f ca="1">_xll.meDateFromTenor(L62,"1D","FOLLOWING","TGT")</f>
        <v>42587</v>
      </c>
      <c r="M63" s="95">
        <f ca="1"/>
        <v>-1.7225069717412282E-3</v>
      </c>
      <c r="N63" s="5" t="s">
        <v>4</v>
      </c>
      <c r="O63" s="97">
        <f ca="1">_xll.meDateFromTenor(O62,"1D","FOLLOWING","TGT")</f>
        <v>42587</v>
      </c>
      <c r="P63" s="95">
        <f ca="1"/>
        <v>-1.9938399159779934E-4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-3.5967607869885369E-3</v>
      </c>
      <c r="H64" s="92" t="s">
        <v>4</v>
      </c>
      <c r="I64" s="97">
        <f ca="1">_xll.meDateFromTenor(I63,"1D","FOLLOWING","TGT")</f>
        <v>42590</v>
      </c>
      <c r="J64" s="95">
        <f ca="1"/>
        <v>-2.726036870498421E-3</v>
      </c>
      <c r="K64" s="5" t="s">
        <v>4</v>
      </c>
      <c r="L64" s="97">
        <f ca="1">_xll.meDateFromTenor(L63,"1D","FOLLOWING","TGT")</f>
        <v>42590</v>
      </c>
      <c r="M64" s="95">
        <f ca="1"/>
        <v>-1.7295415461997634E-3</v>
      </c>
      <c r="N64" s="5" t="s">
        <v>4</v>
      </c>
      <c r="O64" s="97">
        <f ca="1">_xll.meDateFromTenor(O63,"1D","FOLLOWING","TGT")</f>
        <v>42590</v>
      </c>
      <c r="P64" s="95">
        <f ca="1"/>
        <v>-2.0156639473729502E-4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-3.5984901107987983E-3</v>
      </c>
      <c r="H65" s="92" t="s">
        <v>4</v>
      </c>
      <c r="I65" s="97">
        <f ca="1">_xll.meDateFromTenor(I64,"1D","FOLLOWING","TGT")</f>
        <v>42591</v>
      </c>
      <c r="J65" s="95">
        <f ca="1"/>
        <v>-2.7277687641997874E-3</v>
      </c>
      <c r="K65" s="5" t="s">
        <v>4</v>
      </c>
      <c r="L65" s="97">
        <f ca="1">_xll.meDateFromTenor(L64,"1D","FOLLOWING","TGT")</f>
        <v>42591</v>
      </c>
      <c r="M65" s="95">
        <f ca="1"/>
        <v>-1.7318262700929011E-3</v>
      </c>
      <c r="N65" s="5" t="s">
        <v>4</v>
      </c>
      <c r="O65" s="97">
        <f ca="1">_xll.meDateFromTenor(O64,"1D","FOLLOWING","TGT")</f>
        <v>42591</v>
      </c>
      <c r="P65" s="95">
        <f ca="1"/>
        <v>-2.0228985771991669E-4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-3.6002111836768032E-3</v>
      </c>
      <c r="H66" s="92" t="s">
        <v>4</v>
      </c>
      <c r="I66" s="97">
        <f ca="1">_xll.meDateFromTenor(I65,"1D","FOLLOWING","TGT")</f>
        <v>42592</v>
      </c>
      <c r="J66" s="95">
        <f ca="1"/>
        <v>-2.7295006582022073E-3</v>
      </c>
      <c r="K66" s="5" t="s">
        <v>4</v>
      </c>
      <c r="L66" s="97">
        <f ca="1">_xll.meDateFromTenor(L65,"1D","FOLLOWING","TGT")</f>
        <v>42592</v>
      </c>
      <c r="M66" s="95">
        <f ca="1"/>
        <v>-1.7340801714006617E-3</v>
      </c>
      <c r="N66" s="5" t="s">
        <v>4</v>
      </c>
      <c r="O66" s="97">
        <f ca="1">_xll.meDateFromTenor(O65,"1D","FOLLOWING","TGT")</f>
        <v>42592</v>
      </c>
      <c r="P66" s="95">
        <f ca="1"/>
        <v>-2.0301126802658136E-4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-3.6019243022724161E-3</v>
      </c>
      <c r="H67" s="92" t="s">
        <v>4</v>
      </c>
      <c r="I67" s="97">
        <f ca="1">_xll.meDateFromTenor(I66,"1D","FOLLOWING","TGT")</f>
        <v>42593</v>
      </c>
      <c r="J67" s="95">
        <f ca="1"/>
        <v>-2.7312325513821341E-3</v>
      </c>
      <c r="K67" s="5" t="s">
        <v>4</v>
      </c>
      <c r="L67" s="97">
        <f ca="1">_xll.meDateFromTenor(L66,"1D","FOLLOWING","TGT")</f>
        <v>42593</v>
      </c>
      <c r="M67" s="95">
        <f ca="1"/>
        <v>-1.7363027968497304E-3</v>
      </c>
      <c r="N67" s="5" t="s">
        <v>4</v>
      </c>
      <c r="O67" s="97">
        <f ca="1">_xll.meDateFromTenor(O66,"1D","FOLLOWING","TGT")</f>
        <v>42593</v>
      </c>
      <c r="P67" s="95">
        <f ca="1"/>
        <v>-2.0373059547087785E-4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-3.6036297632355027E-3</v>
      </c>
      <c r="H68" s="92" t="s">
        <v>4</v>
      </c>
      <c r="I68" s="97">
        <f ca="1">_xll.meDateFromTenor(I67,"1D","FOLLOWING","TGT")</f>
        <v>42594</v>
      </c>
      <c r="J68" s="95">
        <f ca="1"/>
        <v>-2.7329644434385147E-3</v>
      </c>
      <c r="K68" s="5" t="s">
        <v>4</v>
      </c>
      <c r="L68" s="97">
        <f ca="1">_xll.meDateFromTenor(L67,"1D","FOLLOWING","TGT")</f>
        <v>42594</v>
      </c>
      <c r="M68" s="95">
        <f ca="1"/>
        <v>-1.7384936931667929E-3</v>
      </c>
      <c r="N68" s="5" t="s">
        <v>4</v>
      </c>
      <c r="O68" s="97">
        <f ca="1">_xll.meDateFromTenor(O67,"1D","FOLLOWING","TGT")</f>
        <v>42594</v>
      </c>
      <c r="P68" s="95">
        <f ca="1"/>
        <v>-2.0444780986639515E-4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-3.6087031668282413E-3</v>
      </c>
      <c r="H69" s="92" t="s">
        <v>4</v>
      </c>
      <c r="I69" s="97">
        <f ca="1">_xll.meDateFromTenor(I68,"1D","FOLLOWING","TGT")</f>
        <v>42597</v>
      </c>
      <c r="J69" s="95">
        <f ca="1"/>
        <v>-2.7381601257468278E-3</v>
      </c>
      <c r="K69" s="5" t="s">
        <v>4</v>
      </c>
      <c r="L69" s="97">
        <f ca="1">_xll.meDateFromTenor(L68,"1D","FOLLOWING","TGT")</f>
        <v>42597</v>
      </c>
      <c r="M69" s="95">
        <f ca="1"/>
        <v>-1.7448714745927998E-3</v>
      </c>
      <c r="N69" s="5" t="s">
        <v>4</v>
      </c>
      <c r="O69" s="97">
        <f ca="1">_xll.meDateFromTenor(O68,"1D","FOLLOWING","TGT")</f>
        <v>42597</v>
      </c>
      <c r="P69" s="95">
        <f ca="1"/>
        <v>-2.0658647289616006E-4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-3.6103809637598634E-3</v>
      </c>
      <c r="H70" s="92" t="s">
        <v>4</v>
      </c>
      <c r="I70" s="97">
        <f ca="1">_xll.meDateFromTenor(I69,"1D","FOLLOWING","TGT")</f>
        <v>42598</v>
      </c>
      <c r="J70" s="95">
        <f ca="1"/>
        <v>-2.7398919979610974E-3</v>
      </c>
      <c r="K70" s="5" t="s">
        <v>4</v>
      </c>
      <c r="L70" s="97">
        <f ca="1">_xll.meDateFromTenor(L69,"1D","FOLLOWING","TGT")</f>
        <v>42598</v>
      </c>
      <c r="M70" s="95">
        <f ca="1"/>
        <v>-1.7469309216486938E-3</v>
      </c>
      <c r="N70" s="5" t="s">
        <v>4</v>
      </c>
      <c r="O70" s="97">
        <f ca="1">_xll.meDateFromTenor(O69,"1D","FOLLOWING","TGT")</f>
        <v>42598</v>
      </c>
      <c r="P70" s="95">
        <f ca="1"/>
        <v>-2.0729493323244896E-4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-3.6120525863082816E-3</v>
      </c>
      <c r="H71" s="92" t="s">
        <v>4</v>
      </c>
      <c r="I71" s="97">
        <f ca="1">_xll.meDateFromTenor(I70,"1D","FOLLOWING","TGT")</f>
        <v>42599</v>
      </c>
      <c r="J71" s="95">
        <f ca="1"/>
        <v>-2.7416239129291744E-3</v>
      </c>
      <c r="K71" s="5" t="s">
        <v>4</v>
      </c>
      <c r="L71" s="97">
        <f ca="1">_xll.meDateFromTenor(L70,"1D","FOLLOWING","TGT")</f>
        <v>42599</v>
      </c>
      <c r="M71" s="95">
        <f ca="1"/>
        <v>-1.74895637320601E-3</v>
      </c>
      <c r="N71" s="5" t="s">
        <v>4</v>
      </c>
      <c r="O71" s="97">
        <f ca="1">_xll.meDateFromTenor(O70,"1D","FOLLOWING","TGT")</f>
        <v>42599</v>
      </c>
      <c r="P71" s="95">
        <f ca="1"/>
        <v>-2.0800112958790294E-4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-3.6137183311233602E-3</v>
      </c>
      <c r="H72" s="92" t="s">
        <v>4</v>
      </c>
      <c r="I72" s="97">
        <f ca="1">_xll.meDateFromTenor(I71,"1D","FOLLOWING","TGT")</f>
        <v>42600</v>
      </c>
      <c r="J72" s="95">
        <f ca="1"/>
        <v>-2.7433558863000384E-3</v>
      </c>
      <c r="K72" s="5" t="s">
        <v>4</v>
      </c>
      <c r="L72" s="97">
        <f ca="1">_xll.meDateFromTenor(L71,"1D","FOLLOWING","TGT")</f>
        <v>42600</v>
      </c>
      <c r="M72" s="95">
        <f ca="1"/>
        <v>-1.7509473759914336E-3</v>
      </c>
      <c r="N72" s="5" t="s">
        <v>4</v>
      </c>
      <c r="O72" s="97">
        <f ca="1">_xll.meDateFromTenor(O71,"1D","FOLLOWING","TGT")</f>
        <v>42600</v>
      </c>
      <c r="P72" s="95">
        <f ca="1"/>
        <v>-2.0870503177611088E-4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-3.6153784948549624E-3</v>
      </c>
      <c r="H73" s="92" t="s">
        <v>4</v>
      </c>
      <c r="I73" s="97">
        <f ca="1">_xll.meDateFromTenor(I72,"1D","FOLLOWING","TGT")</f>
        <v>42601</v>
      </c>
      <c r="J73" s="95">
        <f ca="1"/>
        <v>-2.7450877001115211E-3</v>
      </c>
      <c r="K73" s="5" t="s">
        <v>4</v>
      </c>
      <c r="L73" s="97">
        <f ca="1">_xll.meDateFromTenor(L72,"1D","FOLLOWING","TGT")</f>
        <v>42601</v>
      </c>
      <c r="M73" s="95">
        <f ca="1"/>
        <v>-1.7529034767316506E-3</v>
      </c>
      <c r="N73" s="5" t="s">
        <v>4</v>
      </c>
      <c r="O73" s="97">
        <f ca="1">_xll.meDateFromTenor(O72,"1D","FOLLOWING","TGT")</f>
        <v>42601</v>
      </c>
      <c r="P73" s="95">
        <f ca="1"/>
        <v>-2.0940660961066168E-4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-3.6203284660475663E-3</v>
      </c>
      <c r="H74" s="92" t="s">
        <v>4</v>
      </c>
      <c r="I74" s="97">
        <f ca="1">_xll.meDateFromTenor(I73,"1D","FOLLOWING","TGT")</f>
        <v>42604</v>
      </c>
      <c r="J74" s="95">
        <f ca="1"/>
        <v>-2.7502844920727887E-3</v>
      </c>
      <c r="K74" s="5" t="s">
        <v>4</v>
      </c>
      <c r="L74" s="97">
        <f ca="1">_xll.meDateFromTenor(L73,"1D","FOLLOWING","TGT")</f>
        <v>42604</v>
      </c>
      <c r="M74" s="95">
        <f ca="1"/>
        <v>-1.7585578339479166E-3</v>
      </c>
      <c r="N74" s="5" t="s">
        <v>4</v>
      </c>
      <c r="O74" s="97">
        <f ca="1">_xll.meDateFromTenor(O73,"1D","FOLLOWING","TGT")</f>
        <v>42604</v>
      </c>
      <c r="P74" s="95">
        <f ca="1"/>
        <v>-2.1149709512825946E-4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-3.6219692719439149E-3</v>
      </c>
      <c r="H75" s="92" t="s">
        <v>4</v>
      </c>
      <c r="I75" s="97">
        <f ca="1">_xll.meDateFromTenor(I74,"1D","FOLLOWING","TGT")</f>
        <v>42605</v>
      </c>
      <c r="J75" s="95">
        <f ca="1"/>
        <v>-2.7520152744762143E-3</v>
      </c>
      <c r="K75" s="5" t="s">
        <v>4</v>
      </c>
      <c r="L75" s="97">
        <f ca="1">_xll.meDateFromTenor(L74,"1D","FOLLOWING","TGT")</f>
        <v>42605</v>
      </c>
      <c r="M75" s="95">
        <f ca="1"/>
        <v>-1.7603697937741624E-3</v>
      </c>
      <c r="N75" s="5" t="s">
        <v>4</v>
      </c>
      <c r="O75" s="97">
        <f ca="1">_xll.meDateFromTenor(O74,"1D","FOLLOWING","TGT")</f>
        <v>42605</v>
      </c>
      <c r="P75" s="95">
        <f ca="1"/>
        <v>-2.1218907368407018E-4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-3.6236059800061103E-3</v>
      </c>
      <c r="H76" s="92" t="s">
        <v>4</v>
      </c>
      <c r="I76" s="97">
        <f ca="1">_xll.meDateFromTenor(I75,"1D","FOLLOWING","TGT")</f>
        <v>42606</v>
      </c>
      <c r="J76" s="95">
        <f ca="1"/>
        <v>-2.753743021058257E-3</v>
      </c>
      <c r="K76" s="5" t="s">
        <v>4</v>
      </c>
      <c r="L76" s="97">
        <f ca="1">_xll.meDateFromTenor(L75,"1D","FOLLOWING","TGT")</f>
        <v>42606</v>
      </c>
      <c r="M76" s="95">
        <f ca="1"/>
        <v>-1.7621445851886295E-3</v>
      </c>
      <c r="N76" s="5" t="s">
        <v>4</v>
      </c>
      <c r="O76" s="97">
        <f ca="1">_xll.meDateFromTenor(O75,"1D","FOLLOWING","TGT")</f>
        <v>42606</v>
      </c>
      <c r="P76" s="95">
        <f ca="1"/>
        <v>-2.1287857695416801E-4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-3.6252388868840196E-3</v>
      </c>
      <c r="H77" s="92" t="s">
        <v>4</v>
      </c>
      <c r="I77" s="97">
        <f ca="1">_xll.meDateFromTenor(I76,"1D","FOLLOWING","TGT")</f>
        <v>42607</v>
      </c>
      <c r="J77" s="95">
        <f ca="1"/>
        <v>-2.755479061658561E-3</v>
      </c>
      <c r="K77" s="5" t="s">
        <v>4</v>
      </c>
      <c r="L77" s="97">
        <f ca="1">_xll.meDateFromTenor(L76,"1D","FOLLOWING","TGT")</f>
        <v>42607</v>
      </c>
      <c r="M77" s="95">
        <f ca="1"/>
        <v>-1.7638817549180041E-3</v>
      </c>
      <c r="N77" s="5" t="s">
        <v>4</v>
      </c>
      <c r="O77" s="97">
        <f ca="1">_xll.meDateFromTenor(O76,"1D","FOLLOWING","TGT")</f>
        <v>42607</v>
      </c>
      <c r="P77" s="95">
        <f ca="1"/>
        <v>-2.1356557475214191E-4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-3.6268682892275053E-3</v>
      </c>
      <c r="H78" s="92" t="s">
        <v>4</v>
      </c>
      <c r="I78" s="97">
        <f ca="1">_xll.meDateFromTenor(I77,"1D","FOLLOWING","TGT")</f>
        <v>42608</v>
      </c>
      <c r="J78" s="95">
        <f ca="1"/>
        <v>-2.7572264320985095E-3</v>
      </c>
      <c r="K78" s="5" t="s">
        <v>4</v>
      </c>
      <c r="L78" s="97">
        <f ca="1">_xll.meDateFromTenor(L77,"1D","FOLLOWING","TGT")</f>
        <v>42608</v>
      </c>
      <c r="M78" s="95">
        <f ca="1"/>
        <v>-1.7655808496889708E-3</v>
      </c>
      <c r="N78" s="5" t="s">
        <v>4</v>
      </c>
      <c r="O78" s="97">
        <f ca="1">_xll.meDateFromTenor(O77,"1D","FOLLOWING","TGT")</f>
        <v>42608</v>
      </c>
      <c r="P78" s="95">
        <f ca="1"/>
        <v>-2.1425003689158061E-4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-3.6317384355500693E-3</v>
      </c>
      <c r="H79" s="92" t="s">
        <v>4</v>
      </c>
      <c r="I79" s="97">
        <f ca="1">_xll.meDateFromTenor(I78,"1D","FOLLOWING","TGT")</f>
        <v>42611</v>
      </c>
      <c r="J79" s="95">
        <f ca="1"/>
        <v>-2.7624066360232547E-3</v>
      </c>
      <c r="K79" s="5" t="s">
        <v>4</v>
      </c>
      <c r="L79" s="97">
        <f ca="1">_xll.meDateFromTenor(L78,"1D","FOLLOWING","TGT")</f>
        <v>42611</v>
      </c>
      <c r="M79" s="95">
        <f ca="1"/>
        <v>-1.770445151518283E-3</v>
      </c>
      <c r="N79" s="5" t="s">
        <v>4</v>
      </c>
      <c r="O79" s="97">
        <f ca="1">_xll.meDateFromTenor(O78,"1D","FOLLOWING","TGT")</f>
        <v>42611</v>
      </c>
      <c r="P79" s="95">
        <f ca="1"/>
        <v>-2.1628790749457489E-4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-3.6333567862545085E-3</v>
      </c>
      <c r="H80" s="92" t="s">
        <v>4</v>
      </c>
      <c r="I80" s="97">
        <f ca="1">_xll.meDateFromTenor(I79,"1D","FOLLOWING","TGT")</f>
        <v>42612</v>
      </c>
      <c r="J80" s="95">
        <f ca="1"/>
        <v>-2.7643540943095403E-3</v>
      </c>
      <c r="K80" s="5" t="s">
        <v>4</v>
      </c>
      <c r="L80" s="97">
        <f ca="1">_xll.meDateFromTenor(L79,"1D","FOLLOWING","TGT")</f>
        <v>42612</v>
      </c>
      <c r="M80" s="95">
        <f ca="1"/>
        <v>-1.7719874137224765E-3</v>
      </c>
      <c r="N80" s="5" t="s">
        <v>4</v>
      </c>
      <c r="O80" s="97">
        <f ca="1">_xll.meDateFromTenor(O79,"1D","FOLLOWING","TGT")</f>
        <v>42612</v>
      </c>
      <c r="P80" s="95">
        <f ca="1"/>
        <v>-2.1696192513576186E-4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-3.6349731156738482E-3</v>
      </c>
      <c r="H81" s="92" t="s">
        <v>4</v>
      </c>
      <c r="I81" s="97">
        <f ca="1">_xll.meDateFromTenor(I80,"1D","FOLLOWING","TGT")</f>
        <v>42613</v>
      </c>
      <c r="J81" s="95">
        <f ca="1"/>
        <v>-2.7658704232056013E-3</v>
      </c>
      <c r="K81" s="5" t="s">
        <v>4</v>
      </c>
      <c r="L81" s="97">
        <f ca="1">_xll.meDateFromTenor(L80,"1D","FOLLOWING","TGT")</f>
        <v>42613</v>
      </c>
      <c r="M81" s="95">
        <f ca="1"/>
        <v>-1.7734893346016906E-3</v>
      </c>
      <c r="N81" s="5" t="s">
        <v>4</v>
      </c>
      <c r="O81" s="97">
        <f ca="1">_xll.meDateFromTenor(O80,"1D","FOLLOWING","TGT")</f>
        <v>42613</v>
      </c>
      <c r="P81" s="95">
        <f ca="1"/>
        <v>-2.1763325618635811E-4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-3.6365877204579526E-3</v>
      </c>
      <c r="H82" s="92" t="s">
        <v>4</v>
      </c>
      <c r="I82" s="97">
        <f ca="1">_xll.meDateFromTenor(I81,"1D","FOLLOWING","TGT")</f>
        <v>42614</v>
      </c>
      <c r="J82" s="95">
        <f ca="1"/>
        <v>-2.7664601885328348E-3</v>
      </c>
      <c r="K82" s="5" t="s">
        <v>4</v>
      </c>
      <c r="L82" s="97">
        <f ca="1">_xll.meDateFromTenor(L81,"1D","FOLLOWING","TGT")</f>
        <v>42614</v>
      </c>
      <c r="M82" s="95">
        <f ca="1"/>
        <v>-1.7749504608826113E-3</v>
      </c>
      <c r="N82" s="5" t="s">
        <v>4</v>
      </c>
      <c r="O82" s="97">
        <f ca="1">_xll.meDateFromTenor(O81,"1D","FOLLOWING","TGT")</f>
        <v>42614</v>
      </c>
      <c r="P82" s="95">
        <f ca="1"/>
        <v>-2.1830187045995236E-4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-3.6382008972566855E-3</v>
      </c>
      <c r="H83" s="92" t="s">
        <v>4</v>
      </c>
      <c r="I83" s="97">
        <f ca="1">_xll.meDateFromTenor(I82,"1D","FOLLOWING","TGT")</f>
        <v>42615</v>
      </c>
      <c r="J83" s="95">
        <f ca="1"/>
        <v>-2.76663317143224E-3</v>
      </c>
      <c r="K83" s="5" t="s">
        <v>4</v>
      </c>
      <c r="L83" s="97">
        <f ca="1">_xll.meDateFromTenor(L82,"1D","FOLLOWING","TGT")</f>
        <v>42615</v>
      </c>
      <c r="M83" s="95">
        <f ca="1"/>
        <v>-1.7763703392919235E-3</v>
      </c>
      <c r="N83" s="5" t="s">
        <v>4</v>
      </c>
      <c r="O83" s="97">
        <f ca="1">_xll.meDateFromTenor(O82,"1D","FOLLOWING","TGT")</f>
        <v>42615</v>
      </c>
      <c r="P83" s="95">
        <f ca="1"/>
        <v>-2.1896773777013365E-4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-3.6430337187227961E-3</v>
      </c>
      <c r="H84" s="92" t="s">
        <v>4</v>
      </c>
      <c r="I84" s="97">
        <f ca="1">_xll.meDateFromTenor(I83,"1D","FOLLOWING","TGT")</f>
        <v>42618</v>
      </c>
      <c r="J84" s="95">
        <f ca="1"/>
        <v>-2.7687165954046475E-3</v>
      </c>
      <c r="K84" s="5" t="s">
        <v>4</v>
      </c>
      <c r="L84" s="97">
        <f ca="1">_xll.meDateFromTenor(L83,"1D","FOLLOWING","TGT")</f>
        <v>42618</v>
      </c>
      <c r="M84" s="95">
        <f ca="1"/>
        <v>-1.7803779545570691E-3</v>
      </c>
      <c r="N84" s="5" t="s">
        <v>4</v>
      </c>
      <c r="O84" s="97">
        <f ca="1">_xll.meDateFromTenor(O83,"1D","FOLLOWING","TGT")</f>
        <v>42618</v>
      </c>
      <c r="P84" s="95">
        <f ca="1"/>
        <v>-2.2094855605608789E-4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-3.6446426323708818E-3</v>
      </c>
      <c r="H85" s="92" t="s">
        <v>4</v>
      </c>
      <c r="I85" s="97">
        <f ca="1">_xll.meDateFromTenor(I84,"1D","FOLLOWING","TGT")</f>
        <v>42619</v>
      </c>
      <c r="J85" s="95">
        <f ca="1"/>
        <v>-2.7699744036680267E-3</v>
      </c>
      <c r="K85" s="5" t="s">
        <v>4</v>
      </c>
      <c r="L85" s="97">
        <f ca="1">_xll.meDateFromTenor(L84,"1D","FOLLOWING","TGT")</f>
        <v>42619</v>
      </c>
      <c r="M85" s="95">
        <f ca="1"/>
        <v>-1.7816283087468056E-3</v>
      </c>
      <c r="N85" s="5" t="s">
        <v>4</v>
      </c>
      <c r="O85" s="97">
        <f ca="1">_xll.meDateFromTenor(O84,"1D","FOLLOWING","TGT")</f>
        <v>42619</v>
      </c>
      <c r="P85" s="95">
        <f ca="1"/>
        <v>-2.2160313364850571E-4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-3.6462506168237997E-3</v>
      </c>
      <c r="H86" s="92" t="s">
        <v>4</v>
      </c>
      <c r="I86" s="97">
        <f ca="1">_xll.meDateFromTenor(I85,"1D","FOLLOWING","TGT")</f>
        <v>42620</v>
      </c>
      <c r="J86" s="95">
        <f ca="1"/>
        <v>-2.77146913891999E-3</v>
      </c>
      <c r="K86" s="5" t="s">
        <v>4</v>
      </c>
      <c r="L86" s="97">
        <f ca="1">_xll.meDateFromTenor(L85,"1D","FOLLOWING","TGT")</f>
        <v>42620</v>
      </c>
      <c r="M86" s="95">
        <f ca="1"/>
        <v>-1.7828351486983624E-3</v>
      </c>
      <c r="N86" s="5" t="s">
        <v>4</v>
      </c>
      <c r="O86" s="97">
        <f ca="1">_xll.meDateFromTenor(O85,"1D","FOLLOWING","TGT")</f>
        <v>42620</v>
      </c>
      <c r="P86" s="95">
        <f ca="1"/>
        <v>-2.2225481334545478E-4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-3.6478577226166345E-3</v>
      </c>
      <c r="H87" s="92" t="s">
        <v>4</v>
      </c>
      <c r="I87" s="97">
        <f ca="1">_xll.meDateFromTenor(I86,"1D","FOLLOWING","TGT")</f>
        <v>42621</v>
      </c>
      <c r="J87" s="95">
        <f ca="1"/>
        <v>-2.773173957271914E-3</v>
      </c>
      <c r="K87" s="5" t="s">
        <v>4</v>
      </c>
      <c r="L87" s="97">
        <f ca="1">_xll.meDateFromTenor(L86,"1D","FOLLOWING","TGT")</f>
        <v>42621</v>
      </c>
      <c r="M87" s="95">
        <f ca="1"/>
        <v>-1.783998021138425E-3</v>
      </c>
      <c r="N87" s="5" t="s">
        <v>4</v>
      </c>
      <c r="O87" s="97">
        <f ca="1">_xll.meDateFromTenor(O86,"1D","FOLLOWING","TGT")</f>
        <v>42621</v>
      </c>
      <c r="P87" s="95">
        <f ca="1"/>
        <v>-2.2290356496052405E-4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-3.6494640002844706E-3</v>
      </c>
      <c r="H88" s="92" t="s">
        <v>4</v>
      </c>
      <c r="I88" s="97">
        <f ca="1">_xll.meDateFromTenor(I87,"1D","FOLLOWING","TGT")</f>
        <v>42622</v>
      </c>
      <c r="J88" s="95">
        <f ca="1"/>
        <v>-2.7750620148351778E-3</v>
      </c>
      <c r="K88" s="5" t="s">
        <v>4</v>
      </c>
      <c r="L88" s="97">
        <f ca="1">_xll.meDateFromTenor(L87,"1D","FOLLOWING","TGT")</f>
        <v>42622</v>
      </c>
      <c r="M88" s="95">
        <f ca="1"/>
        <v>-1.7851164727936786E-3</v>
      </c>
      <c r="N88" s="5" t="s">
        <v>4</v>
      </c>
      <c r="O88" s="97">
        <f ca="1">_xll.meDateFromTenor(O87,"1D","FOLLOWING","TGT")</f>
        <v>42622</v>
      </c>
      <c r="P88" s="95">
        <f ca="1"/>
        <v>-2.2354935830730231E-4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-3.6542783698888331E-3</v>
      </c>
      <c r="H89" s="92" t="s">
        <v>4</v>
      </c>
      <c r="I89" s="97">
        <f ca="1">_xll.meDateFromTenor(I88,"1D","FOLLOWING","TGT")</f>
        <v>42625</v>
      </c>
      <c r="J89" s="95">
        <f ca="1"/>
        <v>-2.7815571839067805E-3</v>
      </c>
      <c r="K89" s="5" t="s">
        <v>4</v>
      </c>
      <c r="L89" s="97">
        <f ca="1">_xll.meDateFromTenor(L88,"1D","FOLLOWING","TGT")</f>
        <v>42625</v>
      </c>
      <c r="M89" s="95">
        <f ca="1"/>
        <v>-1.7882007703174442E-3</v>
      </c>
      <c r="N89" s="5" t="s">
        <v>4</v>
      </c>
      <c r="O89" s="97">
        <f ca="1">_xll.meDateFromTenor(O88,"1D","FOLLOWING","TGT")</f>
        <v>42625</v>
      </c>
      <c r="P89" s="95">
        <f ca="1"/>
        <v>-2.2546868687378017E-4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-3.6558818404075198E-3</v>
      </c>
      <c r="H90" s="92" t="s">
        <v>4</v>
      </c>
      <c r="I90" s="97">
        <f ca="1">_xll.meDateFromTenor(I89,"1D","FOLLOWING","TGT")</f>
        <v>42626</v>
      </c>
      <c r="J90" s="95">
        <f ca="1"/>
        <v>-2.7839097594291773E-3</v>
      </c>
      <c r="K90" s="5" t="s">
        <v>4</v>
      </c>
      <c r="L90" s="97">
        <f ca="1">_xll.meDateFromTenor(L89,"1D","FOLLOWING","TGT")</f>
        <v>42626</v>
      </c>
      <c r="M90" s="95">
        <f ca="1"/>
        <v>-1.7891370061003198E-3</v>
      </c>
      <c r="N90" s="5" t="s">
        <v>4</v>
      </c>
      <c r="O90" s="97">
        <f ca="1">_xll.meDateFromTenor(O89,"1D","FOLLOWING","TGT")</f>
        <v>42626</v>
      </c>
      <c r="P90" s="95">
        <f ca="1"/>
        <v>-2.2610234528328325E-4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-3.6574847354766313E-3</v>
      </c>
      <c r="H91" s="92" t="s">
        <v>4</v>
      </c>
      <c r="I91" s="97">
        <f ca="1">_xll.meDateFromTenor(I90,"1D","FOLLOWING","TGT")</f>
        <v>42627</v>
      </c>
      <c r="J91" s="95">
        <f ca="1"/>
        <v>-2.7863113547198001E-3</v>
      </c>
      <c r="K91" s="5" t="s">
        <v>4</v>
      </c>
      <c r="L91" s="97">
        <f ca="1">_xll.meDateFromTenor(L90,"1D","FOLLOWING","TGT")</f>
        <v>42627</v>
      </c>
      <c r="M91" s="95">
        <f ca="1"/>
        <v>-1.7900265547318146E-3</v>
      </c>
      <c r="N91" s="5" t="s">
        <v>4</v>
      </c>
      <c r="O91" s="97">
        <f ca="1">_xll.meDateFromTenor(O90,"1D","FOLLOWING","TGT")</f>
        <v>42627</v>
      </c>
      <c r="P91" s="95">
        <f ca="1"/>
        <v>-2.2673289449243975E-4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-3.6590871056312517E-3</v>
      </c>
      <c r="H92" s="92" t="s">
        <v>4</v>
      </c>
      <c r="I92" s="97">
        <f ca="1">_xll.meDateFromTenor(I91,"1D","FOLLOWING","TGT")</f>
        <v>42628</v>
      </c>
      <c r="J92" s="95">
        <f ca="1"/>
        <v>-2.788735125890029E-3</v>
      </c>
      <c r="K92" s="5" t="s">
        <v>4</v>
      </c>
      <c r="L92" s="97">
        <f ca="1">_xll.meDateFromTenor(L91,"1D","FOLLOWING","TGT")</f>
        <v>42628</v>
      </c>
      <c r="M92" s="95">
        <f ca="1"/>
        <v>-1.7908689629386146E-3</v>
      </c>
      <c r="N92" s="5" t="s">
        <v>4</v>
      </c>
      <c r="O92" s="97">
        <f ca="1">_xll.meDateFromTenor(O91,"1D","FOLLOWING","TGT")</f>
        <v>42628</v>
      </c>
      <c r="P92" s="95">
        <f ca="1"/>
        <v>-2.2736030431483848E-4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-3.6606890014064652E-3</v>
      </c>
      <c r="H93" s="92" t="s">
        <v>4</v>
      </c>
      <c r="I93" s="97">
        <f ca="1">_xll.meDateFromTenor(I92,"1D","FOLLOWING","TGT")</f>
        <v>42629</v>
      </c>
      <c r="J93" s="95">
        <f ca="1"/>
        <v>-2.7911542290512395E-3</v>
      </c>
      <c r="K93" s="5" t="s">
        <v>4</v>
      </c>
      <c r="L93" s="97">
        <f ca="1">_xll.meDateFromTenor(L92,"1D","FOLLOWING","TGT")</f>
        <v>42629</v>
      </c>
      <c r="M93" s="95">
        <f ca="1"/>
        <v>-1.7916637774474055E-3</v>
      </c>
      <c r="N93" s="5" t="s">
        <v>4</v>
      </c>
      <c r="O93" s="97">
        <f ca="1">_xll.meDateFromTenor(O92,"1D","FOLLOWING","TGT")</f>
        <v>42629</v>
      </c>
      <c r="P93" s="95">
        <f ca="1"/>
        <v>-2.2798454456406835E-4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-3.6654923478065139E-3</v>
      </c>
      <c r="H94" s="92" t="s">
        <v>4</v>
      </c>
      <c r="I94" s="97">
        <f ca="1">_xll.meDateFromTenor(I93,"1D","FOLLOWING","TGT")</f>
        <v>42632</v>
      </c>
      <c r="J94" s="95">
        <f ca="1"/>
        <v>-2.7981150915945409E-3</v>
      </c>
      <c r="K94" s="5" t="s">
        <v>4</v>
      </c>
      <c r="L94" s="97">
        <f ca="1">_xll.meDateFromTenor(L93,"1D","FOLLOWING","TGT")</f>
        <v>42632</v>
      </c>
      <c r="M94" s="95">
        <f ca="1"/>
        <v>-1.7937581260525784E-3</v>
      </c>
      <c r="N94" s="5" t="s">
        <v>4</v>
      </c>
      <c r="O94" s="97">
        <f ca="1">_xll.meDateFromTenor(O93,"1D","FOLLOWING","TGT")</f>
        <v>42632</v>
      </c>
      <c r="P94" s="95">
        <f ca="1"/>
        <v>-2.2983794600863323E-4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-3.6670928514149471E-3</v>
      </c>
      <c r="H95" s="92" t="s">
        <v>4</v>
      </c>
      <c r="I95" s="97">
        <f ca="1">_xll.meDateFromTenor(I94,"1D","FOLLOWING","TGT")</f>
        <v>42633</v>
      </c>
      <c r="J95" s="95">
        <f ca="1"/>
        <v>-2.8002470838334563E-3</v>
      </c>
      <c r="K95" s="5" t="s">
        <v>4</v>
      </c>
      <c r="L95" s="97">
        <f ca="1">_xll.meDateFromTenor(L94,"1D","FOLLOWING","TGT")</f>
        <v>42633</v>
      </c>
      <c r="M95" s="95">
        <f ca="1"/>
        <v>-1.7943580330361884E-3</v>
      </c>
      <c r="N95" s="5" t="s">
        <v>4</v>
      </c>
      <c r="O95" s="97">
        <f ca="1">_xll.meDateFromTenor(O94,"1D","FOLLOWING","TGT")</f>
        <v>42633</v>
      </c>
      <c r="P95" s="95">
        <f ca="1"/>
        <v>-2.3044920610107618E-4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-3.6686931333193974E-3</v>
      </c>
      <c r="H96" s="92" t="s">
        <v>4</v>
      </c>
      <c r="I96" s="97">
        <f ca="1">_xll.meDateFromTenor(I95,"1D","FOLLOWING","TGT")</f>
        <v>42634</v>
      </c>
      <c r="J96" s="95">
        <f ca="1"/>
        <v>-2.8022401886202415E-3</v>
      </c>
      <c r="K96" s="5" t="s">
        <v>4</v>
      </c>
      <c r="L96" s="97">
        <f ca="1">_xll.meDateFromTenor(L95,"1D","FOLLOWING","TGT")</f>
        <v>42634</v>
      </c>
      <c r="M96" s="95">
        <f ca="1"/>
        <v>-1.7949080799552172E-3</v>
      </c>
      <c r="N96" s="5" t="s">
        <v>4</v>
      </c>
      <c r="O96" s="97">
        <f ca="1">_xll.meDateFromTenor(O95,"1D","FOLLOWING","TGT")</f>
        <v>42634</v>
      </c>
      <c r="P96" s="95">
        <f ca="1"/>
        <v>-2.3105714568829461E-4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-3.6702932440549484E-3</v>
      </c>
      <c r="H97" s="92" t="s">
        <v>4</v>
      </c>
      <c r="I97" s="97">
        <f ca="1">_xll.meDateFromTenor(I96,"1D","FOLLOWING","TGT")</f>
        <v>42635</v>
      </c>
      <c r="J97" s="95">
        <f ca="1"/>
        <v>-2.8040895476243379E-3</v>
      </c>
      <c r="K97" s="5" t="s">
        <v>4</v>
      </c>
      <c r="L97" s="97">
        <f ca="1">_xll.meDateFromTenor(L96,"1D","FOLLOWING","TGT")</f>
        <v>42635</v>
      </c>
      <c r="M97" s="95">
        <f ca="1"/>
        <v>-1.7954078135363506E-3</v>
      </c>
      <c r="N97" s="5" t="s">
        <v>4</v>
      </c>
      <c r="O97" s="97">
        <f ca="1">_xll.meDateFromTenor(O96,"1D","FOLLOWING","TGT")</f>
        <v>42635</v>
      </c>
      <c r="P97" s="95">
        <f ca="1"/>
        <v>-2.3166173458387732E-4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-3.6718932341566861E-3</v>
      </c>
      <c r="H98" s="92" t="s">
        <v>4</v>
      </c>
      <c r="I98" s="97">
        <f ca="1">_xll.meDateFromTenor(I97,"1D","FOLLOWING","TGT")</f>
        <v>42636</v>
      </c>
      <c r="J98" s="95">
        <f ca="1"/>
        <v>-2.8058782447474371E-3</v>
      </c>
      <c r="K98" s="5" t="s">
        <v>4</v>
      </c>
      <c r="L98" s="97">
        <f ca="1">_xll.meDateFromTenor(L97,"1D","FOLLOWING","TGT")</f>
        <v>42636</v>
      </c>
      <c r="M98" s="95">
        <f ca="1"/>
        <v>-1.7958567805062739E-3</v>
      </c>
      <c r="N98" s="5" t="s">
        <v>4</v>
      </c>
      <c r="O98" s="97">
        <f ca="1">_xll.meDateFromTenor(O97,"1D","FOLLOWING","TGT")</f>
        <v>42636</v>
      </c>
      <c r="P98" s="95">
        <f ca="1"/>
        <v>-2.322629426014133E-4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-3.6766929860098554E-3</v>
      </c>
      <c r="H99" s="92" t="s">
        <v>4</v>
      </c>
      <c r="I99" s="97">
        <f ca="1">_xll.meDateFromTenor(I98,"1D","FOLLOWING","TGT")</f>
        <v>42639</v>
      </c>
      <c r="J99" s="95">
        <f ca="1"/>
        <v>-2.8113375066022074E-3</v>
      </c>
      <c r="K99" s="5" t="s">
        <v>4</v>
      </c>
      <c r="L99" s="97">
        <f ca="1">_xll.meDateFromTenor(L98,"1D","FOLLOWING","TGT")</f>
        <v>42639</v>
      </c>
      <c r="M99" s="95">
        <f ca="1"/>
        <v>-1.7968945490156409E-3</v>
      </c>
      <c r="N99" s="5" t="s">
        <v>4</v>
      </c>
      <c r="O99" s="97">
        <f ca="1">_xll.meDateFromTenor(O98,"1D","FOLLOWING","TGT")</f>
        <v>42639</v>
      </c>
      <c r="P99" s="95">
        <f ca="1"/>
        <v>-2.3404597952162879E-4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-3.6782929989271807E-3</v>
      </c>
      <c r="H100" s="92" t="s">
        <v>4</v>
      </c>
      <c r="I100" s="97">
        <f ca="1">_xll.meDateFromTenor(I99,"1D","FOLLOWING","TGT")</f>
        <v>42640</v>
      </c>
      <c r="J100" s="95">
        <f ca="1"/>
        <v>-2.8131543570018278E-3</v>
      </c>
      <c r="K100" s="5" t="s">
        <v>4</v>
      </c>
      <c r="L100" s="97">
        <f ca="1">_xll.meDateFromTenor(L99,"1D","FOLLOWING","TGT")</f>
        <v>42640</v>
      </c>
      <c r="M100" s="95">
        <f ca="1"/>
        <v>-1.7971359168075815E-3</v>
      </c>
      <c r="N100" s="5" t="s">
        <v>4</v>
      </c>
      <c r="O100" s="97">
        <f ca="1">_xll.meDateFromTenor(O99,"1D","FOLLOWING","TGT")</f>
        <v>42640</v>
      </c>
      <c r="P100" s="95">
        <f ca="1"/>
        <v>-2.3463336216286614E-4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-3.679893143886114E-3</v>
      </c>
      <c r="H101" s="92" t="s">
        <v>4</v>
      </c>
      <c r="I101" s="97">
        <f ca="1">_xll.meDateFromTenor(I100,"1D","FOLLOWING","TGT")</f>
        <v>42641</v>
      </c>
      <c r="J101" s="95">
        <f ca="1"/>
        <v>-2.8149728015606345E-3</v>
      </c>
      <c r="K101" s="5" t="s">
        <v>4</v>
      </c>
      <c r="L101" s="97">
        <f ca="1">_xll.meDateFromTenor(L100,"1D","FOLLOWING","TGT")</f>
        <v>42641</v>
      </c>
      <c r="M101" s="95">
        <f ca="1"/>
        <v>-1.7973242516217396E-3</v>
      </c>
      <c r="N101" s="5" t="s">
        <v>4</v>
      </c>
      <c r="O101" s="97">
        <f ca="1">_xll.meDateFromTenor(O100,"1D","FOLLOWING","TGT")</f>
        <v>42641</v>
      </c>
      <c r="P101" s="95">
        <f ca="1"/>
        <v>-2.3521721299400098E-4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-3.6814934714217411E-3</v>
      </c>
      <c r="H102" s="92" t="s">
        <v>4</v>
      </c>
      <c r="I102" s="97">
        <f ca="1">_xll.meDateFromTenor(I101,"1D","FOLLOWING","TGT")</f>
        <v>42642</v>
      </c>
      <c r="J102" s="95">
        <f ca="1"/>
        <v>-2.8167924131290234E-3</v>
      </c>
      <c r="K102" s="5" t="s">
        <v>4</v>
      </c>
      <c r="L102" s="97">
        <f ca="1">_xll.meDateFromTenor(L101,"1D","FOLLOWING","TGT")</f>
        <v>42642</v>
      </c>
      <c r="M102" s="95">
        <f ca="1"/>
        <v>-1.797459100184802E-3</v>
      </c>
      <c r="N102" s="5" t="s">
        <v>4</v>
      </c>
      <c r="O102" s="97">
        <f ca="1">_xll.meDateFromTenor(O101,"1D","FOLLOWING","TGT")</f>
        <v>42642</v>
      </c>
      <c r="P102" s="95">
        <f ca="1"/>
        <v>-2.3579750182862232E-4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-3.6830940320691456E-3</v>
      </c>
      <c r="H103" s="92" t="s">
        <v>4</v>
      </c>
      <c r="I103" s="97">
        <f ca="1">_xll.meDateFromTenor(I102,"1D","FOLLOWING","TGT")</f>
        <v>42643</v>
      </c>
      <c r="J103" s="95">
        <f ca="1"/>
        <v>-2.8186115975478085E-3</v>
      </c>
      <c r="K103" s="5" t="s">
        <v>4</v>
      </c>
      <c r="L103" s="97">
        <f ca="1">_xll.meDateFromTenor(L102,"1D","FOLLOWING","TGT")</f>
        <v>42643</v>
      </c>
      <c r="M103" s="95">
        <f ca="1"/>
        <v>-1.7975400092234538E-3</v>
      </c>
      <c r="N103" s="5" t="s">
        <v>4</v>
      </c>
      <c r="O103" s="97">
        <f ca="1">_xll.meDateFromTenor(O102,"1D","FOLLOWING","TGT")</f>
        <v>42643</v>
      </c>
      <c r="P103" s="95">
        <f ca="1"/>
        <v>-2.3637419848031877E-4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-3.6878976180328722E-3</v>
      </c>
      <c r="H104" s="92" t="s">
        <v>4</v>
      </c>
      <c r="I104" s="97">
        <f ca="1">_xll.meDateFromTenor(I103,"1D","FOLLOWING","TGT")</f>
        <v>42646</v>
      </c>
      <c r="J104" s="95">
        <f ca="1"/>
        <v>-2.8240685253834142E-3</v>
      </c>
      <c r="K104" s="5" t="s">
        <v>4</v>
      </c>
      <c r="L104" s="97">
        <f ca="1">_xll.meDateFromTenor(L103,"1D","FOLLOWING","TGT")</f>
        <v>42646</v>
      </c>
      <c r="M104" s="95">
        <f ca="1"/>
        <v>-1.7974545664598022E-3</v>
      </c>
      <c r="N104" s="5" t="s">
        <v>4</v>
      </c>
      <c r="O104" s="97">
        <f ca="1">_xll.meDateFromTenor(O103,"1D","FOLLOWING","TGT")</f>
        <v>42646</v>
      </c>
      <c r="P104" s="95">
        <f ca="1"/>
        <v>-2.3808243347374852E-4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-3.6894995771649341E-3</v>
      </c>
      <c r="H105" s="92" t="s">
        <v>4</v>
      </c>
      <c r="I105" s="97">
        <f ca="1">_xll.meDateFromTenor(I104,"1D","FOLLOWING","TGT")</f>
        <v>42647</v>
      </c>
      <c r="J105" s="95">
        <f ca="1"/>
        <v>-2.8258875647556602E-3</v>
      </c>
      <c r="K105" s="5" t="s">
        <v>4</v>
      </c>
      <c r="L105" s="97">
        <f ca="1">_xll.meDateFromTenor(L104,"1D","FOLLOWING","TGT")</f>
        <v>42647</v>
      </c>
      <c r="M105" s="95">
        <f ca="1"/>
        <v>-1.7973151846676686E-3</v>
      </c>
      <c r="N105" s="5" t="s">
        <v>4</v>
      </c>
      <c r="O105" s="97">
        <f ca="1">_xll.meDateFromTenor(O104,"1D","FOLLOWING","TGT")</f>
        <v>42647</v>
      </c>
      <c r="P105" s="95">
        <f ca="1"/>
        <v>-2.3864445952963474E-4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-3.6911017862044024E-3</v>
      </c>
      <c r="H106" s="92" t="s">
        <v>4</v>
      </c>
      <c r="I106" s="97">
        <f ca="1">_xll.meDateFromTenor(I105,"1D","FOLLOWING","TGT")</f>
        <v>42648</v>
      </c>
      <c r="J106" s="95">
        <f ca="1"/>
        <v>-2.8277065815106098E-3</v>
      </c>
      <c r="K106" s="5" t="s">
        <v>4</v>
      </c>
      <c r="L106" s="97">
        <f ca="1">_xll.meDateFromTenor(L105,"1D","FOLLOWING","TGT")</f>
        <v>42648</v>
      </c>
      <c r="M106" s="95">
        <f ca="1"/>
        <v>-1.7971195969845521E-3</v>
      </c>
      <c r="N106" s="5" t="s">
        <v>4</v>
      </c>
      <c r="O106" s="97">
        <f ca="1">_xll.meDateFromTenor(O105,"1D","FOLLOWING","TGT")</f>
        <v>42648</v>
      </c>
      <c r="P106" s="95">
        <f ca="1"/>
        <v>-2.3920274247054055E-4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-3.6927040598065649E-3</v>
      </c>
      <c r="H107" s="92" t="s">
        <v>4</v>
      </c>
      <c r="I107" s="97">
        <f ca="1">_xll.meDateFromTenor(I106,"1D","FOLLOWING","TGT")</f>
        <v>42649</v>
      </c>
      <c r="J107" s="95">
        <f ca="1"/>
        <v>-2.8295256062555747E-3</v>
      </c>
      <c r="K107" s="5" t="s">
        <v>4</v>
      </c>
      <c r="L107" s="97">
        <f ca="1">_xll.meDateFromTenor(L106,"1D","FOLLOWING","TGT")</f>
        <v>42649</v>
      </c>
      <c r="M107" s="95">
        <f ca="1"/>
        <v>-1.7968673501371391E-3</v>
      </c>
      <c r="N107" s="5" t="s">
        <v>4</v>
      </c>
      <c r="O107" s="97">
        <f ca="1">_xll.meDateFromTenor(O106,"1D","FOLLOWING","TGT")</f>
        <v>42649</v>
      </c>
      <c r="P107" s="95">
        <f ca="1"/>
        <v>-2.3975725211005484E-4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-3.6943062126267106E-3</v>
      </c>
      <c r="H108" s="92" t="s">
        <v>4</v>
      </c>
      <c r="I108" s="97">
        <f ca="1">_xll.meDateFromTenor(I107,"1D","FOLLOWING","TGT")</f>
        <v>42650</v>
      </c>
      <c r="J108" s="95">
        <f ca="1"/>
        <v>-2.8313446376378049E-3</v>
      </c>
      <c r="K108" s="5" t="s">
        <v>4</v>
      </c>
      <c r="L108" s="97">
        <f ca="1">_xll.meDateFromTenor(L107,"1D","FOLLOWING","TGT")</f>
        <v>42650</v>
      </c>
      <c r="M108" s="95">
        <f ca="1"/>
        <v>-1.7965579908521148E-3</v>
      </c>
      <c r="N108" s="5" t="s">
        <v>4</v>
      </c>
      <c r="O108" s="97">
        <f ca="1">_xll.meDateFromTenor(O107,"1D","FOLLOWING","TGT")</f>
        <v>42650</v>
      </c>
      <c r="P108" s="95">
        <f ca="1"/>
        <v>-2.4030795826176647E-4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-3.699110092947946E-3</v>
      </c>
      <c r="H109" s="92" t="s">
        <v>4</v>
      </c>
      <c r="I109" s="97">
        <f ca="1">_xll.meDateFromTenor(I108,"1D","FOLLOWING","TGT")</f>
        <v>42653</v>
      </c>
      <c r="J109" s="95">
        <f ca="1"/>
        <v>-2.8368017172837007E-3</v>
      </c>
      <c r="K109" s="5" t="s">
        <v>4</v>
      </c>
      <c r="L109" s="97">
        <f ca="1">_xll.meDateFromTenor(L108,"1D","FOLLOWING","TGT")</f>
        <v>42653</v>
      </c>
      <c r="M109" s="95">
        <f ca="1"/>
        <v>-1.7952827056382319E-3</v>
      </c>
      <c r="N109" s="5" t="s">
        <v>4</v>
      </c>
      <c r="O109" s="97">
        <f ca="1">_xll.meDateFromTenor(O108,"1D","FOLLOWING","TGT")</f>
        <v>42653</v>
      </c>
      <c r="P109" s="95">
        <f ca="1"/>
        <v>-2.4193695392597396E-4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-3.7007099091929205E-3</v>
      </c>
      <c r="H110" s="92" t="s">
        <v>4</v>
      </c>
      <c r="I110" s="97">
        <f ca="1">_xll.meDateFromTenor(I109,"1D","FOLLOWING","TGT")</f>
        <v>42654</v>
      </c>
      <c r="J110" s="95">
        <f ca="1"/>
        <v>-2.8386207498921957E-3</v>
      </c>
      <c r="K110" s="5" t="s">
        <v>4</v>
      </c>
      <c r="L110" s="97">
        <f ca="1">_xll.meDateFromTenor(L109,"1D","FOLLOWING","TGT")</f>
        <v>42654</v>
      </c>
      <c r="M110" s="95">
        <f ca="1"/>
        <v>-1.7947403638696193E-3</v>
      </c>
      <c r="N110" s="5" t="s">
        <v>4</v>
      </c>
      <c r="O110" s="97">
        <f ca="1">_xll.meDateFromTenor(O109,"1D","FOLLOWING","TGT")</f>
        <v>42654</v>
      </c>
      <c r="P110" s="95">
        <f ca="1"/>
        <v>-2.4247214426236364E-4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-3.7023086779323249E-3</v>
      </c>
      <c r="H111" s="92" t="s">
        <v>4</v>
      </c>
      <c r="I111" s="97">
        <f ca="1">_xll.meDateFromTenor(I110,"1D","FOLLOWING","TGT")</f>
        <v>42655</v>
      </c>
      <c r="J111" s="95">
        <f ca="1"/>
        <v>-2.8404397941695007E-3</v>
      </c>
      <c r="K111" s="5" t="s">
        <v>4</v>
      </c>
      <c r="L111" s="97">
        <f ca="1">_xll.meDateFromTenor(L110,"1D","FOLLOWING","TGT")</f>
        <v>42655</v>
      </c>
      <c r="M111" s="95">
        <f ca="1"/>
        <v>-1.7941386432968238E-3</v>
      </c>
      <c r="N111" s="5" t="s">
        <v>4</v>
      </c>
      <c r="O111" s="97">
        <f ca="1">_xll.meDateFromTenor(O110,"1D","FOLLOWING","TGT")</f>
        <v>42655</v>
      </c>
      <c r="P111" s="95">
        <f ca="1"/>
        <v>-2.4300338017889492E-4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-3.7039062138214496E-3</v>
      </c>
      <c r="H112" s="92" t="s">
        <v>4</v>
      </c>
      <c r="I112" s="97">
        <f ca="1">_xll.meDateFromTenor(I111,"1D","FOLLOWING","TGT")</f>
        <v>42656</v>
      </c>
      <c r="J112" s="95">
        <f ca="1"/>
        <v>-2.8422588060193913E-3</v>
      </c>
      <c r="K112" s="5" t="s">
        <v>4</v>
      </c>
      <c r="L112" s="97">
        <f ca="1">_xll.meDateFromTenor(L111,"1D","FOLLOWING","TGT")</f>
        <v>42656</v>
      </c>
      <c r="M112" s="95">
        <f ca="1"/>
        <v>-1.7934770906465312E-3</v>
      </c>
      <c r="N112" s="5" t="s">
        <v>4</v>
      </c>
      <c r="O112" s="97">
        <f ca="1">_xll.meDateFromTenor(O111,"1D","FOLLOWING","TGT")</f>
        <v>42656</v>
      </c>
      <c r="P112" s="95">
        <f ca="1"/>
        <v>-2.4353063148915675E-4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-3.7055023315155831E-3</v>
      </c>
      <c r="H113" s="92" t="s">
        <v>4</v>
      </c>
      <c r="I113" s="97">
        <f ca="1">_xll.meDateFromTenor(I112,"1D","FOLLOWING","TGT")</f>
        <v>42657</v>
      </c>
      <c r="J113" s="95">
        <f ca="1"/>
        <v>-2.8440777737730582E-3</v>
      </c>
      <c r="K113" s="5" t="s">
        <v>4</v>
      </c>
      <c r="L113" s="97">
        <f ca="1">_xll.meDateFromTenor(L112,"1D","FOLLOWING","TGT")</f>
        <v>42657</v>
      </c>
      <c r="M113" s="95">
        <f ca="1"/>
        <v>-1.7927552526454268E-3</v>
      </c>
      <c r="N113" s="5" t="s">
        <v>4</v>
      </c>
      <c r="O113" s="97">
        <f ca="1">_xll.meDateFromTenor(O112,"1D","FOLLOWING","TGT")</f>
        <v>42657</v>
      </c>
      <c r="P113" s="95">
        <f ca="1"/>
        <v>-2.4405386800673798E-4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-3.7102803219809261E-3</v>
      </c>
      <c r="H114" s="92" t="s">
        <v>4</v>
      </c>
      <c r="I114" s="97">
        <f ca="1">_xll.meDateFromTenor(I113,"1D","FOLLOWING","TGT")</f>
        <v>42660</v>
      </c>
      <c r="J114" s="95">
        <f ca="1"/>
        <v>-2.849534918273782E-3</v>
      </c>
      <c r="K114" s="5" t="s">
        <v>4</v>
      </c>
      <c r="L114" s="97">
        <f ca="1">_xll.meDateFromTenor(L113,"1D","FOLLOWING","TGT")</f>
        <v>42660</v>
      </c>
      <c r="M114" s="95">
        <f ca="1"/>
        <v>-1.790223493804099E-3</v>
      </c>
      <c r="N114" s="5" t="s">
        <v>4</v>
      </c>
      <c r="O114" s="97">
        <f ca="1">_xll.meDateFromTenor(O113,"1D","FOLLOWING","TGT")</f>
        <v>42660</v>
      </c>
      <c r="P114" s="95">
        <f ca="1"/>
        <v>-2.4559918693928685E-4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-3.7118689134479858E-3</v>
      </c>
      <c r="H115" s="92" t="s">
        <v>4</v>
      </c>
      <c r="I115" s="97">
        <f ca="1">_xll.meDateFromTenor(I114,"1D","FOLLOWING","TGT")</f>
        <v>42661</v>
      </c>
      <c r="J115" s="95">
        <f ca="1"/>
        <v>-2.8513531065432465E-3</v>
      </c>
      <c r="K115" s="5" t="s">
        <v>4</v>
      </c>
      <c r="L115" s="97">
        <f ca="1">_xll.meDateFromTenor(L114,"1D","FOLLOWING","TGT")</f>
        <v>42661</v>
      </c>
      <c r="M115" s="95">
        <f ca="1"/>
        <v>-1.7892559816666039E-3</v>
      </c>
      <c r="N115" s="5" t="s">
        <v>4</v>
      </c>
      <c r="O115" s="97">
        <f ca="1">_xll.meDateFromTenor(O114,"1D","FOLLOWING","TGT")</f>
        <v>42661</v>
      </c>
      <c r="P115" s="95">
        <f ca="1"/>
        <v>-2.4610606242203434E-4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-3.7134551599965018E-3</v>
      </c>
      <c r="H116" s="92" t="s">
        <v>4</v>
      </c>
      <c r="I116" s="97">
        <f ca="1">_xll.meDateFromTenor(I115,"1D","FOLLOWING","TGT")</f>
        <v>42662</v>
      </c>
      <c r="J116" s="95">
        <f ca="1"/>
        <v>-2.8531729744009776E-3</v>
      </c>
      <c r="K116" s="5" t="s">
        <v>4</v>
      </c>
      <c r="L116" s="97">
        <f ca="1">_xll.meDateFromTenor(L115,"1D","FOLLOWING","TGT")</f>
        <v>42662</v>
      </c>
      <c r="M116" s="95">
        <f ca="1"/>
        <v>-1.7882259178117249E-3</v>
      </c>
      <c r="N116" s="5" t="s">
        <v>4</v>
      </c>
      <c r="O116" s="97">
        <f ca="1">_xll.meDateFromTenor(O115,"1D","FOLLOWING","TGT")</f>
        <v>42662</v>
      </c>
      <c r="P116" s="95">
        <f ca="1"/>
        <v>-2.4660877218004565E-4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-3.7150388762817606E-3</v>
      </c>
      <c r="H117" s="92" t="s">
        <v>4</v>
      </c>
      <c r="I117" s="97">
        <f ca="1">_xll.meDateFromTenor(I116,"1D","FOLLOWING","TGT")</f>
        <v>42663</v>
      </c>
      <c r="J117" s="95">
        <f ca="1"/>
        <v>-2.8549964612637137E-3</v>
      </c>
      <c r="K117" s="5" t="s">
        <v>4</v>
      </c>
      <c r="L117" s="97">
        <f ca="1">_xll.meDateFromTenor(L116,"1D","FOLLOWING","TGT")</f>
        <v>42663</v>
      </c>
      <c r="M117" s="95">
        <f ca="1"/>
        <v>-1.7871328489661483E-3</v>
      </c>
      <c r="N117" s="5" t="s">
        <v>4</v>
      </c>
      <c r="O117" s="97">
        <f ca="1">_xll.meDateFromTenor(O116,"1D","FOLLOWING","TGT")</f>
        <v>42663</v>
      </c>
      <c r="P117" s="95">
        <f ca="1"/>
        <v>-2.4710728602690956E-4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-3.7166198769590544E-3</v>
      </c>
      <c r="H118" s="92" t="s">
        <v>4</v>
      </c>
      <c r="I118" s="97">
        <f ca="1">_xll.meDateFromTenor(I117,"1D","FOLLOWING","TGT")</f>
        <v>42664</v>
      </c>
      <c r="J118" s="95">
        <f ca="1"/>
        <v>-2.8568216277171364E-3</v>
      </c>
      <c r="K118" s="5" t="s">
        <v>4</v>
      </c>
      <c r="L118" s="97">
        <f ca="1">_xll.meDateFromTenor(L117,"1D","FOLLOWING","TGT")</f>
        <v>42664</v>
      </c>
      <c r="M118" s="95">
        <f ca="1"/>
        <v>-1.7859763218565589E-3</v>
      </c>
      <c r="N118" s="5" t="s">
        <v>4</v>
      </c>
      <c r="O118" s="97">
        <f ca="1">_xll.meDateFromTenor(O117,"1D","FOLLOWING","TGT")</f>
        <v>42664</v>
      </c>
      <c r="P118" s="95">
        <f ca="1"/>
        <v>-2.4760157377621498E-4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-3.721344731896027E-3</v>
      </c>
      <c r="H119" s="92" t="s">
        <v>4</v>
      </c>
      <c r="I119" s="97">
        <f ca="1">_xll.meDateFromTenor(I118,"1D","FOLLOWING","TGT")</f>
        <v>42667</v>
      </c>
      <c r="J119" s="95">
        <f ca="1"/>
        <v>-2.8622945473681383E-3</v>
      </c>
      <c r="K119" s="5" t="s">
        <v>4</v>
      </c>
      <c r="L119" s="97">
        <f ca="1">_xll.meDateFromTenor(L118,"1D","FOLLOWING","TGT")</f>
        <v>42667</v>
      </c>
      <c r="M119" s="95">
        <f ca="1"/>
        <v>-1.7821214582105737E-3</v>
      </c>
      <c r="N119" s="5" t="s">
        <v>4</v>
      </c>
      <c r="O119" s="97">
        <f ca="1">_xll.meDateFromTenor(O118,"1D","FOLLOWING","TGT")</f>
        <v>42667</v>
      </c>
      <c r="P119" s="95">
        <f ca="1"/>
        <v>-2.4905877857466863E-4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-3.7229130166943473E-3</v>
      </c>
      <c r="H120" s="92" t="s">
        <v>4</v>
      </c>
      <c r="I120" s="97">
        <f ca="1">_xll.meDateFromTenor(I119,"1D","FOLLOWING","TGT")</f>
        <v>42668</v>
      </c>
      <c r="J120" s="95">
        <f ca="1"/>
        <v>-2.8641189343494538E-3</v>
      </c>
      <c r="K120" s="5" t="s">
        <v>4</v>
      </c>
      <c r="L120" s="97">
        <f ca="1">_xll.meDateFromTenor(L119,"1D","FOLLOWING","TGT")</f>
        <v>42668</v>
      </c>
      <c r="M120" s="95">
        <f ca="1"/>
        <v>-1.7807065653117917E-3</v>
      </c>
      <c r="N120" s="5" t="s">
        <v>4</v>
      </c>
      <c r="O120" s="97">
        <f ca="1">_xll.meDateFromTenor(O119,"1D","FOLLOWING","TGT")</f>
        <v>42668</v>
      </c>
      <c r="P120" s="95">
        <f ca="1"/>
        <v>-2.4953586006962858E-4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-3.7244776591611461E-3</v>
      </c>
      <c r="H121" s="92" t="s">
        <v>4</v>
      </c>
      <c r="I121" s="97">
        <f ca="1">_xll.meDateFromTenor(I120,"1D","FOLLOWING","TGT")</f>
        <v>42669</v>
      </c>
      <c r="J121" s="95">
        <f ca="1"/>
        <v>-2.8659432772708319E-3</v>
      </c>
      <c r="K121" s="5" t="s">
        <v>4</v>
      </c>
      <c r="L121" s="97">
        <f ca="1">_xll.meDateFromTenor(L120,"1D","FOLLOWING","TGT")</f>
        <v>42669</v>
      </c>
      <c r="M121" s="95">
        <f ca="1"/>
        <v>-1.779225947782425E-3</v>
      </c>
      <c r="N121" s="5" t="s">
        <v>4</v>
      </c>
      <c r="O121" s="97">
        <f ca="1">_xll.meDateFromTenor(O120,"1D","FOLLOWING","TGT")</f>
        <v>42669</v>
      </c>
      <c r="P121" s="95">
        <f ca="1"/>
        <v>-2.5000856453497445E-4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-3.7260384739517152E-3</v>
      </c>
      <c r="H122" s="92" t="s">
        <v>4</v>
      </c>
      <c r="I122" s="97">
        <f ca="1">_xll.meDateFromTenor(I121,"1D","FOLLOWING","TGT")</f>
        <v>42670</v>
      </c>
      <c r="J122" s="95">
        <f ca="1"/>
        <v>-2.8677675876656126E-3</v>
      </c>
      <c r="K122" s="5" t="s">
        <v>4</v>
      </c>
      <c r="L122" s="97">
        <f ca="1">_xll.meDateFromTenor(L121,"1D","FOLLOWING","TGT")</f>
        <v>42670</v>
      </c>
      <c r="M122" s="95">
        <f ca="1"/>
        <v>-1.7776791523491599E-3</v>
      </c>
      <c r="N122" s="5" t="s">
        <v>4</v>
      </c>
      <c r="O122" s="97">
        <f ca="1">_xll.meDateFromTenor(O121,"1D","FOLLOWING","TGT")</f>
        <v>42670</v>
      </c>
      <c r="P122" s="95">
        <f ca="1"/>
        <v>-2.5047686178429493E-4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-3.7275952757213427E-3</v>
      </c>
      <c r="H123" s="92" t="s">
        <v>4</v>
      </c>
      <c r="I123" s="97">
        <f ca="1">_xll.meDateFromTenor(I122,"1D","FOLLOWING","TGT")</f>
        <v>42671</v>
      </c>
      <c r="J123" s="95">
        <f ca="1"/>
        <v>-2.869591909593734E-3</v>
      </c>
      <c r="K123" s="5" t="s">
        <v>4</v>
      </c>
      <c r="L123" s="97">
        <f ca="1">_xll.meDateFromTenor(L122,"1D","FOLLOWING","TGT")</f>
        <v>42671</v>
      </c>
      <c r="M123" s="95">
        <f ca="1"/>
        <v>-1.7760657257386819E-3</v>
      </c>
      <c r="N123" s="5" t="s">
        <v>4</v>
      </c>
      <c r="O123" s="97">
        <f ca="1">_xll.meDateFromTenor(O122,"1D","FOLLOWING","TGT")</f>
        <v>42671</v>
      </c>
      <c r="P123" s="95">
        <f ca="1"/>
        <v>-2.5094072163117897E-4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-3.7322397494574657E-3</v>
      </c>
      <c r="H124" s="92" t="s">
        <v>4</v>
      </c>
      <c r="I124" s="97">
        <f ca="1">_xll.meDateFromTenor(I123,"1D","FOLLOWING","TGT")</f>
        <v>42674</v>
      </c>
      <c r="J124" s="95">
        <f ca="1"/>
        <v>-2.8750648942979301E-3</v>
      </c>
      <c r="K124" s="5" t="s">
        <v>4</v>
      </c>
      <c r="L124" s="97">
        <f ca="1">_xll.meDateFromTenor(L123,"1D","FOLLOWING","TGT")</f>
        <v>42674</v>
      </c>
      <c r="M124" s="95">
        <f ca="1"/>
        <v>-1.7708211261108261E-3</v>
      </c>
      <c r="N124" s="5" t="s">
        <v>4</v>
      </c>
      <c r="O124" s="97">
        <f ca="1">_xll.meDateFromTenor(O123,"1D","FOLLOWING","TGT")</f>
        <v>42674</v>
      </c>
      <c r="P124" s="95">
        <f ca="1"/>
        <v>-2.5230537489310108E-4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-3.7337786456962184E-3</v>
      </c>
      <c r="H125" s="92" t="s">
        <v>4</v>
      </c>
      <c r="I125" s="97">
        <f ca="1">_xll.meDateFromTenor(I124,"1D","FOLLOWING","TGT")</f>
        <v>42675</v>
      </c>
      <c r="J125" s="95">
        <f ca="1"/>
        <v>-2.8768892150598351E-3</v>
      </c>
      <c r="K125" s="5" t="s">
        <v>4</v>
      </c>
      <c r="L125" s="97">
        <f ca="1">_xll.meDateFromTenor(L124,"1D","FOLLOWING","TGT")</f>
        <v>42675</v>
      </c>
      <c r="M125" s="95">
        <f ca="1"/>
        <v>-1.7689366420583523E-3</v>
      </c>
      <c r="N125" s="5" t="s">
        <v>4</v>
      </c>
      <c r="O125" s="97">
        <f ca="1">_xll.meDateFromTenor(O124,"1D","FOLLOWING","TGT")</f>
        <v>42675</v>
      </c>
      <c r="P125" s="95">
        <f ca="1"/>
        <v>-2.5275118326612803E-4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-3.7353126021904761E-3</v>
      </c>
      <c r="H126" s="92" t="s">
        <v>4</v>
      </c>
      <c r="I126" s="97">
        <f ca="1">_xll.meDateFromTenor(I125,"1D","FOLLOWING","TGT")</f>
        <v>42676</v>
      </c>
      <c r="J126" s="95">
        <f ca="1"/>
        <v>-2.8787135476140888E-3</v>
      </c>
      <c r="K126" s="5" t="s">
        <v>4</v>
      </c>
      <c r="L126" s="97">
        <f ca="1">_xll.meDateFromTenor(L125,"1D","FOLLOWING","TGT")</f>
        <v>42676</v>
      </c>
      <c r="M126" s="95">
        <f ca="1"/>
        <v>-1.7669832604620939E-3</v>
      </c>
      <c r="N126" s="5" t="s">
        <v>4</v>
      </c>
      <c r="O126" s="97">
        <f ca="1">_xll.meDateFromTenor(O125,"1D","FOLLOWING","TGT")</f>
        <v>42676</v>
      </c>
      <c r="P126" s="95">
        <f ca="1"/>
        <v>-2.5319240330466284E-4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-3.7368416033131862E-3</v>
      </c>
      <c r="H127" s="92" t="s">
        <v>4</v>
      </c>
      <c r="I127" s="97">
        <f ca="1">_xll.meDateFromTenor(I126,"1D","FOLLOWING","TGT")</f>
        <v>42677</v>
      </c>
      <c r="J127" s="95">
        <f ca="1"/>
        <v>-2.8805378952003339E-3</v>
      </c>
      <c r="K127" s="5" t="s">
        <v>4</v>
      </c>
      <c r="L127" s="97">
        <f ca="1">_xll.meDateFromTenor(L126,"1D","FOLLOWING","TGT")</f>
        <v>42677</v>
      </c>
      <c r="M127" s="95">
        <f ca="1"/>
        <v>-1.7649605280487359E-3</v>
      </c>
      <c r="N127" s="5" t="s">
        <v>4</v>
      </c>
      <c r="O127" s="97">
        <f ca="1">_xll.meDateFromTenor(O126,"1D","FOLLOWING","TGT")</f>
        <v>42677</v>
      </c>
      <c r="P127" s="95">
        <f ca="1"/>
        <v>-2.5362900482229448E-4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-3.7383663123079286E-3</v>
      </c>
      <c r="H128" s="92" t="s">
        <v>4</v>
      </c>
      <c r="I128" s="97">
        <f ca="1">_xll.meDateFromTenor(I127,"1D","FOLLOWING","TGT")</f>
        <v>42678</v>
      </c>
      <c r="J128" s="95">
        <f ca="1"/>
        <v>-2.8823622009302476E-3</v>
      </c>
      <c r="K128" s="5" t="s">
        <v>4</v>
      </c>
      <c r="L128" s="97">
        <f ca="1">_xll.meDateFromTenor(L127,"1D","FOLLOWING","TGT")</f>
        <v>42678</v>
      </c>
      <c r="M128" s="95">
        <f ca="1"/>
        <v>-1.7628679915449646E-3</v>
      </c>
      <c r="N128" s="5" t="s">
        <v>4</v>
      </c>
      <c r="O128" s="97">
        <f ca="1">_xll.meDateFromTenor(O127,"1D","FOLLOWING","TGT")</f>
        <v>42678</v>
      </c>
      <c r="P128" s="95">
        <f ca="1"/>
        <v>-2.5406095763261168E-4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-3.7429230161367473E-3</v>
      </c>
      <c r="H129" s="92" t="s">
        <v>4</v>
      </c>
      <c r="I129" s="97">
        <f ca="1">_xll.meDateFromTenor(I128,"1D","FOLLOWING","TGT")</f>
        <v>42681</v>
      </c>
      <c r="J129" s="95">
        <f ca="1"/>
        <v>-2.8878354712422675E-3</v>
      </c>
      <c r="K129" s="5" t="s">
        <v>4</v>
      </c>
      <c r="L129" s="97">
        <f ca="1">_xll.meDateFromTenor(L128,"1D","FOLLOWING","TGT")</f>
        <v>42681</v>
      </c>
      <c r="M129" s="95">
        <f ca="1"/>
        <v>-1.7561670247580254E-3</v>
      </c>
      <c r="N129" s="5" t="s">
        <v>4</v>
      </c>
      <c r="O129" s="97">
        <f ca="1">_xll.meDateFromTenor(O128,"1D","FOLLOWING","TGT")</f>
        <v>42681</v>
      </c>
      <c r="P129" s="95">
        <f ca="1"/>
        <v>-2.553286219555658E-4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-3.7444388862320145E-3</v>
      </c>
      <c r="H130" s="92" t="s">
        <v>4</v>
      </c>
      <c r="I130" s="97">
        <f ca="1">_xll.meDateFromTenor(I129,"1D","FOLLOWING","TGT")</f>
        <v>42682</v>
      </c>
      <c r="J130" s="95">
        <f ca="1"/>
        <v>-2.889659507562565E-3</v>
      </c>
      <c r="K130" s="5" t="s">
        <v>4</v>
      </c>
      <c r="L130" s="97">
        <f ca="1">_xll.meDateFromTenor(L129,"1D","FOLLOWING","TGT")</f>
        <v>42682</v>
      </c>
      <c r="M130" s="95">
        <f ca="1"/>
        <v>-1.7537907391594557E-3</v>
      </c>
      <c r="N130" s="5" t="s">
        <v>4</v>
      </c>
      <c r="O130" s="97">
        <f ca="1">_xll.meDateFromTenor(O129,"1D","FOLLOWING","TGT")</f>
        <v>42682</v>
      </c>
      <c r="P130" s="95">
        <f ca="1"/>
        <v>-2.5574167807251424E-4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-3.7459546290055101E-3</v>
      </c>
      <c r="H131" s="92" t="s">
        <v>4</v>
      </c>
      <c r="I131" s="97">
        <f ca="1">_xll.meDateFromTenor(I130,"1D","FOLLOWING","TGT")</f>
        <v>42683</v>
      </c>
      <c r="J131" s="95">
        <f ca="1"/>
        <v>-2.8914827506860055E-3</v>
      </c>
      <c r="K131" s="5" t="s">
        <v>4</v>
      </c>
      <c r="L131" s="97">
        <f ca="1">_xll.meDateFromTenor(L130,"1D","FOLLOWING","TGT")</f>
        <v>42683</v>
      </c>
      <c r="M131" s="95">
        <f ca="1"/>
        <v>-1.7513423831039007E-3</v>
      </c>
      <c r="N131" s="5" t="s">
        <v>4</v>
      </c>
      <c r="O131" s="97">
        <f ca="1">_xll.meDateFromTenor(O130,"1D","FOLLOWING","TGT")</f>
        <v>42683</v>
      </c>
      <c r="P131" s="95">
        <f ca="1"/>
        <v>-2.5614993455009264E-4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-3.747471077418474E-3</v>
      </c>
      <c r="H132" s="92" t="s">
        <v>4</v>
      </c>
      <c r="I132" s="97">
        <f ca="1">_xll.meDateFromTenor(I131,"1D","FOLLOWING","TGT")</f>
        <v>42684</v>
      </c>
      <c r="J132" s="95">
        <f ca="1"/>
        <v>-2.8933081608787238E-3</v>
      </c>
      <c r="K132" s="5" t="s">
        <v>4</v>
      </c>
      <c r="L132" s="97">
        <f ca="1">_xll.meDateFromTenor(L131,"1D","FOLLOWING","TGT")</f>
        <v>42684</v>
      </c>
      <c r="M132" s="95">
        <f ca="1"/>
        <v>-1.7488215033180463E-3</v>
      </c>
      <c r="N132" s="5" t="s">
        <v>4</v>
      </c>
      <c r="O132" s="97">
        <f ca="1">_xll.meDateFromTenor(O131,"1D","FOLLOWING","TGT")</f>
        <v>42684</v>
      </c>
      <c r="P132" s="95">
        <f ca="1"/>
        <v>-2.5655336120188987E-4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-3.7489890644321461E-3</v>
      </c>
      <c r="H133" s="92" t="s">
        <v>4</v>
      </c>
      <c r="I133" s="97">
        <f ca="1">_xll.meDateFromTenor(I132,"1D","FOLLOWING","TGT")</f>
        <v>42685</v>
      </c>
      <c r="J133" s="95">
        <f ca="1"/>
        <v>-2.8951365313375772E-3</v>
      </c>
      <c r="K133" s="5" t="s">
        <v>4</v>
      </c>
      <c r="L133" s="97">
        <f ca="1">_xll.meDateFromTenor(L132,"1D","FOLLOWING","TGT")</f>
        <v>42685</v>
      </c>
      <c r="M133" s="95">
        <f ca="1"/>
        <v>-1.7462276465285771E-3</v>
      </c>
      <c r="N133" s="5" t="s">
        <v>4</v>
      </c>
      <c r="O133" s="97">
        <f ca="1">_xll.meDateFromTenor(O132,"1D","FOLLOWING","TGT")</f>
        <v>42685</v>
      </c>
      <c r="P133" s="95">
        <f ca="1"/>
        <v>-2.5695192784149482E-4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-3.753560586689797E-3</v>
      </c>
      <c r="H134" s="92" t="s">
        <v>4</v>
      </c>
      <c r="I134" s="97">
        <f ca="1">_xll.meDateFromTenor(I133,"1D","FOLLOWING","TGT")</f>
        <v>42688</v>
      </c>
      <c r="J134" s="95">
        <f ca="1"/>
        <v>-2.9006054675110413E-3</v>
      </c>
      <c r="K134" s="5" t="s">
        <v>4</v>
      </c>
      <c r="L134" s="97">
        <f ca="1">_xll.meDateFromTenor(L133,"1D","FOLLOWING","TGT")</f>
        <v>42688</v>
      </c>
      <c r="M134" s="95">
        <f ca="1"/>
        <v>-1.7380036814053413E-3</v>
      </c>
      <c r="N134" s="5" t="s">
        <v>4</v>
      </c>
      <c r="O134" s="97">
        <f ca="1">_xll.meDateFromTenor(O133,"1D","FOLLOWING","TGT")</f>
        <v>42688</v>
      </c>
      <c r="P134" s="95">
        <f ca="1"/>
        <v>-2.5811816582304442E-4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-3.7550930577186902E-3</v>
      </c>
      <c r="H135" s="92" t="s">
        <v>4</v>
      </c>
      <c r="I135" s="97">
        <f ca="1">_xll.meDateFromTenor(I134,"1D","FOLLOWING","TGT")</f>
        <v>42689</v>
      </c>
      <c r="J135" s="95">
        <f ca="1"/>
        <v>-2.9024861170421756E-3</v>
      </c>
      <c r="K135" s="5" t="s">
        <v>4</v>
      </c>
      <c r="L135" s="97">
        <f ca="1">_xll.meDateFromTenor(L134,"1D","FOLLOWING","TGT")</f>
        <v>42689</v>
      </c>
      <c r="M135" s="95">
        <f ca="1"/>
        <v>-1.7351133838682715E-3</v>
      </c>
      <c r="N135" s="5" t="s">
        <v>4</v>
      </c>
      <c r="O135" s="97">
        <f ca="1">_xll.meDateFromTenor(O134,"1D","FOLLOWING","TGT")</f>
        <v>42689</v>
      </c>
      <c r="P135" s="95">
        <f ca="1"/>
        <v>-2.5849699054976888E-4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-3.7566312321544869E-3</v>
      </c>
      <c r="H136" s="92" t="s">
        <v>4</v>
      </c>
      <c r="I136" s="97">
        <f ca="1">_xll.meDateFromTenor(I135,"1D","FOLLOWING","TGT")</f>
        <v>42690</v>
      </c>
      <c r="J136" s="95">
        <f ca="1"/>
        <v>-2.9042541208272E-3</v>
      </c>
      <c r="K136" s="5" t="s">
        <v>4</v>
      </c>
      <c r="L136" s="97">
        <f ca="1">_xll.meDateFromTenor(L135,"1D","FOLLOWING","TGT")</f>
        <v>42690</v>
      </c>
      <c r="M136" s="95">
        <f ca="1"/>
        <v>-1.7321478429610162E-3</v>
      </c>
      <c r="N136" s="5" t="s">
        <v>4</v>
      </c>
      <c r="O136" s="97">
        <f ca="1">_xll.meDateFromTenor(O135,"1D","FOLLOWING","TGT")</f>
        <v>42690</v>
      </c>
      <c r="P136" s="95">
        <f ca="1"/>
        <v>-2.588708043322453E-4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-3.7581759429584256E-3</v>
      </c>
      <c r="H137" s="92" t="s">
        <v>4</v>
      </c>
      <c r="I137" s="97">
        <f ca="1">_xll.meDateFromTenor(I136,"1D","FOLLOWING","TGT")</f>
        <v>42691</v>
      </c>
      <c r="J137" s="95">
        <f ca="1"/>
        <v>-2.9057794685046685E-3</v>
      </c>
      <c r="K137" s="5" t="s">
        <v>4</v>
      </c>
      <c r="L137" s="97">
        <f ca="1">_xll.meDateFromTenor(L136,"1D","FOLLOWING","TGT")</f>
        <v>42691</v>
      </c>
      <c r="M137" s="95">
        <f ca="1"/>
        <v>-1.7291066054102599E-3</v>
      </c>
      <c r="N137" s="5" t="s">
        <v>4</v>
      </c>
      <c r="O137" s="97">
        <f ca="1">_xll.meDateFromTenor(O136,"1D","FOLLOWING","TGT")</f>
        <v>42691</v>
      </c>
      <c r="P137" s="95">
        <f ca="1"/>
        <v>-2.5923957698406266E-4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-3.7597280230917468E-3</v>
      </c>
      <c r="H138" s="92" t="s">
        <v>4</v>
      </c>
      <c r="I138" s="97">
        <f ca="1">_xll.meDateFromTenor(I137,"1D","FOLLOWING","TGT")</f>
        <v>42692</v>
      </c>
      <c r="J138" s="95">
        <f ca="1"/>
        <v>-2.9071925408885638E-3</v>
      </c>
      <c r="K138" s="5" t="s">
        <v>4</v>
      </c>
      <c r="L138" s="97">
        <f ca="1">_xll.meDateFromTenor(L137,"1D","FOLLOWING","TGT")</f>
        <v>42692</v>
      </c>
      <c r="M138" s="95">
        <f ca="1"/>
        <v>-1.7259892179426893E-3</v>
      </c>
      <c r="N138" s="5" t="s">
        <v>4</v>
      </c>
      <c r="O138" s="97">
        <f ca="1">_xll.meDateFromTenor(O137,"1D","FOLLOWING","TGT")</f>
        <v>42692</v>
      </c>
      <c r="P138" s="95">
        <f ca="1"/>
        <v>-2.596032783188098E-4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-3.7644368090803911E-3</v>
      </c>
      <c r="H139" s="92" t="s">
        <v>4</v>
      </c>
      <c r="I139" s="97">
        <f ca="1">_xll.meDateFromTenor(I138,"1D","FOLLOWING","TGT")</f>
        <v>42695</v>
      </c>
      <c r="J139" s="95">
        <f ca="1"/>
        <v>-2.9116021772924395E-3</v>
      </c>
      <c r="K139" s="5" t="s">
        <v>4</v>
      </c>
      <c r="L139" s="97">
        <f ca="1">_xll.meDateFromTenor(L138,"1D","FOLLOWING","TGT")</f>
        <v>42695</v>
      </c>
      <c r="M139" s="95">
        <f ca="1"/>
        <v>-1.7161756233059437E-3</v>
      </c>
      <c r="N139" s="5" t="s">
        <v>4</v>
      </c>
      <c r="O139" s="97">
        <f ca="1">_xll.meDateFromTenor(O138,"1D","FOLLOWING","TGT")</f>
        <v>42695</v>
      </c>
      <c r="P139" s="95">
        <f ca="1"/>
        <v>-2.6066365255651859E-4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-3.7660266961436306E-3</v>
      </c>
      <c r="H140" s="92" t="s">
        <v>4</v>
      </c>
      <c r="I140" s="97">
        <f ca="1">_xll.meDateFromTenor(I139,"1D","FOLLOWING","TGT")</f>
        <v>42696</v>
      </c>
      <c r="J140" s="95">
        <f ca="1"/>
        <v>-2.9130693810112914E-3</v>
      </c>
      <c r="K140" s="5" t="s">
        <v>4</v>
      </c>
      <c r="L140" s="97">
        <f ca="1">_xll.meDateFromTenor(L139,"1D","FOLLOWING","TGT")</f>
        <v>42696</v>
      </c>
      <c r="M140" s="95">
        <f ca="1"/>
        <v>-1.71274910343797E-3</v>
      </c>
      <c r="N140" s="5" t="s">
        <v>4</v>
      </c>
      <c r="O140" s="97">
        <f ca="1">_xll.meDateFromTenor(O139,"1D","FOLLOWING","TGT")</f>
        <v>42696</v>
      </c>
      <c r="P140" s="95">
        <f ca="1"/>
        <v>-2.610067667588735E-4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-3.7676281173424481E-3</v>
      </c>
      <c r="H141" s="92" t="s">
        <v>4</v>
      </c>
      <c r="I141" s="97">
        <f ca="1">_xll.meDateFromTenor(I140,"1D","FOLLOWING","TGT")</f>
        <v>42697</v>
      </c>
      <c r="J141" s="95">
        <f ca="1"/>
        <v>-2.9145451017843077E-3</v>
      </c>
      <c r="K141" s="5" t="s">
        <v>4</v>
      </c>
      <c r="L141" s="97">
        <f ca="1">_xll.meDateFromTenor(L140,"1D","FOLLOWING","TGT")</f>
        <v>42697</v>
      </c>
      <c r="M141" s="95">
        <f ca="1"/>
        <v>-1.7092441672866092E-3</v>
      </c>
      <c r="N141" s="5" t="s">
        <v>4</v>
      </c>
      <c r="O141" s="97">
        <f ca="1">_xll.meDateFromTenor(O140,"1D","FOLLOWING","TGT")</f>
        <v>42697</v>
      </c>
      <c r="P141" s="95">
        <f ca="1"/>
        <v>-2.6134465871210255E-4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-3.7692419056380815E-3</v>
      </c>
      <c r="H142" s="92" t="s">
        <v>4</v>
      </c>
      <c r="I142" s="97">
        <f ca="1">_xll.meDateFromTenor(I141,"1D","FOLLOWING","TGT")</f>
        <v>42698</v>
      </c>
      <c r="J142" s="95">
        <f ca="1"/>
        <v>-2.9160078010726552E-3</v>
      </c>
      <c r="K142" s="5" t="s">
        <v>4</v>
      </c>
      <c r="L142" s="97">
        <f ca="1">_xll.meDateFromTenor(L141,"1D","FOLLOWING","TGT")</f>
        <v>42698</v>
      </c>
      <c r="M142" s="95">
        <f ca="1"/>
        <v>-1.7056603615785476E-3</v>
      </c>
      <c r="N142" s="5" t="s">
        <v>4</v>
      </c>
      <c r="O142" s="97">
        <f ca="1">_xll.meDateFromTenor(O141,"1D","FOLLOWING","TGT")</f>
        <v>42698</v>
      </c>
      <c r="P142" s="95">
        <f ca="1"/>
        <v>-2.6167729822979457E-4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-3.7708688939917718E-3</v>
      </c>
      <c r="H143" s="92" t="s">
        <v>4</v>
      </c>
      <c r="I143" s="97">
        <f ca="1">_xll.meDateFromTenor(I142,"1D","FOLLOWING","TGT")</f>
        <v>42699</v>
      </c>
      <c r="J143" s="95">
        <f ca="1"/>
        <v>-2.9174489618221701E-3</v>
      </c>
      <c r="K143" s="5" t="s">
        <v>4</v>
      </c>
      <c r="L143" s="97">
        <f ca="1">_xll.meDateFromTenor(L142,"1D","FOLLOWING","TGT")</f>
        <v>42699</v>
      </c>
      <c r="M143" s="95">
        <f ca="1"/>
        <v>-1.7019972330404702E-3</v>
      </c>
      <c r="N143" s="5" t="s">
        <v>4</v>
      </c>
      <c r="O143" s="97">
        <f ca="1">_xll.meDateFromTenor(O142,"1D","FOLLOWING","TGT")</f>
        <v>42699</v>
      </c>
      <c r="P143" s="95">
        <f ca="1"/>
        <v>-2.6200465512553843E-4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-3.7758373890135711E-3</v>
      </c>
      <c r="H144" s="92" t="s">
        <v>4</v>
      </c>
      <c r="I144" s="97">
        <f ca="1">_xll.meDateFromTenor(I143,"1D","FOLLOWING","TGT")</f>
        <v>42702</v>
      </c>
      <c r="J144" s="95">
        <f ca="1"/>
        <v>-2.9218846411953828E-3</v>
      </c>
      <c r="K144" s="5" t="s">
        <v>4</v>
      </c>
      <c r="L144" s="97">
        <f ca="1">_xll.meDateFromTenor(L143,"1D","FOLLOWING","TGT")</f>
        <v>42702</v>
      </c>
      <c r="M144" s="95">
        <f ca="1"/>
        <v>-1.6905273777130028E-3</v>
      </c>
      <c r="N144" s="5" t="s">
        <v>4</v>
      </c>
      <c r="O144" s="97">
        <f ca="1">_xll.meDateFromTenor(O143,"1D","FOLLOWING","TGT")</f>
        <v>42702</v>
      </c>
      <c r="P144" s="95">
        <f ca="1"/>
        <v>-2.6295472821696983E-4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-3.777525507211877E-3</v>
      </c>
      <c r="H145" s="92" t="s">
        <v>4</v>
      </c>
      <c r="I145" s="97">
        <f ca="1">_xll.meDateFromTenor(I144,"1D","FOLLOWING","TGT")</f>
        <v>42703</v>
      </c>
      <c r="J145" s="95">
        <f ca="1"/>
        <v>-2.9229591549779013E-3</v>
      </c>
      <c r="K145" s="5" t="s">
        <v>4</v>
      </c>
      <c r="L145" s="97">
        <f ca="1">_xll.meDateFromTenor(L144,"1D","FOLLOWING","TGT")</f>
        <v>42703</v>
      </c>
      <c r="M145" s="95">
        <f ca="1"/>
        <v>-1.6865424251217198E-3</v>
      </c>
      <c r="N145" s="5" t="s">
        <v>4</v>
      </c>
      <c r="O145" s="97">
        <f ca="1">_xll.meDateFromTenor(O144,"1D","FOLLOWING","TGT")</f>
        <v>42703</v>
      </c>
      <c r="P145" s="95">
        <f ca="1"/>
        <v>-2.6326065276080978E-4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-3.779230990274436E-3</v>
      </c>
      <c r="H146" s="92" t="s">
        <v>4</v>
      </c>
      <c r="I146" s="97">
        <f ca="1">_xll.meDateFromTenor(I145,"1D","FOLLOWING","TGT")</f>
        <v>42704</v>
      </c>
      <c r="J146" s="95">
        <f ca="1"/>
        <v>-2.9248230612567466E-3</v>
      </c>
      <c r="K146" s="5" t="s">
        <v>4</v>
      </c>
      <c r="L146" s="97">
        <f ca="1">_xll.meDateFromTenor(L145,"1D","FOLLOWING","TGT")</f>
        <v>42704</v>
      </c>
      <c r="M146" s="95">
        <f ca="1"/>
        <v>-1.6824758833338502E-3</v>
      </c>
      <c r="N146" s="5" t="s">
        <v>4</v>
      </c>
      <c r="O146" s="97">
        <f ca="1">_xll.meDateFromTenor(O145,"1D","FOLLOWING","TGT")</f>
        <v>42704</v>
      </c>
      <c r="P146" s="95">
        <f ca="1"/>
        <v>-2.6356114375064593E-4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-3.7809546711624854E-3</v>
      </c>
      <c r="H147" s="92" t="s">
        <v>4</v>
      </c>
      <c r="I147" s="97">
        <f ca="1">_xll.meDateFromTenor(I146,"1D","FOLLOWING","TGT")</f>
        <v>42705</v>
      </c>
      <c r="J147" s="95">
        <f ca="1"/>
        <v>-2.9281526295171509E-3</v>
      </c>
      <c r="K147" s="5" t="s">
        <v>4</v>
      </c>
      <c r="L147" s="97">
        <f ca="1">_xll.meDateFromTenor(L146,"1D","FOLLOWING","TGT")</f>
        <v>42705</v>
      </c>
      <c r="M147" s="95">
        <f ca="1"/>
        <v>-1.6783272990760786E-3</v>
      </c>
      <c r="N147" s="5" t="s">
        <v>4</v>
      </c>
      <c r="O147" s="97">
        <f ca="1">_xll.meDateFromTenor(O146,"1D","FOLLOWING","TGT")</f>
        <v>42705</v>
      </c>
      <c r="P147" s="95">
        <f ca="1"/>
        <v>-2.6385617100006711E-4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-3.7826973828372652E-3</v>
      </c>
      <c r="H148" s="92" t="s">
        <v>4</v>
      </c>
      <c r="I148" s="97">
        <f ca="1">_xll.meDateFromTenor(I147,"1D","FOLLOWING","TGT")</f>
        <v>42706</v>
      </c>
      <c r="J148" s="95">
        <f ca="1"/>
        <v>-2.9308595582733261E-3</v>
      </c>
      <c r="K148" s="5" t="s">
        <v>4</v>
      </c>
      <c r="L148" s="97">
        <f ca="1">_xll.meDateFromTenor(L147,"1D","FOLLOWING","TGT")</f>
        <v>42706</v>
      </c>
      <c r="M148" s="95">
        <f ca="1"/>
        <v>-1.6740962190750907E-3</v>
      </c>
      <c r="N148" s="5" t="s">
        <v>4</v>
      </c>
      <c r="O148" s="97">
        <f ca="1">_xll.meDateFromTenor(O147,"1D","FOLLOWING","TGT")</f>
        <v>42706</v>
      </c>
      <c r="P148" s="95">
        <f ca="1"/>
        <v>-2.6414570432266229E-4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-3.78803702106009E-3</v>
      </c>
      <c r="H149" s="92" t="s">
        <v>4</v>
      </c>
      <c r="I149" s="97">
        <f ca="1">_xll.meDateFromTenor(I148,"1D","FOLLOWING","TGT")</f>
        <v>42709</v>
      </c>
      <c r="J149" s="95">
        <f ca="1"/>
        <v>-2.9317747861246097E-3</v>
      </c>
      <c r="K149" s="5" t="s">
        <v>4</v>
      </c>
      <c r="L149" s="97">
        <f ca="1">_xll.meDateFromTenor(L148,"1D","FOLLOWING","TGT")</f>
        <v>42709</v>
      </c>
      <c r="M149" s="95">
        <f ca="1"/>
        <v>-1.6609154823355996E-3</v>
      </c>
      <c r="N149" s="5" t="s">
        <v>4</v>
      </c>
      <c r="O149" s="97">
        <f ca="1">_xll.meDateFromTenor(O148,"1D","FOLLOWING","TGT")</f>
        <v>42709</v>
      </c>
      <c r="P149" s="95">
        <f ca="1"/>
        <v>-2.6498103886537984E-4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-3.7898490961620107E-3</v>
      </c>
      <c r="H150" s="92" t="s">
        <v>4</v>
      </c>
      <c r="I150" s="97">
        <f ca="1">_xll.meDateFromTenor(I149,"1D","FOLLOWING","TGT")</f>
        <v>42710</v>
      </c>
      <c r="J150" s="95">
        <f ca="1"/>
        <v>-2.9336383214408381E-3</v>
      </c>
      <c r="K150" s="5" t="s">
        <v>4</v>
      </c>
      <c r="L150" s="97">
        <f ca="1">_xll.meDateFromTenor(L149,"1D","FOLLOWING","TGT")</f>
        <v>42710</v>
      </c>
      <c r="M150" s="95">
        <f ca="1"/>
        <v>-1.6563663454015204E-3</v>
      </c>
      <c r="N150" s="5" t="s">
        <v>4</v>
      </c>
      <c r="O150" s="97">
        <f ca="1">_xll.meDateFromTenor(O149,"1D","FOLLOWING","TGT")</f>
        <v>42710</v>
      </c>
      <c r="P150" s="95">
        <f ca="1"/>
        <v>-2.6524829461655933E-4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-3.7916745791819347E-3</v>
      </c>
      <c r="H151" s="92" t="s">
        <v>4</v>
      </c>
      <c r="I151" s="97">
        <f ca="1">_xll.meDateFromTenor(I150,"1D","FOLLOWING","TGT")</f>
        <v>42711</v>
      </c>
      <c r="J151" s="95">
        <f ca="1"/>
        <v>-2.9352118576575904E-3</v>
      </c>
      <c r="K151" s="5" t="s">
        <v>4</v>
      </c>
      <c r="L151" s="97">
        <f ca="1">_xll.meDateFromTenor(L150,"1D","FOLLOWING","TGT")</f>
        <v>42711</v>
      </c>
      <c r="M151" s="95">
        <f ca="1"/>
        <v>-1.6517431223184642E-3</v>
      </c>
      <c r="N151" s="5" t="s">
        <v>4</v>
      </c>
      <c r="O151" s="97">
        <f ca="1">_xll.meDateFromTenor(O150,"1D","FOLLOWING","TGT")</f>
        <v>42711</v>
      </c>
      <c r="P151" s="95">
        <f ca="1"/>
        <v>-2.6550990550885711E-4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-3.7935118561623691E-3</v>
      </c>
      <c r="H152" s="92" t="s">
        <v>4</v>
      </c>
      <c r="I152" s="97">
        <f ca="1">_xll.meDateFromTenor(I151,"1D","FOLLOWING","TGT")</f>
        <v>42712</v>
      </c>
      <c r="J152" s="95">
        <f ca="1"/>
        <v>-2.9365767415022019E-3</v>
      </c>
      <c r="K152" s="5" t="s">
        <v>4</v>
      </c>
      <c r="L152" s="97">
        <f ca="1">_xll.meDateFromTenor(L151,"1D","FOLLOWING","TGT")</f>
        <v>42712</v>
      </c>
      <c r="M152" s="95">
        <f ca="1"/>
        <v>-1.6470480288033186E-3</v>
      </c>
      <c r="N152" s="5" t="s">
        <v>4</v>
      </c>
      <c r="O152" s="97">
        <f ca="1">_xll.meDateFromTenor(O151,"1D","FOLLOWING","TGT")</f>
        <v>42712</v>
      </c>
      <c r="P152" s="95">
        <f ca="1"/>
        <v>-2.6576584135586199E-4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-3.7953593131458234E-3</v>
      </c>
      <c r="H153" s="92" t="s">
        <v>4</v>
      </c>
      <c r="I153" s="97">
        <f ca="1">_xll.meDateFromTenor(I152,"1D","FOLLOWING","TGT")</f>
        <v>42713</v>
      </c>
      <c r="J153" s="95">
        <f ca="1"/>
        <v>-2.9380229720741479E-3</v>
      </c>
      <c r="K153" s="5" t="s">
        <v>4</v>
      </c>
      <c r="L153" s="97">
        <f ca="1">_xll.meDateFromTenor(L152,"1D","FOLLOWING","TGT")</f>
        <v>42713</v>
      </c>
      <c r="M153" s="95">
        <f ca="1"/>
        <v>-1.6422832805729731E-3</v>
      </c>
      <c r="N153" s="5" t="s">
        <v>4</v>
      </c>
      <c r="O153" s="97">
        <f ca="1">_xll.meDateFromTenor(O152,"1D","FOLLOWING","TGT")</f>
        <v>42713</v>
      </c>
      <c r="P153" s="95">
        <f ca="1"/>
        <v>-2.6601607197116291E-4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-3.8009466245393919E-3</v>
      </c>
      <c r="H154" s="92" t="s">
        <v>4</v>
      </c>
      <c r="I154" s="97">
        <f ca="1">_xll.meDateFromTenor(I153,"1D","FOLLOWING","TGT")</f>
        <v>42716</v>
      </c>
      <c r="J154" s="95">
        <f ca="1"/>
        <v>-2.9424535816249295E-3</v>
      </c>
      <c r="K154" s="5" t="s">
        <v>4</v>
      </c>
      <c r="L154" s="97">
        <f ca="1">_xll.meDateFromTenor(L153,"1D","FOLLOWING","TGT")</f>
        <v>42716</v>
      </c>
      <c r="M154" s="95">
        <f ca="1"/>
        <v>-1.6275932647596149E-3</v>
      </c>
      <c r="N154" s="5" t="s">
        <v>4</v>
      </c>
      <c r="O154" s="97">
        <f ca="1">_xll.meDateFromTenor(O153,"1D","FOLLOWING","TGT")</f>
        <v>42716</v>
      </c>
      <c r="P154" s="95">
        <f ca="1"/>
        <v>-2.6673223056273031E-4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-3.8028186619600106E-3</v>
      </c>
      <c r="H155" s="92" t="s">
        <v>4</v>
      </c>
      <c r="I155" s="97">
        <f ca="1">_xll.meDateFromTenor(I154,"1D","FOLLOWING","TGT")</f>
        <v>42717</v>
      </c>
      <c r="J155" s="95">
        <f ca="1"/>
        <v>-2.9440322878239874E-3</v>
      </c>
      <c r="K155" s="5" t="s">
        <v>4</v>
      </c>
      <c r="L155" s="97">
        <f ca="1">_xll.meDateFromTenor(L154,"1D","FOLLOWING","TGT")</f>
        <v>42717</v>
      </c>
      <c r="M155" s="95">
        <f ca="1"/>
        <v>-1.6225720548373502E-3</v>
      </c>
      <c r="N155" s="5" t="s">
        <v>4</v>
      </c>
      <c r="O155" s="97">
        <f ca="1">_xll.meDateFromTenor(O154,"1D","FOLLOWING","TGT")</f>
        <v>42717</v>
      </c>
      <c r="P155" s="95">
        <f ca="1"/>
        <v>-2.6695933838710386E-4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-3.8046928095961914E-3</v>
      </c>
      <c r="H156" s="92" t="s">
        <v>4</v>
      </c>
      <c r="I156" s="97">
        <f ca="1">_xll.meDateFromTenor(I155,"1D","FOLLOWING","TGT")</f>
        <v>42718</v>
      </c>
      <c r="J156" s="95">
        <f ca="1"/>
        <v>-2.9456870681273772E-3</v>
      </c>
      <c r="K156" s="5" t="s">
        <v>4</v>
      </c>
      <c r="L156" s="97">
        <f ca="1">_xll.meDateFromTenor(L155,"1D","FOLLOWING","TGT")</f>
        <v>42718</v>
      </c>
      <c r="M156" s="95">
        <f ca="1"/>
        <v>-1.6174922687843261E-3</v>
      </c>
      <c r="N156" s="5" t="s">
        <v>4</v>
      </c>
      <c r="O156" s="97">
        <f ca="1">_xll.meDateFromTenor(O155,"1D","FOLLOWING","TGT")</f>
        <v>42718</v>
      </c>
      <c r="P156" s="95">
        <f ca="1"/>
        <v>-2.6718059004771777E-4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-3.8065674534904425E-3</v>
      </c>
      <c r="H157" s="92" t="s">
        <v>4</v>
      </c>
      <c r="I157" s="97">
        <f ca="1">_xll.meDateFromTenor(I156,"1D","FOLLOWING","TGT")</f>
        <v>42719</v>
      </c>
      <c r="J157" s="95">
        <f ca="1"/>
        <v>-2.9473735876152009E-3</v>
      </c>
      <c r="K157" s="5" t="s">
        <v>4</v>
      </c>
      <c r="L157" s="97">
        <f ca="1">_xll.meDateFromTenor(L156,"1D","FOLLOWING","TGT")</f>
        <v>42719</v>
      </c>
      <c r="M157" s="95">
        <f ca="1"/>
        <v>-1.6123561223174315E-3</v>
      </c>
      <c r="N157" s="5" t="s">
        <v>4</v>
      </c>
      <c r="O157" s="97">
        <f ca="1">_xll.meDateFromTenor(O156,"1D","FOLLOWING","TGT")</f>
        <v>42719</v>
      </c>
      <c r="P157" s="95">
        <f ca="1"/>
        <v>-2.6739595535816088E-4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-3.8084409796852715E-3</v>
      </c>
      <c r="H158" s="92" t="s">
        <v>4</v>
      </c>
      <c r="I158" s="97">
        <f ca="1">_xll.meDateFromTenor(I157,"1D","FOLLOWING","TGT")</f>
        <v>42720</v>
      </c>
      <c r="J158" s="95">
        <f ca="1"/>
        <v>-2.9490475113675648E-3</v>
      </c>
      <c r="K158" s="5" t="s">
        <v>4</v>
      </c>
      <c r="L158" s="97">
        <f ca="1">_xll.meDateFromTenor(L157,"1D","FOLLOWING","TGT")</f>
        <v>42720</v>
      </c>
      <c r="M158" s="95">
        <f ca="1"/>
        <v>-1.6071658311535538E-3</v>
      </c>
      <c r="N158" s="5" t="s">
        <v>4</v>
      </c>
      <c r="O158" s="97">
        <f ca="1">_xll.meDateFromTenor(O157,"1D","FOLLOWING","TGT")</f>
        <v>42720</v>
      </c>
      <c r="P158" s="95">
        <f ca="1"/>
        <v>-2.6760540413202209E-4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-3.8140387124983169E-3</v>
      </c>
      <c r="H159" s="92" t="s">
        <v>4</v>
      </c>
      <c r="I159" s="97">
        <f ca="1">_xll.meDateFromTenor(I158,"1D","FOLLOWING","TGT")</f>
        <v>42723</v>
      </c>
      <c r="J159" s="95">
        <f ca="1"/>
        <v>-2.9535503590129154E-3</v>
      </c>
      <c r="K159" s="5" t="s">
        <v>4</v>
      </c>
      <c r="L159" s="97">
        <f ca="1">_xll.meDateFromTenor(L158,"1D","FOLLOWING","TGT")</f>
        <v>42723</v>
      </c>
      <c r="M159" s="95">
        <f ca="1"/>
        <v>-1.5912922466489112E-3</v>
      </c>
      <c r="N159" s="5" t="s">
        <v>4</v>
      </c>
      <c r="O159" s="97">
        <f ca="1">_xll.meDateFromTenor(O158,"1D","FOLLOWING","TGT")</f>
        <v>42723</v>
      </c>
      <c r="P159" s="95">
        <f ca="1"/>
        <v>-2.6819794937000272E-4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-3.8158916283205454E-3</v>
      </c>
      <c r="H160" s="92" t="s">
        <v>4</v>
      </c>
      <c r="I160" s="97">
        <f ca="1">_xll.meDateFromTenor(I159,"1D","FOLLOWING","TGT")</f>
        <v>42724</v>
      </c>
      <c r="J160" s="95">
        <f ca="1"/>
        <v>-2.954730550624464E-3</v>
      </c>
      <c r="K160" s="5" t="s">
        <v>4</v>
      </c>
      <c r="L160" s="97">
        <f ca="1">_xll.meDateFromTenor(L159,"1D","FOLLOWING","TGT")</f>
        <v>42724</v>
      </c>
      <c r="M160" s="95">
        <f ca="1"/>
        <v>-1.5859075338659869E-3</v>
      </c>
      <c r="N160" s="5" t="s">
        <v>4</v>
      </c>
      <c r="O160" s="97">
        <f ca="1">_xll.meDateFromTenor(O159,"1D","FOLLOWING","TGT")</f>
        <v>42724</v>
      </c>
      <c r="P160" s="95">
        <f ca="1"/>
        <v>-2.6838343013342489E-4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-3.8177353566558941E-3</v>
      </c>
      <c r="H161" s="92" t="s">
        <v>4</v>
      </c>
      <c r="I161" s="97">
        <f ca="1">_xll.meDateFromTenor(I160,"1D","FOLLOWING","TGT")</f>
        <v>42725</v>
      </c>
      <c r="J161" s="95">
        <f ca="1"/>
        <v>-2.9556764719010668E-3</v>
      </c>
      <c r="K161" s="5" t="s">
        <v>4</v>
      </c>
      <c r="L161" s="97">
        <f ca="1">_xll.meDateFromTenor(L160,"1D","FOLLOWING","TGT")</f>
        <v>42725</v>
      </c>
      <c r="M161" s="95">
        <f ca="1"/>
        <v>-1.5804797549705224E-3</v>
      </c>
      <c r="N161" s="5" t="s">
        <v>4</v>
      </c>
      <c r="O161" s="97">
        <f ca="1">_xll.meDateFromTenor(O160,"1D","FOLLOWING","TGT")</f>
        <v>42725</v>
      </c>
      <c r="P161" s="95">
        <f ca="1"/>
        <v>-2.6856284342820946E-4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-3.8195682835468719E-3</v>
      </c>
      <c r="H162" s="92" t="s">
        <v>4</v>
      </c>
      <c r="I162" s="97">
        <f ca="1">_xll.meDateFromTenor(I161,"1D","FOLLOWING","TGT")</f>
        <v>42726</v>
      </c>
      <c r="J162" s="95">
        <f ca="1"/>
        <v>-2.9563806151849236E-3</v>
      </c>
      <c r="K162" s="5" t="s">
        <v>4</v>
      </c>
      <c r="L162" s="97">
        <f ca="1">_xll.meDateFromTenor(L161,"1D","FOLLOWING","TGT")</f>
        <v>42726</v>
      </c>
      <c r="M162" s="95">
        <f ca="1"/>
        <v>-1.5750111256794049E-3</v>
      </c>
      <c r="N162" s="5" t="s">
        <v>4</v>
      </c>
      <c r="O162" s="97">
        <f ca="1">_xll.meDateFromTenor(O161,"1D","FOLLOWING","TGT")</f>
        <v>42726</v>
      </c>
      <c r="P162" s="95">
        <f ca="1"/>
        <v>-2.6873615906794534E-4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-3.8213887950359882E-3</v>
      </c>
      <c r="H163" s="92" t="s">
        <v>4</v>
      </c>
      <c r="I163" s="97">
        <f ca="1">_xll.meDateFromTenor(I162,"1D","FOLLOWING","TGT")</f>
        <v>42727</v>
      </c>
      <c r="J163" s="95">
        <f ca="1"/>
        <v>-2.9569827818666217E-3</v>
      </c>
      <c r="K163" s="5" t="s">
        <v>4</v>
      </c>
      <c r="L163" s="97">
        <f ca="1">_xll.meDateFromTenor(L162,"1D","FOLLOWING","TGT")</f>
        <v>42727</v>
      </c>
      <c r="M163" s="95">
        <f ca="1"/>
        <v>-1.5695038617095237E-3</v>
      </c>
      <c r="N163" s="5" t="s">
        <v>4</v>
      </c>
      <c r="O163" s="97">
        <f ca="1">_xll.meDateFromTenor(O162,"1D","FOLLOWING","TGT")</f>
        <v>42727</v>
      </c>
      <c r="P163" s="95">
        <f ca="1"/>
        <v>-2.6890334686622132E-4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-3.8285144078239932E-3</v>
      </c>
      <c r="H164" s="92" t="s">
        <v>4</v>
      </c>
      <c r="I164" s="97">
        <f ca="1">_xll.meDateFromTenor(I163,"1D","FOLLOWING","TGT")</f>
        <v>42731</v>
      </c>
      <c r="J164" s="95">
        <f ca="1"/>
        <v>-2.959595401797732E-3</v>
      </c>
      <c r="K164" s="5" t="s">
        <v>4</v>
      </c>
      <c r="L164" s="97">
        <f ca="1">_xll.meDateFromTenor(L163,"1D","FOLLOWING","TGT")</f>
        <v>42731</v>
      </c>
      <c r="M164" s="95">
        <f ca="1"/>
        <v>-1.5471327733801213E-3</v>
      </c>
      <c r="N164" s="5" t="s">
        <v>4</v>
      </c>
      <c r="O164" s="97">
        <f ca="1">_xll.meDateFromTenor(O163,"1D","FOLLOWING","TGT")</f>
        <v>42731</v>
      </c>
      <c r="P164" s="95">
        <f ca="1"/>
        <v>-2.6951021591650406E-4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-3.8302486329414224E-3</v>
      </c>
      <c r="H165" s="92" t="s">
        <v>4</v>
      </c>
      <c r="I165" s="97">
        <f ca="1">_xll.meDateFromTenor(I164,"1D","FOLLOWING","TGT")</f>
        <v>42732</v>
      </c>
      <c r="J165" s="95">
        <f ca="1"/>
        <v>-2.9602475758475568E-3</v>
      </c>
      <c r="K165" s="5" t="s">
        <v>4</v>
      </c>
      <c r="L165" s="97">
        <f ca="1">_xll.meDateFromTenor(L164,"1D","FOLLOWING","TGT")</f>
        <v>42732</v>
      </c>
      <c r="M165" s="95">
        <f ca="1"/>
        <v>-1.541465571769743E-3</v>
      </c>
      <c r="N165" s="5" t="s">
        <v>4</v>
      </c>
      <c r="O165" s="97">
        <f ca="1">_xll.meDateFromTenor(O164,"1D","FOLLOWING","TGT")</f>
        <v>42732</v>
      </c>
      <c r="P165" s="95">
        <f ca="1"/>
        <v>-2.6964631171131384E-4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-3.8319607589120388E-3</v>
      </c>
      <c r="H166" s="92" t="s">
        <v>4</v>
      </c>
      <c r="I166" s="97">
        <f ca="1">_xll.meDateFromTenor(I165,"1D","FOLLOWING","TGT")</f>
        <v>42733</v>
      </c>
      <c r="J166" s="95">
        <f ca="1"/>
        <v>-2.9609017117632869E-3</v>
      </c>
      <c r="K166" s="5" t="s">
        <v>4</v>
      </c>
      <c r="L166" s="97">
        <f ca="1">_xll.meDateFromTenor(L165,"1D","FOLLOWING","TGT")</f>
        <v>42733</v>
      </c>
      <c r="M166" s="95">
        <f ca="1"/>
        <v>-1.5357730297819307E-3</v>
      </c>
      <c r="N166" s="5" t="s">
        <v>4</v>
      </c>
      <c r="O166" s="97">
        <f ca="1">_xll.meDateFromTenor(O165,"1D","FOLLOWING","TGT")</f>
        <v>42733</v>
      </c>
      <c r="P166" s="95">
        <f ca="1"/>
        <v>-2.6977609854619697E-4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-3.8336491717783526E-3</v>
      </c>
      <c r="H167" s="92" t="s">
        <v>4</v>
      </c>
      <c r="I167" s="97">
        <f ca="1">_xll.meDateFromTenor(I166,"1D","FOLLOWING","TGT")</f>
        <v>42734</v>
      </c>
      <c r="J167" s="95">
        <f ca="1"/>
        <v>-2.9615551296756819E-3</v>
      </c>
      <c r="K167" s="5" t="s">
        <v>4</v>
      </c>
      <c r="L167" s="97">
        <f ca="1">_xll.meDateFromTenor(L166,"1D","FOLLOWING","TGT")</f>
        <v>42734</v>
      </c>
      <c r="M167" s="95">
        <f ca="1"/>
        <v>-1.5300573631335716E-3</v>
      </c>
      <c r="N167" s="5" t="s">
        <v>4</v>
      </c>
      <c r="O167" s="97">
        <f ca="1">_xll.meDateFromTenor(O166,"1D","FOLLOWING","TGT")</f>
        <v>42734</v>
      </c>
      <c r="P167" s="95">
        <f ca="1"/>
        <v>-2.6989954623474226E-4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-3.8385647192542048E-3</v>
      </c>
      <c r="H168" s="92" t="s">
        <v>4</v>
      </c>
      <c r="I168" s="97">
        <f ca="1">_xll.meDateFromTenor(I167,"1D","FOLLOWING","TGT")</f>
        <v>42737</v>
      </c>
      <c r="J168" s="95">
        <f ca="1"/>
        <v>-2.9635179106258093E-3</v>
      </c>
      <c r="K168" s="5" t="s">
        <v>4</v>
      </c>
      <c r="L168" s="97">
        <f ca="1">_xll.meDateFromTenor(L167,"1D","FOLLOWING","TGT")</f>
        <v>42737</v>
      </c>
      <c r="M168" s="95">
        <f ca="1"/>
        <v>-1.5127621050758911E-3</v>
      </c>
      <c r="N168" s="5" t="s">
        <v>4</v>
      </c>
      <c r="O168" s="97">
        <f ca="1">_xll.meDateFromTenor(O167,"1D","FOLLOWING","TGT")</f>
        <v>42737</v>
      </c>
      <c r="P168" s="95">
        <f ca="1"/>
        <v>-2.7023210601861096E-4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-3.8401467788497213E-3</v>
      </c>
      <c r="H169" s="92" t="s">
        <v>4</v>
      </c>
      <c r="I169" s="97">
        <f ca="1">_xll.meDateFromTenor(I168,"1D","FOLLOWING","TGT")</f>
        <v>42738</v>
      </c>
      <c r="J169" s="95">
        <f ca="1"/>
        <v>-2.9641728740224592E-3</v>
      </c>
      <c r="K169" s="5" t="s">
        <v>4</v>
      </c>
      <c r="L169" s="97">
        <f ca="1">_xll.meDateFromTenor(L168,"1D","FOLLOWING","TGT")</f>
        <v>42738</v>
      </c>
      <c r="M169" s="95">
        <f ca="1"/>
        <v>-1.5069601550949743E-3</v>
      </c>
      <c r="N169" s="5" t="s">
        <v>4</v>
      </c>
      <c r="O169" s="97">
        <f ca="1">_xll.meDateFromTenor(O168,"1D","FOLLOWING","TGT")</f>
        <v>42738</v>
      </c>
      <c r="P169" s="95">
        <f ca="1"/>
        <v>-2.703301186950688E-4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-3.8417000488638609E-3</v>
      </c>
      <c r="H170" s="92" t="s">
        <v>4</v>
      </c>
      <c r="I170" s="97">
        <f ca="1">_xll.meDateFromTenor(I169,"1D","FOLLOWING","TGT")</f>
        <v>42739</v>
      </c>
      <c r="J170" s="95">
        <f ca="1"/>
        <v>-2.9648277995227772E-3</v>
      </c>
      <c r="K170" s="5" t="s">
        <v>4</v>
      </c>
      <c r="L170" s="97">
        <f ca="1">_xll.meDateFromTenor(L169,"1D","FOLLOWING","TGT")</f>
        <v>42739</v>
      </c>
      <c r="M170" s="95">
        <f ca="1"/>
        <v>-1.5011461112529338E-3</v>
      </c>
      <c r="N170" s="5" t="s">
        <v>4</v>
      </c>
      <c r="O170" s="97">
        <f ca="1">_xll.meDateFromTenor(O169,"1D","FOLLOWING","TGT")</f>
        <v>42739</v>
      </c>
      <c r="P170" s="95">
        <f ca="1"/>
        <v>-2.7042160543287584E-4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-3.8432260830773219E-3</v>
      </c>
      <c r="H171" s="92" t="s">
        <v>4</v>
      </c>
      <c r="I171" s="97">
        <f ca="1">_xll.meDateFromTenor(I170,"1D","FOLLOWING","TGT")</f>
        <v>42740</v>
      </c>
      <c r="J171" s="95">
        <f ca="1"/>
        <v>-2.9654827388941149E-3</v>
      </c>
      <c r="K171" s="5" t="s">
        <v>4</v>
      </c>
      <c r="L171" s="97">
        <f ca="1">_xll.meDateFromTenor(L170,"1D","FOLLOWING","TGT")</f>
        <v>42740</v>
      </c>
      <c r="M171" s="95">
        <f ca="1"/>
        <v>-1.49532220752797E-3</v>
      </c>
      <c r="N171" s="5" t="s">
        <v>4</v>
      </c>
      <c r="O171" s="97">
        <f ca="1">_xll.meDateFromTenor(O170,"1D","FOLLOWING","TGT")</f>
        <v>42740</v>
      </c>
      <c r="P171" s="95">
        <f ca="1"/>
        <v>-2.7050653579683301E-4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-3.8447264352708048E-3</v>
      </c>
      <c r="H172" s="92" t="s">
        <v>4</v>
      </c>
      <c r="I172" s="97">
        <f ca="1">_xll.meDateFromTenor(I171,"1D","FOLLOWING","TGT")</f>
        <v>42741</v>
      </c>
      <c r="J172" s="95">
        <f ca="1"/>
        <v>-2.9661376884197446E-3</v>
      </c>
      <c r="K172" s="5" t="s">
        <v>4</v>
      </c>
      <c r="L172" s="97">
        <f ca="1">_xll.meDateFromTenor(L171,"1D","FOLLOWING","TGT")</f>
        <v>42741</v>
      </c>
      <c r="M172" s="95">
        <f ca="1"/>
        <v>-1.4894906778982824E-3</v>
      </c>
      <c r="N172" s="5" t="s">
        <v>4</v>
      </c>
      <c r="O172" s="97">
        <f ca="1">_xll.meDateFromTenor(O171,"1D","FOLLOWING","TGT")</f>
        <v>42741</v>
      </c>
      <c r="P172" s="95">
        <f ca="1"/>
        <v>-2.7058487935174136E-4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-3.8490889375383829E-3</v>
      </c>
      <c r="H173" s="92" t="s">
        <v>4</v>
      </c>
      <c r="I173" s="97">
        <f ca="1">_xll.meDateFromTenor(I172,"1D","FOLLOWING","TGT")</f>
        <v>42744</v>
      </c>
      <c r="J173" s="95">
        <f ca="1"/>
        <v>-2.9681025214006729E-3</v>
      </c>
      <c r="K173" s="5" t="s">
        <v>4</v>
      </c>
      <c r="L173" s="97">
        <f ca="1">_xll.meDateFromTenor(L172,"1D","FOLLOWING","TGT")</f>
        <v>42744</v>
      </c>
      <c r="M173" s="95">
        <f ca="1"/>
        <v>-1.4719726733628739E-3</v>
      </c>
      <c r="N173" s="5" t="s">
        <v>4</v>
      </c>
      <c r="O173" s="97">
        <f ca="1">_xll.meDateFromTenor(O172,"1D","FOLLOWING","TGT")</f>
        <v>42744</v>
      </c>
      <c r="P173" s="95">
        <f ca="1"/>
        <v>-2.7078008481018365E-4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-3.8505020994589506E-3</v>
      </c>
      <c r="H174" s="92" t="s">
        <v>4</v>
      </c>
      <c r="I174" s="97">
        <f ca="1">_xll.meDateFromTenor(I173,"1D","FOLLOWING","TGT")</f>
        <v>42745</v>
      </c>
      <c r="J174" s="95">
        <f ca="1"/>
        <v>-2.9687574662136795E-3</v>
      </c>
      <c r="K174" s="5" t="s">
        <v>4</v>
      </c>
      <c r="L174" s="97">
        <f ca="1">_xll.meDateFromTenor(L173,"1D","FOLLOWING","TGT")</f>
        <v>42745</v>
      </c>
      <c r="M174" s="95">
        <f ca="1"/>
        <v>-1.4661329798962884E-3</v>
      </c>
      <c r="N174" s="5" t="s">
        <v>4</v>
      </c>
      <c r="O174" s="97">
        <f ca="1">_xll.meDateFromTenor(O173,"1D","FOLLOWING","TGT")</f>
        <v>42745</v>
      </c>
      <c r="P174" s="95">
        <f ca="1"/>
        <v>-2.7083177677690682E-4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-3.851897348263039E-3</v>
      </c>
      <c r="H175" s="92" t="s">
        <v>4</v>
      </c>
      <c r="I175" s="97">
        <f ca="1">_xll.meDateFromTenor(I174,"1D","FOLLOWING","TGT")</f>
        <v>42746</v>
      </c>
      <c r="J175" s="95">
        <f ca="1"/>
        <v>-2.9694124107598374E-3</v>
      </c>
      <c r="K175" s="5" t="s">
        <v>4</v>
      </c>
      <c r="L175" s="97">
        <f ca="1">_xll.meDateFromTenor(L174,"1D","FOLLOWING","TGT")</f>
        <v>42746</v>
      </c>
      <c r="M175" s="95">
        <f ca="1"/>
        <v>-1.4602968304159771E-3</v>
      </c>
      <c r="N175" s="5" t="s">
        <v>4</v>
      </c>
      <c r="O175" s="97">
        <f ca="1">_xll.meDateFromTenor(O174,"1D","FOLLOWING","TGT")</f>
        <v>42746</v>
      </c>
      <c r="P175" s="95">
        <f ca="1"/>
        <v>-2.7087672975858632E-4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-3.8532762377313469E-3</v>
      </c>
      <c r="H176" s="92" t="s">
        <v>4</v>
      </c>
      <c r="I176" s="97">
        <f ca="1">_xll.meDateFromTenor(I175,"1D","FOLLOWING","TGT")</f>
        <v>42747</v>
      </c>
      <c r="J176" s="95">
        <f ca="1"/>
        <v>-2.9700673551106469E-3</v>
      </c>
      <c r="K176" s="5" t="s">
        <v>4</v>
      </c>
      <c r="L176" s="97">
        <f ca="1">_xll.meDateFromTenor(L175,"1D","FOLLOWING","TGT")</f>
        <v>42747</v>
      </c>
      <c r="M176" s="95">
        <f ca="1"/>
        <v>-1.4544664589001407E-3</v>
      </c>
      <c r="N176" s="5" t="s">
        <v>4</v>
      </c>
      <c r="O176" s="97">
        <f ca="1">_xll.meDateFromTenor(O175,"1D","FOLLOWING","TGT")</f>
        <v>42747</v>
      </c>
      <c r="P176" s="95">
        <f ca="1"/>
        <v>-2.7091491332002299E-4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-3.854640321644575E-3</v>
      </c>
      <c r="H177" s="92" t="s">
        <v>4</v>
      </c>
      <c r="I177" s="97">
        <f ca="1">_xll.meDateFromTenor(I176,"1D","FOLLOWING","TGT")</f>
        <v>42748</v>
      </c>
      <c r="J177" s="95">
        <f ca="1"/>
        <v>-2.9707222995329578E-3</v>
      </c>
      <c r="K177" s="5" t="s">
        <v>4</v>
      </c>
      <c r="L177" s="97">
        <f ca="1">_xll.meDateFromTenor(L176,"1D","FOLLOWING","TGT")</f>
        <v>42748</v>
      </c>
      <c r="M177" s="95">
        <f ca="1"/>
        <v>-1.4486440993269785E-3</v>
      </c>
      <c r="N177" s="5" t="s">
        <v>4</v>
      </c>
      <c r="O177" s="97">
        <f ca="1">_xll.meDateFromTenor(O176,"1D","FOLLOWING","TGT")</f>
        <v>42748</v>
      </c>
      <c r="P177" s="95">
        <f ca="1"/>
        <v>-2.7094629702601792E-4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-3.8586592778607751E-3</v>
      </c>
      <c r="H178" s="92" t="s">
        <v>4</v>
      </c>
      <c r="I178" s="97">
        <f ca="1">_xll.meDateFromTenor(I177,"1D","FOLLOWING","TGT")</f>
        <v>42751</v>
      </c>
      <c r="J178" s="95">
        <f ca="1"/>
        <v>-2.9726871329045822E-3</v>
      </c>
      <c r="K178" s="5" t="s">
        <v>4</v>
      </c>
      <c r="L178" s="97">
        <f ca="1">_xll.meDateFromTenor(L177,"1D","FOLLOWING","TGT")</f>
        <v>42751</v>
      </c>
      <c r="M178" s="95">
        <f ca="1"/>
        <v>-1.4312474320455342E-3</v>
      </c>
      <c r="N178" s="5" t="s">
        <v>4</v>
      </c>
      <c r="O178" s="97">
        <f ca="1">_xll.meDateFromTenor(O177,"1D","FOLLOWING","TGT")</f>
        <v>42751</v>
      </c>
      <c r="P178" s="95">
        <f ca="1"/>
        <v>-2.7099934465936248E-4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-3.8599796773606792E-3</v>
      </c>
      <c r="H179" s="92" t="s">
        <v>4</v>
      </c>
      <c r="I179" s="97">
        <f ca="1">_xll.meDateFromTenor(I178,"1D","FOLLOWING","TGT")</f>
        <v>42752</v>
      </c>
      <c r="J179" s="95">
        <f ca="1"/>
        <v>-2.9733420773511653E-3</v>
      </c>
      <c r="K179" s="5" t="s">
        <v>4</v>
      </c>
      <c r="L179" s="97">
        <f ca="1">_xll.meDateFromTenor(L178,"1D","FOLLOWING","TGT")</f>
        <v>42752</v>
      </c>
      <c r="M179" s="95">
        <f ca="1"/>
        <v>-1.4254794600250661E-3</v>
      </c>
      <c r="N179" s="5" t="s">
        <v>4</v>
      </c>
      <c r="O179" s="97">
        <f ca="1">_xll.meDateFromTenor(O178,"1D","FOLLOWING","TGT")</f>
        <v>42752</v>
      </c>
      <c r="P179" s="95">
        <f ca="1"/>
        <v>-2.7100322459160065E-4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-3.8612930402090019E-3</v>
      </c>
      <c r="H180" s="92" t="s">
        <v>4</v>
      </c>
      <c r="I180" s="97">
        <f ca="1">_xll.meDateFromTenor(I179,"1D","FOLLOWING","TGT")</f>
        <v>42753</v>
      </c>
      <c r="J180" s="95">
        <f ca="1"/>
        <v>-2.9739970218015496E-3</v>
      </c>
      <c r="K180" s="5" t="s">
        <v>4</v>
      </c>
      <c r="L180" s="97">
        <f ca="1">_xll.meDateFromTenor(L179,"1D","FOLLOWING","TGT")</f>
        <v>42753</v>
      </c>
      <c r="M180" s="95">
        <f ca="1"/>
        <v>-1.4197306698382709E-3</v>
      </c>
      <c r="N180" s="5" t="s">
        <v>4</v>
      </c>
      <c r="O180" s="97">
        <f ca="1">_xll.meDateFromTenor(O179,"1D","FOLLOWING","TGT")</f>
        <v>42753</v>
      </c>
      <c r="P180" s="95">
        <f ca="1"/>
        <v>-2.7100015249240209E-4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-3.8626009201864426E-3</v>
      </c>
      <c r="H181" s="92" t="s">
        <v>4</v>
      </c>
      <c r="I181" s="97">
        <f ca="1">_xll.meDateFromTenor(I180,"1D","FOLLOWING","TGT")</f>
        <v>42754</v>
      </c>
      <c r="J181" s="95">
        <f ca="1"/>
        <v>-2.9746519662506177E-3</v>
      </c>
      <c r="K181" s="5" t="s">
        <v>4</v>
      </c>
      <c r="L181" s="97">
        <f ca="1">_xll.meDateFromTenor(L180,"1D","FOLLOWING","TGT")</f>
        <v>42754</v>
      </c>
      <c r="M181" s="95">
        <f ca="1"/>
        <v>-1.4140032954633483E-3</v>
      </c>
      <c r="N181" s="5" t="s">
        <v>4</v>
      </c>
      <c r="O181" s="97">
        <f ca="1">_xll.meDateFromTenor(O180,"1D","FOLLOWING","TGT")</f>
        <v>42754</v>
      </c>
      <c r="P181" s="95">
        <f ca="1"/>
        <v>-2.7099009792656782E-4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-3.8639048710737015E-3</v>
      </c>
      <c r="H182" s="92" t="s">
        <v>4</v>
      </c>
      <c r="I182" s="97">
        <f ca="1">_xll.meDateFromTenor(I181,"1D","FOLLOWING","TGT")</f>
        <v>42755</v>
      </c>
      <c r="J182" s="95">
        <f ca="1"/>
        <v>-2.9753069106985171E-3</v>
      </c>
      <c r="K182" s="5" t="s">
        <v>4</v>
      </c>
      <c r="L182" s="97">
        <f ca="1">_xll.meDateFromTenor(L181,"1D","FOLLOWING","TGT")</f>
        <v>42755</v>
      </c>
      <c r="M182" s="95">
        <f ca="1"/>
        <v>-1.4082995708784981E-3</v>
      </c>
      <c r="N182" s="5" t="s">
        <v>4</v>
      </c>
      <c r="O182" s="97">
        <f ca="1">_xll.meDateFromTenor(O181,"1D","FOLLOWING","TGT")</f>
        <v>42755</v>
      </c>
      <c r="P182" s="95">
        <f ca="1"/>
        <v>-2.7097303045889895E-4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-3.8678086870013802E-3</v>
      </c>
      <c r="H183" s="92" t="s">
        <v>4</v>
      </c>
      <c r="I183" s="97">
        <f ca="1">_xll.meDateFromTenor(I182,"1D","FOLLOWING","TGT")</f>
        <v>42758</v>
      </c>
      <c r="J183" s="95">
        <f ca="1"/>
        <v>-2.9772717440451359E-3</v>
      </c>
      <c r="K183" s="5" t="s">
        <v>4</v>
      </c>
      <c r="L183" s="97">
        <f ca="1">_xll.meDateFromTenor(L182,"1D","FOLLOWING","TGT")</f>
        <v>42758</v>
      </c>
      <c r="M183" s="95">
        <f ca="1"/>
        <v>-1.3913526356463786E-3</v>
      </c>
      <c r="N183" s="5" t="s">
        <v>4</v>
      </c>
      <c r="O183" s="97">
        <f ca="1">_xll.meDateFromTenor(O182,"1D","FOLLOWING","TGT")</f>
        <v>42758</v>
      </c>
      <c r="P183" s="95">
        <f ca="1"/>
        <v>-2.7087944629289448E-4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-3.8691124593349066E-3</v>
      </c>
      <c r="H184" s="92" t="s">
        <v>4</v>
      </c>
      <c r="I184" s="97">
        <f ca="1">_xll.meDateFromTenor(I183,"1D","FOLLOWING","TGT")</f>
        <v>42759</v>
      </c>
      <c r="J184" s="95">
        <f ca="1"/>
        <v>-2.9779266884924524E-3</v>
      </c>
      <c r="K184" s="5" t="s">
        <v>4</v>
      </c>
      <c r="L184" s="97">
        <f ca="1">_xll.meDateFromTenor(L183,"1D","FOLLOWING","TGT")</f>
        <v>42759</v>
      </c>
      <c r="M184" s="95">
        <f ca="1"/>
        <v>-1.3857658500038145E-3</v>
      </c>
      <c r="N184" s="5" t="s">
        <v>4</v>
      </c>
      <c r="O184" s="97">
        <f ca="1">_xll.meDateFromTenor(O183,"1D","FOLLOWING","TGT")</f>
        <v>42759</v>
      </c>
      <c r="P184" s="95">
        <f ca="1"/>
        <v>-2.7083402286589713E-4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-3.8704200714817488E-3</v>
      </c>
      <c r="H185" s="92" t="s">
        <v>4</v>
      </c>
      <c r="I185" s="97">
        <f ca="1">_xll.meDateFromTenor(I184,"1D","FOLLOWING","TGT")</f>
        <v>42760</v>
      </c>
      <c r="J185" s="95">
        <f ca="1"/>
        <v>-2.9785816329367045E-3</v>
      </c>
      <c r="K185" s="5" t="s">
        <v>4</v>
      </c>
      <c r="L185" s="97">
        <f ca="1">_xll.meDateFromTenor(L184,"1D","FOLLOWING","TGT")</f>
        <v>42760</v>
      </c>
      <c r="M185" s="95">
        <f ca="1"/>
        <v>-1.3802138840423217E-3</v>
      </c>
      <c r="N185" s="5" t="s">
        <v>4</v>
      </c>
      <c r="O185" s="97">
        <f ca="1">_xll.meDateFromTenor(O184,"1D","FOLLOWING","TGT")</f>
        <v>42760</v>
      </c>
      <c r="P185" s="95">
        <f ca="1"/>
        <v>-2.7078143436107011E-4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-3.8717330772226077E-3</v>
      </c>
      <c r="H186" s="92" t="s">
        <v>4</v>
      </c>
      <c r="I186" s="97">
        <f ca="1">_xll.meDateFromTenor(I185,"1D","FOLLOWING","TGT")</f>
        <v>42761</v>
      </c>
      <c r="J186" s="95">
        <f ca="1"/>
        <v>-2.9792365773894198E-3</v>
      </c>
      <c r="K186" s="5" t="s">
        <v>4</v>
      </c>
      <c r="L186" s="97">
        <f ca="1">_xll.meDateFromTenor(L185,"1D","FOLLOWING","TGT")</f>
        <v>42761</v>
      </c>
      <c r="M186" s="95">
        <f ca="1"/>
        <v>-1.3746989717400996E-3</v>
      </c>
      <c r="N186" s="5" t="s">
        <v>4</v>
      </c>
      <c r="O186" s="97">
        <f ca="1">_xll.meDateFromTenor(O185,"1D","FOLLOWING","TGT")</f>
        <v>42761</v>
      </c>
      <c r="P186" s="95">
        <f ca="1"/>
        <v>-2.7072165034321458E-4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-3.8730530303381816E-3</v>
      </c>
      <c r="H187" s="92" t="s">
        <v>4</v>
      </c>
      <c r="I187" s="97">
        <f ca="1">_xll.meDateFromTenor(I186,"1D","FOLLOWING","TGT")</f>
        <v>42762</v>
      </c>
      <c r="J187" s="95">
        <f ca="1"/>
        <v>-2.9798915218536629E-3</v>
      </c>
      <c r="K187" s="5" t="s">
        <v>4</v>
      </c>
      <c r="L187" s="97">
        <f ca="1">_xll.meDateFromTenor(L186,"1D","FOLLOWING","TGT")</f>
        <v>42762</v>
      </c>
      <c r="M187" s="95">
        <f ca="1"/>
        <v>-1.369223347075348E-3</v>
      </c>
      <c r="N187" s="5" t="s">
        <v>4</v>
      </c>
      <c r="O187" s="97">
        <f ca="1">_xll.meDateFromTenor(O186,"1D","FOLLOWING","TGT")</f>
        <v>42762</v>
      </c>
      <c r="P187" s="95">
        <f ca="1"/>
        <v>-2.7065464037713142E-4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-3.8770701117401955E-3</v>
      </c>
      <c r="H188" s="92" t="s">
        <v>4</v>
      </c>
      <c r="I188" s="97">
        <f ca="1">_xll.meDateFromTenor(I187,"1D","FOLLOWING","TGT")</f>
        <v>42765</v>
      </c>
      <c r="J188" s="95">
        <f ca="1"/>
        <v>-2.9818563551833547E-3</v>
      </c>
      <c r="K188" s="5" t="s">
        <v>4</v>
      </c>
      <c r="L188" s="97">
        <f ca="1">_xll.meDateFromTenor(L187,"1D","FOLLOWING","TGT")</f>
        <v>42765</v>
      </c>
      <c r="M188" s="95">
        <f ca="1"/>
        <v>-1.3530545386879129E-3</v>
      </c>
      <c r="N188" s="5" t="s">
        <v>4</v>
      </c>
      <c r="O188" s="97">
        <f ca="1">_xll.meDateFromTenor(O187,"1D","FOLLOWING","TGT")</f>
        <v>42765</v>
      </c>
      <c r="P188" s="95">
        <f ca="1"/>
        <v>-2.7040995043752663E-4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-3.8784333921616297E-3</v>
      </c>
      <c r="H189" s="92" t="s">
        <v>4</v>
      </c>
      <c r="I189" s="97">
        <f ca="1">_xll.meDateFromTenor(I188,"1D","FOLLOWING","TGT")</f>
        <v>42766</v>
      </c>
      <c r="J189" s="95">
        <f ca="1"/>
        <v>-2.9825112998512985E-3</v>
      </c>
      <c r="K189" s="5" t="s">
        <v>4</v>
      </c>
      <c r="L189" s="97">
        <f ca="1">_xll.meDateFromTenor(L188,"1D","FOLLOWING","TGT")</f>
        <v>42766</v>
      </c>
      <c r="M189" s="95">
        <f ca="1"/>
        <v>-1.34775840435504E-3</v>
      </c>
      <c r="N189" s="5" t="s">
        <v>4</v>
      </c>
      <c r="O189" s="97">
        <f ca="1">_xll.meDateFromTenor(O188,"1D","FOLLOWING","TGT")</f>
        <v>42766</v>
      </c>
      <c r="P189" s="95">
        <f ca="1"/>
        <v>-2.7031373232654326E-4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-3.8798113888612773E-3</v>
      </c>
      <c r="H190" s="92" t="s">
        <v>4</v>
      </c>
      <c r="I190" s="97">
        <f ca="1">_xll.meDateFromTenor(I189,"1D","FOLLOWING","TGT")</f>
        <v>42767</v>
      </c>
      <c r="J190" s="95">
        <f ca="1"/>
        <v>-2.9831662440803221E-3</v>
      </c>
      <c r="K190" s="5" t="s">
        <v>4</v>
      </c>
      <c r="L190" s="97">
        <f ca="1">_xll.meDateFromTenor(L189,"1D","FOLLOWING","TGT")</f>
        <v>42767</v>
      </c>
      <c r="M190" s="95">
        <f ca="1"/>
        <v>-1.3425127275506364E-3</v>
      </c>
      <c r="N190" s="5" t="s">
        <v>4</v>
      </c>
      <c r="O190" s="97">
        <f ca="1">_xll.meDateFromTenor(O189,"1D","FOLLOWING","TGT")</f>
        <v>42767</v>
      </c>
      <c r="P190" s="95">
        <f ca="1"/>
        <v>-2.7021013609133753E-4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-3.8812056556198397E-3</v>
      </c>
      <c r="H191" s="92" t="s">
        <v>4</v>
      </c>
      <c r="I191" s="97">
        <f ca="1">_xll.meDateFromTenor(I190,"1D","FOLLOWING","TGT")</f>
        <v>42768</v>
      </c>
      <c r="J191" s="95">
        <f ca="1"/>
        <v>-2.9838211877097707E-3</v>
      </c>
      <c r="K191" s="5" t="s">
        <v>4</v>
      </c>
      <c r="L191" s="97">
        <f ca="1">_xll.meDateFromTenor(L190,"1D","FOLLOWING","TGT")</f>
        <v>42768</v>
      </c>
      <c r="M191" s="95">
        <f ca="1"/>
        <v>-1.3373197422529015E-3</v>
      </c>
      <c r="N191" s="5" t="s">
        <v>4</v>
      </c>
      <c r="O191" s="97">
        <f ca="1">_xll.meDateFromTenor(O190,"1D","FOLLOWING","TGT")</f>
        <v>42768</v>
      </c>
      <c r="P191" s="95">
        <f ca="1"/>
        <v>-2.7009913129671015E-4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-3.8826172816318824E-3</v>
      </c>
      <c r="H192" s="92" t="s">
        <v>4</v>
      </c>
      <c r="I192" s="97">
        <f ca="1">_xll.meDateFromTenor(I191,"1D","FOLLOWING","TGT")</f>
        <v>42769</v>
      </c>
      <c r="J192" s="95">
        <f ca="1"/>
        <v>-2.9844761329772896E-3</v>
      </c>
      <c r="K192" s="5" t="s">
        <v>4</v>
      </c>
      <c r="L192" s="97">
        <f ca="1">_xll.meDateFromTenor(L191,"1D","FOLLOWING","TGT")</f>
        <v>42769</v>
      </c>
      <c r="M192" s="95">
        <f ca="1"/>
        <v>-1.332181682440035E-3</v>
      </c>
      <c r="N192" s="5" t="s">
        <v>4</v>
      </c>
      <c r="O192" s="97">
        <f ca="1">_xll.meDateFromTenor(O191,"1D","FOLLOWING","TGT")</f>
        <v>42769</v>
      </c>
      <c r="P192" s="95">
        <f ca="1"/>
        <v>-2.6998068750746227E-4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-3.8869467653446935E-3</v>
      </c>
      <c r="H193" s="92" t="s">
        <v>4</v>
      </c>
      <c r="I193" s="97">
        <f ca="1">_xll.meDateFromTenor(I192,"1D","FOLLOWING","TGT")</f>
        <v>42772</v>
      </c>
      <c r="J193" s="95">
        <f ca="1"/>
        <v>-2.9864409549150588E-3</v>
      </c>
      <c r="K193" s="5" t="s">
        <v>4</v>
      </c>
      <c r="L193" s="97">
        <f ca="1">_xll.meDateFromTenor(L192,"1D","FOLLOWING","TGT")</f>
        <v>42772</v>
      </c>
      <c r="M193" s="95">
        <f ca="1"/>
        <v>-1.3171193956926445E-3</v>
      </c>
      <c r="N193" s="5" t="s">
        <v>4</v>
      </c>
      <c r="O193" s="97">
        <f ca="1">_xll.meDateFromTenor(O192,"1D","FOLLOWING","TGT")</f>
        <v>42772</v>
      </c>
      <c r="P193" s="95">
        <f ca="1"/>
        <v>-2.6958041782000592E-4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-3.8884173493541939E-3</v>
      </c>
      <c r="H194" s="92" t="s">
        <v>4</v>
      </c>
      <c r="I194" s="97">
        <f ca="1">_xll.meDateFromTenor(I193,"1D","FOLLOWING","TGT")</f>
        <v>42773</v>
      </c>
      <c r="J194" s="95">
        <f ca="1"/>
        <v>-2.9870959107712249E-3</v>
      </c>
      <c r="K194" s="5" t="s">
        <v>4</v>
      </c>
      <c r="L194" s="97">
        <f ca="1">_xll.meDateFromTenor(L193,"1D","FOLLOWING","TGT")</f>
        <v>42773</v>
      </c>
      <c r="M194" s="95">
        <f ca="1"/>
        <v>-1.3122233776012497E-3</v>
      </c>
      <c r="N194" s="5" t="s">
        <v>4</v>
      </c>
      <c r="O194" s="97">
        <f ca="1">_xll.meDateFromTenor(O193,"1D","FOLLOWING","TGT")</f>
        <v>42773</v>
      </c>
      <c r="P194" s="95">
        <f ca="1"/>
        <v>-2.6943191370028621E-4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-3.8898995885228087E-3</v>
      </c>
      <c r="H195" s="92" t="s">
        <v>4</v>
      </c>
      <c r="I195" s="97">
        <f ca="1">_xll.meDateFromTenor(I194,"1D","FOLLOWING","TGT")</f>
        <v>42774</v>
      </c>
      <c r="J195" s="95">
        <f ca="1"/>
        <v>-2.9877508977937586E-3</v>
      </c>
      <c r="K195" s="5" t="s">
        <v>4</v>
      </c>
      <c r="L195" s="97">
        <f ca="1">_xll.meDateFromTenor(L194,"1D","FOLLOWING","TGT")</f>
        <v>42774</v>
      </c>
      <c r="M195" s="95">
        <f ca="1"/>
        <v>-1.3073934548857218E-3</v>
      </c>
      <c r="N195" s="5" t="s">
        <v>4</v>
      </c>
      <c r="O195" s="97">
        <f ca="1">_xll.meDateFromTenor(O194,"1D","FOLLOWING","TGT")</f>
        <v>42774</v>
      </c>
      <c r="P195" s="95">
        <f ca="1"/>
        <v>-2.6927581840995111E-4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-3.8913922491144396E-3</v>
      </c>
      <c r="H196" s="92" t="s">
        <v>4</v>
      </c>
      <c r="I196" s="97">
        <f ca="1">_xll.meDateFromTenor(I195,"1D","FOLLOWING","TGT")</f>
        <v>42775</v>
      </c>
      <c r="J196" s="95">
        <f ca="1"/>
        <v>-2.9884057996681923E-3</v>
      </c>
      <c r="K196" s="5" t="s">
        <v>4</v>
      </c>
      <c r="L196" s="97">
        <f ca="1">_xll.meDateFromTenor(L195,"1D","FOLLOWING","TGT")</f>
        <v>42775</v>
      </c>
      <c r="M196" s="95">
        <f ca="1"/>
        <v>-1.3026318615242608E-3</v>
      </c>
      <c r="N196" s="5" t="s">
        <v>4</v>
      </c>
      <c r="O196" s="97">
        <f ca="1">_xll.meDateFromTenor(O195,"1D","FOLLOWING","TGT")</f>
        <v>42775</v>
      </c>
      <c r="P196" s="95">
        <f ca="1"/>
        <v>-2.6911210151380155E-4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-3.8928940973929865E-3</v>
      </c>
      <c r="H197" s="92" t="s">
        <v>4</v>
      </c>
      <c r="I197" s="97">
        <f ca="1">_xll.meDateFromTenor(I196,"1D","FOLLOWING","TGT")</f>
        <v>42776</v>
      </c>
      <c r="J197" s="95">
        <f ca="1"/>
        <v>-2.9890605852281576E-3</v>
      </c>
      <c r="K197" s="5" t="s">
        <v>4</v>
      </c>
      <c r="L197" s="97">
        <f ca="1">_xll.meDateFromTenor(L196,"1D","FOLLOWING","TGT")</f>
        <v>42776</v>
      </c>
      <c r="M197" s="95">
        <f ca="1"/>
        <v>-1.2979408314950666E-3</v>
      </c>
      <c r="N197" s="5" t="s">
        <v>4</v>
      </c>
      <c r="O197" s="97">
        <f ca="1">_xll.meDateFromTenor(O196,"1D","FOLLOWING","TGT")</f>
        <v>42776</v>
      </c>
      <c r="P197" s="95">
        <f ca="1"/>
        <v>-2.6894073257663858E-4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-3.8974424309891247E-3</v>
      </c>
      <c r="H198" s="92" t="s">
        <v>4</v>
      </c>
      <c r="I198" s="97">
        <f ca="1">_xll.meDateFromTenor(I197,"1D","FOLLOWING","TGT")</f>
        <v>42779</v>
      </c>
      <c r="J198" s="95">
        <f ca="1"/>
        <v>-2.9910255774621272E-3</v>
      </c>
      <c r="K198" s="5" t="s">
        <v>4</v>
      </c>
      <c r="L198" s="97">
        <f ca="1">_xll.meDateFromTenor(L197,"1D","FOLLOWING","TGT")</f>
        <v>42779</v>
      </c>
      <c r="M198" s="95">
        <f ca="1"/>
        <v>-1.2843134611830803E-3</v>
      </c>
      <c r="N198" s="5" t="s">
        <v>4</v>
      </c>
      <c r="O198" s="97">
        <f ca="1">_xll.meDateFromTenor(O197,"1D","FOLLOWING","TGT")</f>
        <v>42779</v>
      </c>
      <c r="P198" s="95">
        <f ca="1"/>
        <v>-2.6838040916707932E-4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-3.898968692654338E-3</v>
      </c>
      <c r="H199" s="92" t="s">
        <v>4</v>
      </c>
      <c r="I199" s="97">
        <f ca="1">_xll.meDateFromTenor(I198,"1D","FOLLOWING","TGT")</f>
        <v>42780</v>
      </c>
      <c r="J199" s="95">
        <f ca="1"/>
        <v>-2.9916783088790345E-3</v>
      </c>
      <c r="K199" s="5" t="s">
        <v>4</v>
      </c>
      <c r="L199" s="97">
        <f ca="1">_xll.meDateFromTenor(L198,"1D","FOLLOWING","TGT")</f>
        <v>42780</v>
      </c>
      <c r="M199" s="95">
        <f ca="1"/>
        <v>-1.2799270242649494E-3</v>
      </c>
      <c r="N199" s="5" t="s">
        <v>4</v>
      </c>
      <c r="O199" s="97">
        <f ca="1">_xll.meDateFromTenor(O198,"1D","FOLLOWING","TGT")</f>
        <v>42780</v>
      </c>
      <c r="P199" s="95">
        <f ca="1"/>
        <v>-2.6817812771387284E-4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-3.900497973325969E-3</v>
      </c>
      <c r="H200" s="92" t="s">
        <v>4</v>
      </c>
      <c r="I200" s="97">
        <f ca="1">_xll.meDateFromTenor(I199,"1D","FOLLOWING","TGT")</f>
        <v>42781</v>
      </c>
      <c r="J200" s="95">
        <f ca="1"/>
        <v>-2.9923354663590946E-3</v>
      </c>
      <c r="K200" s="5" t="s">
        <v>4</v>
      </c>
      <c r="L200" s="97">
        <f ca="1">_xll.meDateFromTenor(L199,"1D","FOLLOWING","TGT")</f>
        <v>42781</v>
      </c>
      <c r="M200" s="95">
        <f ca="1"/>
        <v>-1.2756223205700845E-3</v>
      </c>
      <c r="N200" s="5" t="s">
        <v>4</v>
      </c>
      <c r="O200" s="97">
        <f ca="1">_xll.meDateFromTenor(O199,"1D","FOLLOWING","TGT")</f>
        <v>42781</v>
      </c>
      <c r="P200" s="95">
        <f ca="1"/>
        <v>-2.6796804204365799E-4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-3.9020290392679183E-3</v>
      </c>
      <c r="H201" s="92" t="s">
        <v>4</v>
      </c>
      <c r="I201" s="97">
        <f ca="1">_xll.meDateFromTenor(I200,"1D","FOLLOWING","TGT")</f>
        <v>42782</v>
      </c>
      <c r="J201" s="95">
        <f ca="1"/>
        <v>-2.9929986699538604E-3</v>
      </c>
      <c r="K201" s="5" t="s">
        <v>4</v>
      </c>
      <c r="L201" s="97">
        <f ca="1">_xll.meDateFromTenor(L200,"1D","FOLLOWING","TGT")</f>
        <v>42782</v>
      </c>
      <c r="M201" s="95">
        <f ca="1"/>
        <v>-1.2714015840766841E-3</v>
      </c>
      <c r="N201" s="5" t="s">
        <v>4</v>
      </c>
      <c r="O201" s="97">
        <f ca="1">_xll.meDateFromTenor(O200,"1D","FOLLOWING","TGT")</f>
        <v>42782</v>
      </c>
      <c r="P201" s="95">
        <f ca="1"/>
        <v>-2.6775012172123582E-4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-3.9035606567440853E-3</v>
      </c>
      <c r="H202" s="92" t="s">
        <v>4</v>
      </c>
      <c r="I202" s="97">
        <f ca="1">_xll.meDateFromTenor(I201,"1D","FOLLOWING","TGT")</f>
        <v>42783</v>
      </c>
      <c r="J202" s="95">
        <f ca="1"/>
        <v>-2.9936453552560625E-3</v>
      </c>
      <c r="K202" s="5" t="s">
        <v>4</v>
      </c>
      <c r="L202" s="97">
        <f ca="1">_xll.meDateFromTenor(L201,"1D","FOLLOWING","TGT")</f>
        <v>42783</v>
      </c>
      <c r="M202" s="95">
        <f ca="1"/>
        <v>-1.2672670487629484E-3</v>
      </c>
      <c r="N202" s="5" t="s">
        <v>4</v>
      </c>
      <c r="O202" s="97">
        <f ca="1">_xll.meDateFromTenor(O201,"1D","FOLLOWING","TGT")</f>
        <v>42783</v>
      </c>
      <c r="P202" s="95">
        <f ca="1"/>
        <v>-2.6752433631140732E-4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-3.9081464810168994E-3</v>
      </c>
      <c r="H203" s="92" t="s">
        <v>4</v>
      </c>
      <c r="I203" s="97">
        <f ca="1">_xll.meDateFromTenor(I202,"1D","FOLLOWING","TGT")</f>
        <v>42786</v>
      </c>
      <c r="J203" s="95">
        <f ca="1"/>
        <v>-2.9957252236694387E-3</v>
      </c>
      <c r="K203" s="5" t="s">
        <v>4</v>
      </c>
      <c r="L203" s="97">
        <f ca="1">_xll.meDateFromTenor(L202,"1D","FOLLOWING","TGT")</f>
        <v>42786</v>
      </c>
      <c r="M203" s="95">
        <f ca="1"/>
        <v>-1.2554029896817271E-3</v>
      </c>
      <c r="N203" s="5" t="s">
        <v>4</v>
      </c>
      <c r="O203" s="97">
        <f ca="1">_xll.meDateFromTenor(O202,"1D","FOLLOWING","TGT")</f>
        <v>42786</v>
      </c>
      <c r="P203" s="95">
        <f ca="1"/>
        <v>-2.6679948520549391E-4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-3.9096679672689424E-3</v>
      </c>
      <c r="H204" s="92" t="s">
        <v>4</v>
      </c>
      <c r="I204" s="97">
        <f ca="1">_xll.meDateFromTenor(I203,"1D","FOLLOWING","TGT")</f>
        <v>42787</v>
      </c>
      <c r="J204" s="95">
        <f ca="1"/>
        <v>-2.9962651330499974E-3</v>
      </c>
      <c r="K204" s="5" t="s">
        <v>4</v>
      </c>
      <c r="L204" s="97">
        <f ca="1">_xll.meDateFromTenor(L203,"1D","FOLLOWING","TGT")</f>
        <v>42787</v>
      </c>
      <c r="M204" s="95">
        <f ca="1"/>
        <v>-1.2516355988686475E-3</v>
      </c>
      <c r="N204" s="5" t="s">
        <v>4</v>
      </c>
      <c r="O204" s="97">
        <f ca="1">_xll.meDateFromTenor(O203,"1D","FOLLOWING","TGT")</f>
        <v>42787</v>
      </c>
      <c r="P204" s="95">
        <f ca="1"/>
        <v>-2.6654193509405017E-4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-3.9111838363747051E-3</v>
      </c>
      <c r="H205" s="92" t="s">
        <v>4</v>
      </c>
      <c r="I205" s="97">
        <f ca="1">_xll.meDateFromTenor(I204,"1D","FOLLOWING","TGT")</f>
        <v>42788</v>
      </c>
      <c r="J205" s="95">
        <f ca="1"/>
        <v>-2.9964907607803338E-3</v>
      </c>
      <c r="K205" s="5" t="s">
        <v>4</v>
      </c>
      <c r="L205" s="97">
        <f ca="1">_xll.meDateFromTenor(L204,"1D","FOLLOWING","TGT")</f>
        <v>42788</v>
      </c>
      <c r="M205" s="95">
        <f ca="1"/>
        <v>-1.2479655791262313E-3</v>
      </c>
      <c r="N205" s="5" t="s">
        <v>4</v>
      </c>
      <c r="O205" s="97">
        <f ca="1">_xll.meDateFromTenor(O204,"1D","FOLLOWING","TGT")</f>
        <v>42788</v>
      </c>
      <c r="P205" s="95">
        <f ca="1"/>
        <v>-2.6627636771920515E-4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-3.9126928545980899E-3</v>
      </c>
      <c r="H206" s="92" t="s">
        <v>4</v>
      </c>
      <c r="I206" s="97">
        <f ca="1">_xll.meDateFromTenor(I205,"1D","FOLLOWING","TGT")</f>
        <v>42789</v>
      </c>
      <c r="J206" s="95">
        <f ca="1"/>
        <v>-2.9975750219469648E-3</v>
      </c>
      <c r="K206" s="5" t="s">
        <v>4</v>
      </c>
      <c r="L206" s="97">
        <f ca="1">_xll.meDateFromTenor(L205,"1D","FOLLOWING","TGT")</f>
        <v>42789</v>
      </c>
      <c r="M206" s="95">
        <f ca="1"/>
        <v>-1.2443951644326783E-3</v>
      </c>
      <c r="N206" s="5" t="s">
        <v>4</v>
      </c>
      <c r="O206" s="97">
        <f ca="1">_xll.meDateFromTenor(O205,"1D","FOLLOWING","TGT")</f>
        <v>42789</v>
      </c>
      <c r="P206" s="95">
        <f ca="1"/>
        <v>-2.6600275264575989E-4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-3.9141937882029932E-3</v>
      </c>
      <c r="H207" s="92" t="s">
        <v>4</v>
      </c>
      <c r="I207" s="97">
        <f ca="1">_xll.meDateFromTenor(I206,"1D","FOLLOWING","TGT")</f>
        <v>42790</v>
      </c>
      <c r="J207" s="95">
        <f ca="1"/>
        <v>-2.9998321982001126E-3</v>
      </c>
      <c r="K207" s="5" t="s">
        <v>4</v>
      </c>
      <c r="L207" s="97">
        <f ca="1">_xll.meDateFromTenor(L206,"1D","FOLLOWING","TGT")</f>
        <v>42790</v>
      </c>
      <c r="M207" s="95">
        <f ca="1"/>
        <v>-1.2409265887661878E-3</v>
      </c>
      <c r="N207" s="5" t="s">
        <v>4</v>
      </c>
      <c r="O207" s="97">
        <f ca="1">_xll.meDateFromTenor(O206,"1D","FOLLOWING","TGT")</f>
        <v>42790</v>
      </c>
      <c r="P207" s="95">
        <f ca="1"/>
        <v>-2.6572105943851537E-4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-3.9186357439458313E-3</v>
      </c>
      <c r="H208" s="92" t="s">
        <v>4</v>
      </c>
      <c r="I208" s="97">
        <f ca="1">_xll.meDateFromTenor(I207,"1D","FOLLOWING","TGT")</f>
        <v>42793</v>
      </c>
      <c r="J208" s="95">
        <f ca="1"/>
        <v>-3.0001947997409001E-3</v>
      </c>
      <c r="K208" s="5" t="s">
        <v>4</v>
      </c>
      <c r="L208" s="97">
        <f ca="1">_xll.meDateFromTenor(L207,"1D","FOLLOWING","TGT")</f>
        <v>42793</v>
      </c>
      <c r="M208" s="95">
        <f ca="1"/>
        <v>-1.2311542357110912E-3</v>
      </c>
      <c r="N208" s="5" t="s">
        <v>4</v>
      </c>
      <c r="O208" s="97">
        <f ca="1">_xll.meDateFromTenor(O207,"1D","FOLLOWING","TGT")</f>
        <v>42793</v>
      </c>
      <c r="P208" s="95">
        <f ca="1"/>
        <v>-2.6482720666199652E-4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-3.9200920017158202E-3</v>
      </c>
      <c r="H209" s="92" t="s">
        <v>4</v>
      </c>
      <c r="I209" s="97">
        <f ca="1">_xll.meDateFromTenor(I208,"1D","FOLLOWING","TGT")</f>
        <v>42794</v>
      </c>
      <c r="J209" s="95">
        <f ca="1"/>
        <v>-3.0231659543867523E-3</v>
      </c>
      <c r="K209" s="5" t="s">
        <v>4</v>
      </c>
      <c r="L209" s="97">
        <f ca="1">_xll.meDateFromTenor(L208,"1D","FOLLOWING","TGT")</f>
        <v>42794</v>
      </c>
      <c r="M209" s="95">
        <f ca="1"/>
        <v>-1.2281153559348494E-3</v>
      </c>
      <c r="N209" s="5" t="s">
        <v>4</v>
      </c>
      <c r="O209" s="97">
        <f ca="1">_xll.meDateFromTenor(O208,"1D","FOLLOWING","TGT")</f>
        <v>42794</v>
      </c>
      <c r="P209" s="95">
        <f ca="1"/>
        <v>-2.645128965675652E-4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-3.9215340061868314E-3</v>
      </c>
      <c r="H210" s="92" t="s">
        <v>4</v>
      </c>
      <c r="I210" s="97">
        <f ca="1">_xll.meDateFromTenor(I209,"1D","FOLLOWING","TGT")</f>
        <v>42795</v>
      </c>
      <c r="J210" s="95">
        <f ca="1"/>
        <v>-3.0015046886378675E-3</v>
      </c>
      <c r="K210" s="5" t="s">
        <v>4</v>
      </c>
      <c r="L210" s="97">
        <f ca="1">_xll.meDateFromTenor(L209,"1D","FOLLOWING","TGT")</f>
        <v>42795</v>
      </c>
      <c r="M210" s="95">
        <f ca="1"/>
        <v>-1.2251894850766692E-3</v>
      </c>
      <c r="N210" s="5" t="s">
        <v>4</v>
      </c>
      <c r="O210" s="97">
        <f ca="1">_xll.meDateFromTenor(O209,"1D","FOLLOWING","TGT")</f>
        <v>42795</v>
      </c>
      <c r="P210" s="95">
        <f ca="1"/>
        <v>-2.6419035616333957E-4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-3.9229605236227654E-3</v>
      </c>
      <c r="H211" s="92" t="s">
        <v>4</v>
      </c>
      <c r="I211" s="97">
        <f ca="1">_xll.meDateFromTenor(I210,"1D","FOLLOWING","TGT")</f>
        <v>42796</v>
      </c>
      <c r="J211" s="95">
        <f ca="1"/>
        <v>-2.9349026536801379E-3</v>
      </c>
      <c r="K211" s="5" t="s">
        <v>4</v>
      </c>
      <c r="L211" s="97">
        <f ca="1">_xll.meDateFromTenor(L210,"1D","FOLLOWING","TGT")</f>
        <v>42796</v>
      </c>
      <c r="M211" s="95">
        <f ca="1"/>
        <v>-1.2223788571147499E-3</v>
      </c>
      <c r="N211" s="5" t="s">
        <v>4</v>
      </c>
      <c r="O211" s="97">
        <f ca="1">_xll.meDateFromTenor(O210,"1D","FOLLOWING","TGT")</f>
        <v>42796</v>
      </c>
      <c r="P211" s="95">
        <f ca="1"/>
        <v>-2.6385955501412084E-4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-3.9243706578158946E-3</v>
      </c>
      <c r="H212" s="92" t="s">
        <v>4</v>
      </c>
      <c r="I212" s="97">
        <f ca="1">_xll.meDateFromTenor(I211,"1D","FOLLOWING","TGT")</f>
        <v>42797</v>
      </c>
      <c r="J212" s="95">
        <f ca="1"/>
        <v>-3.002814577534835E-3</v>
      </c>
      <c r="K212" s="5" t="s">
        <v>4</v>
      </c>
      <c r="L212" s="97">
        <f ca="1">_xll.meDateFromTenor(L211,"1D","FOLLOWING","TGT")</f>
        <v>42797</v>
      </c>
      <c r="M212" s="95">
        <f ca="1"/>
        <v>-1.2196857060272916E-3</v>
      </c>
      <c r="N212" s="5" t="s">
        <v>4</v>
      </c>
      <c r="O212" s="97">
        <f ca="1">_xll.meDateFromTenor(O211,"1D","FOLLOWING","TGT")</f>
        <v>42797</v>
      </c>
      <c r="P212" s="95">
        <f ca="1"/>
        <v>-2.6352046268470993E-4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-3.9285086501095962E-3</v>
      </c>
      <c r="H213" s="92" t="s">
        <v>4</v>
      </c>
      <c r="I213" s="97">
        <f ca="1">_xll.meDateFromTenor(I212,"1D","FOLLOWING","TGT")</f>
        <v>42800</v>
      </c>
      <c r="J213" s="95">
        <f ca="1"/>
        <v>-2.9987998608934788E-3</v>
      </c>
      <c r="K213" s="5" t="s">
        <v>4</v>
      </c>
      <c r="L213" s="97">
        <f ca="1">_xll.meDateFromTenor(L212,"1D","FOLLOWING","TGT")</f>
        <v>42800</v>
      </c>
      <c r="M213" s="95">
        <f ca="1"/>
        <v>-1.2123334537936796E-3</v>
      </c>
      <c r="N213" s="5" t="s">
        <v>4</v>
      </c>
      <c r="O213" s="97">
        <f ca="1">_xll.meDateFromTenor(O212,"1D","FOLLOWING","TGT")</f>
        <v>42800</v>
      </c>
      <c r="P213" s="95">
        <f ca="1"/>
        <v>-2.6245313426333429E-4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-3.9298598155593943E-3</v>
      </c>
      <c r="H214" s="92" t="s">
        <v>4</v>
      </c>
      <c r="I214" s="97">
        <f ca="1">_xll.meDateFromTenor(I213,"1D","FOLLOWING","TGT")</f>
        <v>42801</v>
      </c>
      <c r="J214" s="95">
        <f ca="1"/>
        <v>-3.0054343553287698E-3</v>
      </c>
      <c r="K214" s="5" t="s">
        <v>4</v>
      </c>
      <c r="L214" s="97">
        <f ca="1">_xll.meDateFromTenor(L213,"1D","FOLLOWING","TGT")</f>
        <v>42801</v>
      </c>
      <c r="M214" s="95">
        <f ca="1"/>
        <v>-1.2101325499860619E-3</v>
      </c>
      <c r="N214" s="5" t="s">
        <v>4</v>
      </c>
      <c r="O214" s="97">
        <f ca="1">_xll.meDateFromTenor(O213,"1D","FOLLOWING","TGT")</f>
        <v>42801</v>
      </c>
      <c r="P214" s="95">
        <f ca="1"/>
        <v>-2.6208057286116485E-4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-3.9311982174087007E-3</v>
      </c>
      <c r="H215" s="92" t="s">
        <v>4</v>
      </c>
      <c r="I215" s="97">
        <f ca="1">_xll.meDateFromTenor(I214,"1D","FOLLOWING","TGT")</f>
        <v>42802</v>
      </c>
      <c r="J215" s="95">
        <f ca="1"/>
        <v>-3.0076913046555402E-3</v>
      </c>
      <c r="K215" s="5" t="s">
        <v>4</v>
      </c>
      <c r="L215" s="97">
        <f ca="1">_xll.meDateFromTenor(L214,"1D","FOLLOWING","TGT")</f>
        <v>42802</v>
      </c>
      <c r="M215" s="95">
        <f ca="1"/>
        <v>-1.2080602929439043E-3</v>
      </c>
      <c r="N215" s="5" t="s">
        <v>4</v>
      </c>
      <c r="O215" s="97">
        <f ca="1">_xll.meDateFromTenor(O214,"1D","FOLLOWING","TGT")</f>
        <v>42802</v>
      </c>
      <c r="P215" s="95">
        <f ca="1"/>
        <v>-2.6169956810280823E-4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-3.9325246470916578E-3</v>
      </c>
      <c r="H216" s="92" t="s">
        <v>4</v>
      </c>
      <c r="I216" s="97">
        <f ca="1">_xll.meDateFromTenor(I215,"1D","FOLLOWING","TGT")</f>
        <v>42803</v>
      </c>
      <c r="J216" s="95">
        <f ca="1"/>
        <v>-3.0067442442257373E-3</v>
      </c>
      <c r="K216" s="5" t="s">
        <v>4</v>
      </c>
      <c r="L216" s="97">
        <f ca="1">_xll.meDateFromTenor(L215,"1D","FOLLOWING","TGT")</f>
        <v>42803</v>
      </c>
      <c r="M216" s="95">
        <f ca="1"/>
        <v>-1.2061189166454058E-3</v>
      </c>
      <c r="N216" s="5" t="s">
        <v>4</v>
      </c>
      <c r="O216" s="97">
        <f ca="1">_xll.meDateFromTenor(O215,"1D","FOLLOWING","TGT")</f>
        <v>42803</v>
      </c>
      <c r="P216" s="95">
        <f ca="1"/>
        <v>-2.613100895530656E-4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-3.9338398960423997E-3</v>
      </c>
      <c r="H217" s="92" t="s">
        <v>4</v>
      </c>
      <c r="I217" s="97">
        <f ca="1">_xll.meDateFromTenor(I216,"1D","FOLLOWING","TGT")</f>
        <v>42804</v>
      </c>
      <c r="J217" s="95">
        <f ca="1"/>
        <v>-3.0069707191478817E-3</v>
      </c>
      <c r="K217" s="5" t="s">
        <v>4</v>
      </c>
      <c r="L217" s="97">
        <f ca="1">_xll.meDateFromTenor(L216,"1D","FOLLOWING","TGT")</f>
        <v>42804</v>
      </c>
      <c r="M217" s="95">
        <f ca="1"/>
        <v>-1.2043106550687663E-3</v>
      </c>
      <c r="N217" s="5" t="s">
        <v>4</v>
      </c>
      <c r="O217" s="97">
        <f ca="1">_xll.meDateFromTenor(O216,"1D","FOLLOWING","TGT")</f>
        <v>42804</v>
      </c>
      <c r="P217" s="95">
        <f ca="1"/>
        <v>-2.6091210677673787E-4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-3.9377264728427189E-3</v>
      </c>
      <c r="H218" s="92" t="s">
        <v>4</v>
      </c>
      <c r="I218" s="97">
        <f ca="1">_xll.meDateFromTenor(I217,"1D","FOLLOWING","TGT")</f>
        <v>42807</v>
      </c>
      <c r="J218" s="95">
        <f ca="1"/>
        <v>-3.009364022019673E-3</v>
      </c>
      <c r="K218" s="5" t="s">
        <v>4</v>
      </c>
      <c r="L218" s="97">
        <f ca="1">_xll.meDateFromTenor(L217,"1D","FOLLOWING","TGT")</f>
        <v>42807</v>
      </c>
      <c r="M218" s="95">
        <f ca="1"/>
        <v>-1.199706898451999E-3</v>
      </c>
      <c r="N218" s="5" t="s">
        <v>4</v>
      </c>
      <c r="O218" s="97">
        <f ca="1">_xll.meDateFromTenor(O217,"1D","FOLLOWING","TGT")</f>
        <v>42807</v>
      </c>
      <c r="P218" s="95">
        <f ca="1"/>
        <v>-2.5966682873625419E-4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-3.9390049132059807E-3</v>
      </c>
      <c r="H219" s="92" t="s">
        <v>4</v>
      </c>
      <c r="I219" s="97">
        <f ca="1">_xll.meDateFromTenor(I218,"1D","FOLLOWING","TGT")</f>
        <v>42808</v>
      </c>
      <c r="J219" s="95">
        <f ca="1"/>
        <v>-3.00999994308621E-3</v>
      </c>
      <c r="K219" s="5" t="s">
        <v>4</v>
      </c>
      <c r="L219" s="97">
        <f ca="1">_xll.meDateFromTenor(L218,"1D","FOLLOWING","TGT")</f>
        <v>42808</v>
      </c>
      <c r="M219" s="95">
        <f ca="1"/>
        <v>-1.1984534355447929E-3</v>
      </c>
      <c r="N219" s="5" t="s">
        <v>4</v>
      </c>
      <c r="O219" s="97">
        <f ca="1">_xll.meDateFromTenor(O218,"1D","FOLLOWING","TGT")</f>
        <v>42808</v>
      </c>
      <c r="P219" s="95">
        <f ca="1"/>
        <v>-2.592345247015962E-4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-3.9402761300077168E-3</v>
      </c>
      <c r="H220" s="92" t="s">
        <v>4</v>
      </c>
      <c r="I220" s="97">
        <f ca="1">_xll.meDateFromTenor(I219,"1D","FOLLOWING","TGT")</f>
        <v>42809</v>
      </c>
      <c r="J220" s="95">
        <f ca="1"/>
        <v>-3.01067391091664E-3</v>
      </c>
      <c r="K220" s="5" t="s">
        <v>4</v>
      </c>
      <c r="L220" s="97">
        <f ca="1">_xll.meDateFromTenor(L219,"1D","FOLLOWING","TGT")</f>
        <v>42809</v>
      </c>
      <c r="M220" s="95">
        <f ca="1"/>
        <v>-1.1973442572504446E-3</v>
      </c>
      <c r="N220" s="5" t="s">
        <v>4</v>
      </c>
      <c r="O220" s="97">
        <f ca="1">_xll.meDateFromTenor(O219,"1D","FOLLOWING","TGT")</f>
        <v>42809</v>
      </c>
      <c r="P220" s="95">
        <f ca="1"/>
        <v>-2.5879356426435817E-4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-3.9415409146820648E-3</v>
      </c>
      <c r="H221" s="92" t="s">
        <v>4</v>
      </c>
      <c r="I221" s="97">
        <f ca="1">_xll.meDateFromTenor(I220,"1D","FOLLOWING","TGT")</f>
        <v>42810</v>
      </c>
      <c r="J221" s="95">
        <f ca="1"/>
        <v>-3.0112744626594281E-3</v>
      </c>
      <c r="K221" s="5" t="s">
        <v>4</v>
      </c>
      <c r="L221" s="97">
        <f ca="1">_xll.meDateFromTenor(L220,"1D","FOLLOWING","TGT")</f>
        <v>42810</v>
      </c>
      <c r="M221" s="95">
        <f ca="1"/>
        <v>-1.1963815975471531E-3</v>
      </c>
      <c r="N221" s="5" t="s">
        <v>4</v>
      </c>
      <c r="O221" s="97">
        <f ca="1">_xll.meDateFromTenor(O220,"1D","FOLLOWING","TGT")</f>
        <v>42810</v>
      </c>
      <c r="P221" s="95">
        <f ca="1"/>
        <v>-2.5834391698934119E-4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-3.9428000586631626E-3</v>
      </c>
      <c r="H222" s="92" t="s">
        <v>4</v>
      </c>
      <c r="I222" s="97">
        <f ca="1">_xll.meDateFromTenor(I221,"1D","FOLLOWING","TGT")</f>
        <v>42811</v>
      </c>
      <c r="J222" s="95">
        <f ca="1"/>
        <v>-3.0118348957623416E-3</v>
      </c>
      <c r="K222" s="5" t="s">
        <v>4</v>
      </c>
      <c r="L222" s="97">
        <f ca="1">_xll.meDateFromTenor(L221,"1D","FOLLOWING","TGT")</f>
        <v>42811</v>
      </c>
      <c r="M222" s="95">
        <f ca="1"/>
        <v>-1.1955676904131188E-3</v>
      </c>
      <c r="N222" s="5" t="s">
        <v>4</v>
      </c>
      <c r="O222" s="97">
        <f ca="1">_xll.meDateFromTenor(O221,"1D","FOLLOWING","TGT")</f>
        <v>42811</v>
      </c>
      <c r="P222" s="95">
        <f ca="1"/>
        <v>-2.5788555244134616E-4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-3.9465515607883242E-3</v>
      </c>
      <c r="H223" s="92" t="s">
        <v>4</v>
      </c>
      <c r="I223" s="97">
        <f ca="1">_xll.meDateFromTenor(I222,"1D","FOLLOWING","TGT")</f>
        <v>42814</v>
      </c>
      <c r="J223" s="95">
        <f ca="1"/>
        <v>-3.0135778132252683E-3</v>
      </c>
      <c r="K223" s="5" t="s">
        <v>4</v>
      </c>
      <c r="L223" s="97">
        <f ca="1">_xll.meDateFromTenor(L222,"1D","FOLLOWING","TGT")</f>
        <v>42814</v>
      </c>
      <c r="M223" s="95">
        <f ca="1"/>
        <v>-1.1940408242085562E-3</v>
      </c>
      <c r="N223" s="5" t="s">
        <v>4</v>
      </c>
      <c r="O223" s="97">
        <f ca="1">_xll.meDateFromTenor(O222,"1D","FOLLOWING","TGT")</f>
        <v>42814</v>
      </c>
      <c r="P223" s="95">
        <f ca="1"/>
        <v>-2.5645785080750315E-4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-3.9477960563377946E-3</v>
      </c>
      <c r="H224" s="92" t="s">
        <v>4</v>
      </c>
      <c r="I224" s="97">
        <f ca="1">_xll.meDateFromTenor(I223,"1D","FOLLOWING","TGT")</f>
        <v>42815</v>
      </c>
      <c r="J224" s="95">
        <f ca="1"/>
        <v>-3.0141568654537443E-3</v>
      </c>
      <c r="K224" s="5" t="s">
        <v>4</v>
      </c>
      <c r="L224" s="97">
        <f ca="1">_xll.meDateFromTenor(L223,"1D","FOLLOWING","TGT")</f>
        <v>42815</v>
      </c>
      <c r="M224" s="95">
        <f ca="1"/>
        <v>-1.193844267133548E-3</v>
      </c>
      <c r="N224" s="5" t="s">
        <v>4</v>
      </c>
      <c r="O224" s="97">
        <f ca="1">_xll.meDateFromTenor(O223,"1D","FOLLOWING","TGT")</f>
        <v>42815</v>
      </c>
      <c r="P224" s="95">
        <f ca="1"/>
        <v>-2.5596431281560623E-4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-3.9490388683647015E-3</v>
      </c>
      <c r="H225" s="92" t="s">
        <v>4</v>
      </c>
      <c r="I225" s="97">
        <f ca="1">_xll.meDateFromTenor(I224,"1D","FOLLOWING","TGT")</f>
        <v>42816</v>
      </c>
      <c r="J225" s="95">
        <f ca="1"/>
        <v>-3.0147369719776755E-3</v>
      </c>
      <c r="K225" s="5" t="s">
        <v>4</v>
      </c>
      <c r="L225" s="97">
        <f ca="1">_xll.meDateFromTenor(L224,"1D","FOLLOWING","TGT")</f>
        <v>42816</v>
      </c>
      <c r="M225" s="95">
        <f ca="1"/>
        <v>-1.193807632518795E-3</v>
      </c>
      <c r="N225" s="5" t="s">
        <v>4</v>
      </c>
      <c r="O225" s="97">
        <f ca="1">_xll.meDateFromTenor(O224,"1D","FOLLOWING","TGT")</f>
        <v>42816</v>
      </c>
      <c r="P225" s="95">
        <f ca="1"/>
        <v>-2.5546190537473635E-4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-3.9502807883031827E-3</v>
      </c>
      <c r="H226" s="92" t="s">
        <v>4</v>
      </c>
      <c r="I226" s="97">
        <f ca="1">_xll.meDateFromTenor(I225,"1D","FOLLOWING","TGT")</f>
        <v>42817</v>
      </c>
      <c r="J226" s="95">
        <f ca="1"/>
        <v>-3.0153178502994463E-3</v>
      </c>
      <c r="K226" s="5" t="s">
        <v>4</v>
      </c>
      <c r="L226" s="97">
        <f ca="1">_xll.meDateFromTenor(L225,"1D","FOLLOWING","TGT")</f>
        <v>42817</v>
      </c>
      <c r="M226" s="95">
        <f ca="1"/>
        <v>-1.1939331543424979E-3</v>
      </c>
      <c r="N226" s="5" t="s">
        <v>4</v>
      </c>
      <c r="O226" s="97">
        <f ca="1">_xll.meDateFromTenor(O225,"1D","FOLLOWING","TGT")</f>
        <v>42817</v>
      </c>
      <c r="P226" s="95">
        <f ca="1"/>
        <v>-2.5495059804969455E-4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-3.9515226075873778E-3</v>
      </c>
      <c r="H227" s="92" t="s">
        <v>4</v>
      </c>
      <c r="I227" s="97">
        <f ca="1">_xll.meDateFromTenor(I226,"1D","FOLLOWING","TGT")</f>
        <v>42818</v>
      </c>
      <c r="J227" s="95">
        <f ca="1"/>
        <v>-3.0158984461236007E-3</v>
      </c>
      <c r="K227" s="5" t="s">
        <v>4</v>
      </c>
      <c r="L227" s="97">
        <f ca="1">_xll.meDateFromTenor(L226,"1D","FOLLOWING","TGT")</f>
        <v>42818</v>
      </c>
      <c r="M227" s="95">
        <f ca="1"/>
        <v>-1.1942230665828559E-3</v>
      </c>
      <c r="N227" s="5" t="s">
        <v>4</v>
      </c>
      <c r="O227" s="97">
        <f ca="1">_xll.meDateFromTenor(O226,"1D","FOLLOWING","TGT")</f>
        <v>42818</v>
      </c>
      <c r="P227" s="95">
        <f ca="1"/>
        <v>-2.5443036040528178E-4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-3.9552553758556109E-3</v>
      </c>
      <c r="H228" s="92" t="s">
        <v>4</v>
      </c>
      <c r="I228" s="97">
        <f ca="1">_xll.meDateFromTenor(I227,"1D","FOLLOWING","TGT")</f>
        <v>42821</v>
      </c>
      <c r="J228" s="95">
        <f ca="1"/>
        <v>-3.017639819990849E-3</v>
      </c>
      <c r="K228" s="5" t="s">
        <v>4</v>
      </c>
      <c r="L228" s="97">
        <f ca="1">_xll.meDateFromTenor(L227,"1D","FOLLOWING","TGT")</f>
        <v>42821</v>
      </c>
      <c r="M228" s="95">
        <f ca="1"/>
        <v>-1.1961014855858582E-3</v>
      </c>
      <c r="N228" s="5" t="s">
        <v>4</v>
      </c>
      <c r="O228" s="97">
        <f ca="1">_xll.meDateFromTenor(O227,"1D","FOLLOWING","TGT")</f>
        <v>42821</v>
      </c>
      <c r="P228" s="95">
        <f ca="1"/>
        <v>-2.5281576120382825E-4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-3.9565047068640304E-3</v>
      </c>
      <c r="H229" s="92" t="s">
        <v>4</v>
      </c>
      <c r="I229" s="97">
        <f ca="1">_xll.meDateFromTenor(I228,"1D","FOLLOWING","TGT")</f>
        <v>42822</v>
      </c>
      <c r="J229" s="95">
        <f ca="1"/>
        <v>-3.0182203198375794E-3</v>
      </c>
      <c r="K229" s="5" t="s">
        <v>4</v>
      </c>
      <c r="L229" s="97">
        <f ca="1">_xll.meDateFromTenor(L228,"1D","FOLLOWING","TGT")</f>
        <v>42822</v>
      </c>
      <c r="M229" s="95">
        <f ca="1"/>
        <v>-1.1970712992748342E-3</v>
      </c>
      <c r="N229" s="5" t="s">
        <v>4</v>
      </c>
      <c r="O229" s="97">
        <f ca="1">_xll.meDateFromTenor(O228,"1D","FOLLOWING","TGT")</f>
        <v>42822</v>
      </c>
      <c r="P229" s="95">
        <f ca="1"/>
        <v>-2.5225949792994192E-4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-3.9577578943888513E-3</v>
      </c>
      <c r="H230" s="92" t="s">
        <v>4</v>
      </c>
      <c r="I230" s="97">
        <f ca="1">_xll.meDateFromTenor(I229,"1D","FOLLOWING","TGT")</f>
        <v>42823</v>
      </c>
      <c r="J230" s="95">
        <f ca="1"/>
        <v>-3.0188008048365506E-3</v>
      </c>
      <c r="K230" s="5" t="s">
        <v>4</v>
      </c>
      <c r="L230" s="97">
        <f ca="1">_xll.meDateFromTenor(L229,"1D","FOLLOWING","TGT")</f>
        <v>42823</v>
      </c>
      <c r="M230" s="95">
        <f ca="1"/>
        <v>-1.198216673271464E-3</v>
      </c>
      <c r="N230" s="5" t="s">
        <v>4</v>
      </c>
      <c r="O230" s="97">
        <f ca="1">_xll.meDateFromTenor(O229,"1D","FOLLOWING","TGT")</f>
        <v>42823</v>
      </c>
      <c r="P230" s="95">
        <f ca="1"/>
        <v>-2.5169415216068976E-4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-3.9590157298642096E-3</v>
      </c>
      <c r="H231" s="92" t="s">
        <v>4</v>
      </c>
      <c r="I231" s="97">
        <f ca="1">_xll.meDateFromTenor(I230,"1D","FOLLOWING","TGT")</f>
        <v>42824</v>
      </c>
      <c r="J231" s="95">
        <f ca="1"/>
        <v>-3.0193812952701788E-3</v>
      </c>
      <c r="K231" s="5" t="s">
        <v>4</v>
      </c>
      <c r="L231" s="97">
        <f ca="1">_xll.meDateFromTenor(L230,"1D","FOLLOWING","TGT")</f>
        <v>42824</v>
      </c>
      <c r="M231" s="95">
        <f ca="1"/>
        <v>-1.1995398415539475E-3</v>
      </c>
      <c r="N231" s="5" t="s">
        <v>4</v>
      </c>
      <c r="O231" s="97">
        <f ca="1">_xll.meDateFromTenor(O230,"1D","FOLLOWING","TGT")</f>
        <v>42824</v>
      </c>
      <c r="P231" s="95">
        <f ca="1"/>
        <v>-2.5111969346087272E-4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-3.9602790047242433E-3</v>
      </c>
      <c r="H232" s="92" t="s">
        <v>4</v>
      </c>
      <c r="I232" s="97">
        <f ca="1">_xll.meDateFromTenor(I231,"1D","FOLLOWING","TGT")</f>
        <v>42825</v>
      </c>
      <c r="J232" s="95">
        <f ca="1"/>
        <v>-3.0199617896822521E-3</v>
      </c>
      <c r="K232" s="5" t="s">
        <v>4</v>
      </c>
      <c r="L232" s="97">
        <f ca="1">_xll.meDateFromTenor(L231,"1D","FOLLOWING","TGT")</f>
        <v>42825</v>
      </c>
      <c r="M232" s="95">
        <f ca="1"/>
        <v>-1.2010430381004843E-3</v>
      </c>
      <c r="N232" s="5" t="s">
        <v>4</v>
      </c>
      <c r="O232" s="97">
        <f ca="1">_xll.meDateFromTenor(O231,"1D","FOLLOWING","TGT")</f>
        <v>42825</v>
      </c>
      <c r="P232" s="95">
        <f ca="1"/>
        <v>-2.5053609139529193E-4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-3.9641093799537746E-3</v>
      </c>
      <c r="H233" s="92" t="s">
        <v>4</v>
      </c>
      <c r="I233" s="97">
        <f ca="1">_xll.meDateFromTenor(I232,"1D","FOLLOWING","TGT")</f>
        <v>42828</v>
      </c>
      <c r="J233" s="95">
        <f ca="1"/>
        <v>-3.0217032668079843E-3</v>
      </c>
      <c r="K233" s="5" t="s">
        <v>4</v>
      </c>
      <c r="L233" s="97">
        <f ca="1">_xll.meDateFromTenor(L232,"1D","FOLLOWING","TGT")</f>
        <v>42828</v>
      </c>
      <c r="M233" s="95">
        <f ca="1"/>
        <v>-1.2066551371064118E-3</v>
      </c>
      <c r="N233" s="5" t="s">
        <v>4</v>
      </c>
      <c r="O233" s="97">
        <f ca="1">_xll.meDateFromTenor(O232,"1D","FOLLOWING","TGT")</f>
        <v>42828</v>
      </c>
      <c r="P233" s="95">
        <f ca="1"/>
        <v>-2.4873012065197638E-4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-3.9654021088691279E-3</v>
      </c>
      <c r="H234" s="92" t="s">
        <v>4</v>
      </c>
      <c r="I234" s="97">
        <f ca="1">_xll.meDateFromTenor(I233,"1D","FOLLOWING","TGT")</f>
        <v>42829</v>
      </c>
      <c r="J234" s="95">
        <f ca="1"/>
        <v>-3.0222837593736548E-3</v>
      </c>
      <c r="K234" s="5" t="s">
        <v>4</v>
      </c>
      <c r="L234" s="97">
        <f ca="1">_xll.meDateFromTenor(L233,"1D","FOLLOWING","TGT")</f>
        <v>42829</v>
      </c>
      <c r="M234" s="95">
        <f ca="1"/>
        <v>-1.2089007864911588E-3</v>
      </c>
      <c r="N234" s="5" t="s">
        <v>4</v>
      </c>
      <c r="O234" s="97">
        <f ca="1">_xll.meDateFromTenor(O233,"1D","FOLLOWING","TGT")</f>
        <v>42829</v>
      </c>
      <c r="P234" s="95">
        <f ca="1"/>
        <v>-2.4810964077135025E-4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-3.966702927391293E-3</v>
      </c>
      <c r="H235" s="92" t="s">
        <v>4</v>
      </c>
      <c r="I235" s="97">
        <f ca="1">_xll.meDateFromTenor(I234,"1D","FOLLOWING","TGT")</f>
        <v>42830</v>
      </c>
      <c r="J235" s="95">
        <f ca="1"/>
        <v>-3.0228642518347741E-3</v>
      </c>
      <c r="K235" s="5" t="s">
        <v>4</v>
      </c>
      <c r="L235" s="97">
        <f ca="1">_xll.meDateFromTenor(L234,"1D","FOLLOWING","TGT")</f>
        <v>42830</v>
      </c>
      <c r="M235" s="95">
        <f ca="1"/>
        <v>-1.2113376340309578E-3</v>
      </c>
      <c r="N235" s="5" t="s">
        <v>4</v>
      </c>
      <c r="O235" s="97">
        <f ca="1">_xll.meDateFromTenor(O234,"1D","FOLLOWING","TGT")</f>
        <v>42830</v>
      </c>
      <c r="P235" s="95">
        <f ca="1"/>
        <v>-2.4747986534896538E-4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-3.9680113200058556E-3</v>
      </c>
      <c r="H236" s="92" t="s">
        <v>4</v>
      </c>
      <c r="I236" s="97">
        <f ca="1">_xll.meDateFromTenor(I235,"1D","FOLLOWING","TGT")</f>
        <v>42831</v>
      </c>
      <c r="J236" s="95">
        <f ca="1"/>
        <v>-3.0234447442193564E-3</v>
      </c>
      <c r="K236" s="5" t="s">
        <v>4</v>
      </c>
      <c r="L236" s="97">
        <f ca="1">_xll.meDateFromTenor(L235,"1D","FOLLOWING","TGT")</f>
        <v>42831</v>
      </c>
      <c r="M236" s="95">
        <f ca="1"/>
        <v>-1.2139679137040085E-3</v>
      </c>
      <c r="N236" s="5" t="s">
        <v>4</v>
      </c>
      <c r="O236" s="97">
        <f ca="1">_xll.meDateFromTenor(O235,"1D","FOLLOWING","TGT")</f>
        <v>42831</v>
      </c>
      <c r="P236" s="95">
        <f ca="1"/>
        <v>-2.4684076394962276E-4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-3.9693267711983999E-3</v>
      </c>
      <c r="H237" s="92" t="s">
        <v>4</v>
      </c>
      <c r="I237" s="97">
        <f ca="1">_xll.meDateFromTenor(I236,"1D","FOLLOWING","TGT")</f>
        <v>42832</v>
      </c>
      <c r="J237" s="95">
        <f ca="1"/>
        <v>-3.0240252366319532E-3</v>
      </c>
      <c r="K237" s="5" t="s">
        <v>4</v>
      </c>
      <c r="L237" s="97">
        <f ca="1">_xll.meDateFromTenor(L236,"1D","FOLLOWING","TGT")</f>
        <v>42832</v>
      </c>
      <c r="M237" s="95">
        <f ca="1"/>
        <v>-1.2167938594885106E-3</v>
      </c>
      <c r="N237" s="5" t="s">
        <v>4</v>
      </c>
      <c r="O237" s="97">
        <f ca="1">_xll.meDateFromTenor(O236,"1D","FOLLOWING","TGT")</f>
        <v>42832</v>
      </c>
      <c r="P237" s="95">
        <f ca="1"/>
        <v>-2.4619230613812332E-4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-3.9733103210997803E-3</v>
      </c>
      <c r="H238" s="92" t="s">
        <v>4</v>
      </c>
      <c r="I238" s="97">
        <f ca="1">_xll.meDateFromTenor(I237,"1D","FOLLOWING","TGT")</f>
        <v>42835</v>
      </c>
      <c r="J238" s="95">
        <f ca="1"/>
        <v>-3.0257667139107595E-3</v>
      </c>
      <c r="K238" s="5" t="s">
        <v>4</v>
      </c>
      <c r="L238" s="97">
        <f ca="1">_xll.meDateFromTenor(L237,"1D","FOLLOWING","TGT")</f>
        <v>42835</v>
      </c>
      <c r="M238" s="95">
        <f ca="1"/>
        <v>-1.2264680332927228E-3</v>
      </c>
      <c r="N238" s="5" t="s">
        <v>4</v>
      </c>
      <c r="O238" s="97">
        <f ca="1">_xll.meDateFromTenor(O237,"1D","FOLLOWING","TGT")</f>
        <v>42835</v>
      </c>
      <c r="P238" s="95">
        <f ca="1"/>
        <v>-2.4419048987869461E-4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-3.9746488514601089E-3</v>
      </c>
      <c r="H239" s="92" t="s">
        <v>4</v>
      </c>
      <c r="I239" s="97">
        <f ca="1">_xll.meDateFromTenor(I238,"1D","FOLLOWING","TGT")</f>
        <v>42836</v>
      </c>
      <c r="J239" s="95">
        <f ca="1"/>
        <v>-3.0263472063328744E-3</v>
      </c>
      <c r="K239" s="5" t="s">
        <v>4</v>
      </c>
      <c r="L239" s="97">
        <f ca="1">_xll.meDateFromTenor(L238,"1D","FOLLOWING","TGT")</f>
        <v>42836</v>
      </c>
      <c r="M239" s="95">
        <f ca="1"/>
        <v>-1.2300989833050279E-3</v>
      </c>
      <c r="N239" s="5" t="s">
        <v>4</v>
      </c>
      <c r="O239" s="97">
        <f ca="1">_xll.meDateFromTenor(O238,"1D","FOLLOWING","TGT")</f>
        <v>42836</v>
      </c>
      <c r="P239" s="95">
        <f ca="1"/>
        <v>-2.4350430206657831E-4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-3.9759918628263467E-3</v>
      </c>
      <c r="H240" s="92" t="s">
        <v>4</v>
      </c>
      <c r="I240" s="97">
        <f ca="1">_xll.meDateFromTenor(I239,"1D","FOLLOWING","TGT")</f>
        <v>42837</v>
      </c>
      <c r="J240" s="95">
        <f ca="1"/>
        <v>-3.0269276987564611E-3</v>
      </c>
      <c r="K240" s="5" t="s">
        <v>4</v>
      </c>
      <c r="L240" s="97">
        <f ca="1">_xll.meDateFromTenor(L239,"1D","FOLLOWING","TGT")</f>
        <v>42837</v>
      </c>
      <c r="M240" s="95">
        <f ca="1"/>
        <v>-1.2339367693197829E-3</v>
      </c>
      <c r="N240" s="5" t="s">
        <v>4</v>
      </c>
      <c r="O240" s="97">
        <f ca="1">_xll.meDateFromTenor(O239,"1D","FOLLOWING","TGT")</f>
        <v>42837</v>
      </c>
      <c r="P240" s="95">
        <f ca="1"/>
        <v>-2.4280860566631025E-4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-3.9773388396840805E-3</v>
      </c>
      <c r="H241" s="92" t="s">
        <v>4</v>
      </c>
      <c r="I241" s="97">
        <f ca="1">_xll.meDateFromTenor(I240,"1D","FOLLOWING","TGT")</f>
        <v>42838</v>
      </c>
      <c r="J241" s="95">
        <f ca="1"/>
        <v>-3.0275081911795088E-3</v>
      </c>
      <c r="K241" s="5" t="s">
        <v>4</v>
      </c>
      <c r="L241" s="97">
        <f ca="1">_xll.meDateFromTenor(L240,"1D","FOLLOWING","TGT")</f>
        <v>42838</v>
      </c>
      <c r="M241" s="95">
        <f ca="1"/>
        <v>-1.2379836253151879E-3</v>
      </c>
      <c r="N241" s="5" t="s">
        <v>4</v>
      </c>
      <c r="O241" s="97">
        <f ca="1">_xll.meDateFromTenor(O240,"1D","FOLLOWING","TGT")</f>
        <v>42838</v>
      </c>
      <c r="P241" s="95">
        <f ca="1"/>
        <v>-2.4210337024269151E-4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-3.9841151633406647E-3</v>
      </c>
      <c r="H242" s="92" t="s">
        <v>4</v>
      </c>
      <c r="I242" s="97">
        <f ca="1">_xll.meDateFromTenor(I241,"1D","FOLLOWING","TGT")</f>
        <v>42843</v>
      </c>
      <c r="J242" s="95">
        <f ca="1"/>
        <v>-3.0304106532935654E-3</v>
      </c>
      <c r="K242" s="5" t="s">
        <v>4</v>
      </c>
      <c r="L242" s="97">
        <f ca="1">_xll.meDateFromTenor(L241,"1D","FOLLOWING","TGT")</f>
        <v>42843</v>
      </c>
      <c r="M242" s="95">
        <f ca="1"/>
        <v>-1.2614321442389485E-3</v>
      </c>
      <c r="N242" s="5" t="s">
        <v>4</v>
      </c>
      <c r="O242" s="97">
        <f ca="1">_xll.meDateFromTenor(O241,"1D","FOLLOWING","TGT")</f>
        <v>42843</v>
      </c>
      <c r="P242" s="95">
        <f ca="1"/>
        <v>-2.3843304254237294E-4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-3.9854751073446631E-3</v>
      </c>
      <c r="H243" s="92" t="s">
        <v>4</v>
      </c>
      <c r="I243" s="97">
        <f ca="1">_xll.meDateFromTenor(I242,"1D","FOLLOWING","TGT")</f>
        <v>42844</v>
      </c>
      <c r="J243" s="95">
        <f ca="1"/>
        <v>-3.0309911457164257E-3</v>
      </c>
      <c r="K243" s="5" t="s">
        <v>4</v>
      </c>
      <c r="L243" s="97">
        <f ca="1">_xll.meDateFromTenor(L242,"1D","FOLLOWING","TGT")</f>
        <v>42844</v>
      </c>
      <c r="M243" s="95">
        <f ca="1"/>
        <v>-1.2667803336604457E-3</v>
      </c>
      <c r="N243" s="5" t="s">
        <v>4</v>
      </c>
      <c r="O243" s="97">
        <f ca="1">_xll.meDateFromTenor(O242,"1D","FOLLOWING","TGT")</f>
        <v>42844</v>
      </c>
      <c r="P243" s="95">
        <f ca="1"/>
        <v>-2.376699338394713E-4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-3.986835408239256E-3</v>
      </c>
      <c r="H244" s="92" t="s">
        <v>4</v>
      </c>
      <c r="I244" s="97">
        <f ca="1">_xll.meDateFromTenor(I243,"1D","FOLLOWING","TGT")</f>
        <v>42845</v>
      </c>
      <c r="J244" s="95">
        <f ca="1"/>
        <v>-3.031571638139267E-3</v>
      </c>
      <c r="K244" s="5" t="s">
        <v>4</v>
      </c>
      <c r="L244" s="97">
        <f ca="1">_xll.meDateFromTenor(L243,"1D","FOLLOWING","TGT")</f>
        <v>42845</v>
      </c>
      <c r="M244" s="95">
        <f ca="1"/>
        <v>-1.2723532309099914E-3</v>
      </c>
      <c r="N244" s="5" t="s">
        <v>4</v>
      </c>
      <c r="O244" s="97">
        <f ca="1">_xll.meDateFromTenor(O243,"1D","FOLLOWING","TGT")</f>
        <v>42845</v>
      </c>
      <c r="P244" s="95">
        <f ca="1"/>
        <v>-2.3689707306682607E-4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-3.9881955505100264E-3</v>
      </c>
      <c r="H245" s="92" t="s">
        <v>4</v>
      </c>
      <c r="I245" s="97">
        <f ca="1">_xll.meDateFromTenor(I244,"1D","FOLLOWING","TGT")</f>
        <v>42846</v>
      </c>
      <c r="J245" s="95">
        <f ca="1"/>
        <v>-3.0321521305620696E-3</v>
      </c>
      <c r="K245" s="5" t="s">
        <v>4</v>
      </c>
      <c r="L245" s="97">
        <f ca="1">_xll.meDateFromTenor(L244,"1D","FOLLOWING","TGT")</f>
        <v>42846</v>
      </c>
      <c r="M245" s="95">
        <f ca="1"/>
        <v>-1.2781530699657844E-3</v>
      </c>
      <c r="N245" s="5" t="s">
        <v>4</v>
      </c>
      <c r="O245" s="97">
        <f ca="1">_xll.meDateFromTenor(O244,"1D","FOLLOWING","TGT")</f>
        <v>42846</v>
      </c>
      <c r="P245" s="95">
        <f ca="1"/>
        <v>-2.3611442978923829E-4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-3.9922698704352669E-3</v>
      </c>
      <c r="H246" s="92" t="s">
        <v>4</v>
      </c>
      <c r="I246" s="97">
        <f ca="1">_xll.meDateFromTenor(I245,"1D","FOLLOWING","TGT")</f>
        <v>42849</v>
      </c>
      <c r="J246" s="95">
        <f ca="1"/>
        <v>-3.0338936078306701E-3</v>
      </c>
      <c r="K246" s="5" t="s">
        <v>4</v>
      </c>
      <c r="L246" s="97">
        <f ca="1">_xll.meDateFromTenor(L245,"1D","FOLLOWING","TGT")</f>
        <v>42849</v>
      </c>
      <c r="M246" s="95">
        <f ca="1"/>
        <v>-1.2969365777526466E-3</v>
      </c>
      <c r="N246" s="5" t="s">
        <v>4</v>
      </c>
      <c r="O246" s="97">
        <f ca="1">_xll.meDateFromTenor(O245,"1D","FOLLOWING","TGT")</f>
        <v>42849</v>
      </c>
      <c r="P246" s="95">
        <f ca="1"/>
        <v>-2.3370750057482933E-4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-3.9936242230666072E-3</v>
      </c>
      <c r="H247" s="92" t="s">
        <v>4</v>
      </c>
      <c r="I247" s="97">
        <f ca="1">_xll.meDateFromTenor(I246,"1D","FOLLOWING","TGT")</f>
        <v>42850</v>
      </c>
      <c r="J247" s="95">
        <f ca="1"/>
        <v>-3.0344741002528378E-3</v>
      </c>
      <c r="K247" s="5" t="s">
        <v>4</v>
      </c>
      <c r="L247" s="97">
        <f ca="1">_xll.meDateFromTenor(L246,"1D","FOLLOWING","TGT")</f>
        <v>42850</v>
      </c>
      <c r="M247" s="95">
        <f ca="1"/>
        <v>-1.3036665238154274E-3</v>
      </c>
      <c r="N247" s="5" t="s">
        <v>4</v>
      </c>
      <c r="O247" s="97">
        <f ca="1">_xll.meDateFromTenor(O246,"1D","FOLLOWING","TGT")</f>
        <v>42850</v>
      </c>
      <c r="P247" s="95">
        <f ca="1"/>
        <v>-2.3288542292548123E-4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-3.9949758395020542E-3</v>
      </c>
      <c r="H248" s="92" t="s">
        <v>4</v>
      </c>
      <c r="I248" s="97">
        <f ca="1">_xll.meDateFromTenor(I247,"1D","FOLLOWING","TGT")</f>
        <v>42851</v>
      </c>
      <c r="J248" s="95">
        <f ca="1"/>
        <v>-3.0350545926763717E-3</v>
      </c>
      <c r="K248" s="5" t="s">
        <v>4</v>
      </c>
      <c r="L248" s="97">
        <f ca="1">_xll.meDateFromTenor(L247,"1D","FOLLOWING","TGT")</f>
        <v>42851</v>
      </c>
      <c r="M248" s="95">
        <f ca="1"/>
        <v>-1.3106345815754544E-3</v>
      </c>
      <c r="N248" s="5" t="s">
        <v>4</v>
      </c>
      <c r="O248" s="97">
        <f ca="1">_xll.meDateFromTenor(O247,"1D","FOLLOWING","TGT")</f>
        <v>42851</v>
      </c>
      <c r="P248" s="95">
        <f ca="1"/>
        <v>-2.3205341059519556E-4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-3.9963242042271932E-3</v>
      </c>
      <c r="H249" s="92" t="s">
        <v>4</v>
      </c>
      <c r="I249" s="97">
        <f ca="1">_xll.meDateFromTenor(I248,"1D","FOLLOWING","TGT")</f>
        <v>42852</v>
      </c>
      <c r="J249" s="95">
        <f ca="1"/>
        <v>-3.0356350851017712E-3</v>
      </c>
      <c r="K249" s="5" t="s">
        <v>4</v>
      </c>
      <c r="L249" s="97">
        <f ca="1">_xll.meDateFromTenor(L248,"1D","FOLLOWING","TGT")</f>
        <v>42852</v>
      </c>
      <c r="M249" s="95">
        <f ca="1"/>
        <v>-1.3178429850109273E-3</v>
      </c>
      <c r="N249" s="5" t="s">
        <v>4</v>
      </c>
      <c r="O249" s="97">
        <f ca="1">_xll.meDateFromTenor(O248,"1D","FOLLOWING","TGT")</f>
        <v>42852</v>
      </c>
      <c r="P249" s="95">
        <f ca="1"/>
        <v>-2.3121143314877341E-4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-3.9976688017276081E-3</v>
      </c>
      <c r="H250" s="92" t="s">
        <v>4</v>
      </c>
      <c r="I250" s="97">
        <f ca="1">_xll.meDateFromTenor(I249,"1D","FOLLOWING","TGT")</f>
        <v>42853</v>
      </c>
      <c r="J250" s="95">
        <f ca="1"/>
        <v>-3.0362155775220728E-3</v>
      </c>
      <c r="K250" s="5" t="s">
        <v>4</v>
      </c>
      <c r="L250" s="97">
        <f ca="1">_xll.meDateFromTenor(L249,"1D","FOLLOWING","TGT")</f>
        <v>42853</v>
      </c>
      <c r="M250" s="95">
        <f ca="1"/>
        <v>-1.3252939681000458E-3</v>
      </c>
      <c r="N250" s="5" t="s">
        <v>4</v>
      </c>
      <c r="O250" s="97">
        <f ca="1">_xll.meDateFromTenor(O249,"1D","FOLLOWING","TGT")</f>
        <v>42853</v>
      </c>
      <c r="P250" s="95">
        <f ca="1"/>
        <v>-2.3035946015101576E-4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-4.002999209193751E-3</v>
      </c>
      <c r="H251" s="92" t="s">
        <v>4</v>
      </c>
      <c r="I251" s="97">
        <f ca="1">_xll.meDateFromTenor(I250,"1D","FOLLOWING","TGT")</f>
        <v>42857</v>
      </c>
      <c r="J251" s="95">
        <f ca="1"/>
        <v>-3.0385375472134759E-3</v>
      </c>
      <c r="K251" s="5" t="s">
        <v>4</v>
      </c>
      <c r="L251" s="97">
        <f ca="1">_xll.meDateFromTenor(L250,"1D","FOLLOWING","TGT")</f>
        <v>42857</v>
      </c>
      <c r="M251" s="95">
        <f ca="1"/>
        <v>-1.3575683765569718E-3</v>
      </c>
      <c r="N251" s="5" t="s">
        <v>4</v>
      </c>
      <c r="O251" s="97">
        <f ca="1">_xll.meDateFromTenor(O250,"1D","FOLLOWING","TGT")</f>
        <v>42857</v>
      </c>
      <c r="P251" s="95">
        <f ca="1"/>
        <v>-2.2685100394265011E-4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-4.0043172960504232E-3</v>
      </c>
      <c r="H252" s="92" t="s">
        <v>4</v>
      </c>
      <c r="I252" s="97">
        <f ca="1">_xll.meDateFromTenor(I251,"1D","FOLLOWING","TGT")</f>
        <v>42858</v>
      </c>
      <c r="J252" s="95">
        <f ca="1"/>
        <v>-3.0391180395038069E-3</v>
      </c>
      <c r="K252" s="5" t="s">
        <v>4</v>
      </c>
      <c r="L252" s="97">
        <f ca="1">_xll.meDateFromTenor(L251,"1D","FOLLOWING","TGT")</f>
        <v>42858</v>
      </c>
      <c r="M252" s="95">
        <f ca="1"/>
        <v>-1.3662657675873144E-3</v>
      </c>
      <c r="N252" s="5" t="s">
        <v>4</v>
      </c>
      <c r="O252" s="97">
        <f ca="1">_xll.meDateFromTenor(O251,"1D","FOLLOWING","TGT")</f>
        <v>42858</v>
      </c>
      <c r="P252" s="95">
        <f ca="1"/>
        <v>-2.2594859666023005E-4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-4.0056288717724257E-3</v>
      </c>
      <c r="H253" s="92" t="s">
        <v>4</v>
      </c>
      <c r="I253" s="97">
        <f ca="1">_xll.meDateFromTenor(I252,"1D","FOLLOWING","TGT")</f>
        <v>42859</v>
      </c>
      <c r="J253" s="95">
        <f ca="1"/>
        <v>-3.0396985320591775E-3</v>
      </c>
      <c r="K253" s="5" t="s">
        <v>4</v>
      </c>
      <c r="L253" s="97">
        <f ca="1">_xll.meDateFromTenor(L252,"1D","FOLLOWING","TGT")</f>
        <v>42859</v>
      </c>
      <c r="M253" s="95">
        <f ca="1"/>
        <v>-1.3752191421405014E-3</v>
      </c>
      <c r="N253" s="5" t="s">
        <v>4</v>
      </c>
      <c r="O253" s="97">
        <f ca="1">_xll.meDateFromTenor(O252,"1D","FOLLOWING","TGT")</f>
        <v>42859</v>
      </c>
      <c r="P253" s="95">
        <f ca="1"/>
        <v>-2.2503601121528051E-4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-4.0069337700218812E-3</v>
      </c>
      <c r="H254" s="92" t="s">
        <v>4</v>
      </c>
      <c r="I254" s="97">
        <f ca="1">_xll.meDateFromTenor(I253,"1D","FOLLOWING","TGT")</f>
        <v>42860</v>
      </c>
      <c r="J254" s="95">
        <f ca="1"/>
        <v>-3.0402790249765997E-3</v>
      </c>
      <c r="K254" s="5" t="s">
        <v>4</v>
      </c>
      <c r="L254" s="97">
        <f ca="1">_xll.meDateFromTenor(L253,"1D","FOLLOWING","TGT")</f>
        <v>42860</v>
      </c>
      <c r="M254" s="95">
        <f ca="1"/>
        <v>-1.384430734194732E-3</v>
      </c>
      <c r="N254" s="5" t="s">
        <v>4</v>
      </c>
      <c r="O254" s="97">
        <f ca="1">_xll.meDateFromTenor(O253,"1D","FOLLOWING","TGT")</f>
        <v>42860</v>
      </c>
      <c r="P254" s="95">
        <f ca="1"/>
        <v>-2.2411321717260259E-4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-4.0108067365562236E-3</v>
      </c>
      <c r="H255" s="92" t="s">
        <v>4</v>
      </c>
      <c r="I255" s="97">
        <f ca="1">_xll.meDateFromTenor(I254,"1D","FOLLOWING","TGT")</f>
        <v>42863</v>
      </c>
      <c r="J255" s="95">
        <f ca="1"/>
        <v>-3.0420205017505806E-3</v>
      </c>
      <c r="K255" s="5" t="s">
        <v>4</v>
      </c>
      <c r="L255" s="97">
        <f ca="1">_xll.meDateFromTenor(L254,"1D","FOLLOWING","TGT")</f>
        <v>42863</v>
      </c>
      <c r="M255" s="95">
        <f ca="1"/>
        <v>-1.4136371551456842E-3</v>
      </c>
      <c r="N255" s="5" t="s">
        <v>4</v>
      </c>
      <c r="O255" s="97">
        <f ca="1">_xll.meDateFromTenor(O254,"1D","FOLLOWING","TGT")</f>
        <v>42863</v>
      </c>
      <c r="P255" s="95">
        <f ca="1"/>
        <v>-2.2128327910620827E-4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-4.012083261536745E-3</v>
      </c>
      <c r="H256" s="92" t="s">
        <v>4</v>
      </c>
      <c r="I256" s="97">
        <f ca="1">_xll.meDateFromTenor(I255,"1D","FOLLOWING","TGT")</f>
        <v>42864</v>
      </c>
      <c r="J256" s="95">
        <f ca="1"/>
        <v>-3.0426010010619247E-3</v>
      </c>
      <c r="K256" s="5" t="s">
        <v>4</v>
      </c>
      <c r="L256" s="97">
        <f ca="1">_xll.meDateFromTenor(L255,"1D","FOLLOWING","TGT")</f>
        <v>42864</v>
      </c>
      <c r="M256" s="95">
        <f ca="1"/>
        <v>-1.4239039569860872E-3</v>
      </c>
      <c r="N256" s="5" t="s">
        <v>4</v>
      </c>
      <c r="O256" s="97">
        <f ca="1">_xll.meDateFromTenor(O255,"1D","FOLLOWING","TGT")</f>
        <v>42864</v>
      </c>
      <c r="P256" s="95">
        <f ca="1"/>
        <v>-2.2031934632062671E-4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-4.013352277355344E-3</v>
      </c>
      <c r="H257" s="92" t="s">
        <v>4</v>
      </c>
      <c r="I257" s="97">
        <f ca="1">_xll.meDateFromTenor(I256,"1D","FOLLOWING","TGT")</f>
        <v>42865</v>
      </c>
      <c r="J257" s="95">
        <f ca="1"/>
        <v>-3.0431814865962818E-3</v>
      </c>
      <c r="K257" s="5" t="s">
        <v>4</v>
      </c>
      <c r="L257" s="97">
        <f ca="1">_xll.meDateFromTenor(L256,"1D","FOLLOWING","TGT")</f>
        <v>42865</v>
      </c>
      <c r="M257" s="95">
        <f ca="1"/>
        <v>-1.4344401462185324E-3</v>
      </c>
      <c r="N257" s="5" t="s">
        <v>4</v>
      </c>
      <c r="O257" s="97">
        <f ca="1">_xll.meDateFromTenor(O256,"1D","FOLLOWING","TGT")</f>
        <v>42865</v>
      </c>
      <c r="P257" s="95">
        <f ca="1"/>
        <v>-2.1934505276132175E-4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-4.0146136176741464E-3</v>
      </c>
      <c r="H258" s="92" t="s">
        <v>4</v>
      </c>
      <c r="I258" s="97">
        <f ca="1">_xll.meDateFromTenor(I257,"1D","FOLLOWING","TGT")</f>
        <v>42866</v>
      </c>
      <c r="J258" s="95">
        <f ca="1"/>
        <v>-3.0437619533109253E-3</v>
      </c>
      <c r="K258" s="5" t="s">
        <v>4</v>
      </c>
      <c r="L258" s="97">
        <f ca="1">_xll.meDateFromTenor(L257,"1D","FOLLOWING","TGT")</f>
        <v>42866</v>
      </c>
      <c r="M258" s="95">
        <f ca="1"/>
        <v>-1.4452479568212203E-3</v>
      </c>
      <c r="N258" s="5" t="s">
        <v>4</v>
      </c>
      <c r="O258" s="97">
        <f ca="1">_xll.meDateFromTenor(O257,"1D","FOLLOWING","TGT")</f>
        <v>42866</v>
      </c>
      <c r="P258" s="95">
        <f ca="1"/>
        <v>-2.1836036799309446E-4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-4.0158671161552783E-3</v>
      </c>
      <c r="H259" s="92" t="s">
        <v>4</v>
      </c>
      <c r="I259" s="97">
        <f ca="1">_xll.meDateFromTenor(I258,"1D","FOLLOWING","TGT")</f>
        <v>42867</v>
      </c>
      <c r="J259" s="95">
        <f ca="1"/>
        <v>-3.0443424714419833E-3</v>
      </c>
      <c r="K259" s="5" t="s">
        <v>4</v>
      </c>
      <c r="L259" s="97">
        <f ca="1">_xll.meDateFromTenor(L258,"1D","FOLLOWING","TGT")</f>
        <v>42867</v>
      </c>
      <c r="M259" s="95">
        <f ca="1"/>
        <v>-1.4563296227723505E-3</v>
      </c>
      <c r="N259" s="5" t="s">
        <v>4</v>
      </c>
      <c r="O259" s="97">
        <f ca="1">_xll.meDateFromTenor(O258,"1D","FOLLOWING","TGT")</f>
        <v>42867</v>
      </c>
      <c r="P259" s="95">
        <f ca="1"/>
        <v>-2.1736526158074577E-4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-4.0195788971938888E-3</v>
      </c>
      <c r="H260" s="92" t="s">
        <v>4</v>
      </c>
      <c r="I260" s="97">
        <f ca="1">_xll.meDateFromTenor(I259,"1D","FOLLOWING","TGT")</f>
        <v>42870</v>
      </c>
      <c r="J260" s="95">
        <f ca="1"/>
        <v>-3.0460835906414014E-3</v>
      </c>
      <c r="K260" s="5" t="s">
        <v>4</v>
      </c>
      <c r="L260" s="97">
        <f ca="1">_xll.meDateFromTenor(L259,"1D","FOLLOWING","TGT")</f>
        <v>42870</v>
      </c>
      <c r="M260" s="95">
        <f ca="1"/>
        <v>-1.4912400924983874E-3</v>
      </c>
      <c r="N260" s="5" t="s">
        <v>4</v>
      </c>
      <c r="O260" s="97">
        <f ca="1">_xll.meDateFromTenor(O259,"1D","FOLLOWING","TGT")</f>
        <v>42870</v>
      </c>
      <c r="P260" s="95">
        <f ca="1"/>
        <v>-2.1431710812698182E-4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-4.0207993649455809E-3</v>
      </c>
      <c r="H261" s="92" t="s">
        <v>4</v>
      </c>
      <c r="I261" s="97">
        <f ca="1">_xll.meDateFromTenor(I260,"1D","FOLLOWING","TGT")</f>
        <v>42871</v>
      </c>
      <c r="J261" s="95">
        <f ca="1"/>
        <v>-3.0466644411333865E-3</v>
      </c>
      <c r="K261" s="5" t="s">
        <v>4</v>
      </c>
      <c r="L261" s="97">
        <f ca="1">_xll.meDateFromTenor(L260,"1D","FOLLOWING","TGT")</f>
        <v>42871</v>
      </c>
      <c r="M261" s="95">
        <f ca="1"/>
        <v>-1.5034395196252819E-3</v>
      </c>
      <c r="N261" s="5" t="s">
        <v>4</v>
      </c>
      <c r="O261" s="97">
        <f ca="1">_xll.meDateFromTenor(O260,"1D","FOLLOWING","TGT")</f>
        <v>42871</v>
      </c>
      <c r="P261" s="95">
        <f ca="1"/>
        <v>-2.1328001078615785E-4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-4.0220111591702254E-3</v>
      </c>
      <c r="H262" s="92" t="s">
        <v>4</v>
      </c>
      <c r="I262" s="97">
        <f ca="1">_xll.meDateFromTenor(I261,"1D","FOLLOWING","TGT")</f>
        <v>42872</v>
      </c>
      <c r="J262" s="95">
        <f ca="1"/>
        <v>-3.0472462698884388E-3</v>
      </c>
      <c r="K262" s="5" t="s">
        <v>4</v>
      </c>
      <c r="L262" s="97">
        <f ca="1">_xll.meDateFromTenor(L261,"1D","FOLLOWING","TGT")</f>
        <v>42872</v>
      </c>
      <c r="M262" s="95">
        <f ca="1"/>
        <v>-1.5159239719916167E-3</v>
      </c>
      <c r="N262" s="5" t="s">
        <v>4</v>
      </c>
      <c r="O262" s="97">
        <f ca="1">_xll.meDateFromTenor(O261,"1D","FOLLOWING","TGT")</f>
        <v>42872</v>
      </c>
      <c r="P262" s="95">
        <f ca="1"/>
        <v>-2.1223233962521762E-4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-4.0232141135299482E-3</v>
      </c>
      <c r="H263" s="92" t="s">
        <v>4</v>
      </c>
      <c r="I263" s="97">
        <f ca="1">_xll.meDateFromTenor(I262,"1D","FOLLOWING","TGT")</f>
        <v>42873</v>
      </c>
      <c r="J263" s="95">
        <f ca="1"/>
        <v>-3.047825425979088E-3</v>
      </c>
      <c r="K263" s="5" t="s">
        <v>4</v>
      </c>
      <c r="L263" s="97">
        <f ca="1">_xll.meDateFromTenor(L262,"1D","FOLLOWING","TGT")</f>
        <v>42873</v>
      </c>
      <c r="M263" s="95">
        <f ca="1"/>
        <v>-1.5286956835755914E-3</v>
      </c>
      <c r="N263" s="5" t="s">
        <v>4</v>
      </c>
      <c r="O263" s="97">
        <f ca="1">_xll.meDateFromTenor(O262,"1D","FOLLOWING","TGT")</f>
        <v>42873</v>
      </c>
      <c r="P263" s="95">
        <f ca="1"/>
        <v>-2.1117406420896205E-4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-4.0244080616868728E-3</v>
      </c>
      <c r="H264" s="92" t="s">
        <v>4</v>
      </c>
      <c r="I264" s="97">
        <f ca="1">_xll.meDateFromTenor(I263,"1D","FOLLOWING","TGT")</f>
        <v>42874</v>
      </c>
      <c r="J264" s="95">
        <f ca="1"/>
        <v>-3.0484009311422672E-3</v>
      </c>
      <c r="K264" s="5" t="s">
        <v>4</v>
      </c>
      <c r="L264" s="97">
        <f ca="1">_xll.meDateFromTenor(L263,"1D","FOLLOWING","TGT")</f>
        <v>42874</v>
      </c>
      <c r="M264" s="95">
        <f ca="1"/>
        <v>-1.5417568883554064E-3</v>
      </c>
      <c r="N264" s="5" t="s">
        <v>4</v>
      </c>
      <c r="O264" s="97">
        <f ca="1">_xll.meDateFromTenor(O263,"1D","FOLLOWING","TGT")</f>
        <v>42874</v>
      </c>
      <c r="P264" s="95">
        <f ca="1"/>
        <v>-2.1010515410219233E-4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-4.0279342055621085E-3</v>
      </c>
      <c r="H265" s="92" t="s">
        <v>4</v>
      </c>
      <c r="I265" s="97">
        <f ca="1">_xll.meDateFromTenor(I264,"1D","FOLLOWING","TGT")</f>
        <v>42877</v>
      </c>
      <c r="J265" s="95">
        <f ca="1"/>
        <v>-3.0501473956704907E-3</v>
      </c>
      <c r="K265" s="5" t="s">
        <v>4</v>
      </c>
      <c r="L265" s="97">
        <f ca="1">_xll.meDateFromTenor(L264,"1D","FOLLOWING","TGT")</f>
        <v>42877</v>
      </c>
      <c r="M265" s="95">
        <f ca="1"/>
        <v>-1.5826998016518891E-3</v>
      </c>
      <c r="N265" s="5" t="s">
        <v>4</v>
      </c>
      <c r="O265" s="97">
        <f ca="1">_xll.meDateFromTenor(O264,"1D","FOLLOWING","TGT")</f>
        <v>42877</v>
      </c>
      <c r="P265" s="95">
        <f ca="1"/>
        <v>-2.068343112868074E-4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-4.02909046552909E-3</v>
      </c>
      <c r="H266" s="92" t="s">
        <v>4</v>
      </c>
      <c r="I266" s="97">
        <f ca="1">_xll.meDateFromTenor(I265,"1D","FOLLOWING","TGT")</f>
        <v>42878</v>
      </c>
      <c r="J266" s="95">
        <f ca="1"/>
        <v>-3.0506584245270727E-3</v>
      </c>
      <c r="K266" s="5" t="s">
        <v>4</v>
      </c>
      <c r="L266" s="97">
        <f ca="1">_xll.meDateFromTenor(L265,"1D","FOLLOWING","TGT")</f>
        <v>42878</v>
      </c>
      <c r="M266" s="95">
        <f ca="1"/>
        <v>-1.5969413189970613E-3</v>
      </c>
      <c r="N266" s="5" t="s">
        <v>4</v>
      </c>
      <c r="O266" s="97">
        <f ca="1">_xll.meDateFromTenor(O265,"1D","FOLLOWING","TGT")</f>
        <v>42878</v>
      </c>
      <c r="P266" s="95">
        <f ca="1"/>
        <v>-2.0572255806599062E-4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-4.0302368876038996E-3</v>
      </c>
      <c r="H267" s="92" t="s">
        <v>4</v>
      </c>
      <c r="I267" s="97">
        <f ca="1">_xll.meDateFromTenor(I266,"1D","FOLLOWING","TGT")</f>
        <v>42879</v>
      </c>
      <c r="J267" s="95">
        <f ca="1"/>
        <v>-3.0513083805161923E-3</v>
      </c>
      <c r="K267" s="5" t="s">
        <v>4</v>
      </c>
      <c r="L267" s="97">
        <f ca="1">_xll.meDateFromTenor(L266,"1D","FOLLOWING","TGT")</f>
        <v>42879</v>
      </c>
      <c r="M267" s="95">
        <f ca="1"/>
        <v>-1.611483499429072E-3</v>
      </c>
      <c r="N267" s="5" t="s">
        <v>4</v>
      </c>
      <c r="O267" s="97">
        <f ca="1">_xll.meDateFromTenor(O266,"1D","FOLLOWING","TGT")</f>
        <v>42879</v>
      </c>
      <c r="P267" s="95">
        <f ca="1"/>
        <v>-2.0460001797866469E-4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-4.031373305448659E-3</v>
      </c>
      <c r="H268" s="92" t="s">
        <v>4</v>
      </c>
      <c r="I268" s="97">
        <f ca="1">_xll.meDateFromTenor(I267,"1D","FOLLOWING","TGT")</f>
        <v>42880</v>
      </c>
      <c r="J268" s="95">
        <f ca="1"/>
        <v>-3.0521481144976325E-3</v>
      </c>
      <c r="K268" s="5" t="s">
        <v>4</v>
      </c>
      <c r="L268" s="97">
        <f ca="1">_xll.meDateFromTenor(L267,"1D","FOLLOWING","TGT")</f>
        <v>42880</v>
      </c>
      <c r="M268" s="95">
        <f ca="1"/>
        <v>-1.6263285769261213E-3</v>
      </c>
      <c r="N268" s="5" t="s">
        <v>4</v>
      </c>
      <c r="O268" s="97">
        <f ca="1">_xll.meDateFromTenor(O267,"1D","FOLLOWING","TGT")</f>
        <v>42880</v>
      </c>
      <c r="P268" s="95">
        <f ca="1"/>
        <v>-2.0346666058963049E-4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-4.0324995527254949E-3</v>
      </c>
      <c r="H269" s="92" t="s">
        <v>4</v>
      </c>
      <c r="I269" s="97">
        <f ca="1">_xll.meDateFromTenor(I268,"1D","FOLLOWING","TGT")</f>
        <v>42881</v>
      </c>
      <c r="J269" s="95">
        <f ca="1"/>
        <v>-3.0524693653618939E-3</v>
      </c>
      <c r="K269" s="5" t="s">
        <v>4</v>
      </c>
      <c r="L269" s="97">
        <f ca="1">_xll.meDateFromTenor(L268,"1D","FOLLOWING","TGT")</f>
        <v>42881</v>
      </c>
      <c r="M269" s="95">
        <f ca="1"/>
        <v>-1.6414787854664083E-3</v>
      </c>
      <c r="N269" s="5" t="s">
        <v>4</v>
      </c>
      <c r="O269" s="97">
        <f ca="1">_xll.meDateFromTenor(O268,"1D","FOLLOWING","TGT")</f>
        <v>42881</v>
      </c>
      <c r="P269" s="95">
        <f ca="1"/>
        <v>-2.0232245546368912E-4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-4.0358156077697112E-3</v>
      </c>
      <c r="H270" s="92" t="s">
        <v>4</v>
      </c>
      <c r="I270" s="97">
        <f ca="1">_xll.meDateFromTenor(I269,"1D","FOLLOWING","TGT")</f>
        <v>42884</v>
      </c>
      <c r="J270" s="95">
        <f ca="1"/>
        <v>-3.0578216117442144E-3</v>
      </c>
      <c r="K270" s="5" t="s">
        <v>4</v>
      </c>
      <c r="L270" s="97">
        <f ca="1">_xll.meDateFromTenor(L269,"1D","FOLLOWING","TGT")</f>
        <v>42884</v>
      </c>
      <c r="M270" s="95">
        <f ca="1"/>
        <v>-1.6887825371286959E-3</v>
      </c>
      <c r="N270" s="5" t="s">
        <v>4</v>
      </c>
      <c r="O270" s="97">
        <f ca="1">_xll.meDateFromTenor(O269,"1D","FOLLOWING","TGT")</f>
        <v>42884</v>
      </c>
      <c r="P270" s="95">
        <f ca="1"/>
        <v>-1.9882444931243207E-4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-4.0368995093961009E-3</v>
      </c>
      <c r="H271" s="92" t="s">
        <v>4</v>
      </c>
      <c r="I271" s="97">
        <f ca="1">_xll.meDateFromTenor(I270,"1D","FOLLOWING","TGT")</f>
        <v>42885</v>
      </c>
      <c r="J271" s="95">
        <f ca="1"/>
        <v>-3.054791335053297E-3</v>
      </c>
      <c r="K271" s="5" t="s">
        <v>4</v>
      </c>
      <c r="L271" s="97">
        <f ca="1">_xll.meDateFromTenor(L270,"1D","FOLLOWING","TGT")</f>
        <v>42885</v>
      </c>
      <c r="M271" s="95">
        <f ca="1"/>
        <v>-1.7051756096239327E-3</v>
      </c>
      <c r="N271" s="5" t="s">
        <v>4</v>
      </c>
      <c r="O271" s="97">
        <f ca="1">_xll.meDateFromTenor(O270,"1D","FOLLOWING","TGT")</f>
        <v>42885</v>
      </c>
      <c r="P271" s="95">
        <f ca="1"/>
        <v>-1.9763654888687207E-4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-4.0379724087651926E-3</v>
      </c>
      <c r="H272" s="92" t="s">
        <v>4</v>
      </c>
      <c r="I272" s="97">
        <f ca="1">_xll.meDateFromTenor(I271,"1D","FOLLOWING","TGT")</f>
        <v>42886</v>
      </c>
      <c r="J272" s="95">
        <f ca="1"/>
        <v>-3.041896253689164E-3</v>
      </c>
      <c r="K272" s="5" t="s">
        <v>4</v>
      </c>
      <c r="L272" s="97">
        <f ca="1">_xll.meDateFromTenor(L271,"1D","FOLLOWING","TGT")</f>
        <v>42886</v>
      </c>
      <c r="M272" s="95">
        <f ca="1"/>
        <v>-1.7218849830534062E-3</v>
      </c>
      <c r="N272" s="5" t="s">
        <v>4</v>
      </c>
      <c r="O272" s="97">
        <f ca="1">_xll.meDateFromTenor(O271,"1D","FOLLOWING","TGT")</f>
        <v>42886</v>
      </c>
      <c r="P272" s="95">
        <f ca="1"/>
        <v>-1.9643764854840993E-4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-4.0390341395391089E-3</v>
      </c>
      <c r="H273" s="92" t="s">
        <v>4</v>
      </c>
      <c r="I273" s="97">
        <f ca="1">_xll.meDateFromTenor(I272,"1D","FOLLOWING","TGT")</f>
        <v>42887</v>
      </c>
      <c r="J273" s="95">
        <f ca="1"/>
        <v>-3.0559523198989986E-3</v>
      </c>
      <c r="K273" s="5" t="s">
        <v>4</v>
      </c>
      <c r="L273" s="97">
        <f ca="1">_xll.meDateFromTenor(L272,"1D","FOLLOWING","TGT")</f>
        <v>42887</v>
      </c>
      <c r="M273" s="95">
        <f ca="1"/>
        <v>-1.7389128913953169E-3</v>
      </c>
      <c r="N273" s="5" t="s">
        <v>4</v>
      </c>
      <c r="O273" s="97">
        <f ca="1">_xll.meDateFromTenor(O272,"1D","FOLLOWING","TGT")</f>
        <v>42887</v>
      </c>
      <c r="P273" s="95">
        <f ca="1"/>
        <v>-1.9522771786184662E-4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-4.0400845353799758E-3</v>
      </c>
      <c r="H274" s="92" t="s">
        <v>4</v>
      </c>
      <c r="I274" s="97">
        <f ca="1">_xll.meDateFromTenor(I273,"1D","FOLLOWING","TGT")</f>
        <v>42888</v>
      </c>
      <c r="J274" s="95">
        <f ca="1"/>
        <v>-3.0971457361312683E-3</v>
      </c>
      <c r="K274" s="5" t="s">
        <v>4</v>
      </c>
      <c r="L274" s="97">
        <f ca="1">_xll.meDateFromTenor(L273,"1D","FOLLOWING","TGT")</f>
        <v>42888</v>
      </c>
      <c r="M274" s="95">
        <f ca="1"/>
        <v>-1.7562615686278621E-3</v>
      </c>
      <c r="N274" s="5" t="s">
        <v>4</v>
      </c>
      <c r="O274" s="97">
        <f ca="1">_xll.meDateFromTenor(O273,"1D","FOLLOWING","TGT")</f>
        <v>42888</v>
      </c>
      <c r="P274" s="95">
        <f ca="1"/>
        <v>-1.9400672639198331E-4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-4.0431669830822119E-3</v>
      </c>
      <c r="H275" s="92" t="s">
        <v>4</v>
      </c>
      <c r="I275" s="97">
        <f ca="1">_xll.meDateFromTenor(I274,"1D","FOLLOWING","TGT")</f>
        <v>42891</v>
      </c>
      <c r="J275" s="95">
        <f ca="1"/>
        <v>-3.0582742895904013E-3</v>
      </c>
      <c r="K275" s="5" t="s">
        <v>4</v>
      </c>
      <c r="L275" s="97">
        <f ca="1">_xll.meDateFromTenor(L274,"1D","FOLLOWING","TGT")</f>
        <v>42891</v>
      </c>
      <c r="M275" s="95">
        <f ca="1"/>
        <v>-1.8092672240919302E-3</v>
      </c>
      <c r="N275" s="5" t="s">
        <v>4</v>
      </c>
      <c r="O275" s="97">
        <f ca="1">_xll.meDateFromTenor(O274,"1D","FOLLOWING","TGT")</f>
        <v>42891</v>
      </c>
      <c r="P275" s="95">
        <f ca="1"/>
        <v>-1.902772785191314E-4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-4.0441716545824022E-3</v>
      </c>
      <c r="H276" s="92" t="s">
        <v>4</v>
      </c>
      <c r="I276" s="97">
        <f ca="1">_xll.meDateFromTenor(I275,"1D","FOLLOWING","TGT")</f>
        <v>42892</v>
      </c>
      <c r="J276" s="95">
        <f ca="1"/>
        <v>-3.0624660171959714E-3</v>
      </c>
      <c r="K276" s="5" t="s">
        <v>4</v>
      </c>
      <c r="L276" s="97">
        <f ca="1">_xll.meDateFromTenor(L275,"1D","FOLLOWING","TGT")</f>
        <v>42892</v>
      </c>
      <c r="M276" s="95">
        <f ca="1"/>
        <v>-1.8266048657773586E-3</v>
      </c>
      <c r="N276" s="5" t="s">
        <v>4</v>
      </c>
      <c r="O276" s="97">
        <f ca="1">_xll.meDateFromTenor(O275,"1D","FOLLOWING","TGT")</f>
        <v>42892</v>
      </c>
      <c r="P276" s="95">
        <f ca="1"/>
        <v>-1.8901200759280224E-4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-4.0451649889327763E-3</v>
      </c>
      <c r="H277" s="92" t="s">
        <v>4</v>
      </c>
      <c r="I277" s="97">
        <f ca="1">_xll.meDateFromTenor(I276,"1D","FOLLOWING","TGT")</f>
        <v>42893</v>
      </c>
      <c r="J277" s="95">
        <f ca="1"/>
        <v>-3.0594352744361029E-3</v>
      </c>
      <c r="K277" s="5" t="s">
        <v>4</v>
      </c>
      <c r="L277" s="97">
        <f ca="1">_xll.meDateFromTenor(L276,"1D","FOLLOWING","TGT")</f>
        <v>42893</v>
      </c>
      <c r="M277" s="95">
        <f ca="1"/>
        <v>-1.8436161561966181E-3</v>
      </c>
      <c r="N277" s="5" t="s">
        <v>4</v>
      </c>
      <c r="O277" s="97">
        <f ca="1">_xll.meDateFromTenor(O276,"1D","FOLLOWING","TGT")</f>
        <v>42893</v>
      </c>
      <c r="P277" s="95">
        <f ca="1"/>
        <v>-1.8773569756364808E-4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-4.0461470271636124E-3</v>
      </c>
      <c r="H278" s="92" t="s">
        <v>4</v>
      </c>
      <c r="I278" s="97">
        <f ca="1">_xll.meDateFromTenor(I277,"1D","FOLLOWING","TGT")</f>
        <v>42894</v>
      </c>
      <c r="J278" s="95">
        <f ca="1"/>
        <v>-3.0590465164322994E-3</v>
      </c>
      <c r="K278" s="5" t="s">
        <v>4</v>
      </c>
      <c r="L278" s="97">
        <f ca="1">_xll.meDateFromTenor(L277,"1D","FOLLOWING","TGT")</f>
        <v>42894</v>
      </c>
      <c r="M278" s="95">
        <f ca="1"/>
        <v>-1.8603032588530315E-3</v>
      </c>
      <c r="N278" s="5" t="s">
        <v>4</v>
      </c>
      <c r="O278" s="97">
        <f ca="1">_xll.meDateFromTenor(O277,"1D","FOLLOWING","TGT")</f>
        <v>42894</v>
      </c>
      <c r="P278" s="95">
        <f ca="1"/>
        <v>-1.8644836146058727E-4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-4.047117810305186E-3</v>
      </c>
      <c r="H279" s="92" t="s">
        <v>4</v>
      </c>
      <c r="I279" s="97">
        <f ca="1">_xll.meDateFromTenor(I278,"1D","FOLLOWING","TGT")</f>
        <v>42895</v>
      </c>
      <c r="J279" s="95">
        <f ca="1"/>
        <v>-3.0605962592818044E-3</v>
      </c>
      <c r="K279" s="5" t="s">
        <v>4</v>
      </c>
      <c r="L279" s="97">
        <f ca="1">_xll.meDateFromTenor(L278,"1D","FOLLOWING","TGT")</f>
        <v>42895</v>
      </c>
      <c r="M279" s="95">
        <f ca="1"/>
        <v>-1.8766683372499168E-3</v>
      </c>
      <c r="N279" s="5" t="s">
        <v>4</v>
      </c>
      <c r="O279" s="97">
        <f ca="1">_xll.meDateFromTenor(O278,"1D","FOLLOWING","TGT")</f>
        <v>42895</v>
      </c>
      <c r="P279" s="95">
        <f ca="1"/>
        <v>-1.8515001231253852E-4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-4.0499630394971124E-3</v>
      </c>
      <c r="H280" s="92" t="s">
        <v>4</v>
      </c>
      <c r="I280" s="97">
        <f ca="1">_xll.meDateFromTenor(I279,"1D","FOLLOWING","TGT")</f>
        <v>42898</v>
      </c>
      <c r="J280" s="95">
        <f ca="1"/>
        <v>-3.0622439208814142E-3</v>
      </c>
      <c r="K280" s="5" t="s">
        <v>4</v>
      </c>
      <c r="L280" s="97">
        <f ca="1">_xll.meDateFromTenor(L279,"1D","FOLLOWING","TGT")</f>
        <v>42898</v>
      </c>
      <c r="M280" s="95">
        <f ca="1"/>
        <v>-1.9238530619166232E-3</v>
      </c>
      <c r="N280" s="5" t="s">
        <v>4</v>
      </c>
      <c r="O280" s="97">
        <f ca="1">_xll.meDateFromTenor(O279,"1D","FOLLOWING","TGT")</f>
        <v>42898</v>
      </c>
      <c r="P280" s="95">
        <f ca="1"/>
        <v>-1.8118901688764862E-4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-4.0508892125844138E-3</v>
      </c>
      <c r="H281" s="92" t="s">
        <v>4</v>
      </c>
      <c r="I281" s="97">
        <f ca="1">_xll.meDateFromTenor(I280,"1D","FOLLOWING","TGT")</f>
        <v>42899</v>
      </c>
      <c r="J281" s="95">
        <f ca="1"/>
        <v>-3.0629182289732076E-3</v>
      </c>
      <c r="K281" s="5" t="s">
        <v>4</v>
      </c>
      <c r="L281" s="97">
        <f ca="1">_xll.meDateFromTenor(L280,"1D","FOLLOWING","TGT")</f>
        <v>42899</v>
      </c>
      <c r="M281" s="95">
        <f ca="1"/>
        <v>-1.9389516783086089E-3</v>
      </c>
      <c r="N281" s="5" t="s">
        <v>4</v>
      </c>
      <c r="O281" s="97">
        <f ca="1">_xll.meDateFromTenor(O280,"1D","FOLLOWING","TGT")</f>
        <v>42899</v>
      </c>
      <c r="P281" s="95">
        <f ca="1"/>
        <v>-1.7984674584883265E-4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-4.0518043357338392E-3</v>
      </c>
      <c r="H282" s="92" t="s">
        <v>4</v>
      </c>
      <c r="I282" s="97">
        <f ca="1">_xll.meDateFromTenor(I281,"1D","FOLLOWING","TGT")</f>
        <v>42900</v>
      </c>
      <c r="J282" s="95">
        <f ca="1"/>
        <v>-3.0636458652010326E-3</v>
      </c>
      <c r="K282" s="5" t="s">
        <v>4</v>
      </c>
      <c r="L282" s="97">
        <f ca="1">_xll.meDateFromTenor(L281,"1D","FOLLOWING","TGT")</f>
        <v>42900</v>
      </c>
      <c r="M282" s="95">
        <f ca="1"/>
        <v>-1.9537390879576723E-3</v>
      </c>
      <c r="N282" s="5" t="s">
        <v>4</v>
      </c>
      <c r="O282" s="97">
        <f ca="1">_xll.meDateFromTenor(O281,"1D","FOLLOWING","TGT")</f>
        <v>42900</v>
      </c>
      <c r="P282" s="95">
        <f ca="1"/>
        <v>-1.7849352690962102E-4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-4.0527084499756665E-3</v>
      </c>
      <c r="H283" s="92" t="s">
        <v>4</v>
      </c>
      <c r="I283" s="97">
        <f ca="1">_xll.meDateFromTenor(I282,"1D","FOLLOWING","TGT")</f>
        <v>42901</v>
      </c>
      <c r="J283" s="95">
        <f ca="1"/>
        <v>-3.0643803950437193E-3</v>
      </c>
      <c r="K283" s="5" t="s">
        <v>4</v>
      </c>
      <c r="L283" s="97">
        <f ca="1">_xll.meDateFromTenor(L282,"1D","FOLLOWING","TGT")</f>
        <v>42901</v>
      </c>
      <c r="M283" s="95">
        <f ca="1"/>
        <v>-1.9682174543671316E-3</v>
      </c>
      <c r="N283" s="5" t="s">
        <v>4</v>
      </c>
      <c r="O283" s="97">
        <f ca="1">_xll.meDateFromTenor(O282,"1D","FOLLOWING","TGT")</f>
        <v>42901</v>
      </c>
      <c r="P283" s="95">
        <f ca="1"/>
        <v>-1.7712937309893249E-4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-4.0536015963401738E-3</v>
      </c>
      <c r="H284" s="92" t="s">
        <v>4</v>
      </c>
      <c r="I284" s="97">
        <f ca="1">_xll.meDateFromTenor(I283,"1D","FOLLOWING","TGT")</f>
        <v>42902</v>
      </c>
      <c r="J284" s="95">
        <f ca="1"/>
        <v>-3.0650973511502687E-3</v>
      </c>
      <c r="K284" s="5" t="s">
        <v>4</v>
      </c>
      <c r="L284" s="97">
        <f ca="1">_xll.meDateFromTenor(L283,"1D","FOLLOWING","TGT")</f>
        <v>42902</v>
      </c>
      <c r="M284" s="95">
        <f ca="1"/>
        <v>-1.9823889410403098E-3</v>
      </c>
      <c r="N284" s="5" t="s">
        <v>4</v>
      </c>
      <c r="O284" s="97">
        <f ca="1">_xll.meDateFromTenor(O283,"1D","FOLLOWING","TGT")</f>
        <v>42902</v>
      </c>
      <c r="P284" s="95">
        <f ca="1"/>
        <v>-1.7575429744568529E-4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-4.0562156384725424E-3</v>
      </c>
      <c r="H285" s="92" t="s">
        <v>4</v>
      </c>
      <c r="I285" s="97">
        <f ca="1">_xll.meDateFromTenor(I284,"1D","FOLLOWING","TGT")</f>
        <v>42905</v>
      </c>
      <c r="J285" s="95">
        <f ca="1"/>
        <v>-3.06689810354311E-3</v>
      </c>
      <c r="K285" s="5" t="s">
        <v>4</v>
      </c>
      <c r="L285" s="97">
        <f ca="1">_xll.meDateFromTenor(L284,"1D","FOLLOWING","TGT")</f>
        <v>42905</v>
      </c>
      <c r="M285" s="95">
        <f ca="1"/>
        <v>-2.0230837576753575E-3</v>
      </c>
      <c r="N285" s="5" t="s">
        <v>4</v>
      </c>
      <c r="O285" s="97">
        <f ca="1">_xll.meDateFromTenor(O284,"1D","FOLLOWING","TGT")</f>
        <v>42905</v>
      </c>
      <c r="P285" s="95">
        <f ca="1"/>
        <v>-1.7156366971977772E-4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-4.0570653236305394E-3</v>
      </c>
      <c r="H286" s="92" t="s">
        <v>4</v>
      </c>
      <c r="I286" s="97">
        <f ca="1">_xll.meDateFromTenor(I285,"1D","FOLLOWING","TGT")</f>
        <v>42906</v>
      </c>
      <c r="J286" s="95">
        <f ca="1"/>
        <v>-3.0673000911951263E-3</v>
      </c>
      <c r="K286" s="5" t="s">
        <v>4</v>
      </c>
      <c r="L286" s="97">
        <f ca="1">_xll.meDateFromTenor(L285,"1D","FOLLOWING","TGT")</f>
        <v>42906</v>
      </c>
      <c r="M286" s="95">
        <f ca="1"/>
        <v>-2.0360493604366123E-3</v>
      </c>
      <c r="N286" s="5" t="s">
        <v>4</v>
      </c>
      <c r="O286" s="97">
        <f ca="1">_xll.meDateFromTenor(O285,"1D","FOLLOWING","TGT")</f>
        <v>42906</v>
      </c>
      <c r="P286" s="95">
        <f ca="1"/>
        <v>-1.7014503698548156E-4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-4.057904246062601E-3</v>
      </c>
      <c r="H287" s="92" t="s">
        <v>4</v>
      </c>
      <c r="I287" s="97">
        <f ca="1">_xll.meDateFromTenor(I286,"1D","FOLLOWING","TGT")</f>
        <v>42907</v>
      </c>
      <c r="J287" s="95">
        <f ca="1"/>
        <v>-3.0675621683560134E-3</v>
      </c>
      <c r="K287" s="5" t="s">
        <v>4</v>
      </c>
      <c r="L287" s="97">
        <f ca="1">_xll.meDateFromTenor(L286,"1D","FOLLOWING","TGT")</f>
        <v>42907</v>
      </c>
      <c r="M287" s="95">
        <f ca="1"/>
        <v>-2.0487189009781893E-3</v>
      </c>
      <c r="N287" s="5" t="s">
        <v>4</v>
      </c>
      <c r="O287" s="97">
        <f ca="1">_xll.meDateFromTenor(O286,"1D","FOLLOWING","TGT")</f>
        <v>42907</v>
      </c>
      <c r="P287" s="95">
        <f ca="1"/>
        <v>-1.6871554755321935E-4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-4.0587324467990056E-3</v>
      </c>
      <c r="H288" s="92" t="s">
        <v>4</v>
      </c>
      <c r="I288" s="97">
        <f ca="1">_xll.meDateFromTenor(I287,"1D","FOLLOWING","TGT")</f>
        <v>42908</v>
      </c>
      <c r="J288" s="95">
        <f ca="1"/>
        <v>-3.0676813141292873E-3</v>
      </c>
      <c r="K288" s="5" t="s">
        <v>4</v>
      </c>
      <c r="L288" s="97">
        <f ca="1">_xll.meDateFromTenor(L287,"1D","FOLLOWING","TGT")</f>
        <v>42908</v>
      </c>
      <c r="M288" s="95">
        <f ca="1"/>
        <v>-2.0610945428034067E-3</v>
      </c>
      <c r="N288" s="5" t="s">
        <v>4</v>
      </c>
      <c r="O288" s="97">
        <f ca="1">_xll.meDateFromTenor(O287,"1D","FOLLOWING","TGT")</f>
        <v>42908</v>
      </c>
      <c r="P288" s="95">
        <f ca="1"/>
        <v>-1.6727521445190972E-4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-4.0595499668700293E-3</v>
      </c>
      <c r="H289" s="92" t="s">
        <v>4</v>
      </c>
      <c r="I289" s="97">
        <f ca="1">_xll.meDateFromTenor(I288,"1D","FOLLOWING","TGT")</f>
        <v>42909</v>
      </c>
      <c r="J289" s="95">
        <f ca="1"/>
        <v>-3.0677402934365231E-3</v>
      </c>
      <c r="K289" s="5" t="s">
        <v>4</v>
      </c>
      <c r="L289" s="97">
        <f ca="1">_xll.meDateFromTenor(L288,"1D","FOLLOWING","TGT")</f>
        <v>42909</v>
      </c>
      <c r="M289" s="95">
        <f ca="1"/>
        <v>-2.0731784494155874E-3</v>
      </c>
      <c r="N289" s="5" t="s">
        <v>4</v>
      </c>
      <c r="O289" s="97">
        <f ca="1">_xll.meDateFromTenor(O288,"1D","FOLLOWING","TGT")</f>
        <v>42909</v>
      </c>
      <c r="P289" s="95">
        <f ca="1"/>
        <v>-1.6582405071047097E-4</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-4.061938853393593E-3</v>
      </c>
      <c r="H290" s="92" t="s">
        <v>4</v>
      </c>
      <c r="I290" s="97">
        <f ca="1">_xll.meDateFromTenor(I289,"1D","FOLLOWING","TGT")</f>
        <v>42912</v>
      </c>
      <c r="J290" s="95">
        <f ca="1"/>
        <v>-3.0680096409362416E-3</v>
      </c>
      <c r="K290" s="5" t="s">
        <v>4</v>
      </c>
      <c r="L290" s="97">
        <f ca="1">_xll.meDateFromTenor(L289,"1D","FOLLOWING","TGT")</f>
        <v>42912</v>
      </c>
      <c r="M290" s="95">
        <f ca="1"/>
        <v>-2.1077013930071082E-3</v>
      </c>
      <c r="N290" s="5" t="s">
        <v>4</v>
      </c>
      <c r="O290" s="97">
        <f ca="1">_xll.meDateFromTenor(O289,"1D","FOLLOWING","TGT")</f>
        <v>42912</v>
      </c>
      <c r="P290" s="95">
        <f ca="1"/>
        <v>-1.61405705934566E-4</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-4.0627140611058698E-3</v>
      </c>
      <c r="H291" s="92" t="s">
        <v>4</v>
      </c>
      <c r="I291" s="97">
        <f ca="1">_xll.meDateFromTenor(I290,"1D","FOLLOWING","TGT")</f>
        <v>42913</v>
      </c>
      <c r="J291" s="95">
        <f ca="1"/>
        <v>-3.0680965435975426E-3</v>
      </c>
      <c r="K291" s="5" t="s">
        <v>4</v>
      </c>
      <c r="L291" s="97">
        <f ca="1">_xll.meDateFromTenor(L290,"1D","FOLLOWING","TGT")</f>
        <v>42913</v>
      </c>
      <c r="M291" s="95">
        <f ca="1"/>
        <v>-2.1186399938003431E-3</v>
      </c>
      <c r="N291" s="5" t="s">
        <v>4</v>
      </c>
      <c r="O291" s="97">
        <f ca="1">_xll.meDateFromTenor(O290,"1D","FOLLOWING","TGT")</f>
        <v>42913</v>
      </c>
      <c r="P291" s="95">
        <f ca="1"/>
        <v>-1.599113499217965E-4</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-4.0634787933041512E-3</v>
      </c>
      <c r="H292" s="92" t="s">
        <v>4</v>
      </c>
      <c r="I292" s="97">
        <f ca="1">_xll.meDateFromTenor(I291,"1D","FOLLOWING","TGT")</f>
        <v>42914</v>
      </c>
      <c r="J292" s="95">
        <f ca="1"/>
        <v>-3.0681850273999761E-3</v>
      </c>
      <c r="K292" s="5" t="s">
        <v>4</v>
      </c>
      <c r="L292" s="97">
        <f ca="1">_xll.meDateFromTenor(L291,"1D","FOLLOWING","TGT")</f>
        <v>42914</v>
      </c>
      <c r="M292" s="95">
        <f ca="1"/>
        <v>-2.1292976768971443E-3</v>
      </c>
      <c r="N292" s="5" t="s">
        <v>4</v>
      </c>
      <c r="O292" s="97">
        <f ca="1">_xll.meDateFromTenor(O291,"1D","FOLLOWING","TGT")</f>
        <v>42914</v>
      </c>
      <c r="P292" s="95">
        <f ca="1"/>
        <v>-1.5840622841349039E-4</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-4.0642330910187173E-3</v>
      </c>
      <c r="H293" s="92" t="s">
        <v>4</v>
      </c>
      <c r="I293" s="97">
        <f ca="1">_xll.meDateFromTenor(I292,"1D","FOLLOWING","TGT")</f>
        <v>42915</v>
      </c>
      <c r="J293" s="95">
        <f ca="1"/>
        <v>-3.0682746686780523E-3</v>
      </c>
      <c r="K293" s="5" t="s">
        <v>4</v>
      </c>
      <c r="L293" s="97">
        <f ca="1">_xll.meDateFromTenor(L292,"1D","FOLLOWING","TGT")</f>
        <v>42915</v>
      </c>
      <c r="M293" s="95">
        <f ca="1"/>
        <v>-2.1396766058008306E-3</v>
      </c>
      <c r="N293" s="5" t="s">
        <v>4</v>
      </c>
      <c r="O293" s="97">
        <f ca="1">_xll.meDateFromTenor(O292,"1D","FOLLOWING","TGT")</f>
        <v>42915</v>
      </c>
      <c r="P293" s="95">
        <f ca="1"/>
        <v>-1.5689035443856644E-4</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-4.0649769952798426E-3</v>
      </c>
      <c r="H294" s="92" t="s">
        <v>4</v>
      </c>
      <c r="I294" s="97">
        <f ca="1">_xll.meDateFromTenor(I293,"1D","FOLLOWING","TGT")</f>
        <v>42916</v>
      </c>
      <c r="J294" s="95">
        <f ca="1"/>
        <v>-3.0683638862906391E-3</v>
      </c>
      <c r="K294" s="5" t="s">
        <v>4</v>
      </c>
      <c r="L294" s="97">
        <f ca="1">_xll.meDateFromTenor(L293,"1D","FOLLOWING","TGT")</f>
        <v>42916</v>
      </c>
      <c r="M294" s="95">
        <f ca="1"/>
        <v>-2.1497789440147247E-3</v>
      </c>
      <c r="N294" s="5" t="s">
        <v>4</v>
      </c>
      <c r="O294" s="97">
        <f ca="1">_xll.meDateFromTenor(O293,"1D","FOLLOWING","TGT")</f>
        <v>42916</v>
      </c>
      <c r="P294" s="95">
        <f ca="1"/>
        <v>-1.5536374102594286E-4</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-4.0671467576453551E-3</v>
      </c>
      <c r="H295" s="92" t="s">
        <v>4</v>
      </c>
      <c r="I295" s="97">
        <f ca="1">_xll.meDateFromTenor(I294,"1D","FOLLOWING","TGT")</f>
        <v>42919</v>
      </c>
      <c r="J295" s="95">
        <f ca="1"/>
        <v>-3.0686309188390714E-3</v>
      </c>
      <c r="K295" s="5" t="s">
        <v>4</v>
      </c>
      <c r="L295" s="97">
        <f ca="1">_xll.meDateFromTenor(L294,"1D","FOLLOWING","TGT")</f>
        <v>42919</v>
      </c>
      <c r="M295" s="95">
        <f ca="1"/>
        <v>-2.1784480495508508E-3</v>
      </c>
      <c r="N295" s="5" t="s">
        <v>4</v>
      </c>
      <c r="O295" s="97">
        <f ca="1">_xll.meDateFromTenor(O294,"1D","FOLLOWING","TGT")</f>
        <v>42919</v>
      </c>
      <c r="P295" s="95">
        <f ca="1"/>
        <v>-1.5071959445106094E-4</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-4.0678494750924533E-3</v>
      </c>
      <c r="H296" s="92" t="s">
        <v>4</v>
      </c>
      <c r="I296" s="97">
        <f ca="1">_xll.meDateFromTenor(I295,"1D","FOLLOWING","TGT")</f>
        <v>42920</v>
      </c>
      <c r="J296" s="95">
        <f ca="1"/>
        <v>-3.0687199925130185E-3</v>
      </c>
      <c r="K296" s="5" t="s">
        <v>4</v>
      </c>
      <c r="L296" s="97">
        <f ca="1">_xll.meDateFromTenor(L295,"1D","FOLLOWING","TGT")</f>
        <v>42920</v>
      </c>
      <c r="M296" s="95">
        <f ca="1"/>
        <v>-2.1874656600387771E-3</v>
      </c>
      <c r="N296" s="5" t="s">
        <v>4</v>
      </c>
      <c r="O296" s="97">
        <f ca="1">_xll.meDateFromTenor(O295,"1D","FOLLOWING","TGT")</f>
        <v>42920</v>
      </c>
      <c r="P296" s="95">
        <f ca="1"/>
        <v>-1.4915015357682459E-4</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-4.0685418644192482E-3</v>
      </c>
      <c r="H297" s="92" t="s">
        <v>4</v>
      </c>
      <c r="I297" s="97">
        <f ca="1">_xll.meDateFromTenor(I296,"1D","FOLLOWING","TGT")</f>
        <v>42921</v>
      </c>
      <c r="J297" s="95">
        <f ca="1"/>
        <v>-3.0688090439195811E-3</v>
      </c>
      <c r="K297" s="5" t="s">
        <v>4</v>
      </c>
      <c r="L297" s="97">
        <f ca="1">_xll.meDateFromTenor(L296,"1D","FOLLOWING","TGT")</f>
        <v>42921</v>
      </c>
      <c r="M297" s="95">
        <f ca="1"/>
        <v>-2.1962174973535137E-3</v>
      </c>
      <c r="N297" s="5" t="s">
        <v>4</v>
      </c>
      <c r="O297" s="97">
        <f ca="1">_xll.meDateFromTenor(O296,"1D","FOLLOWING","TGT")</f>
        <v>42921</v>
      </c>
      <c r="P297" s="95">
        <f ca="1"/>
        <v>-1.475700384094814E-4</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-4.0692238268377652E-3</v>
      </c>
      <c r="H298" s="92" t="s">
        <v>4</v>
      </c>
      <c r="I298" s="97">
        <f ca="1">_xll.meDateFromTenor(I297,"1D","FOLLOWING","TGT")</f>
        <v>42922</v>
      </c>
      <c r="J298" s="95">
        <f ca="1"/>
        <v>-3.0688981034765724E-3</v>
      </c>
      <c r="K298" s="5" t="s">
        <v>4</v>
      </c>
      <c r="L298" s="97">
        <f ca="1">_xll.meDateFromTenor(L297,"1D","FOLLOWING","TGT")</f>
        <v>42922</v>
      </c>
      <c r="M298" s="95">
        <f ca="1"/>
        <v>-2.2047057249983794E-3</v>
      </c>
      <c r="N298" s="5" t="s">
        <v>4</v>
      </c>
      <c r="O298" s="97">
        <f ca="1">_xll.meDateFromTenor(O297,"1D","FOLLOWING","TGT")</f>
        <v>42922</v>
      </c>
      <c r="P298" s="95">
        <f ca="1"/>
        <v>-1.4597926197794988E-4</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-4.069895263560031E-3</v>
      </c>
      <c r="H299" s="92" t="s">
        <v>4</v>
      </c>
      <c r="I299" s="97">
        <f ca="1">_xll.meDateFromTenor(I298,"1D","FOLLOWING","TGT")</f>
        <v>42923</v>
      </c>
      <c r="J299" s="95">
        <f ca="1"/>
        <v>-3.0689871690000908E-3</v>
      </c>
      <c r="K299" s="5" t="s">
        <v>4</v>
      </c>
      <c r="L299" s="97">
        <f ca="1">_xll.meDateFromTenor(L298,"1D","FOLLOWING","TGT")</f>
        <v>42923</v>
      </c>
      <c r="M299" s="95">
        <f ca="1"/>
        <v>-2.2129325064766973E-3</v>
      </c>
      <c r="N299" s="5" t="s">
        <v>4</v>
      </c>
      <c r="O299" s="97">
        <f ca="1">_xll.meDateFromTenor(O298,"1D","FOLLOWING","TGT")</f>
        <v>42923</v>
      </c>
      <c r="P299" s="95">
        <f ca="1"/>
        <v>-1.4437783731114834E-4</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-4.0718454316695926E-3</v>
      </c>
      <c r="H300" s="92" t="s">
        <v>4</v>
      </c>
      <c r="I300" s="97">
        <f ca="1">_xll.meDateFromTenor(I299,"1D","FOLLOWING","TGT")</f>
        <v>42926</v>
      </c>
      <c r="J300" s="95">
        <f ca="1"/>
        <v>-3.0692543564066668E-3</v>
      </c>
      <c r="K300" s="5" t="s">
        <v>4</v>
      </c>
      <c r="L300" s="97">
        <f ca="1">_xll.meDateFromTenor(L299,"1D","FOLLOWING","TGT")</f>
        <v>42926</v>
      </c>
      <c r="M300" s="95">
        <f ca="1"/>
        <v>-2.2360658089455613E-3</v>
      </c>
      <c r="N300" s="5" t="s">
        <v>4</v>
      </c>
      <c r="O300" s="97">
        <f ca="1">_xll.meDateFromTenor(O299,"1D","FOLLOWING","TGT")</f>
        <v>42926</v>
      </c>
      <c r="P300" s="95">
        <f ca="1"/>
        <v>-1.3950980418830949E-4</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-4.0724737777271224E-3</v>
      </c>
      <c r="H301" s="92" t="s">
        <v>4</v>
      </c>
      <c r="I301" s="97">
        <f ca="1">_xll.meDateFromTenor(I300,"1D","FOLLOWING","TGT")</f>
        <v>42927</v>
      </c>
      <c r="J301" s="95">
        <f ca="1"/>
        <v>-3.0693434191611103E-3</v>
      </c>
      <c r="K301" s="5" t="s">
        <v>4</v>
      </c>
      <c r="L301" s="97">
        <f ca="1">_xll.meDateFromTenor(L300,"1D","FOLLOWING","TGT")</f>
        <v>42927</v>
      </c>
      <c r="M301" s="95">
        <f ca="1"/>
        <v>-2.2432684407908896E-3</v>
      </c>
      <c r="N301" s="5" t="s">
        <v>4</v>
      </c>
      <c r="O301" s="97">
        <f ca="1">_xll.meDateFromTenor(O300,"1D","FOLLOWING","TGT")</f>
        <v>42927</v>
      </c>
      <c r="P301" s="95">
        <f ca="1"/>
        <v>-1.3786591686961328E-4</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-4.0730911041485345E-3</v>
      </c>
      <c r="H302" s="92" t="s">
        <v>4</v>
      </c>
      <c r="I302" s="97">
        <f ca="1">_xll.meDateFromTenor(I301,"1D","FOLLOWING","TGT")</f>
        <v>42928</v>
      </c>
      <c r="J302" s="95">
        <f ca="1"/>
        <v>-3.069432481758757E-3</v>
      </c>
      <c r="K302" s="5" t="s">
        <v>4</v>
      </c>
      <c r="L302" s="97">
        <f ca="1">_xll.meDateFromTenor(L301,"1D","FOLLOWING","TGT")</f>
        <v>42928</v>
      </c>
      <c r="M302" s="95">
        <f ca="1"/>
        <v>-2.2502204439862712E-3</v>
      </c>
      <c r="N302" s="5" t="s">
        <v>4</v>
      </c>
      <c r="O302" s="97">
        <f ca="1">_xll.meDateFromTenor(O301,"1D","FOLLOWING","TGT")</f>
        <v>42928</v>
      </c>
      <c r="P302" s="95">
        <f ca="1"/>
        <v>-1.3621144646023989E-4</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-4.0736973121458554E-3</v>
      </c>
      <c r="H303" s="92" t="s">
        <v>4</v>
      </c>
      <c r="I303" s="97">
        <f ca="1">_xll.meDateFromTenor(I302,"1D","FOLLOWING","TGT")</f>
        <v>42929</v>
      </c>
      <c r="J303" s="95">
        <f ca="1"/>
        <v>-3.0695215442416201E-3</v>
      </c>
      <c r="K303" s="5" t="s">
        <v>4</v>
      </c>
      <c r="L303" s="97">
        <f ca="1">_xll.meDateFromTenor(L302,"1D","FOLLOWING","TGT")</f>
        <v>42929</v>
      </c>
      <c r="M303" s="95">
        <f ca="1"/>
        <v>-2.256923982035028E-3</v>
      </c>
      <c r="N303" s="5" t="s">
        <v>4</v>
      </c>
      <c r="O303" s="97">
        <f ca="1">_xll.meDateFromTenor(O302,"1D","FOLLOWING","TGT")</f>
        <v>42929</v>
      </c>
      <c r="P303" s="95">
        <f ca="1"/>
        <v>-1.3454640598910744E-4</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-4.0742923029311127E-3</v>
      </c>
      <c r="H304" s="92" t="s">
        <v>4</v>
      </c>
      <c r="I304" s="97">
        <f ca="1">_xll.meDateFromTenor(I303,"1D","FOLLOWING","TGT")</f>
        <v>42930</v>
      </c>
      <c r="J304" s="95">
        <f ca="1"/>
        <v>-3.0696106067664972E-3</v>
      </c>
      <c r="K304" s="5" t="s">
        <v>4</v>
      </c>
      <c r="L304" s="97">
        <f ca="1">_xll.meDateFromTenor(L303,"1D","FOLLOWING","TGT")</f>
        <v>42930</v>
      </c>
      <c r="M304" s="95">
        <f ca="1"/>
        <v>-2.2633812184404802E-3</v>
      </c>
      <c r="N304" s="5" t="s">
        <v>4</v>
      </c>
      <c r="O304" s="97">
        <f ca="1">_xll.meDateFromTenor(O303,"1D","FOLLOWING","TGT")</f>
        <v>42930</v>
      </c>
      <c r="P304" s="95">
        <f ca="1"/>
        <v>-1.3287080848513468E-4</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-4.076008984134764E-3</v>
      </c>
      <c r="H305" s="92" t="s">
        <v>4</v>
      </c>
      <c r="I305" s="97">
        <f ca="1">_xll.meDateFromTenor(I304,"1D","FOLLOWING","TGT")</f>
        <v>42933</v>
      </c>
      <c r="J305" s="95">
        <f ca="1"/>
        <v>-3.0698777944026395E-3</v>
      </c>
      <c r="K305" s="5" t="s">
        <v>4</v>
      </c>
      <c r="L305" s="97">
        <f ca="1">_xll.meDateFromTenor(L304,"1D","FOLLOWING","TGT")</f>
        <v>42933</v>
      </c>
      <c r="M305" s="95">
        <f ca="1"/>
        <v>-2.2812967528302156E-3</v>
      </c>
      <c r="N305" s="5" t="s">
        <v>4</v>
      </c>
      <c r="O305" s="97">
        <f ca="1">_xll.meDateFromTenor(O304,"1D","FOLLOWING","TGT")</f>
        <v>42933</v>
      </c>
      <c r="P305" s="95">
        <f ca="1"/>
        <v>-1.2778080406535911E-4</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-4.0765581181920309E-3</v>
      </c>
      <c r="H306" s="92" t="s">
        <v>4</v>
      </c>
      <c r="I306" s="97">
        <f ca="1">_xll.meDateFromTenor(I305,"1D","FOLLOWING","TGT")</f>
        <v>42934</v>
      </c>
      <c r="J306" s="95">
        <f ca="1"/>
        <v>-3.0699668569417905E-3</v>
      </c>
      <c r="K306" s="5" t="s">
        <v>4</v>
      </c>
      <c r="L306" s="97">
        <f ca="1">_xll.meDateFromTenor(L305,"1D","FOLLOWING","TGT")</f>
        <v>42934</v>
      </c>
      <c r="M306" s="95">
        <f ca="1"/>
        <v>-2.2867904176956562E-3</v>
      </c>
      <c r="N306" s="5" t="s">
        <v>4</v>
      </c>
      <c r="O306" s="97">
        <f ca="1">_xll.meDateFromTenor(O305,"1D","FOLLOWING","TGT")</f>
        <v>42934</v>
      </c>
      <c r="P306" s="95">
        <f ca="1"/>
        <v>-1.2606310871920981E-4</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-4.077095541097365E-3</v>
      </c>
      <c r="H307" s="92" t="s">
        <v>4</v>
      </c>
      <c r="I307" s="97">
        <f ca="1">_xll.meDateFromTenor(I306,"1D","FOLLOWING","TGT")</f>
        <v>42935</v>
      </c>
      <c r="J307" s="95">
        <f ca="1"/>
        <v>-3.0700559194831493E-3</v>
      </c>
      <c r="K307" s="5" t="s">
        <v>4</v>
      </c>
      <c r="L307" s="97">
        <f ca="1">_xll.meDateFromTenor(L306,"1D","FOLLOWING","TGT")</f>
        <v>42935</v>
      </c>
      <c r="M307" s="95">
        <f ca="1"/>
        <v>-2.2920485984343941E-3</v>
      </c>
      <c r="N307" s="5" t="s">
        <v>4</v>
      </c>
      <c r="O307" s="97">
        <f ca="1">_xll.meDateFromTenor(O306,"1D","FOLLOWING","TGT")</f>
        <v>42935</v>
      </c>
      <c r="P307" s="95">
        <f ca="1"/>
        <v>-1.243349214848128E-4</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-4.0776211540627964E-3</v>
      </c>
      <c r="H308" s="92" t="s">
        <v>4</v>
      </c>
      <c r="I308" s="97">
        <f ca="1">_xll.meDateFromTenor(I307,"1D","FOLLOWING","TGT")</f>
        <v>42936</v>
      </c>
      <c r="J308" s="95">
        <f ca="1"/>
        <v>-3.0701449820237001E-3</v>
      </c>
      <c r="K308" s="5" t="s">
        <v>4</v>
      </c>
      <c r="L308" s="97">
        <f ca="1">_xll.meDateFromTenor(L307,"1D","FOLLOWING","TGT")</f>
        <v>42936</v>
      </c>
      <c r="M308" s="95">
        <f ca="1"/>
        <v>-2.2970734585497526E-3</v>
      </c>
      <c r="N308" s="5" t="s">
        <v>4</v>
      </c>
      <c r="O308" s="97">
        <f ca="1">_xll.meDateFromTenor(O307,"1D","FOLLOWING","TGT")</f>
        <v>42936</v>
      </c>
      <c r="P308" s="95">
        <f ca="1"/>
        <v>-1.2259625539108631E-4</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-4.0781348583003489E-3</v>
      </c>
      <c r="H309" s="92" t="s">
        <v>4</v>
      </c>
      <c r="I309" s="97">
        <f ca="1">_xll.meDateFromTenor(I308,"1D","FOLLOWING","TGT")</f>
        <v>42937</v>
      </c>
      <c r="J309" s="95">
        <f ca="1"/>
        <v>-3.070234044563659E-3</v>
      </c>
      <c r="K309" s="5" t="s">
        <v>4</v>
      </c>
      <c r="L309" s="97">
        <f ca="1">_xll.meDateFromTenor(L308,"1D","FOLLOWING","TGT")</f>
        <v>42937</v>
      </c>
      <c r="M309" s="95">
        <f ca="1"/>
        <v>-2.3018671615450499E-3</v>
      </c>
      <c r="N309" s="5" t="s">
        <v>4</v>
      </c>
      <c r="O309" s="97">
        <f ca="1">_xll.meDateFromTenor(O308,"1D","FOLLOWING","TGT")</f>
        <v>42937</v>
      </c>
      <c r="P309" s="95">
        <f ca="1"/>
        <v>-1.2084712346694911E-4</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-4.079603530766006E-3</v>
      </c>
      <c r="H310" s="92" t="s">
        <v>4</v>
      </c>
      <c r="I310" s="97">
        <f ca="1">_xll.meDateFromTenor(I309,"1D","FOLLOWING","TGT")</f>
        <v>42940</v>
      </c>
      <c r="J310" s="95">
        <f ca="1"/>
        <v>-3.0705012321844446E-3</v>
      </c>
      <c r="K310" s="5" t="s">
        <v>4</v>
      </c>
      <c r="L310" s="97">
        <f ca="1">_xll.meDateFromTenor(L309,"1D","FOLLOWING","TGT")</f>
        <v>42940</v>
      </c>
      <c r="M310" s="95">
        <f ca="1"/>
        <v>-2.3148829628437885E-3</v>
      </c>
      <c r="N310" s="5" t="s">
        <v>4</v>
      </c>
      <c r="O310" s="97">
        <f ca="1">_xll.meDateFromTenor(O309,"1D","FOLLOWING","TGT")</f>
        <v>42940</v>
      </c>
      <c r="P310" s="95">
        <f ca="1"/>
        <v>-1.1553706300125713E-4</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-4.080068612212313E-3</v>
      </c>
      <c r="H311" s="92" t="s">
        <v>4</v>
      </c>
      <c r="I311" s="97">
        <f ca="1">_xll.meDateFromTenor(I310,"1D","FOLLOWING","TGT")</f>
        <v>42941</v>
      </c>
      <c r="J311" s="95">
        <f ca="1"/>
        <v>-3.070590294724678E-3</v>
      </c>
      <c r="K311" s="5" t="s">
        <v>4</v>
      </c>
      <c r="L311" s="97">
        <f ca="1">_xll.meDateFromTenor(L310,"1D","FOLLOWING","TGT")</f>
        <v>42941</v>
      </c>
      <c r="M311" s="95">
        <f ca="1"/>
        <v>-2.3187736723920519E-3</v>
      </c>
      <c r="N311" s="5" t="s">
        <v>4</v>
      </c>
      <c r="O311" s="97">
        <f ca="1">_xll.meDateFromTenor(O310,"1D","FOLLOWING","TGT")</f>
        <v>42941</v>
      </c>
      <c r="P311" s="95">
        <f ca="1"/>
        <v>-1.1374619804466146E-4</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-4.0805212909908756E-3</v>
      </c>
      <c r="H312" s="92" t="s">
        <v>4</v>
      </c>
      <c r="I312" s="97">
        <f ca="1">_xll.meDateFromTenor(I311,"1D","FOLLOWING","TGT")</f>
        <v>42942</v>
      </c>
      <c r="J312" s="95">
        <f ca="1"/>
        <v>-3.0706793572649275E-3</v>
      </c>
      <c r="K312" s="5" t="s">
        <v>4</v>
      </c>
      <c r="L312" s="97">
        <f ca="1">_xll.meDateFromTenor(L311,"1D","FOLLOWING","TGT")</f>
        <v>42942</v>
      </c>
      <c r="M312" s="95">
        <f ca="1"/>
        <v>-2.3224440423368579E-3</v>
      </c>
      <c r="N312" s="5" t="s">
        <v>4</v>
      </c>
      <c r="O312" s="97">
        <f ca="1">_xll.meDateFromTenor(O311,"1D","FOLLOWING","TGT")</f>
        <v>42942</v>
      </c>
      <c r="P312" s="95">
        <f ca="1"/>
        <v>-1.1194493240224763E-4</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-4.0809614683137204E-3</v>
      </c>
      <c r="H313" s="92" t="s">
        <v>4</v>
      </c>
      <c r="I313" s="97">
        <f ca="1">_xll.meDateFromTenor(I312,"1D","FOLLOWING","TGT")</f>
        <v>42943</v>
      </c>
      <c r="J313" s="95">
        <f ca="1"/>
        <v>-3.0707684198051878E-3</v>
      </c>
      <c r="K313" s="5" t="s">
        <v>4</v>
      </c>
      <c r="L313" s="97">
        <f ca="1">_xll.meDateFromTenor(L312,"1D","FOLLOWING","TGT")</f>
        <v>42943</v>
      </c>
      <c r="M313" s="95">
        <f ca="1"/>
        <v>-2.3258962361815279E-3</v>
      </c>
      <c r="N313" s="5" t="s">
        <v>4</v>
      </c>
      <c r="O313" s="97">
        <f ca="1">_xll.meDateFromTenor(O312,"1D","FOLLOWING","TGT")</f>
        <v>42943</v>
      </c>
      <c r="P313" s="95">
        <f ca="1"/>
        <v>-1.1013327910293382E-4</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-4.0813890453928739E-3</v>
      </c>
      <c r="H314" s="92" t="s">
        <v>4</v>
      </c>
      <c r="I314" s="97">
        <f ca="1">_xll.meDateFromTenor(I313,"1D","FOLLOWING","TGT")</f>
        <v>42944</v>
      </c>
      <c r="J314" s="95">
        <f ca="1"/>
        <v>-3.0708574823454446E-3</v>
      </c>
      <c r="K314" s="5" t="s">
        <v>4</v>
      </c>
      <c r="L314" s="97">
        <f ca="1">_xll.meDateFromTenor(L313,"1D","FOLLOWING","TGT")</f>
        <v>42944</v>
      </c>
      <c r="M314" s="95">
        <f ca="1"/>
        <v>-2.3291324174293817E-3</v>
      </c>
      <c r="N314" s="5" t="s">
        <v>4</v>
      </c>
      <c r="O314" s="97">
        <f ca="1">_xll.meDateFromTenor(O313,"1D","FOLLOWING","TGT")</f>
        <v>42944</v>
      </c>
      <c r="P314" s="95">
        <f ca="1"/>
        <v>-1.0831125117563885E-4</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-4.08259518728845E-3</v>
      </c>
      <c r="H315" s="92" t="s">
        <v>4</v>
      </c>
      <c r="I315" s="97">
        <f ca="1">_xll.meDateFromTenor(I314,"1D","FOLLOWING","TGT")</f>
        <v>42947</v>
      </c>
      <c r="J315" s="95">
        <f ca="1"/>
        <v>-3.0711246699662072E-3</v>
      </c>
      <c r="K315" s="5" t="s">
        <v>4</v>
      </c>
      <c r="L315" s="97">
        <f ca="1">_xll.meDateFromTenor(L314,"1D","FOLLOWING","TGT")</f>
        <v>42947</v>
      </c>
      <c r="M315" s="95">
        <f ca="1"/>
        <v>-2.3375665206252553E-3</v>
      </c>
      <c r="N315" s="5" t="s">
        <v>4</v>
      </c>
      <c r="O315" s="97">
        <f ca="1">_xll.meDateFromTenor(O314,"1D","FOLLOWING","TGT")</f>
        <v>42947</v>
      </c>
      <c r="P315" s="95">
        <f ca="1"/>
        <v>-1.0278304991505087E-4</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-4.0829713755131045E-3</v>
      </c>
      <c r="H316" s="92" t="s">
        <v>4</v>
      </c>
      <c r="I316" s="97">
        <f ca="1">_xll.meDateFromTenor(I315,"1D","FOLLOWING","TGT")</f>
        <v>42948</v>
      </c>
      <c r="J316" s="95">
        <f ca="1"/>
        <v>-3.0712137325064623E-3</v>
      </c>
      <c r="K316" s="5" t="s">
        <v>4</v>
      </c>
      <c r="L316" s="97">
        <f ca="1">_xll.meDateFromTenor(L315,"1D","FOLLOWING","TGT")</f>
        <v>42948</v>
      </c>
      <c r="M316" s="95">
        <f ca="1"/>
        <v>-2.3399602865190523E-3</v>
      </c>
      <c r="N316" s="5" t="s">
        <v>4</v>
      </c>
      <c r="O316" s="97">
        <f ca="1">_xll.meDateFromTenor(O315,"1D","FOLLOWING","TGT")</f>
        <v>42948</v>
      </c>
      <c r="P316" s="95">
        <f ca="1"/>
        <v>-1.0091965376501573E-4</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-4.0833344695541994E-3</v>
      </c>
      <c r="H317" s="92" t="s">
        <v>4</v>
      </c>
      <c r="I317" s="97">
        <f ca="1">_xll.meDateFromTenor(I316,"1D","FOLLOWING","TGT")</f>
        <v>42949</v>
      </c>
      <c r="J317" s="95">
        <f ca="1"/>
        <v>-3.071302795046717E-3</v>
      </c>
      <c r="K317" s="5" t="s">
        <v>4</v>
      </c>
      <c r="L317" s="97">
        <f ca="1">_xll.meDateFromTenor(L316,"1D","FOLLOWING","TGT")</f>
        <v>42949</v>
      </c>
      <c r="M317" s="95">
        <f ca="1"/>
        <v>-2.3421488573326368E-3</v>
      </c>
      <c r="N317" s="5" t="s">
        <v>4</v>
      </c>
      <c r="O317" s="97">
        <f ca="1">_xll.meDateFromTenor(O316,"1D","FOLLOWING","TGT")</f>
        <v>42949</v>
      </c>
      <c r="P317" s="95">
        <f ca="1"/>
        <v>-9.9045948131591655E-5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-4.0836843964880453E-3</v>
      </c>
      <c r="H318" s="92" t="s">
        <v>4</v>
      </c>
      <c r="I318" s="97">
        <f ca="1">_xll.meDateFromTenor(I317,"1D","FOLLOWING","TGT")</f>
        <v>42950</v>
      </c>
      <c r="J318" s="95">
        <f ca="1"/>
        <v>-3.0713918575869721E-3</v>
      </c>
      <c r="K318" s="5" t="s">
        <v>4</v>
      </c>
      <c r="L318" s="97">
        <f ca="1">_xll.meDateFromTenor(L317,"1D","FOLLOWING","TGT")</f>
        <v>42950</v>
      </c>
      <c r="M318" s="95">
        <f ca="1"/>
        <v>-2.3441343965693293E-3</v>
      </c>
      <c r="N318" s="5" t="s">
        <v>4</v>
      </c>
      <c r="O318" s="97">
        <f ca="1">_xll.meDateFromTenor(O317,"1D","FOLLOWING","TGT")</f>
        <v>42950</v>
      </c>
      <c r="P318" s="95">
        <f ca="1"/>
        <v>-9.7161946043697455E-5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-4.0840211868480789E-3</v>
      </c>
      <c r="H319" s="92" t="s">
        <v>4</v>
      </c>
      <c r="I319" s="97">
        <f ca="1">_xll.meDateFromTenor(I318,"1D","FOLLOWING","TGT")</f>
        <v>42951</v>
      </c>
      <c r="J319" s="95">
        <f ca="1"/>
        <v>-3.0714809201272267E-3</v>
      </c>
      <c r="K319" s="5" t="s">
        <v>4</v>
      </c>
      <c r="L319" s="97">
        <f ca="1">_xll.meDateFromTenor(L318,"1D","FOLLOWING","TGT")</f>
        <v>42951</v>
      </c>
      <c r="M319" s="95">
        <f ca="1"/>
        <v>-2.3459190677324504E-3</v>
      </c>
      <c r="N319" s="5" t="s">
        <v>4</v>
      </c>
      <c r="O319" s="97">
        <f ca="1">_xll.meDateFromTenor(O318,"1D","FOLLOWING","TGT")</f>
        <v>42951</v>
      </c>
      <c r="P319" s="95">
        <f ca="1"/>
        <v>-9.5267660530251339E-5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-4.0849533024624922E-3</v>
      </c>
      <c r="H320" s="92" t="s">
        <v>4</v>
      </c>
      <c r="I320" s="97">
        <f ca="1">_xll.meDateFromTenor(I319,"1D","FOLLOWING","TGT")</f>
        <v>42954</v>
      </c>
      <c r="J320" s="95">
        <f ca="1"/>
        <v>-3.0717481077479894E-3</v>
      </c>
      <c r="K320" s="5" t="s">
        <v>4</v>
      </c>
      <c r="L320" s="97">
        <f ca="1">_xll.meDateFromTenor(L319,"1D","FOLLOWING","TGT")</f>
        <v>42954</v>
      </c>
      <c r="M320" s="95">
        <f ca="1"/>
        <v>-2.3500895078135916E-3</v>
      </c>
      <c r="N320" s="5" t="s">
        <v>4</v>
      </c>
      <c r="O320" s="97">
        <f ca="1">_xll.meDateFromTenor(O319,"1D","FOLLOWING","TGT")</f>
        <v>42954</v>
      </c>
      <c r="P320" s="95">
        <f ca="1"/>
        <v>-8.9523233725787588E-5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-4.0852381105044655E-3</v>
      </c>
      <c r="H321" s="92" t="s">
        <v>4</v>
      </c>
      <c r="I321" s="97">
        <f ca="1">_xll.meDateFromTenor(I320,"1D","FOLLOWING","TGT")</f>
        <v>42955</v>
      </c>
      <c r="J321" s="95">
        <f ca="1"/>
        <v>-3.0718371702882462E-3</v>
      </c>
      <c r="K321" s="5" t="s">
        <v>4</v>
      </c>
      <c r="L321" s="97">
        <f ca="1">_xll.meDateFromTenor(L320,"1D","FOLLOWING","TGT")</f>
        <v>42955</v>
      </c>
      <c r="M321" s="95">
        <f ca="1"/>
        <v>-2.3510923417156336E-3</v>
      </c>
      <c r="N321" s="5" t="s">
        <v>4</v>
      </c>
      <c r="O321" s="97">
        <f ca="1">_xll.meDateFromTenor(O320,"1D","FOLLOWING","TGT")</f>
        <v>42955</v>
      </c>
      <c r="P321" s="95">
        <f ca="1"/>
        <v>-8.7587944799319563E-5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-4.0855100639612205E-3</v>
      </c>
      <c r="H322" s="92" t="s">
        <v>4</v>
      </c>
      <c r="I322" s="97">
        <f ca="1">_xll.meDateFromTenor(I321,"1D","FOLLOWING","TGT")</f>
        <v>42956</v>
      </c>
      <c r="J322" s="95">
        <f ca="1"/>
        <v>-3.0719262328285095E-3</v>
      </c>
      <c r="K322" s="5" t="s">
        <v>4</v>
      </c>
      <c r="L322" s="97">
        <f ca="1">_xll.meDateFromTenor(L321,"1D","FOLLOWING","TGT")</f>
        <v>42956</v>
      </c>
      <c r="M322" s="95">
        <f ca="1"/>
        <v>-2.3519051250607071E-3</v>
      </c>
      <c r="N322" s="5" t="s">
        <v>4</v>
      </c>
      <c r="O322" s="97">
        <f ca="1">_xll.meDateFromTenor(O321,"1D","FOLLOWING","TGT")</f>
        <v>42956</v>
      </c>
      <c r="P322" s="95">
        <f ca="1"/>
        <v>-8.5642437591892183E-5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-4.0857692192304779E-3</v>
      </c>
      <c r="H323" s="92" t="s">
        <v>4</v>
      </c>
      <c r="I323" s="97">
        <f ca="1">_xll.meDateFromTenor(I322,"1D","FOLLOWING","TGT")</f>
        <v>42957</v>
      </c>
      <c r="J323" s="95">
        <f ca="1"/>
        <v>-3.0720152953687559E-3</v>
      </c>
      <c r="K323" s="5" t="s">
        <v>4</v>
      </c>
      <c r="L323" s="97">
        <f ca="1">_xll.meDateFromTenor(L322,"1D","FOLLOWING","TGT")</f>
        <v>42957</v>
      </c>
      <c r="M323" s="95">
        <f ca="1"/>
        <v>-2.352530021352133E-3</v>
      </c>
      <c r="N323" s="5" t="s">
        <v>4</v>
      </c>
      <c r="O323" s="97">
        <f ca="1">_xll.meDateFromTenor(O322,"1D","FOLLOWING","TGT")</f>
        <v>42957</v>
      </c>
      <c r="P323" s="95">
        <f ca="1"/>
        <v>-8.3686725132424197E-5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-4.0860156327099549E-3</v>
      </c>
      <c r="H324" s="92" t="s">
        <v>4</v>
      </c>
      <c r="I324" s="97">
        <f ca="1">_xll.meDateFromTenor(I323,"1D","FOLLOWING","TGT")</f>
        <v>42958</v>
      </c>
      <c r="J324" s="95">
        <f ca="1"/>
        <v>-3.0721043579089793E-3</v>
      </c>
      <c r="K324" s="5" t="s">
        <v>4</v>
      </c>
      <c r="L324" s="97">
        <f ca="1">_xll.meDateFromTenor(L323,"1D","FOLLOWING","TGT")</f>
        <v>42958</v>
      </c>
      <c r="M324" s="95">
        <f ca="1"/>
        <v>-2.3529691940932318E-3</v>
      </c>
      <c r="N324" s="5" t="s">
        <v>4</v>
      </c>
      <c r="O324" s="97">
        <f ca="1">_xll.meDateFromTenor(O323,"1D","FOLLOWING","TGT")</f>
        <v>42958</v>
      </c>
      <c r="P324" s="95">
        <f ca="1"/>
        <v>-8.1720820449833869E-5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-4.0866789863869052E-3</v>
      </c>
      <c r="H325" s="92" t="s">
        <v>4</v>
      </c>
      <c r="I325" s="97">
        <f ca="1">_xll.meDateFromTenor(I324,"1D","FOLLOWING","TGT")</f>
        <v>42961</v>
      </c>
      <c r="J325" s="95">
        <f ca="1"/>
        <v>-3.072371545529775E-3</v>
      </c>
      <c r="K325" s="5" t="s">
        <v>4</v>
      </c>
      <c r="L325" s="97">
        <f ca="1">_xll.meDateFromTenor(L324,"1D","FOLLOWING","TGT")</f>
        <v>42961</v>
      </c>
      <c r="M325" s="95">
        <f ca="1"/>
        <v>-2.3531940060477733E-3</v>
      </c>
      <c r="N325" s="5" t="s">
        <v>4</v>
      </c>
      <c r="O325" s="97">
        <f ca="1">_xll.meDateFromTenor(O324,"1D","FOLLOWING","TGT")</f>
        <v>42961</v>
      </c>
      <c r="P325" s="95">
        <f ca="1"/>
        <v>-7.5762083352514571E-5</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-4.0868749966844562E-3</v>
      </c>
      <c r="H326" s="92" t="s">
        <v>4</v>
      </c>
      <c r="I326" s="97">
        <f ca="1">_xll.meDateFromTenor(I325,"1D","FOLLOWING","TGT")</f>
        <v>42962</v>
      </c>
      <c r="J326" s="95">
        <f ca="1"/>
        <v>-3.0724606080695968E-3</v>
      </c>
      <c r="K326" s="5" t="s">
        <v>4</v>
      </c>
      <c r="L326" s="97">
        <f ca="1">_xll.meDateFromTenor(L325,"1D","FOLLOWING","TGT")</f>
        <v>42962</v>
      </c>
      <c r="M326" s="95">
        <f ca="1"/>
        <v>-2.3529119196207707E-3</v>
      </c>
      <c r="N326" s="5" t="s">
        <v>4</v>
      </c>
      <c r="O326" s="97">
        <f ca="1">_xll.meDateFromTenor(O325,"1D","FOLLOWING","TGT")</f>
        <v>42962</v>
      </c>
      <c r="P326" s="95">
        <f ca="1"/>
        <v>-7.3755540066620413E-5</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-4.0870585471808243E-3</v>
      </c>
      <c r="H327" s="92" t="s">
        <v>4</v>
      </c>
      <c r="I327" s="97">
        <f ca="1">_xll.meDateFromTenor(I326,"1D","FOLLOWING","TGT")</f>
        <v>42963</v>
      </c>
      <c r="J327" s="95">
        <f ca="1"/>
        <v>-3.0725496706102847E-3</v>
      </c>
      <c r="K327" s="5" t="s">
        <v>4</v>
      </c>
      <c r="L327" s="97">
        <f ca="1">_xll.meDateFromTenor(L326,"1D","FOLLOWING","TGT")</f>
        <v>42963</v>
      </c>
      <c r="M327" s="95">
        <f ca="1"/>
        <v>-2.3524549271600435E-3</v>
      </c>
      <c r="N327" s="5" t="s">
        <v>4</v>
      </c>
      <c r="O327" s="97">
        <f ca="1">_xll.meDateFromTenor(O326,"1D","FOLLOWING","TGT")</f>
        <v>42963</v>
      </c>
      <c r="P327" s="95">
        <f ca="1"/>
        <v>-7.1738869702196514E-5</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-4.0872296942737266E-3</v>
      </c>
      <c r="H328" s="92" t="s">
        <v>4</v>
      </c>
      <c r="I328" s="97">
        <f ca="1">_xll.meDateFromTenor(I327,"1D","FOLLOWING","TGT")</f>
        <v>42964</v>
      </c>
      <c r="J328" s="95">
        <f ca="1"/>
        <v>-3.0726387331521565E-3</v>
      </c>
      <c r="K328" s="5" t="s">
        <v>4</v>
      </c>
      <c r="L328" s="97">
        <f ca="1">_xll.meDateFromTenor(L327,"1D","FOLLOWING","TGT")</f>
        <v>42964</v>
      </c>
      <c r="M328" s="95">
        <f ca="1"/>
        <v>-2.3518251921689141E-3</v>
      </c>
      <c r="N328" s="5" t="s">
        <v>4</v>
      </c>
      <c r="O328" s="97">
        <f ca="1">_xll.meDateFromTenor(O327,"1D","FOLLOWING","TGT")</f>
        <v>42964</v>
      </c>
      <c r="P328" s="95">
        <f ca="1"/>
        <v>-6.9712085288161515E-5</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-4.0873884943608838E-3</v>
      </c>
      <c r="H329" s="92" t="s">
        <v>4</v>
      </c>
      <c r="I329" s="97">
        <f ca="1">_xll.meDateFromTenor(I328,"1D","FOLLOWING","TGT")</f>
        <v>42965</v>
      </c>
      <c r="J329" s="95">
        <f ca="1"/>
        <v>-3.0727277956907944E-3</v>
      </c>
      <c r="K329" s="5" t="s">
        <v>4</v>
      </c>
      <c r="L329" s="97">
        <f ca="1">_xll.meDateFromTenor(L328,"1D","FOLLOWING","TGT")</f>
        <v>42965</v>
      </c>
      <c r="M329" s="95">
        <f ca="1"/>
        <v>-2.3510248781507016E-3</v>
      </c>
      <c r="N329" s="5" t="s">
        <v>4</v>
      </c>
      <c r="O329" s="97">
        <f ca="1">_xll.meDateFromTenor(O328,"1D","FOLLOWING","TGT")</f>
        <v>42965</v>
      </c>
      <c r="P329" s="95">
        <f ca="1"/>
        <v>-6.7675199853433666E-5</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-4.0877913765650711E-3</v>
      </c>
      <c r="H330" s="92" t="s">
        <v>4</v>
      </c>
      <c r="I330" s="97">
        <f ca="1">_xll.meDateFromTenor(I329,"1D","FOLLOWING","TGT")</f>
        <v>42968</v>
      </c>
      <c r="J330" s="95">
        <f ca="1"/>
        <v>-3.0729949833340807E-3</v>
      </c>
      <c r="K330" s="5" t="s">
        <v>4</v>
      </c>
      <c r="L330" s="97">
        <f ca="1">_xll.meDateFromTenor(L329,"1D","FOLLOWING","TGT")</f>
        <v>42968</v>
      </c>
      <c r="M330" s="95">
        <f ca="1"/>
        <v>-2.3476220969667751E-3</v>
      </c>
      <c r="N330" s="5" t="s">
        <v>4</v>
      </c>
      <c r="O330" s="97">
        <f ca="1">_xll.meDateFromTenor(O329,"1D","FOLLOWING","TGT")</f>
        <v>42968</v>
      </c>
      <c r="P330" s="95">
        <f ca="1"/>
        <v>-6.1504067714279306E-5</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-4.0879013526064359E-3</v>
      </c>
      <c r="H331" s="92" t="s">
        <v>4</v>
      </c>
      <c r="I331" s="97">
        <f ca="1">_xll.meDateFromTenor(I330,"1D","FOLLOWING","TGT")</f>
        <v>42969</v>
      </c>
      <c r="J331" s="95">
        <f ca="1"/>
        <v>-3.0730840458518139E-3</v>
      </c>
      <c r="K331" s="5" t="s">
        <v>4</v>
      </c>
      <c r="L331" s="97">
        <f ca="1">_xll.meDateFromTenor(L330,"1D","FOLLOWING","TGT")</f>
        <v>42969</v>
      </c>
      <c r="M331" s="95">
        <f ca="1"/>
        <v>-2.3461611018734388E-3</v>
      </c>
      <c r="N331" s="5" t="s">
        <v>4</v>
      </c>
      <c r="O331" s="97">
        <f ca="1">_xll.meDateFromTenor(O330,"1D","FOLLOWING","TGT")</f>
        <v>42969</v>
      </c>
      <c r="P331" s="95">
        <f ca="1"/>
        <v>-5.9426908485965692E-5</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-4.0879992636306487E-3</v>
      </c>
      <c r="H332" s="92" t="s">
        <v>4</v>
      </c>
      <c r="I332" s="97">
        <f ca="1">_xll.meDateFromTenor(I331,"1D","FOLLOWING","TGT")</f>
        <v>42970</v>
      </c>
      <c r="J332" s="95">
        <f ca="1"/>
        <v>-3.0731731083080177E-3</v>
      </c>
      <c r="K332" s="5" t="s">
        <v>4</v>
      </c>
      <c r="L332" s="97">
        <f ca="1">_xll.meDateFromTenor(L331,"1D","FOLLOWING","TGT")</f>
        <v>42970</v>
      </c>
      <c r="M332" s="95">
        <f ca="1"/>
        <v>-2.3445403452696228E-3</v>
      </c>
      <c r="N332" s="5" t="s">
        <v>4</v>
      </c>
      <c r="O332" s="97">
        <f ca="1">_xll.meDateFromTenor(O331,"1D","FOLLOWING","TGT")</f>
        <v>42970</v>
      </c>
      <c r="P332" s="95">
        <f ca="1"/>
        <v>-5.7339713381552115E-5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-4.088085166035431E-3</v>
      </c>
      <c r="H333" s="92" t="s">
        <v>4</v>
      </c>
      <c r="I333" s="97">
        <f ca="1">_xll.meDateFromTenor(I332,"1D","FOLLOWING","TGT")</f>
        <v>42971</v>
      </c>
      <c r="J333" s="95">
        <f ca="1"/>
        <v>-3.0732621709323236E-3</v>
      </c>
      <c r="K333" s="5" t="s">
        <v>4</v>
      </c>
      <c r="L333" s="97">
        <f ca="1">_xll.meDateFromTenor(L332,"1D","FOLLOWING","TGT")</f>
        <v>42971</v>
      </c>
      <c r="M333" s="95">
        <f ca="1"/>
        <v>-2.3427619906586481E-3</v>
      </c>
      <c r="N333" s="5" t="s">
        <v>4</v>
      </c>
      <c r="O333" s="97">
        <f ca="1">_xll.meDateFromTenor(O332,"1D","FOLLOWING","TGT")</f>
        <v>42971</v>
      </c>
      <c r="P333" s="95">
        <f ca="1"/>
        <v>-5.52424954299567E-5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-4.088159116218501E-3</v>
      </c>
      <c r="H334" s="92" t="s">
        <v>4</v>
      </c>
      <c r="I334" s="97">
        <f ca="1">_xll.meDateFromTenor(I333,"1D","FOLLOWING","TGT")</f>
        <v>42972</v>
      </c>
      <c r="J334" s="95">
        <f ca="1"/>
        <v>-3.0733512337862618E-3</v>
      </c>
      <c r="K334" s="5" t="s">
        <v>4</v>
      </c>
      <c r="L334" s="97">
        <f ca="1">_xll.meDateFromTenor(L333,"1D","FOLLOWING","TGT")</f>
        <v>42972</v>
      </c>
      <c r="M334" s="95">
        <f ca="1"/>
        <v>-2.3408282015438347E-3</v>
      </c>
      <c r="N334" s="5" t="s">
        <v>4</v>
      </c>
      <c r="O334" s="97">
        <f ca="1">_xll.meDateFromTenor(O333,"1D","FOLLOWING","TGT")</f>
        <v>42972</v>
      </c>
      <c r="P334" s="95">
        <f ca="1"/>
        <v>-5.3135267660098145E-5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-4.0883098174146265E-3</v>
      </c>
      <c r="H335" s="92" t="s">
        <v>4</v>
      </c>
      <c r="I335" s="97">
        <f ca="1">_xll.meDateFromTenor(I334,"1D","FOLLOWING","TGT")</f>
        <v>42975</v>
      </c>
      <c r="J335" s="95">
        <f ca="1"/>
        <v>-3.0736184210933431E-3</v>
      </c>
      <c r="K335" s="5" t="s">
        <v>4</v>
      </c>
      <c r="L335" s="97">
        <f ca="1">_xll.meDateFromTenor(L334,"1D","FOLLOWING","TGT")</f>
        <v>42975</v>
      </c>
      <c r="M335" s="95">
        <f ca="1"/>
        <v>-2.3341158622095732E-3</v>
      </c>
      <c r="N335" s="5" t="s">
        <v>4</v>
      </c>
      <c r="O335" s="97">
        <f ca="1">_xll.meDateFromTenor(O334,"1D","FOLLOWING","TGT")</f>
        <v>42975</v>
      </c>
      <c r="P335" s="95">
        <f ca="1"/>
        <v>-4.6753655730128756E-5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-4.0883365226880367E-3</v>
      </c>
      <c r="H336" s="92" t="s">
        <v>4</v>
      </c>
      <c r="I336" s="97">
        <f ca="1">_xll.meDateFromTenor(I335,"1D","FOLLOWING","TGT")</f>
        <v>42976</v>
      </c>
      <c r="J336" s="95">
        <f ca="1"/>
        <v>-3.0737074880026402E-3</v>
      </c>
      <c r="K336" s="5" t="s">
        <v>4</v>
      </c>
      <c r="L336" s="97">
        <f ca="1">_xll.meDateFromTenor(L335,"1D","FOLLOWING","TGT")</f>
        <v>42976</v>
      </c>
      <c r="M336" s="95">
        <f ca="1"/>
        <v>-2.3315819701126136E-3</v>
      </c>
      <c r="N336" s="5" t="s">
        <v>4</v>
      </c>
      <c r="O336" s="97">
        <f ca="1">_xll.meDateFromTenor(O335,"1D","FOLLOWING","TGT")</f>
        <v>42976</v>
      </c>
      <c r="P336" s="95">
        <f ca="1"/>
        <v>-4.4606518976402583E-5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-4.0883515577283293E-3</v>
      </c>
      <c r="H337" s="92" t="s">
        <v>4</v>
      </c>
      <c r="I337" s="97">
        <f ca="1">_xll.meDateFromTenor(I336,"1D","FOLLOWING","TGT")</f>
        <v>42977</v>
      </c>
      <c r="J337" s="95">
        <f ca="1"/>
        <v>-3.0737965461738528E-3</v>
      </c>
      <c r="K337" s="5" t="s">
        <v>4</v>
      </c>
      <c r="L337" s="97">
        <f ca="1">_xll.meDateFromTenor(L336,"1D","FOLLOWING","TGT")</f>
        <v>42977</v>
      </c>
      <c r="M337" s="95">
        <f ca="1"/>
        <v>-2.3289034610284192E-3</v>
      </c>
      <c r="N337" s="5" t="s">
        <v>4</v>
      </c>
      <c r="O337" s="97">
        <f ca="1">_xll.meDateFromTenor(O336,"1D","FOLLOWING","TGT")</f>
        <v>42977</v>
      </c>
      <c r="P337" s="95">
        <f ca="1"/>
        <v>-4.2449437549005979E-5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-4.0883549789332251E-3</v>
      </c>
      <c r="H338" s="92" t="s">
        <v>4</v>
      </c>
      <c r="I338" s="97">
        <f ca="1">_xll.meDateFromTenor(I337,"1D","FOLLOWING","TGT")</f>
        <v>42978</v>
      </c>
      <c r="J338" s="95">
        <f ca="1"/>
        <v>-3.0738855924086214E-3</v>
      </c>
      <c r="K338" s="5" t="s">
        <v>4</v>
      </c>
      <c r="L338" s="97">
        <f ca="1">_xll.meDateFromTenor(L337,"1D","FOLLOWING","TGT")</f>
        <v>42978</v>
      </c>
      <c r="M338" s="95">
        <f ca="1"/>
        <v>-2.3260824984603096E-3</v>
      </c>
      <c r="N338" s="5" t="s">
        <v>4</v>
      </c>
      <c r="O338" s="97">
        <f ca="1">_xll.meDateFromTenor(O337,"1D","FOLLOWING","TGT")</f>
        <v>42978</v>
      </c>
      <c r="P338" s="95">
        <f ca="1"/>
        <v>-4.0282424476857057E-5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-4.0883468427004421E-3</v>
      </c>
      <c r="H339" s="92" t="s">
        <v>4</v>
      </c>
      <c r="I339" s="97">
        <f ca="1">_xll.meDateFromTenor(I338,"1D","FOLLOWING","TGT")</f>
        <v>42979</v>
      </c>
      <c r="J339" s="95">
        <f ca="1"/>
        <v>-3.0739746712543621E-3</v>
      </c>
      <c r="K339" s="5" t="s">
        <v>4</v>
      </c>
      <c r="L339" s="97">
        <f ca="1">_xll.meDateFromTenor(L338,"1D","FOLLOWING","TGT")</f>
        <v>42979</v>
      </c>
      <c r="M339" s="95">
        <f ca="1"/>
        <v>-2.3231212459116075E-3</v>
      </c>
      <c r="N339" s="5" t="s">
        <v>4</v>
      </c>
      <c r="O339" s="97">
        <f ca="1">_xll.meDateFromTenor(O338,"1D","FOLLOWING","TGT")</f>
        <v>42979</v>
      </c>
      <c r="P339" s="95">
        <f ca="1"/>
        <v>-3.8105492788874636E-5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-4.0882536533532066E-3</v>
      </c>
      <c r="H340" s="92" t="s">
        <v>4</v>
      </c>
      <c r="I340" s="97">
        <f ca="1">_xll.meDateFromTenor(I339,"1D","FOLLOWING","TGT")</f>
        <v>42982</v>
      </c>
      <c r="J340" s="95">
        <f ca="1"/>
        <v>-3.0742416746623912E-3</v>
      </c>
      <c r="K340" s="5" t="s">
        <v>4</v>
      </c>
      <c r="L340" s="97">
        <f ca="1">_xll.meDateFromTenor(L339,"1D","FOLLOWING","TGT")</f>
        <v>42982</v>
      </c>
      <c r="M340" s="95">
        <f ca="1"/>
        <v>-2.3134173834151424E-3</v>
      </c>
      <c r="N340" s="5" t="s">
        <v>4</v>
      </c>
      <c r="O340" s="97">
        <f ca="1">_xll.meDateFromTenor(O339,"1D","FOLLOWING","TGT")</f>
        <v>42982</v>
      </c>
      <c r="P340" s="95">
        <f ca="1"/>
        <v>-3.1515316319110457E-5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-4.0881998269561397E-3</v>
      </c>
      <c r="H341" s="92" t="s">
        <v>4</v>
      </c>
      <c r="I341" s="97">
        <f ca="1">_xll.meDateFromTenor(I340,"1D","FOLLOWING","TGT")</f>
        <v>42983</v>
      </c>
      <c r="J341" s="95">
        <f ca="1"/>
        <v>-3.0743309214153816E-3</v>
      </c>
      <c r="K341" s="5" t="s">
        <v>4</v>
      </c>
      <c r="L341" s="97">
        <f ca="1">_xll.meDateFromTenor(L340,"1D","FOLLOWING","TGT")</f>
        <v>42983</v>
      </c>
      <c r="M341" s="95">
        <f ca="1"/>
        <v>-2.3099166059772705E-3</v>
      </c>
      <c r="N341" s="5" t="s">
        <v>4</v>
      </c>
      <c r="O341" s="97">
        <f ca="1">_xll.meDateFromTenor(O340,"1D","FOLLOWING","TGT")</f>
        <v>42983</v>
      </c>
      <c r="P341" s="95">
        <f ca="1"/>
        <v>-2.9298840456978443E-5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-4.088134578765442E-3</v>
      </c>
      <c r="H342" s="92" t="s">
        <v>4</v>
      </c>
      <c r="I342" s="97">
        <f ca="1">_xll.meDateFromTenor(I341,"1D","FOLLOWING","TGT")</f>
        <v>42984</v>
      </c>
      <c r="J342" s="95">
        <f ca="1"/>
        <v>-3.0744200594461381E-3</v>
      </c>
      <c r="K342" s="5" t="s">
        <v>4</v>
      </c>
      <c r="L342" s="97">
        <f ca="1">_xll.meDateFromTenor(L341,"1D","FOLLOWING","TGT")</f>
        <v>42984</v>
      </c>
      <c r="M342" s="95">
        <f ca="1"/>
        <v>-2.3062863560754086E-3</v>
      </c>
      <c r="N342" s="5" t="s">
        <v>4</v>
      </c>
      <c r="O342" s="97">
        <f ca="1">_xll.meDateFromTenor(O341,"1D","FOLLOWING","TGT")</f>
        <v>42984</v>
      </c>
      <c r="P342" s="95">
        <f ca="1"/>
        <v>-2.7072511123605518E-5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-4.0880578188342859E-3</v>
      </c>
      <c r="H343" s="92" t="s">
        <v>4</v>
      </c>
      <c r="I343" s="97">
        <f ca="1">_xll.meDateFromTenor(I342,"1D","FOLLOWING","TGT")</f>
        <v>42985</v>
      </c>
      <c r="J343" s="95">
        <f ca="1"/>
        <v>-3.0745090464958913E-3</v>
      </c>
      <c r="K343" s="5" t="s">
        <v>4</v>
      </c>
      <c r="L343" s="97">
        <f ca="1">_xll.meDateFromTenor(L342,"1D","FOLLOWING","TGT")</f>
        <v>42985</v>
      </c>
      <c r="M343" s="95">
        <f ca="1"/>
        <v>-2.3025287972128759E-3</v>
      </c>
      <c r="N343" s="5" t="s">
        <v>4</v>
      </c>
      <c r="O343" s="97">
        <f ca="1">_xll.meDateFromTenor(O342,"1D","FOLLOWING","TGT")</f>
        <v>42985</v>
      </c>
      <c r="P343" s="95">
        <f ca="1"/>
        <v>-2.4836341347909822E-5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-4.0879694572158445E-3</v>
      </c>
      <c r="H344" s="92" t="s">
        <v>4</v>
      </c>
      <c r="I344" s="97">
        <f ca="1">_xll.meDateFromTenor(I343,"1D","FOLLOWING","TGT")</f>
        <v>42986</v>
      </c>
      <c r="J344" s="95">
        <f ca="1"/>
        <v>-3.0745980341802719E-3</v>
      </c>
      <c r="K344" s="5" t="s">
        <v>4</v>
      </c>
      <c r="L344" s="97">
        <f ca="1">_xll.meDateFromTenor(L343,"1D","FOLLOWING","TGT")</f>
        <v>42986</v>
      </c>
      <c r="M344" s="95">
        <f ca="1"/>
        <v>-2.2986460928929946E-3</v>
      </c>
      <c r="N344" s="5" t="s">
        <v>4</v>
      </c>
      <c r="O344" s="97">
        <f ca="1">_xll.meDateFromTenor(O343,"1D","FOLLOWING","TGT")</f>
        <v>42986</v>
      </c>
      <c r="P344" s="95">
        <f ca="1"/>
        <v>-2.25903441588102E-5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-4.0876338627685322E-3</v>
      </c>
      <c r="H345" s="92" t="s">
        <v>4</v>
      </c>
      <c r="I345" s="97">
        <f ca="1">_xll.meDateFromTenor(I344,"1D","FOLLOWING","TGT")</f>
        <v>42989</v>
      </c>
      <c r="J345" s="95">
        <f ca="1"/>
        <v>-3.0748652966569108E-3</v>
      </c>
      <c r="K345" s="5" t="s">
        <v>4</v>
      </c>
      <c r="L345" s="97">
        <f ca="1">_xll.meDateFromTenor(L344,"1D","FOLLOWING","TGT")</f>
        <v>42989</v>
      </c>
      <c r="M345" s="95">
        <f ca="1"/>
        <v>-2.286268742222459E-3</v>
      </c>
      <c r="N345" s="5" t="s">
        <v>4</v>
      </c>
      <c r="O345" s="97">
        <f ca="1">_xll.meDateFromTenor(O344,"1D","FOLLOWING","TGT")</f>
        <v>42989</v>
      </c>
      <c r="P345" s="95">
        <f ca="1"/>
        <v>-1.5793518400271538E-5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-4.0874981949326726E-3</v>
      </c>
      <c r="H346" s="92" t="s">
        <v>4</v>
      </c>
      <c r="I346" s="97">
        <f ca="1">_xll.meDateFromTenor(I345,"1D","FOLLOWING","TGT")</f>
        <v>42990</v>
      </c>
      <c r="J346" s="95">
        <f ca="1"/>
        <v>-3.0749535383210523E-3</v>
      </c>
      <c r="K346" s="5" t="s">
        <v>4</v>
      </c>
      <c r="L346" s="97">
        <f ca="1">_xll.meDateFromTenor(L345,"1D","FOLLOWING","TGT")</f>
        <v>42990</v>
      </c>
      <c r="M346" s="95">
        <f ca="1"/>
        <v>-2.2819070911063856E-3</v>
      </c>
      <c r="N346" s="5" t="s">
        <v>4</v>
      </c>
      <c r="O346" s="97">
        <f ca="1">_xll.meDateFromTenor(O345,"1D","FOLLOWING","TGT")</f>
        <v>42990</v>
      </c>
      <c r="P346" s="95">
        <f ca="1"/>
        <v>-1.350834184674047E-5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-4.0873504756753897E-3</v>
      </c>
      <c r="H347" s="92" t="s">
        <v>4</v>
      </c>
      <c r="I347" s="97">
        <f ca="1">_xll.meDateFromTenor(I346,"1D","FOLLOWING","TGT")</f>
        <v>42991</v>
      </c>
      <c r="J347" s="95">
        <f ca="1"/>
        <v>-3.0750434217374206E-3</v>
      </c>
      <c r="K347" s="5" t="s">
        <v>4</v>
      </c>
      <c r="L347" s="97">
        <f ca="1">_xll.meDateFromTenor(L346,"1D","FOLLOWING","TGT")</f>
        <v>42991</v>
      </c>
      <c r="M347" s="95">
        <f ca="1"/>
        <v>-2.2774311120495666E-3</v>
      </c>
      <c r="N347" s="5" t="s">
        <v>4</v>
      </c>
      <c r="O347" s="97">
        <f ca="1">_xll.meDateFromTenor(O346,"1D","FOLLOWING","TGT")</f>
        <v>42991</v>
      </c>
      <c r="P347" s="95">
        <f ca="1"/>
        <v>-1.121340302439805E-5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-4.0871906150498566E-3</v>
      </c>
      <c r="H348" s="92" t="s">
        <v>4</v>
      </c>
      <c r="I348" s="97">
        <f ca="1">_xll.meDateFromTenor(I347,"1D","FOLLOWING","TGT")</f>
        <v>42992</v>
      </c>
      <c r="J348" s="95">
        <f ca="1"/>
        <v>-3.0751355438491329E-3</v>
      </c>
      <c r="K348" s="5" t="s">
        <v>4</v>
      </c>
      <c r="L348" s="97">
        <f ca="1">_xll.meDateFromTenor(L347,"1D","FOLLOWING","TGT")</f>
        <v>42992</v>
      </c>
      <c r="M348" s="95">
        <f ca="1"/>
        <v>-2.2728429685553212E-3</v>
      </c>
      <c r="N348" s="5" t="s">
        <v>4</v>
      </c>
      <c r="O348" s="97">
        <f ca="1">_xll.meDateFromTenor(O347,"1D","FOLLOWING","TGT")</f>
        <v>42992</v>
      </c>
      <c r="P348" s="95">
        <f ca="1"/>
        <v>-8.9087149621623531E-6</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-4.0870185231092438E-3</v>
      </c>
      <c r="H349" s="92" t="s">
        <v>4</v>
      </c>
      <c r="I349" s="97">
        <f ca="1">_xll.meDateFromTenor(I348,"1D","FOLLOWING","TGT")</f>
        <v>42993</v>
      </c>
      <c r="J349" s="95">
        <f ca="1"/>
        <v>-3.0752215468179303E-3</v>
      </c>
      <c r="K349" s="5" t="s">
        <v>4</v>
      </c>
      <c r="L349" s="97">
        <f ca="1">_xll.meDateFromTenor(L348,"1D","FOLLOWING","TGT")</f>
        <v>42993</v>
      </c>
      <c r="M349" s="95">
        <f ca="1"/>
        <v>-2.2681448241269712E-3</v>
      </c>
      <c r="N349" s="5" t="s">
        <v>4</v>
      </c>
      <c r="O349" s="97">
        <f ca="1">_xll.meDateFromTenor(O348,"1D","FOLLOWING","TGT")</f>
        <v>42993</v>
      </c>
      <c r="P349" s="95">
        <f ca="1"/>
        <v>-6.5942906889523316E-6</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-4.0864279599286558E-3</v>
      </c>
      <c r="H350" s="92" t="s">
        <v>4</v>
      </c>
      <c r="I350" s="97">
        <f ca="1">_xll.meDateFromTenor(I349,"1D","FOLLOWING","TGT")</f>
        <v>42996</v>
      </c>
      <c r="J350" s="95">
        <f ca="1"/>
        <v>-3.0755313445061032E-3</v>
      </c>
      <c r="K350" s="5" t="s">
        <v>4</v>
      </c>
      <c r="L350" s="97">
        <f ca="1">_xll.meDateFromTenor(L349,"1D","FOLLOWING","TGT")</f>
        <v>42996</v>
      </c>
      <c r="M350" s="95">
        <f ca="1"/>
        <v>-2.2534120202704977E-3</v>
      </c>
      <c r="N350" s="5" t="s">
        <v>4</v>
      </c>
      <c r="O350" s="97">
        <f ca="1">_xll.meDateFromTenor(O349,"1D","FOLLOWING","TGT")</f>
        <v>42996</v>
      </c>
      <c r="P350" s="95">
        <f ca="1"/>
        <v>4.0726910734048116E-7</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-4.0862060432594518E-3</v>
      </c>
      <c r="H351" s="92" t="s">
        <v>4</v>
      </c>
      <c r="I351" s="97">
        <f ca="1">_xll.meDateFromTenor(I350,"1D","FOLLOWING","TGT")</f>
        <v>42997</v>
      </c>
      <c r="J351" s="95">
        <f ca="1"/>
        <v>-3.0755777969789498E-3</v>
      </c>
      <c r="K351" s="5" t="s">
        <v>4</v>
      </c>
      <c r="L351" s="97">
        <f ca="1">_xll.meDateFromTenor(L350,"1D","FOLLOWING","TGT")</f>
        <v>42997</v>
      </c>
      <c r="M351" s="95">
        <f ca="1"/>
        <v>-2.2482955071389341E-3</v>
      </c>
      <c r="N351" s="5" t="s">
        <v>4</v>
      </c>
      <c r="O351" s="97">
        <f ca="1">_xll.meDateFromTenor(O350,"1D","FOLLOWING","TGT")</f>
        <v>42997</v>
      </c>
      <c r="P351" s="95">
        <f ca="1"/>
        <v>2.7605079352636811E-6</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-4.085971445541031E-3</v>
      </c>
      <c r="H352" s="92" t="s">
        <v>4</v>
      </c>
      <c r="I352" s="97">
        <f ca="1">_xll.meDateFromTenor(I351,"1D","FOLLOWING","TGT")</f>
        <v>42998</v>
      </c>
      <c r="J352" s="95">
        <f ca="1"/>
        <v>-3.0756668595192044E-3</v>
      </c>
      <c r="K352" s="5" t="s">
        <v>4</v>
      </c>
      <c r="L352" s="97">
        <f ca="1">_xll.meDateFromTenor(L351,"1D","FOLLOWING","TGT")</f>
        <v>42998</v>
      </c>
      <c r="M352" s="95">
        <f ca="1"/>
        <v>-2.2430798105898685E-3</v>
      </c>
      <c r="N352" s="5" t="s">
        <v>4</v>
      </c>
      <c r="O352" s="97">
        <f ca="1">_xll.meDateFromTenor(O351,"1D","FOLLOWING","TGT")</f>
        <v>42998</v>
      </c>
      <c r="P352" s="95">
        <f ca="1"/>
        <v>5.1234178295690648E-6</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-4.0857240768265666E-3</v>
      </c>
      <c r="H353" s="92" t="s">
        <v>4</v>
      </c>
      <c r="I353" s="97">
        <f ca="1">_xll.meDateFromTenor(I352,"1D","FOLLOWING","TGT")</f>
        <v>42999</v>
      </c>
      <c r="J353" s="95">
        <f ca="1"/>
        <v>-3.0767699872918945E-3</v>
      </c>
      <c r="K353" s="5" t="s">
        <v>4</v>
      </c>
      <c r="L353" s="97">
        <f ca="1">_xll.meDateFromTenor(L352,"1D","FOLLOWING","TGT")</f>
        <v>42999</v>
      </c>
      <c r="M353" s="95">
        <f ca="1"/>
        <v>-2.2377670941266217E-3</v>
      </c>
      <c r="N353" s="5" t="s">
        <v>4</v>
      </c>
      <c r="O353" s="97">
        <f ca="1">_xll.meDateFromTenor(O352,"1D","FOLLOWING","TGT")</f>
        <v>42999</v>
      </c>
      <c r="P353" s="95">
        <f ca="1"/>
        <v>7.4959857613377868E-6</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-4.0854638471692298E-3</v>
      </c>
      <c r="H354" s="92" t="s">
        <v>4</v>
      </c>
      <c r="I354" s="97">
        <f ca="1">_xll.meDateFromTenor(I353,"1D","FOLLOWING","TGT")</f>
        <v>43000</v>
      </c>
      <c r="J354" s="95">
        <f ca="1"/>
        <v>-3.079101600526908E-3</v>
      </c>
      <c r="K354" s="5" t="s">
        <v>4</v>
      </c>
      <c r="L354" s="97">
        <f ca="1">_xll.meDateFromTenor(L353,"1D","FOLLOWING","TGT")</f>
        <v>43000</v>
      </c>
      <c r="M354" s="95">
        <f ca="1"/>
        <v>-2.232359521252514E-3</v>
      </c>
      <c r="N354" s="5" t="s">
        <v>4</v>
      </c>
      <c r="O354" s="97">
        <f ca="1">_xll.meDateFromTenor(O353,"1D","FOLLOWING","TGT")</f>
        <v>43000</v>
      </c>
      <c r="P354" s="95">
        <f ca="1"/>
        <v>9.8781987016517334E-6</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-4.0846050930717125E-3</v>
      </c>
      <c r="H355" s="92" t="s">
        <v>4</v>
      </c>
      <c r="I355" s="97">
        <f ca="1">_xll.meDateFromTenor(I354,"1D","FOLLOWING","TGT")</f>
        <v>43003</v>
      </c>
      <c r="J355" s="95">
        <f ca="1"/>
        <v>-3.0930303788358599E-3</v>
      </c>
      <c r="K355" s="5" t="s">
        <v>4</v>
      </c>
      <c r="L355" s="97">
        <f ca="1">_xll.meDateFromTenor(L354,"1D","FOLLOWING","TGT")</f>
        <v>43003</v>
      </c>
      <c r="M355" s="95">
        <f ca="1"/>
        <v>-2.2155892991982343E-3</v>
      </c>
      <c r="N355" s="5" t="s">
        <v>4</v>
      </c>
      <c r="O355" s="97">
        <f ca="1">_xll.meDateFromTenor(O354,"1D","FOLLOWING","TGT")</f>
        <v>43003</v>
      </c>
      <c r="P355" s="95">
        <f ca="1"/>
        <v>1.7082577284678444E-5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-4.0842925201746124E-3</v>
      </c>
      <c r="H356" s="92" t="s">
        <v>4</v>
      </c>
      <c r="I356" s="97">
        <f ca="1">_xll.meDateFromTenor(I355,"1D","FOLLOWING","TGT")</f>
        <v>43004</v>
      </c>
      <c r="J356" s="95">
        <f ca="1"/>
        <v>-3.0998389597501372E-3</v>
      </c>
      <c r="K356" s="5" t="s">
        <v>4</v>
      </c>
      <c r="L356" s="97">
        <f ca="1">_xll.meDateFromTenor(L355,"1D","FOLLOWING","TGT")</f>
        <v>43004</v>
      </c>
      <c r="M356" s="95">
        <f ca="1"/>
        <v>-2.209823935713891E-3</v>
      </c>
      <c r="N356" s="5" t="s">
        <v>4</v>
      </c>
      <c r="O356" s="97">
        <f ca="1">_xll.meDateFromTenor(O355,"1D","FOLLOWING","TGT")</f>
        <v>43004</v>
      </c>
      <c r="P356" s="95">
        <f ca="1"/>
        <v>1.950323996998722E-5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-4.0839666366005029E-3</v>
      </c>
      <c r="H357" s="92" t="s">
        <v>4</v>
      </c>
      <c r="I357" s="97">
        <f ca="1">_xll.meDateFromTenor(I356,"1D","FOLLOWING","TGT")</f>
        <v>43005</v>
      </c>
      <c r="J357" s="95">
        <f ca="1"/>
        <v>-3.1076575390417242E-3</v>
      </c>
      <c r="K357" s="5" t="s">
        <v>4</v>
      </c>
      <c r="L357" s="97">
        <f ca="1">_xll.meDateFromTenor(L356,"1D","FOLLOWING","TGT")</f>
        <v>43005</v>
      </c>
      <c r="M357" s="95">
        <f ca="1"/>
        <v>-2.2039745333352896E-3</v>
      </c>
      <c r="N357" s="5" t="s">
        <v>4</v>
      </c>
      <c r="O357" s="97">
        <f ca="1">_xll.meDateFromTenor(O356,"1D","FOLLOWING","TGT")</f>
        <v>43005</v>
      </c>
      <c r="P357" s="95">
        <f ca="1"/>
        <v>2.1933482519248646E-5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-4.0836273524025553E-3</v>
      </c>
      <c r="H358" s="92" t="s">
        <v>4</v>
      </c>
      <c r="I358" s="97">
        <f ca="1">_xll.meDateFromTenor(I357,"1D","FOLLOWING","TGT")</f>
        <v>43006</v>
      </c>
      <c r="J358" s="95">
        <f ca="1"/>
        <v>-3.1164424192936151E-3</v>
      </c>
      <c r="K358" s="5" t="s">
        <v>4</v>
      </c>
      <c r="L358" s="97">
        <f ca="1">_xll.meDateFromTenor(L357,"1D","FOLLOWING","TGT")</f>
        <v>43006</v>
      </c>
      <c r="M358" s="95">
        <f ca="1"/>
        <v>-2.1980432555657519E-3</v>
      </c>
      <c r="N358" s="5" t="s">
        <v>4</v>
      </c>
      <c r="O358" s="97">
        <f ca="1">_xll.meDateFromTenor(O357,"1D","FOLLOWING","TGT")</f>
        <v>43006</v>
      </c>
      <c r="P358" s="95">
        <f ca="1"/>
        <v>2.4373291903543822E-5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-4.083274577633942E-3</v>
      </c>
      <c r="H359" s="92" t="s">
        <v>4</v>
      </c>
      <c r="I359" s="97">
        <f ca="1">_xll.meDateFromTenor(I358,"1D","FOLLOWING","TGT")</f>
        <v>43007</v>
      </c>
      <c r="J359" s="95">
        <f ca="1"/>
        <v>-3.1261499030888098E-3</v>
      </c>
      <c r="K359" s="5" t="s">
        <v>4</v>
      </c>
      <c r="L359" s="97">
        <f ca="1">_xll.meDateFromTenor(L358,"1D","FOLLOWING","TGT")</f>
        <v>43007</v>
      </c>
      <c r="M359" s="95">
        <f ca="1"/>
        <v>-2.1920322659085977E-3</v>
      </c>
      <c r="N359" s="5" t="s">
        <v>4</v>
      </c>
      <c r="O359" s="97">
        <f ca="1">_xll.meDateFromTenor(O358,"1D","FOLLOWING","TGT")</f>
        <v>43007</v>
      </c>
      <c r="P359" s="95">
        <f ca="1"/>
        <v>2.6822655093954745E-5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-4.0821344104358375E-3</v>
      </c>
      <c r="H360" s="92" t="s">
        <v>4</v>
      </c>
      <c r="I360" s="97">
        <f ca="1">_xll.meDateFromTenor(I359,"1D","FOLLOWING","TGT")</f>
        <v>43010</v>
      </c>
      <c r="J360" s="95">
        <f ca="1"/>
        <v>-3.1603710015641801E-3</v>
      </c>
      <c r="K360" s="5" t="s">
        <v>4</v>
      </c>
      <c r="L360" s="97">
        <f ca="1">_xll.meDateFromTenor(L359,"1D","FOLLOWING","TGT")</f>
        <v>43010</v>
      </c>
      <c r="M360" s="95">
        <f ca="1"/>
        <v>-2.1735426606446441E-3</v>
      </c>
      <c r="N360" s="5" t="s">
        <v>4</v>
      </c>
      <c r="O360" s="97">
        <f ca="1">_xll.meDateFromTenor(O359,"1D","FOLLOWING","TGT")</f>
        <v>43010</v>
      </c>
      <c r="P360" s="95">
        <f ca="1"/>
        <v>3.4227937212695048E-5</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-4.0817268324669816E-3</v>
      </c>
      <c r="H361" s="92" t="s">
        <v>4</v>
      </c>
      <c r="I361" s="97">
        <f ca="1">_xll.meDateFromTenor(I360,"1D","FOLLOWING","TGT")</f>
        <v>43011</v>
      </c>
      <c r="J361" s="95">
        <f ca="1"/>
        <v>-3.173331925362555E-3</v>
      </c>
      <c r="K361" s="5" t="s">
        <v>4</v>
      </c>
      <c r="L361" s="97">
        <f ca="1">_xll.meDateFromTenor(L360,"1D","FOLLOWING","TGT")</f>
        <v>43011</v>
      </c>
      <c r="M361" s="95">
        <f ca="1"/>
        <v>-2.1672344584702319E-3</v>
      </c>
      <c r="N361" s="5" t="s">
        <v>4</v>
      </c>
      <c r="O361" s="97">
        <f ca="1">_xll.meDateFromTenor(O360,"1D","FOLLOWING","TGT")</f>
        <v>43011</v>
      </c>
      <c r="P361" s="95">
        <f ca="1"/>
        <v>3.6715385338382584E-5</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-4.0813056654974778E-3</v>
      </c>
      <c r="H362" s="92" t="s">
        <v>4</v>
      </c>
      <c r="I362" s="97">
        <f ca="1">_xll.meDateFromTenor(I361,"1D","FOLLOWING","TGT")</f>
        <v>43012</v>
      </c>
      <c r="J362" s="95">
        <f ca="1"/>
        <v>-3.1869969656192179E-3</v>
      </c>
      <c r="K362" s="5" t="s">
        <v>4</v>
      </c>
      <c r="L362" s="97">
        <f ca="1">_xll.meDateFromTenor(L361,"1D","FOLLOWING","TGT")</f>
        <v>43012</v>
      </c>
      <c r="M362" s="95">
        <f ca="1"/>
        <v>-2.1608573619248056E-3</v>
      </c>
      <c r="N362" s="5" t="s">
        <v>4</v>
      </c>
      <c r="O362" s="97">
        <f ca="1">_xll.meDateFromTenor(O361,"1D","FOLLOWING","TGT")</f>
        <v>43012</v>
      </c>
      <c r="P362" s="95">
        <f ca="1"/>
        <v>3.9212322125593266E-5</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-4.0808711708846535E-3</v>
      </c>
      <c r="H363" s="92" t="s">
        <v>4</v>
      </c>
      <c r="I363" s="97">
        <f ca="1">_xll.meDateFromTenor(I362,"1D","FOLLOWING","TGT")</f>
        <v>43013</v>
      </c>
      <c r="J363" s="95">
        <f ca="1"/>
        <v>-3.2013224249171665E-3</v>
      </c>
      <c r="K363" s="5" t="s">
        <v>4</v>
      </c>
      <c r="L363" s="97">
        <f ca="1">_xll.meDateFromTenor(L362,"1D","FOLLOWING","TGT")</f>
        <v>43013</v>
      </c>
      <c r="M363" s="95">
        <f ca="1"/>
        <v>-2.1544135345116879E-3</v>
      </c>
      <c r="N363" s="5" t="s">
        <v>4</v>
      </c>
      <c r="O363" s="97">
        <f ca="1">_xll.meDateFromTenor(O362,"1D","FOLLOWING","TGT")</f>
        <v>43013</v>
      </c>
      <c r="P363" s="95">
        <f ca="1"/>
        <v>4.1718734545408219E-5</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-4.0804236099858376E-3</v>
      </c>
      <c r="H364" s="92" t="s">
        <v>4</v>
      </c>
      <c r="I364" s="97">
        <f ca="1">_xll.meDateFromTenor(I363,"1D","FOLLOWING","TGT")</f>
        <v>43014</v>
      </c>
      <c r="J364" s="95">
        <f ca="1"/>
        <v>-3.2162646058393964E-3</v>
      </c>
      <c r="K364" s="5" t="s">
        <v>4</v>
      </c>
      <c r="L364" s="97">
        <f ca="1">_xll.meDateFromTenor(L363,"1D","FOLLOWING","TGT")</f>
        <v>43014</v>
      </c>
      <c r="M364" s="95">
        <f ca="1"/>
        <v>-2.1479051397341976E-3</v>
      </c>
      <c r="N364" s="5" t="s">
        <v>4</v>
      </c>
      <c r="O364" s="97">
        <f ca="1">_xll.meDateFromTenor(O363,"1D","FOLLOWING","TGT")</f>
        <v>43014</v>
      </c>
      <c r="P364" s="95">
        <f ca="1"/>
        <v>4.423460956890933E-5</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-4.0790051431467125E-3</v>
      </c>
      <c r="H365" s="92" t="s">
        <v>4</v>
      </c>
      <c r="I365" s="97">
        <f ca="1">_xll.meDateFromTenor(I364,"1D","FOLLOWING","TGT")</f>
        <v>43017</v>
      </c>
      <c r="J365" s="95">
        <f ca="1"/>
        <v>-3.264354504181746E-3</v>
      </c>
      <c r="K365" s="5" t="s">
        <v>4</v>
      </c>
      <c r="L365" s="97">
        <f ca="1">_xll.meDateFromTenor(L364,"1D","FOLLOWING","TGT")</f>
        <v>43017</v>
      </c>
      <c r="M365" s="95">
        <f ca="1"/>
        <v>-2.1280141862487036E-3</v>
      </c>
      <c r="N365" s="5" t="s">
        <v>4</v>
      </c>
      <c r="O365" s="97">
        <f ca="1">_xll.meDateFromTenor(O364,"1D","FOLLOWING","TGT")</f>
        <v>43017</v>
      </c>
      <c r="P365" s="95">
        <f ca="1"/>
        <v>5.1838879972342702E-5</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-4.0785079306772049E-3</v>
      </c>
      <c r="H366" s="92" t="s">
        <v>4</v>
      </c>
      <c r="I366" s="97">
        <f ca="1">_xll.meDateFromTenor(I365,"1D","FOLLOWING","TGT")</f>
        <v>43018</v>
      </c>
      <c r="J366" s="95">
        <f ca="1"/>
        <v>-3.281326597431074E-3</v>
      </c>
      <c r="K366" s="5" t="s">
        <v>4</v>
      </c>
      <c r="L366" s="97">
        <f ca="1">_xll.meDateFromTenor(L365,"1D","FOLLOWING","TGT")</f>
        <v>43018</v>
      </c>
      <c r="M366" s="95">
        <f ca="1"/>
        <v>-2.1212691570469322E-3</v>
      </c>
      <c r="N366" s="5" t="s">
        <v>4</v>
      </c>
      <c r="O366" s="97">
        <f ca="1">_xll.meDateFromTenor(O365,"1D","FOLLOWING","TGT")</f>
        <v>43018</v>
      </c>
      <c r="P366" s="95">
        <f ca="1"/>
        <v>5.4392475121402511E-5</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-4.0779989587083438E-3</v>
      </c>
      <c r="H367" s="92" t="s">
        <v>4</v>
      </c>
      <c r="I367" s="97">
        <f ca="1">_xll.meDateFromTenor(I366,"1D","FOLLOWING","TGT")</f>
        <v>43019</v>
      </c>
      <c r="J367" s="95">
        <f ca="1"/>
        <v>-3.2986969252196681E-3</v>
      </c>
      <c r="K367" s="5" t="s">
        <v>4</v>
      </c>
      <c r="L367" s="97">
        <f ca="1">_xll.meDateFromTenor(L366,"1D","FOLLOWING","TGT")</f>
        <v>43019</v>
      </c>
      <c r="M367" s="95">
        <f ca="1"/>
        <v>-2.1144703779973932E-3</v>
      </c>
      <c r="N367" s="5" t="s">
        <v>4</v>
      </c>
      <c r="O367" s="97">
        <f ca="1">_xll.meDateFromTenor(O366,"1D","FOLLOWING","TGT")</f>
        <v>43019</v>
      </c>
      <c r="P367" s="95">
        <f ca="1"/>
        <v>5.6955467729555498E-5</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-4.0774784885974566E-3</v>
      </c>
      <c r="H368" s="92" t="s">
        <v>4</v>
      </c>
      <c r="I368" s="97">
        <f ca="1">_xll.meDateFromTenor(I367,"1D","FOLLOWING","TGT")</f>
        <v>43020</v>
      </c>
      <c r="J368" s="95">
        <f ca="1"/>
        <v>-3.3164217901305269E-3</v>
      </c>
      <c r="K368" s="5" t="s">
        <v>4</v>
      </c>
      <c r="L368" s="97">
        <f ca="1">_xll.meDateFromTenor(L367,"1D","FOLLOWING","TGT")</f>
        <v>43020</v>
      </c>
      <c r="M368" s="95">
        <f ca="1"/>
        <v>-2.107620012603405E-3</v>
      </c>
      <c r="N368" s="5" t="s">
        <v>4</v>
      </c>
      <c r="O368" s="97">
        <f ca="1">_xll.meDateFromTenor(O367,"1D","FOLLOWING","TGT")</f>
        <v>43020</v>
      </c>
      <c r="P368" s="95">
        <f ca="1"/>
        <v>5.9527844767883603E-5</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-4.0769467817018713E-3</v>
      </c>
      <c r="H369" s="92" t="s">
        <v>4</v>
      </c>
      <c r="I369" s="97">
        <f ca="1">_xll.meDateFromTenor(I368,"1D","FOLLOWING","TGT")</f>
        <v>43021</v>
      </c>
      <c r="J369" s="95">
        <f ca="1"/>
        <v>-3.334457494746648E-3</v>
      </c>
      <c r="K369" s="5" t="s">
        <v>4</v>
      </c>
      <c r="L369" s="97">
        <f ca="1">_xll.meDateFromTenor(L368,"1D","FOLLOWING","TGT")</f>
        <v>43021</v>
      </c>
      <c r="M369" s="95">
        <f ca="1"/>
        <v>-2.1007202243682895E-3</v>
      </c>
      <c r="N369" s="5" t="s">
        <v>4</v>
      </c>
      <c r="O369" s="97">
        <f ca="1">_xll.meDateFromTenor(O368,"1D","FOLLOWING","TGT")</f>
        <v>43021</v>
      </c>
      <c r="P369" s="95">
        <f ca="1"/>
        <v>6.2109593207468117E-5</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-4.0752868538802044E-3</v>
      </c>
      <c r="H370" s="92" t="s">
        <v>4</v>
      </c>
      <c r="I370" s="97">
        <f ca="1">_xll.meDateFromTenor(I369,"1D","FOLLOWING","TGT")</f>
        <v>43024</v>
      </c>
      <c r="J370" s="95">
        <f ca="1"/>
        <v>-3.3899926726565421E-3</v>
      </c>
      <c r="K370" s="5" t="s">
        <v>4</v>
      </c>
      <c r="L370" s="97">
        <f ca="1">_xll.meDateFromTenor(L369,"1D","FOLLOWING","TGT")</f>
        <v>43024</v>
      </c>
      <c r="M370" s="95">
        <f ca="1"/>
        <v>-2.0797459576493865E-3</v>
      </c>
      <c r="N370" s="5" t="s">
        <v>4</v>
      </c>
      <c r="O370" s="97">
        <f ca="1">_xll.meDateFromTenor(O369,"1D","FOLLOWING","TGT")</f>
        <v>43024</v>
      </c>
      <c r="P370" s="95">
        <f ca="1"/>
        <v>6.9910936644574577E-5</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-4.0747128134191032E-3</v>
      </c>
      <c r="H371" s="92" t="s">
        <v>4</v>
      </c>
      <c r="I371" s="97">
        <f ca="1">_xll.meDateFromTenor(I370,"1D","FOLLOWING","TGT")</f>
        <v>43025</v>
      </c>
      <c r="J371" s="95">
        <f ca="1"/>
        <v>-3.4088347619236773E-3</v>
      </c>
      <c r="K371" s="5" t="s">
        <v>4</v>
      </c>
      <c r="L371" s="97">
        <f ca="1">_xll.meDateFromTenor(L370,"1D","FOLLOWING","TGT")</f>
        <v>43025</v>
      </c>
      <c r="M371" s="95">
        <f ca="1"/>
        <v>-2.0726701130829679E-3</v>
      </c>
      <c r="N371" s="5" t="s">
        <v>4</v>
      </c>
      <c r="O371" s="97">
        <f ca="1">_xll.meDateFromTenor(O370,"1D","FOLLOWING","TGT")</f>
        <v>43025</v>
      </c>
      <c r="P371" s="95">
        <f ca="1"/>
        <v>7.253004039999971E-5</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-4.0741288429599438E-3</v>
      </c>
      <c r="H372" s="92" t="s">
        <v>4</v>
      </c>
      <c r="I372" s="97">
        <f ca="1">_xll.meDateFromTenor(I371,"1D","FOLLOWING","TGT")</f>
        <v>43026</v>
      </c>
      <c r="J372" s="95">
        <f ca="1"/>
        <v>-3.4277692038110568E-3</v>
      </c>
      <c r="K372" s="5" t="s">
        <v>4</v>
      </c>
      <c r="L372" s="97">
        <f ca="1">_xll.meDateFromTenor(L371,"1D","FOLLOWING","TGT")</f>
        <v>43026</v>
      </c>
      <c r="M372" s="95">
        <f ca="1"/>
        <v>-2.0655556631920249E-3</v>
      </c>
      <c r="N372" s="5" t="s">
        <v>4</v>
      </c>
      <c r="O372" s="97">
        <f ca="1">_xll.meDateFromTenor(O371,"1D","FOLLOWING","TGT")</f>
        <v>43026</v>
      </c>
      <c r="P372" s="95">
        <f ca="1"/>
        <v>7.5158450412088433E-5</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-4.0735352038600526E-3</v>
      </c>
      <c r="H373" s="92" t="s">
        <v>4</v>
      </c>
      <c r="I373" s="97">
        <f ca="1">_xll.meDateFromTenor(I372,"1D","FOLLOWING","TGT")</f>
        <v>43027</v>
      </c>
      <c r="J373" s="95">
        <f ca="1"/>
        <v>-3.4467523009016812E-3</v>
      </c>
      <c r="K373" s="5" t="s">
        <v>4</v>
      </c>
      <c r="L373" s="97">
        <f ca="1">_xll.meDateFromTenor(L372,"1D","FOLLOWING","TGT")</f>
        <v>43027</v>
      </c>
      <c r="M373" s="95">
        <f ca="1"/>
        <v>-2.0584047714798789E-3</v>
      </c>
      <c r="N373" s="5" t="s">
        <v>4</v>
      </c>
      <c r="O373" s="97">
        <f ca="1">_xll.meDateFromTenor(O372,"1D","FOLLOWING","TGT")</f>
        <v>43027</v>
      </c>
      <c r="P373" s="95">
        <f ca="1"/>
        <v>7.779615365192274E-5</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-4.0729321574767569E-3</v>
      </c>
      <c r="H374" s="92" t="s">
        <v>4</v>
      </c>
      <c r="I374" s="97">
        <f ca="1">_xll.meDateFromTenor(I373,"1D","FOLLOWING","TGT")</f>
        <v>43028</v>
      </c>
      <c r="J374" s="95">
        <f ca="1"/>
        <v>-3.4657403557785439E-3</v>
      </c>
      <c r="K374" s="5" t="s">
        <v>4</v>
      </c>
      <c r="L374" s="97">
        <f ca="1">_xll.meDateFromTenor(L373,"1D","FOLLOWING","TGT")</f>
        <v>43028</v>
      </c>
      <c r="M374" s="95">
        <f ca="1"/>
        <v>-2.0512196014498495E-3</v>
      </c>
      <c r="N374" s="5" t="s">
        <v>4</v>
      </c>
      <c r="O374" s="97">
        <f ca="1">_xll.meDateFromTenor(O373,"1D","FOLLOWING","TGT")</f>
        <v>43028</v>
      </c>
      <c r="P374" s="95">
        <f ca="1"/>
        <v>8.0443137090583733E-5</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-4.0710691881997241E-3</v>
      </c>
      <c r="H375" s="92" t="s">
        <v>4</v>
      </c>
      <c r="I375" s="97">
        <f ca="1">_xll.meDateFromTenor(I374,"1D","FOLLOWING","TGT")</f>
        <v>43031</v>
      </c>
      <c r="J375" s="95">
        <f ca="1"/>
        <v>-3.5222972929565485E-3</v>
      </c>
      <c r="K375" s="5" t="s">
        <v>4</v>
      </c>
      <c r="L375" s="97">
        <f ca="1">_xll.meDateFromTenor(L374,"1D","FOLLOWING","TGT")</f>
        <v>43031</v>
      </c>
      <c r="M375" s="95">
        <f ca="1"/>
        <v>-2.0294800564856692E-3</v>
      </c>
      <c r="N375" s="5" t="s">
        <v>4</v>
      </c>
      <c r="O375" s="97">
        <f ca="1">_xll.meDateFromTenor(O374,"1D","FOLLOWING","TGT")</f>
        <v>43031</v>
      </c>
      <c r="P375" s="95">
        <f ca="1"/>
        <v>8.8439638310343246E-5</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-4.07043112625609E-3</v>
      </c>
      <c r="H376" s="92" t="s">
        <v>4</v>
      </c>
      <c r="I376" s="97">
        <f ca="1">_xll.meDateFromTenor(I375,"1D","FOLLOWING","TGT")</f>
        <v>43032</v>
      </c>
      <c r="J376" s="95">
        <f ca="1"/>
        <v>-3.5408682048083447E-3</v>
      </c>
      <c r="K376" s="5" t="s">
        <v>4</v>
      </c>
      <c r="L376" s="97">
        <f ca="1">_xll.meDateFromTenor(L375,"1D","FOLLOWING","TGT")</f>
        <v>43032</v>
      </c>
      <c r="M376" s="95">
        <f ca="1"/>
        <v>-2.0221794082173139E-3</v>
      </c>
      <c r="N376" s="5" t="s">
        <v>4</v>
      </c>
      <c r="O376" s="97">
        <f ca="1">_xll.meDateFromTenor(O375,"1D","FOLLOWING","TGT")</f>
        <v>43032</v>
      </c>
      <c r="P376" s="95">
        <f ca="1"/>
        <v>9.1123612255126834E-5</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-4.0697849638156912E-3</v>
      </c>
      <c r="H377" s="92" t="s">
        <v>4</v>
      </c>
      <c r="I377" s="97">
        <f ca="1">_xll.meDateFromTenor(I376,"1D","FOLLOWING","TGT")</f>
        <v>43033</v>
      </c>
      <c r="J377" s="95">
        <f ca="1"/>
        <v>-3.5592255873613649E-3</v>
      </c>
      <c r="K377" s="5" t="s">
        <v>4</v>
      </c>
      <c r="L377" s="97">
        <f ca="1">_xll.meDateFromTenor(L376,"1D","FOLLOWING","TGT")</f>
        <v>43033</v>
      </c>
      <c r="M377" s="95">
        <f ca="1"/>
        <v>-2.0148552991476787E-3</v>
      </c>
      <c r="N377" s="5" t="s">
        <v>4</v>
      </c>
      <c r="O377" s="97">
        <f ca="1">_xll.meDateFromTenor(O376,"1D","FOLLOWING","TGT")</f>
        <v>43033</v>
      </c>
      <c r="P377" s="95">
        <f ca="1"/>
        <v>9.3816801254144533E-5</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-4.0691309622358524E-3</v>
      </c>
      <c r="H378" s="92" t="s">
        <v>4</v>
      </c>
      <c r="I378" s="97">
        <f ca="1">_xll.meDateFromTenor(I377,"1D","FOLLOWING","TGT")</f>
        <v>43034</v>
      </c>
      <c r="J378" s="95">
        <f ca="1"/>
        <v>-3.5773257431986087E-3</v>
      </c>
      <c r="K378" s="5" t="s">
        <v>4</v>
      </c>
      <c r="L378" s="97">
        <f ca="1">_xll.meDateFromTenor(L377,"1D","FOLLOWING","TGT")</f>
        <v>43034</v>
      </c>
      <c r="M378" s="95">
        <f ca="1"/>
        <v>-2.0075098927800844E-3</v>
      </c>
      <c r="N378" s="5" t="s">
        <v>4</v>
      </c>
      <c r="O378" s="97">
        <f ca="1">_xll.meDateFromTenor(O377,"1D","FOLLOWING","TGT")</f>
        <v>43034</v>
      </c>
      <c r="P378" s="95">
        <f ca="1"/>
        <v>9.6519192278478311E-5</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-4.068469382873907E-3</v>
      </c>
      <c r="H379" s="92" t="s">
        <v>4</v>
      </c>
      <c r="I379" s="97">
        <f ca="1">_xll.meDateFromTenor(I378,"1D","FOLLOWING","TGT")</f>
        <v>43035</v>
      </c>
      <c r="J379" s="95">
        <f ca="1"/>
        <v>-3.5951249749030709E-3</v>
      </c>
      <c r="K379" s="5" t="s">
        <v>4</v>
      </c>
      <c r="L379" s="97">
        <f ca="1">_xll.meDateFromTenor(L378,"1D","FOLLOWING","TGT")</f>
        <v>43035</v>
      </c>
      <c r="M379" s="95">
        <f ca="1"/>
        <v>-2.0001453526178521E-3</v>
      </c>
      <c r="N379" s="5" t="s">
        <v>4</v>
      </c>
      <c r="O379" s="97">
        <f ca="1">_xll.meDateFromTenor(O378,"1D","FOLLOWING","TGT")</f>
        <v>43035</v>
      </c>
      <c r="P379" s="95">
        <f ca="1"/>
        <v>9.9230772299209187E-5</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-4.0664417916686842E-3</v>
      </c>
      <c r="H380" s="92" t="s">
        <v>4</v>
      </c>
      <c r="I380" s="97">
        <f ca="1">_xll.meDateFromTenor(I379,"1D","FOLLOWING","TGT")</f>
        <v>43038</v>
      </c>
      <c r="J380" s="95">
        <f ca="1"/>
        <v>-3.6462801510497469E-3</v>
      </c>
      <c r="K380" s="5" t="s">
        <v>4</v>
      </c>
      <c r="L380" s="97">
        <f ca="1">_xll.meDateFromTenor(L379,"1D","FOLLOWING","TGT")</f>
        <v>43038</v>
      </c>
      <c r="M380" s="95">
        <f ca="1"/>
        <v>-1.9779585643965275E-3</v>
      </c>
      <c r="N380" s="5" t="s">
        <v>4</v>
      </c>
      <c r="O380" s="97">
        <f ca="1">_xll.meDateFromTenor(O379,"1D","FOLLOWING","TGT")</f>
        <v>43038</v>
      </c>
      <c r="P380" s="95">
        <f ca="1"/>
        <v>1.0742051605060126E-4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-4.0657525147515762E-3</v>
      </c>
      <c r="H381" s="92" t="s">
        <v>4</v>
      </c>
      <c r="I381" s="97">
        <f ca="1">_xll.meDateFromTenor(I380,"1D","FOLLOWING","TGT")</f>
        <v>43039</v>
      </c>
      <c r="J381" s="95">
        <f ca="1"/>
        <v>-3.6624387120530576E-3</v>
      </c>
      <c r="K381" s="5" t="s">
        <v>4</v>
      </c>
      <c r="L381" s="97">
        <f ca="1">_xll.meDateFromTenor(L380,"1D","FOLLOWING","TGT")</f>
        <v>43039</v>
      </c>
      <c r="M381" s="95">
        <f ca="1"/>
        <v>-1.9705391240889465E-3</v>
      </c>
      <c r="N381" s="5" t="s">
        <v>4</v>
      </c>
      <c r="O381" s="97">
        <f ca="1">_xll.meDateFromTenor(O380,"1D","FOLLOWING","TGT")</f>
        <v>43039</v>
      </c>
      <c r="P381" s="95">
        <f ca="1"/>
        <v>1.1016872176773638E-4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-4.0650569668389952E-3</v>
      </c>
      <c r="H382" s="92" t="s">
        <v>4</v>
      </c>
      <c r="I382" s="97">
        <f ca="1">_xll.meDateFromTenor(I381,"1D","FOLLOWING","TGT")</f>
        <v>43040</v>
      </c>
      <c r="J382" s="95">
        <f ca="1"/>
        <v>-3.6780778618385741E-3</v>
      </c>
      <c r="K382" s="5" t="s">
        <v>4</v>
      </c>
      <c r="L382" s="97">
        <f ca="1">_xll.meDateFromTenor(L381,"1D","FOLLOWING","TGT")</f>
        <v>43040</v>
      </c>
      <c r="M382" s="95">
        <f ca="1"/>
        <v>-1.9631113675033294E-3</v>
      </c>
      <c r="N382" s="5" t="s">
        <v>4</v>
      </c>
      <c r="O382" s="97">
        <f ca="1">_xll.meDateFromTenor(O381,"1D","FOLLOWING","TGT")</f>
        <v>43040</v>
      </c>
      <c r="P382" s="95">
        <f ca="1"/>
        <v>1.1292605133667656E-4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-4.0643554092882721E-3</v>
      </c>
      <c r="H383" s="92" t="s">
        <v>4</v>
      </c>
      <c r="I383" s="97">
        <f ca="1">_xll.meDateFromTenor(I382,"1D","FOLLOWING","TGT")</f>
        <v>43041</v>
      </c>
      <c r="J383" s="95">
        <f ca="1"/>
        <v>-3.6931539029892921E-3</v>
      </c>
      <c r="K383" s="5" t="s">
        <v>4</v>
      </c>
      <c r="L383" s="97">
        <f ca="1">_xll.meDateFromTenor(L382,"1D","FOLLOWING","TGT")</f>
        <v>43041</v>
      </c>
      <c r="M383" s="95">
        <f ca="1"/>
        <v>-1.9556774581429978E-3</v>
      </c>
      <c r="N383" s="5" t="s">
        <v>4</v>
      </c>
      <c r="O383" s="97">
        <f ca="1">_xll.meDateFromTenor(O382,"1D","FOLLOWING","TGT")</f>
        <v>43041</v>
      </c>
      <c r="P383" s="95">
        <f ca="1"/>
        <v>1.1569249172850308E-4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-4.0636479776282163E-3</v>
      </c>
      <c r="H384" s="92" t="s">
        <v>4</v>
      </c>
      <c r="I384" s="97">
        <f ca="1">_xll.meDateFromTenor(I383,"1D","FOLLOWING","TGT")</f>
        <v>43042</v>
      </c>
      <c r="J384" s="95">
        <f ca="1"/>
        <v>-3.7076231380882073E-3</v>
      </c>
      <c r="K384" s="5" t="s">
        <v>4</v>
      </c>
      <c r="L384" s="97">
        <f ca="1">_xll.meDateFromTenor(L383,"1D","FOLLOWING","TGT")</f>
        <v>43042</v>
      </c>
      <c r="M384" s="95">
        <f ca="1"/>
        <v>-1.9482395595112724E-3</v>
      </c>
      <c r="N384" s="5" t="s">
        <v>4</v>
      </c>
      <c r="O384" s="97">
        <f ca="1">_xll.meDateFromTenor(O383,"1D","FOLLOWING","TGT")</f>
        <v>43042</v>
      </c>
      <c r="P384" s="95">
        <f ca="1"/>
        <v>1.1846802991429708E-4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-4.0614862568253886E-3</v>
      </c>
      <c r="H385" s="92" t="s">
        <v>4</v>
      </c>
      <c r="I385" s="97">
        <f ca="1">_xll.meDateFromTenor(I384,"1D","FOLLOWING","TGT")</f>
        <v>43045</v>
      </c>
      <c r="J385" s="95">
        <f ca="1"/>
        <v>-3.746953032904119E-3</v>
      </c>
      <c r="K385" s="5" t="s">
        <v>4</v>
      </c>
      <c r="L385" s="97">
        <f ca="1">_xll.meDateFromTenor(L384,"1D","FOLLOWING","TGT")</f>
        <v>43045</v>
      </c>
      <c r="M385" s="95">
        <f ca="1"/>
        <v>-1.925923563020936E-3</v>
      </c>
      <c r="N385" s="5" t="s">
        <v>4</v>
      </c>
      <c r="O385" s="97">
        <f ca="1">_xll.meDateFromTenor(O384,"1D","FOLLOWING","TGT")</f>
        <v>43045</v>
      </c>
      <c r="P385" s="95">
        <f ca="1"/>
        <v>1.2684910094630137E-4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-4.0607508959043075E-3</v>
      </c>
      <c r="H386" s="92" t="s">
        <v>4</v>
      </c>
      <c r="I386" s="97">
        <f ca="1">_xll.meDateFromTenor(I385,"1D","FOLLOWING","TGT")</f>
        <v>43046</v>
      </c>
      <c r="J386" s="95">
        <f ca="1"/>
        <v>-3.7585580696257999E-3</v>
      </c>
      <c r="K386" s="5" t="s">
        <v>4</v>
      </c>
      <c r="L386" s="97">
        <f ca="1">_xll.meDateFromTenor(L385,"1D","FOLLOWING","TGT")</f>
        <v>43046</v>
      </c>
      <c r="M386" s="95">
        <f ca="1"/>
        <v>-1.9184913423368401E-3</v>
      </c>
      <c r="N386" s="5" t="s">
        <v>4</v>
      </c>
      <c r="O386" s="97">
        <f ca="1">_xll.meDateFromTenor(O385,"1D","FOLLOWING","TGT")</f>
        <v>43046</v>
      </c>
      <c r="P386" s="95">
        <f ca="1"/>
        <v>1.2966090001878154E-4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-4.0600073186335276E-3</v>
      </c>
      <c r="H387" s="92" t="s">
        <v>4</v>
      </c>
      <c r="I387" s="97">
        <f ca="1">_xll.meDateFromTenor(I386,"1D","FOLLOWING","TGT")</f>
        <v>43047</v>
      </c>
      <c r="J387" s="95">
        <f ca="1"/>
        <v>-3.7693378132106652E-3</v>
      </c>
      <c r="K387" s="5" t="s">
        <v>4</v>
      </c>
      <c r="L387" s="97">
        <f ca="1">_xll.meDateFromTenor(L386,"1D","FOLLOWING","TGT")</f>
        <v>43047</v>
      </c>
      <c r="M387" s="95">
        <f ca="1"/>
        <v>-1.9110659498979524E-3</v>
      </c>
      <c r="N387" s="5" t="s">
        <v>4</v>
      </c>
      <c r="O387" s="97">
        <f ca="1">_xll.meDateFromTenor(O386,"1D","FOLLOWING","TGT")</f>
        <v>43047</v>
      </c>
      <c r="P387" s="95">
        <f ca="1"/>
        <v>1.324817317406371E-4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-4.0592550313992741E-3</v>
      </c>
      <c r="H388" s="92" t="s">
        <v>4</v>
      </c>
      <c r="I388" s="97">
        <f ca="1">_xll.meDateFromTenor(I387,"1D","FOLLOWING","TGT")</f>
        <v>43048</v>
      </c>
      <c r="J388" s="95">
        <f ca="1"/>
        <v>-3.7792485662417109E-3</v>
      </c>
      <c r="K388" s="5" t="s">
        <v>4</v>
      </c>
      <c r="L388" s="97">
        <f ca="1">_xll.meDateFromTenor(L387,"1D","FOLLOWING","TGT")</f>
        <v>43048</v>
      </c>
      <c r="M388" s="95">
        <f ca="1"/>
        <v>-1.9036495492075946E-3</v>
      </c>
      <c r="N388" s="5" t="s">
        <v>4</v>
      </c>
      <c r="O388" s="97">
        <f ca="1">_xll.meDateFromTenor(O387,"1D","FOLLOWING","TGT")</f>
        <v>43048</v>
      </c>
      <c r="P388" s="95">
        <f ca="1"/>
        <v>1.353115830829494E-4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-4.0584935405877723E-3</v>
      </c>
      <c r="H389" s="92" t="s">
        <v>4</v>
      </c>
      <c r="I389" s="97">
        <f ca="1">_xll.meDateFromTenor(I388,"1D","FOLLOWING","TGT")</f>
        <v>43049</v>
      </c>
      <c r="J389" s="95">
        <f ca="1"/>
        <v>-3.7882466313019355E-3</v>
      </c>
      <c r="K389" s="5" t="s">
        <v>4</v>
      </c>
      <c r="L389" s="97">
        <f ca="1">_xll.meDateFromTenor(L388,"1D","FOLLOWING","TGT")</f>
        <v>43049</v>
      </c>
      <c r="M389" s="95">
        <f ca="1"/>
        <v>-1.8962443037690868E-3</v>
      </c>
      <c r="N389" s="5" t="s">
        <v>4</v>
      </c>
      <c r="O389" s="97">
        <f ca="1">_xll.meDateFromTenor(O388,"1D","FOLLOWING","TGT")</f>
        <v>43049</v>
      </c>
      <c r="P389" s="95">
        <f ca="1"/>
        <v>1.3815044101680001E-4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-4.0561489105520043E-3</v>
      </c>
      <c r="H390" s="92" t="s">
        <v>4</v>
      </c>
      <c r="I390" s="97">
        <f ca="1">_xll.meDateFromTenor(I389,"1D","FOLLOWING","TGT")</f>
        <v>43052</v>
      </c>
      <c r="J390" s="95">
        <f ca="1"/>
        <v>-3.8093277244876456E-3</v>
      </c>
      <c r="K390" s="5" t="s">
        <v>4</v>
      </c>
      <c r="L390" s="97">
        <f ca="1">_xll.meDateFromTenor(L389,"1D","FOLLOWING","TGT")</f>
        <v>43052</v>
      </c>
      <c r="M390" s="95">
        <f ca="1"/>
        <v>-1.8741171339978705E-3</v>
      </c>
      <c r="N390" s="5" t="s">
        <v>4</v>
      </c>
      <c r="O390" s="97">
        <f ca="1">_xll.meDateFromTenor(O389,"1D","FOLLOWING","TGT")</f>
        <v>43052</v>
      </c>
      <c r="P390" s="95">
        <f ca="1"/>
        <v>1.4672092407839633E-4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-4.0553456692937404E-3</v>
      </c>
      <c r="H391" s="92" t="s">
        <v>4</v>
      </c>
      <c r="I391" s="97">
        <f ca="1">_xll.meDateFromTenor(I390,"1D","FOLLOWING","TGT")</f>
        <v>43053</v>
      </c>
      <c r="J391" s="95">
        <f ca="1"/>
        <v>-3.8142380634945514E-3</v>
      </c>
      <c r="K391" s="5" t="s">
        <v>4</v>
      </c>
      <c r="L391" s="97">
        <f ca="1">_xll.meDateFromTenor(L390,"1D","FOLLOWING","TGT")</f>
        <v>43053</v>
      </c>
      <c r="M391" s="95">
        <f ca="1"/>
        <v>-1.8667781445999704E-3</v>
      </c>
      <c r="N391" s="5" t="s">
        <v>4</v>
      </c>
      <c r="O391" s="97">
        <f ca="1">_xll.meDateFromTenor(O390,"1D","FOLLOWING","TGT")</f>
        <v>43053</v>
      </c>
      <c r="P391" s="95">
        <f ca="1"/>
        <v>1.4959567808921467E-4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-4.054530756389345E-3</v>
      </c>
      <c r="H392" s="92" t="s">
        <v>4</v>
      </c>
      <c r="I392" s="97">
        <f ca="1">_xll.meDateFromTenor(I391,"1D","FOLLOWING","TGT")</f>
        <v>43054</v>
      </c>
      <c r="J392" s="95">
        <f ca="1"/>
        <v>-3.8180172274456204E-3</v>
      </c>
      <c r="K392" s="5" t="s">
        <v>4</v>
      </c>
      <c r="L392" s="97">
        <f ca="1">_xll.meDateFromTenor(L391,"1D","FOLLOWING","TGT")</f>
        <v>43054</v>
      </c>
      <c r="M392" s="95">
        <f ca="1"/>
        <v>-1.8594611279705228E-3</v>
      </c>
      <c r="N392" s="5" t="s">
        <v>4</v>
      </c>
      <c r="O392" s="97">
        <f ca="1">_xll.meDateFromTenor(O391,"1D","FOLLOWING","TGT")</f>
        <v>43054</v>
      </c>
      <c r="P392" s="95">
        <f ca="1"/>
        <v>1.5247937354697904E-4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-4.0537036782250435E-3</v>
      </c>
      <c r="H393" s="92" t="s">
        <v>4</v>
      </c>
      <c r="I393" s="97">
        <f ca="1">_xll.meDateFromTenor(I392,"1D","FOLLOWING","TGT")</f>
        <v>43055</v>
      </c>
      <c r="J393" s="95">
        <f ca="1"/>
        <v>-3.8206215189238494E-3</v>
      </c>
      <c r="K393" s="5" t="s">
        <v>4</v>
      </c>
      <c r="L393" s="97">
        <f ca="1">_xll.meDateFromTenor(L392,"1D","FOLLOWING","TGT")</f>
        <v>43055</v>
      </c>
      <c r="M393" s="95">
        <f ca="1"/>
        <v>-1.8521682476128495E-3</v>
      </c>
      <c r="N393" s="5" t="s">
        <v>4</v>
      </c>
      <c r="O393" s="97">
        <f ca="1">_xll.meDateFromTenor(O392,"1D","FOLLOWING","TGT")</f>
        <v>43055</v>
      </c>
      <c r="P393" s="95">
        <f ca="1"/>
        <v>1.5537199742277045E-4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-4.0528639411870574E-3</v>
      </c>
      <c r="H394" s="92" t="s">
        <v>4</v>
      </c>
      <c r="I394" s="97">
        <f ca="1">_xll.meDateFromTenor(I393,"1D","FOLLOWING","TGT")</f>
        <v>43056</v>
      </c>
      <c r="J394" s="95">
        <f ca="1"/>
        <v>-3.8220072405122361E-3</v>
      </c>
      <c r="K394" s="5" t="s">
        <v>4</v>
      </c>
      <c r="L394" s="97">
        <f ca="1">_xll.meDateFromTenor(L393,"1D","FOLLOWING","TGT")</f>
        <v>43056</v>
      </c>
      <c r="M394" s="95">
        <f ca="1"/>
        <v>-1.8449016670302706E-3</v>
      </c>
      <c r="N394" s="5" t="s">
        <v>4</v>
      </c>
      <c r="O394" s="97">
        <f ca="1">_xll.meDateFromTenor(O393,"1D","FOLLOWING","TGT")</f>
        <v>43056</v>
      </c>
      <c r="P394" s="95">
        <f ca="1"/>
        <v>1.5827353668767071E-4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-4.0502638406932356E-3</v>
      </c>
      <c r="H395" s="92" t="s">
        <v>4</v>
      </c>
      <c r="I395" s="97">
        <f ca="1">_xll.meDateFromTenor(I394,"1D","FOLLOWING","TGT")</f>
        <v>43059</v>
      </c>
      <c r="J395" s="95">
        <f ca="1"/>
        <v>-3.8184160117683084E-3</v>
      </c>
      <c r="K395" s="5" t="s">
        <v>4</v>
      </c>
      <c r="L395" s="97">
        <f ca="1">_xll.meDateFromTenor(L394,"1D","FOLLOWING","TGT")</f>
        <v>43059</v>
      </c>
      <c r="M395" s="95">
        <f ca="1"/>
        <v>-1.8232813589663078E-3</v>
      </c>
      <c r="N395" s="5" t="s">
        <v>4</v>
      </c>
      <c r="O395" s="97">
        <f ca="1">_xll.meDateFromTenor(O394,"1D","FOLLOWING","TGT")</f>
        <v>43059</v>
      </c>
      <c r="P395" s="95">
        <f ca="1"/>
        <v>1.6703151652783848E-4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-4.0493685320227533E-3</v>
      </c>
      <c r="H396" s="92" t="s">
        <v>4</v>
      </c>
      <c r="I396" s="97">
        <f ca="1">_xll.meDateFromTenor(I395,"1D","FOLLOWING","TGT")</f>
        <v>43060</v>
      </c>
      <c r="J396" s="95">
        <f ca="1"/>
        <v>-3.814490479627293E-3</v>
      </c>
      <c r="K396" s="5" t="s">
        <v>4</v>
      </c>
      <c r="L396" s="97">
        <f ca="1">_xll.meDateFromTenor(L395,"1D","FOLLOWING","TGT")</f>
        <v>43060</v>
      </c>
      <c r="M396" s="95">
        <f ca="1"/>
        <v>-1.8161416125173132E-3</v>
      </c>
      <c r="N396" s="5" t="s">
        <v>4</v>
      </c>
      <c r="O396" s="97">
        <f ca="1">_xll.meDateFromTenor(O395,"1D","FOLLOWING","TGT")</f>
        <v>43060</v>
      </c>
      <c r="P396" s="95">
        <f ca="1"/>
        <v>1.6996858705998859E-4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-4.0484580964097053E-3</v>
      </c>
      <c r="H397" s="92" t="s">
        <v>4</v>
      </c>
      <c r="I397" s="97">
        <f ca="1">_xll.meDateFromTenor(I396,"1D","FOLLOWING","TGT")</f>
        <v>43061</v>
      </c>
      <c r="J397" s="95">
        <f ca="1"/>
        <v>-3.8091278905114205E-3</v>
      </c>
      <c r="K397" s="5" t="s">
        <v>4</v>
      </c>
      <c r="L397" s="97">
        <f ca="1">_xll.meDateFromTenor(L396,"1D","FOLLOWING","TGT")</f>
        <v>43061</v>
      </c>
      <c r="M397" s="95">
        <f ca="1"/>
        <v>-1.8090389833600165E-3</v>
      </c>
      <c r="N397" s="5" t="s">
        <v>4</v>
      </c>
      <c r="O397" s="97">
        <f ca="1">_xll.meDateFromTenor(O396,"1D","FOLLOWING","TGT")</f>
        <v>43061</v>
      </c>
      <c r="P397" s="95">
        <f ca="1"/>
        <v>1.7291450783665498E-4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-4.0475320402403149E-3</v>
      </c>
      <c r="H398" s="92" t="s">
        <v>4</v>
      </c>
      <c r="I398" s="97">
        <f ca="1">_xll.meDateFromTenor(I397,"1D","FOLLOWING","TGT")</f>
        <v>43062</v>
      </c>
      <c r="J398" s="95">
        <f ca="1"/>
        <v>-3.8022845470036871E-3</v>
      </c>
      <c r="K398" s="5" t="s">
        <v>4</v>
      </c>
      <c r="L398" s="97">
        <f ca="1">_xll.meDateFromTenor(L397,"1D","FOLLOWING","TGT")</f>
        <v>43062</v>
      </c>
      <c r="M398" s="95">
        <f ca="1"/>
        <v>-1.8019756349977386E-3</v>
      </c>
      <c r="N398" s="5" t="s">
        <v>4</v>
      </c>
      <c r="O398" s="97">
        <f ca="1">_xll.meDateFromTenor(O397,"1D","FOLLOWING","TGT")</f>
        <v>43062</v>
      </c>
      <c r="P398" s="95">
        <f ca="1"/>
        <v>1.7586926582891874E-4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-4.0465898699008091E-3</v>
      </c>
      <c r="H399" s="92" t="s">
        <v>4</v>
      </c>
      <c r="I399" s="97">
        <f ca="1">_xll.meDateFromTenor(I398,"1D","FOLLOWING","TGT")</f>
        <v>43063</v>
      </c>
      <c r="J399" s="95">
        <f ca="1"/>
        <v>-3.7939167516870902E-3</v>
      </c>
      <c r="K399" s="5" t="s">
        <v>4</v>
      </c>
      <c r="L399" s="97">
        <f ca="1">_xll.meDateFromTenor(L398,"1D","FOLLOWING","TGT")</f>
        <v>43063</v>
      </c>
      <c r="M399" s="95">
        <f ca="1"/>
        <v>-1.7949537309337989E-3</v>
      </c>
      <c r="N399" s="5" t="s">
        <v>4</v>
      </c>
      <c r="O399" s="97">
        <f ca="1">_xll.meDateFromTenor(O398,"1D","FOLLOWING","TGT")</f>
        <v>43063</v>
      </c>
      <c r="P399" s="95">
        <f ca="1"/>
        <v>1.7883284800786195E-4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-4.0436617377238209E-3</v>
      </c>
      <c r="H400" s="92" t="s">
        <v>4</v>
      </c>
      <c r="I400" s="97">
        <f ca="1">_xll.meDateFromTenor(I399,"1D","FOLLOWING","TGT")</f>
        <v>43066</v>
      </c>
      <c r="J400" s="95">
        <f ca="1"/>
        <v>-3.7592296807140886E-3</v>
      </c>
      <c r="K400" s="5" t="s">
        <v>4</v>
      </c>
      <c r="L400" s="97">
        <f ca="1">_xll.meDateFromTenor(L399,"1D","FOLLOWING","TGT")</f>
        <v>43066</v>
      </c>
      <c r="M400" s="95">
        <f ca="1"/>
        <v>-1.7741583195652214E-3</v>
      </c>
      <c r="N400" s="5" t="s">
        <v>4</v>
      </c>
      <c r="O400" s="97">
        <f ca="1">_xll.meDateFromTenor(O399,"1D","FOLLOWING","TGT")</f>
        <v>43066</v>
      </c>
      <c r="P400" s="95">
        <f ca="1"/>
        <v>1.8777640937558116E-4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-4.0426501745660813E-3</v>
      </c>
      <c r="H401" s="92" t="s">
        <v>4</v>
      </c>
      <c r="I401" s="97">
        <f ca="1">_xll.meDateFromTenor(I400,"1D","FOLLOWING","TGT")</f>
        <v>43067</v>
      </c>
      <c r="J401" s="95">
        <f ca="1"/>
        <v>-3.7443271039920073E-3</v>
      </c>
      <c r="K401" s="5" t="s">
        <v>4</v>
      </c>
      <c r="L401" s="97">
        <f ca="1">_xll.meDateFromTenor(L400,"1D","FOLLOWING","TGT")</f>
        <v>43067</v>
      </c>
      <c r="M401" s="95">
        <f ca="1"/>
        <v>-1.7673238277278441E-3</v>
      </c>
      <c r="N401" s="5" t="s">
        <v>4</v>
      </c>
      <c r="O401" s="97">
        <f ca="1">_xll.meDateFromTenor(O400,"1D","FOLLOWING","TGT")</f>
        <v>43067</v>
      </c>
      <c r="P401" s="95">
        <f ca="1"/>
        <v>1.9077515801205596E-4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-4.0416200291693415E-3</v>
      </c>
      <c r="H402" s="92" t="s">
        <v>4</v>
      </c>
      <c r="I402" s="97">
        <f ca="1">_xll.meDateFromTenor(I401,"1D","FOLLOWING","TGT")</f>
        <v>43068</v>
      </c>
      <c r="J402" s="95">
        <f ca="1"/>
        <v>-3.7276815883760489E-3</v>
      </c>
      <c r="K402" s="5" t="s">
        <v>4</v>
      </c>
      <c r="L402" s="97">
        <f ca="1">_xll.meDateFromTenor(L401,"1D","FOLLOWING","TGT")</f>
        <v>43068</v>
      </c>
      <c r="M402" s="95">
        <f ca="1"/>
        <v>-1.7605415977054093E-3</v>
      </c>
      <c r="N402" s="5" t="s">
        <v>4</v>
      </c>
      <c r="O402" s="97">
        <f ca="1">_xll.meDateFromTenor(O401,"1D","FOLLOWING","TGT")</f>
        <v>43068</v>
      </c>
      <c r="P402" s="95">
        <f ca="1"/>
        <v>1.9378266569061728E-4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-4.0405708079198285E-3</v>
      </c>
      <c r="H403" s="92" t="s">
        <v>4</v>
      </c>
      <c r="I403" s="97">
        <f ca="1">_xll.meDateFromTenor(I402,"1D","FOLLOWING","TGT")</f>
        <v>43069</v>
      </c>
      <c r="J403" s="95">
        <f ca="1"/>
        <v>-3.709249436449207E-3</v>
      </c>
      <c r="K403" s="5" t="s">
        <v>4</v>
      </c>
      <c r="L403" s="97">
        <f ca="1">_xll.meDateFromTenor(L402,"1D","FOLLOWING","TGT")</f>
        <v>43069</v>
      </c>
      <c r="M403" s="95">
        <f ca="1"/>
        <v>-1.7538137930012368E-3</v>
      </c>
      <c r="N403" s="5" t="s">
        <v>4</v>
      </c>
      <c r="O403" s="97">
        <f ca="1">_xll.meDateFromTenor(O402,"1D","FOLLOWING","TGT")</f>
        <v>43069</v>
      </c>
      <c r="P403" s="95">
        <f ca="1"/>
        <v>1.9679891938234695E-4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-4.039502017203764E-3</v>
      </c>
      <c r="H404" s="92" t="s">
        <v>4</v>
      </c>
      <c r="I404" s="97">
        <f ca="1">_xll.meDateFromTenor(I403,"1D","FOLLOWING","TGT")</f>
        <v>43070</v>
      </c>
      <c r="J404" s="95">
        <f ca="1"/>
        <v>-3.6889869507944809E-3</v>
      </c>
      <c r="K404" s="5" t="s">
        <v>4</v>
      </c>
      <c r="L404" s="97">
        <f ca="1">_xll.meDateFromTenor(L403,"1D","FOLLOWING","TGT")</f>
        <v>43070</v>
      </c>
      <c r="M404" s="95">
        <f ca="1"/>
        <v>-1.7471425771186475E-3</v>
      </c>
      <c r="N404" s="5" t="s">
        <v>4</v>
      </c>
      <c r="O404" s="97">
        <f ca="1">_xll.meDateFromTenor(O403,"1D","FOLLOWING","TGT")</f>
        <v>43070</v>
      </c>
      <c r="P404" s="95">
        <f ca="1"/>
        <v>1.9982390605832628E-4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-4.0361732921184957E-3</v>
      </c>
      <c r="H405" s="92" t="s">
        <v>4</v>
      </c>
      <c r="I405" s="97">
        <f ca="1">_xll.meDateFromTenor(I404,"1D","FOLLOWING","TGT")</f>
        <v>43073</v>
      </c>
      <c r="J405" s="95">
        <f ca="1"/>
        <v>-3.6167805172929693E-3</v>
      </c>
      <c r="K405" s="5" t="s">
        <v>4</v>
      </c>
      <c r="L405" s="97">
        <f ca="1">_xll.meDateFromTenor(L404,"1D","FOLLOWING","TGT")</f>
        <v>43073</v>
      </c>
      <c r="M405" s="95">
        <f ca="1"/>
        <v>-1.7274900974335876E-3</v>
      </c>
      <c r="N405" s="5" t="s">
        <v>4</v>
      </c>
      <c r="O405" s="97">
        <f ca="1">_xll.meDateFromTenor(O404,"1D","FOLLOWING","TGT")</f>
        <v>43073</v>
      </c>
      <c r="P405" s="95">
        <f ca="1"/>
        <v>2.0895113370257662E-4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-4.035021510853146E-3</v>
      </c>
      <c r="H406" s="92" t="s">
        <v>4</v>
      </c>
      <c r="I406" s="97">
        <f ca="1">_xll.meDateFromTenor(I405,"1D","FOLLOWING","TGT")</f>
        <v>43074</v>
      </c>
      <c r="J406" s="95">
        <f ca="1"/>
        <v>-3.588793192768351E-3</v>
      </c>
      <c r="K406" s="5" t="s">
        <v>4</v>
      </c>
      <c r="L406" s="97">
        <f ca="1">_xll.meDateFromTenor(L405,"1D","FOLLOWING","TGT")</f>
        <v>43074</v>
      </c>
      <c r="M406" s="95">
        <f ca="1"/>
        <v>-1.7210664261122627E-3</v>
      </c>
      <c r="N406" s="5" t="s">
        <v>4</v>
      </c>
      <c r="O406" s="97">
        <f ca="1">_xll.meDateFromTenor(O405,"1D","FOLLOWING","TGT")</f>
        <v>43074</v>
      </c>
      <c r="P406" s="95">
        <f ca="1"/>
        <v>2.1201092202636953E-4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-4.0338490327804701E-3</v>
      </c>
      <c r="H407" s="92" t="s">
        <v>4</v>
      </c>
      <c r="I407" s="97">
        <f ca="1">_xll.meDateFromTenor(I406,"1D","FOLLOWING","TGT")</f>
        <v>43075</v>
      </c>
      <c r="J407" s="95">
        <f ca="1"/>
        <v>-3.5589578687008905E-3</v>
      </c>
      <c r="K407" s="5" t="s">
        <v>4</v>
      </c>
      <c r="L407" s="97">
        <f ca="1">_xll.meDateFromTenor(L406,"1D","FOLLOWING","TGT")</f>
        <v>43075</v>
      </c>
      <c r="M407" s="95">
        <f ca="1"/>
        <v>-1.7147074865794729E-3</v>
      </c>
      <c r="N407" s="5" t="s">
        <v>4</v>
      </c>
      <c r="O407" s="97">
        <f ca="1">_xll.meDateFromTenor(O406,"1D","FOLLOWING","TGT")</f>
        <v>43075</v>
      </c>
      <c r="P407" s="95">
        <f ca="1"/>
        <v>2.1507937818981922E-4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-4.0326567050147982E-3</v>
      </c>
      <c r="H408" s="92" t="s">
        <v>4</v>
      </c>
      <c r="I408" s="97">
        <f ca="1">_xll.meDateFromTenor(I407,"1D","FOLLOWING","TGT")</f>
        <v>43076</v>
      </c>
      <c r="J408" s="95">
        <f ca="1"/>
        <v>-3.5274316689436346E-3</v>
      </c>
      <c r="K408" s="5" t="s">
        <v>4</v>
      </c>
      <c r="L408" s="97">
        <f ca="1">_xll.meDateFromTenor(L407,"1D","FOLLOWING","TGT")</f>
        <v>43076</v>
      </c>
      <c r="M408" s="95">
        <f ca="1"/>
        <v>-1.7084127677888853E-3</v>
      </c>
      <c r="N408" s="5" t="s">
        <v>4</v>
      </c>
      <c r="O408" s="97">
        <f ca="1">_xll.meDateFromTenor(O407,"1D","FOLLOWING","TGT")</f>
        <v>43076</v>
      </c>
      <c r="P408" s="95">
        <f ca="1"/>
        <v>2.1815648916400786E-4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-4.0314453746704603E-3</v>
      </c>
      <c r="H409" s="92" t="s">
        <v>4</v>
      </c>
      <c r="I409" s="97">
        <f ca="1">_xll.meDateFromTenor(I408,"1D","FOLLOWING","TGT")</f>
        <v>43077</v>
      </c>
      <c r="J409" s="95">
        <f ca="1"/>
        <v>-3.4943717173496389E-3</v>
      </c>
      <c r="K409" s="5" t="s">
        <v>4</v>
      </c>
      <c r="L409" s="97">
        <f ca="1">_xll.meDateFromTenor(L408,"1D","FOLLOWING","TGT")</f>
        <v>43077</v>
      </c>
      <c r="M409" s="95">
        <f ca="1"/>
        <v>-1.7021817586941696E-3</v>
      </c>
      <c r="N409" s="5" t="s">
        <v>4</v>
      </c>
      <c r="O409" s="97">
        <f ca="1">_xll.meDateFromTenor(O408,"1D","FOLLOWING","TGT")</f>
        <v>43077</v>
      </c>
      <c r="P409" s="95">
        <f ca="1"/>
        <v>2.2124224192001629E-4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-4.0277058393087531E-3</v>
      </c>
      <c r="H410" s="92" t="s">
        <v>4</v>
      </c>
      <c r="I410" s="97">
        <f ca="1">_xll.meDateFromTenor(I409,"1D","FOLLOWING","TGT")</f>
        <v>43080</v>
      </c>
      <c r="J410" s="95">
        <f ca="1"/>
        <v>-3.3875605900777141E-3</v>
      </c>
      <c r="K410" s="5" t="s">
        <v>4</v>
      </c>
      <c r="L410" s="97">
        <f ca="1">_xll.meDateFromTenor(L409,"1D","FOLLOWING","TGT")</f>
        <v>43080</v>
      </c>
      <c r="M410" s="95">
        <f ca="1"/>
        <v>-1.6838658791219342E-3</v>
      </c>
      <c r="N410" s="5" t="s">
        <v>4</v>
      </c>
      <c r="O410" s="97">
        <f ca="1">_xll.meDateFromTenor(O409,"1D","FOLLOWING","TGT")</f>
        <v>43080</v>
      </c>
      <c r="P410" s="95">
        <f ca="1"/>
        <v>2.3055122058977779E-4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-4.0264269697930545E-3</v>
      </c>
      <c r="H411" s="92" t="s">
        <v>4</v>
      </c>
      <c r="I411" s="97">
        <f ca="1">_xll.meDateFromTenor(I410,"1D","FOLLOWING","TGT")</f>
        <v>43081</v>
      </c>
      <c r="J411" s="95">
        <f ca="1"/>
        <v>-3.3499368696672653E-3</v>
      </c>
      <c r="K411" s="5" t="s">
        <v>4</v>
      </c>
      <c r="L411" s="97">
        <f ca="1">_xll.meDateFromTenor(L410,"1D","FOLLOWING","TGT")</f>
        <v>43081</v>
      </c>
      <c r="M411" s="95">
        <f ca="1"/>
        <v>-1.6778845983473883E-3</v>
      </c>
      <c r="N411" s="5" t="s">
        <v>4</v>
      </c>
      <c r="O411" s="97">
        <f ca="1">_xll.meDateFromTenor(O410,"1D","FOLLOWING","TGT")</f>
        <v>43081</v>
      </c>
      <c r="P411" s="95">
        <f ca="1"/>
        <v>2.3367141018388194E-4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-4.0251333332703403E-3</v>
      </c>
      <c r="H412" s="92" t="s">
        <v>4</v>
      </c>
      <c r="I412" s="97">
        <f ca="1">_xll.meDateFromTenor(I411,"1D","FOLLOWING","TGT")</f>
        <v>43082</v>
      </c>
      <c r="J412" s="95">
        <f ca="1"/>
        <v>-3.3115650166853352E-3</v>
      </c>
      <c r="K412" s="5" t="s">
        <v>4</v>
      </c>
      <c r="L412" s="97">
        <f ca="1">_xll.meDateFromTenor(L411,"1D","FOLLOWING","TGT")</f>
        <v>43082</v>
      </c>
      <c r="M412" s="95">
        <f ca="1"/>
        <v>-1.6719644720370568E-3</v>
      </c>
      <c r="N412" s="5" t="s">
        <v>4</v>
      </c>
      <c r="O412" s="97">
        <f ca="1">_xll.meDateFromTenor(O411,"1D","FOLLOWING","TGT")</f>
        <v>43082</v>
      </c>
      <c r="P412" s="95">
        <f ca="1"/>
        <v>2.3680017641521329E-4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-4.0238257768549415E-3</v>
      </c>
      <c r="H413" s="92" t="s">
        <v>4</v>
      </c>
      <c r="I413" s="97">
        <f ca="1">_xll.meDateFromTenor(I412,"1D","FOLLOWING","TGT")</f>
        <v>43083</v>
      </c>
      <c r="J413" s="95">
        <f ca="1"/>
        <v>-3.2726021549849705E-3</v>
      </c>
      <c r="K413" s="5" t="s">
        <v>4</v>
      </c>
      <c r="L413" s="97">
        <f ca="1">_xll.meDateFromTenor(L412,"1D","FOLLOWING","TGT")</f>
        <v>43083</v>
      </c>
      <c r="M413" s="95">
        <f ca="1"/>
        <v>-1.6661049891446066E-3</v>
      </c>
      <c r="N413" s="5" t="s">
        <v>4</v>
      </c>
      <c r="O413" s="97">
        <f ca="1">_xll.meDateFromTenor(O412,"1D","FOLLOWING","TGT")</f>
        <v>43083</v>
      </c>
      <c r="P413" s="95">
        <f ca="1"/>
        <v>2.3993750625485411E-4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-4.0225051476611888E-3</v>
      </c>
      <c r="H414" s="92" t="s">
        <v>4</v>
      </c>
      <c r="I414" s="97">
        <f ca="1">_xll.meDateFromTenor(I413,"1D","FOLLOWING","TGT")</f>
        <v>43084</v>
      </c>
      <c r="J414" s="95">
        <f ca="1"/>
        <v>-3.2332054084192275E-3</v>
      </c>
      <c r="K414" s="5" t="s">
        <v>4</v>
      </c>
      <c r="L414" s="97">
        <f ca="1">_xll.meDateFromTenor(L413,"1D","FOLLOWING","TGT")</f>
        <v>43084</v>
      </c>
      <c r="M414" s="95">
        <f ca="1"/>
        <v>-1.6603056386237079E-3</v>
      </c>
      <c r="N414" s="5" t="s">
        <v>4</v>
      </c>
      <c r="O414" s="97">
        <f ca="1">_xll.meDateFromTenor(O413,"1D","FOLLOWING","TGT")</f>
        <v>43084</v>
      </c>
      <c r="P414" s="95">
        <f ca="1"/>
        <v>2.4308338667388511E-4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-4.0184732945531083E-3</v>
      </c>
      <c r="H415" s="92" t="s">
        <v>4</v>
      </c>
      <c r="I415" s="97">
        <f ca="1">_xll.meDateFromTenor(I414,"1D","FOLLOWING","TGT")</f>
        <v>43087</v>
      </c>
      <c r="J415" s="95">
        <f ca="1"/>
        <v>-3.1139830980602252E-3</v>
      </c>
      <c r="K415" s="5" t="s">
        <v>4</v>
      </c>
      <c r="L415" s="97">
        <f ca="1">_xll.meDateFromTenor(L414,"1D","FOLLOWING","TGT")</f>
        <v>43087</v>
      </c>
      <c r="M415" s="95">
        <f ca="1"/>
        <v>-1.643263270827E-3</v>
      </c>
      <c r="N415" s="5" t="s">
        <v>4</v>
      </c>
      <c r="O415" s="97">
        <f ca="1">_xll.meDateFromTenor(O414,"1D","FOLLOWING","TGT")</f>
        <v>43087</v>
      </c>
      <c r="P415" s="95">
        <f ca="1"/>
        <v>2.5257220111813729E-4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-4.0171088453892405E-3</v>
      </c>
      <c r="H416" s="92" t="s">
        <v>4</v>
      </c>
      <c r="I416" s="97">
        <f ca="1">_xll.meDateFromTenor(I415,"1D","FOLLOWING","TGT")</f>
        <v>43088</v>
      </c>
      <c r="J416" s="95">
        <f ca="1"/>
        <v>-3.0744220505634751E-3</v>
      </c>
      <c r="K416" s="5" t="s">
        <v>4</v>
      </c>
      <c r="L416" s="97">
        <f ca="1">_xll.meDateFromTenor(L415,"1D","FOLLOWING","TGT")</f>
        <v>43088</v>
      </c>
      <c r="M416" s="95">
        <f ca="1"/>
        <v>-1.6376993393289892E-3</v>
      </c>
      <c r="N416" s="5" t="s">
        <v>4</v>
      </c>
      <c r="O416" s="97">
        <f ca="1">_xll.meDateFromTenor(O415,"1D","FOLLOWING","TGT")</f>
        <v>43088</v>
      </c>
      <c r="P416" s="95">
        <f ca="1"/>
        <v>2.5575215356554552E-4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-4.0157355590186693E-3</v>
      </c>
      <c r="H417" s="92" t="s">
        <v>4</v>
      </c>
      <c r="I417" s="97">
        <f ca="1">_xll.meDateFromTenor(I416,"1D","FOLLOWING","TGT")</f>
        <v>43089</v>
      </c>
      <c r="J417" s="95">
        <f ca="1"/>
        <v>-3.0352127374665993E-3</v>
      </c>
      <c r="K417" s="5" t="s">
        <v>4</v>
      </c>
      <c r="L417" s="97">
        <f ca="1">_xll.meDateFromTenor(L416,"1D","FOLLOWING","TGT")</f>
        <v>43089</v>
      </c>
      <c r="M417" s="95">
        <f ca="1"/>
        <v>-1.6321929849708707E-3</v>
      </c>
      <c r="N417" s="5" t="s">
        <v>4</v>
      </c>
      <c r="O417" s="97">
        <f ca="1">_xll.meDateFromTenor(O416,"1D","FOLLOWING","TGT")</f>
        <v>43089</v>
      </c>
      <c r="P417" s="95">
        <f ca="1"/>
        <v>2.5894059144775214E-4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-4.0143542825557266E-3</v>
      </c>
      <c r="H418" s="92" t="s">
        <v>4</v>
      </c>
      <c r="I418" s="97">
        <f ca="1">_xll.meDateFromTenor(I417,"1D","FOLLOWING","TGT")</f>
        <v>43090</v>
      </c>
      <c r="J418" s="95">
        <f ca="1"/>
        <v>-2.9964880285683424E-3</v>
      </c>
      <c r="K418" s="5" t="s">
        <v>4</v>
      </c>
      <c r="L418" s="97">
        <f ca="1">_xll.meDateFromTenor(L417,"1D","FOLLOWING","TGT")</f>
        <v>43090</v>
      </c>
      <c r="M418" s="95">
        <f ca="1"/>
        <v>-1.6267436967063141E-3</v>
      </c>
      <c r="N418" s="5" t="s">
        <v>4</v>
      </c>
      <c r="O418" s="97">
        <f ca="1">_xll.meDateFromTenor(O417,"1D","FOLLOWING","TGT")</f>
        <v>43090</v>
      </c>
      <c r="P418" s="95">
        <f ca="1"/>
        <v>2.6213750173583828E-4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-4.0129658631147406E-3</v>
      </c>
      <c r="H419" s="92" t="s">
        <v>4</v>
      </c>
      <c r="I419" s="97">
        <f ca="1">_xll.meDateFromTenor(I418,"1D","FOLLOWING","TGT")</f>
        <v>43091</v>
      </c>
      <c r="J419" s="95">
        <f ca="1"/>
        <v>-2.95828377745021E-3</v>
      </c>
      <c r="K419" s="5" t="s">
        <v>4</v>
      </c>
      <c r="L419" s="97">
        <f ca="1">_xll.meDateFromTenor(L418,"1D","FOLLOWING","TGT")</f>
        <v>43091</v>
      </c>
      <c r="M419" s="95">
        <f ca="1"/>
        <v>-1.6213509634889882E-3</v>
      </c>
      <c r="N419" s="5" t="s">
        <v>4</v>
      </c>
      <c r="O419" s="97">
        <f ca="1">_xll.meDateFromTenor(O418,"1D","FOLLOWING","TGT")</f>
        <v>43091</v>
      </c>
      <c r="P419" s="95">
        <f ca="1"/>
        <v>2.6534287140088516E-4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-4.0059462702407298E-3</v>
      </c>
      <c r="H420" s="92" t="s">
        <v>4</v>
      </c>
      <c r="I420" s="97">
        <f ca="1">_xll.meDateFromTenor(I419,"1D","FOLLOWING","TGT")</f>
        <v>43096</v>
      </c>
      <c r="J420" s="95">
        <f ca="1"/>
        <v>-2.7754753720131034E-3</v>
      </c>
      <c r="K420" s="5" t="s">
        <v>4</v>
      </c>
      <c r="L420" s="97">
        <f ca="1">_xll.meDateFromTenor(L419,"1D","FOLLOWING","TGT")</f>
        <v>43096</v>
      </c>
      <c r="M420" s="95">
        <f ca="1"/>
        <v>-1.5952177364892065E-3</v>
      </c>
      <c r="N420" s="5" t="s">
        <v>4</v>
      </c>
      <c r="O420" s="97">
        <f ca="1">_xll.meDateFromTenor(O419,"1D","FOLLOWING","TGT")</f>
        <v>43096</v>
      </c>
      <c r="P420" s="95">
        <f ca="1"/>
        <v>2.8149615436838852E-4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-4.0045327823324218E-3</v>
      </c>
      <c r="H421" s="92" t="s">
        <v>4</v>
      </c>
      <c r="I421" s="97">
        <f ca="1">_xll.meDateFromTenor(I420,"1D","FOLLOWING","TGT")</f>
        <v>43097</v>
      </c>
      <c r="J421" s="95">
        <f ca="1"/>
        <v>-2.7406374576467458E-3</v>
      </c>
      <c r="K421" s="5" t="s">
        <v>4</v>
      </c>
      <c r="L421" s="97">
        <f ca="1">_xll.meDateFromTenor(L420,"1D","FOLLOWING","TGT")</f>
        <v>43097</v>
      </c>
      <c r="M421" s="95">
        <f ca="1"/>
        <v>-1.5901536015822996E-3</v>
      </c>
      <c r="N421" s="5" t="s">
        <v>4</v>
      </c>
      <c r="O421" s="97">
        <f ca="1">_xll.meDateFromTenor(O420,"1D","FOLLOWING","TGT")</f>
        <v>43097</v>
      </c>
      <c r="P421" s="95">
        <f ca="1"/>
        <v>2.8475200668791301E-4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-4.0031180812463846E-3</v>
      </c>
      <c r="H422" s="92" t="s">
        <v>4</v>
      </c>
      <c r="I422" s="97">
        <f ca="1">_xll.meDateFromTenor(I421,"1D","FOLLOWING","TGT")</f>
        <v>43098</v>
      </c>
      <c r="J422" s="95">
        <f ca="1"/>
        <v>-2.7064011977508554E-3</v>
      </c>
      <c r="K422" s="5" t="s">
        <v>4</v>
      </c>
      <c r="L422" s="97">
        <f ca="1">_xll.meDateFromTenor(L421,"1D","FOLLOWING","TGT")</f>
        <v>43098</v>
      </c>
      <c r="M422" s="95">
        <f ca="1"/>
        <v>-1.5851424443983019E-3</v>
      </c>
      <c r="N422" s="5" t="s">
        <v>4</v>
      </c>
      <c r="O422" s="97">
        <f ca="1">_xll.meDateFromTenor(O421,"1D","FOLLOWING","TGT")</f>
        <v>43098</v>
      </c>
      <c r="P422" s="95">
        <f ca="1"/>
        <v>2.880162271819693E-4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-3.9974640874115277E-3</v>
      </c>
      <c r="H423" s="92" t="s">
        <v>4</v>
      </c>
      <c r="I423" s="97">
        <f ca="1">_xll.meDateFromTenor(I422,"1D","FOLLOWING","TGT")</f>
        <v>43102</v>
      </c>
      <c r="J423" s="95">
        <f ca="1"/>
        <v>-2.575704693415858E-3</v>
      </c>
      <c r="K423" s="5" t="s">
        <v>4</v>
      </c>
      <c r="L423" s="97">
        <f ca="1">_xll.meDateFromTenor(L422,"1D","FOLLOWING","TGT")</f>
        <v>43102</v>
      </c>
      <c r="M423" s="95">
        <f ca="1"/>
        <v>-1.5656173719647767E-3</v>
      </c>
      <c r="N423" s="5" t="s">
        <v>4</v>
      </c>
      <c r="O423" s="97">
        <f ca="1">_xll.meDateFromTenor(O422,"1D","FOLLOWING","TGT")</f>
        <v>43102</v>
      </c>
      <c r="P423" s="95">
        <f ca="1"/>
        <v>3.0115653032513874E-4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-3.9960556867018864E-3</v>
      </c>
      <c r="H424" s="92" t="s">
        <v>4</v>
      </c>
      <c r="I424" s="97">
        <f ca="1">_xll.meDateFromTenor(I423,"1D","FOLLOWING","TGT")</f>
        <v>43103</v>
      </c>
      <c r="J424" s="95">
        <f ca="1"/>
        <v>-2.5446506987802132E-3</v>
      </c>
      <c r="K424" s="5" t="s">
        <v>4</v>
      </c>
      <c r="L424" s="97">
        <f ca="1">_xll.meDateFromTenor(L423,"1D","FOLLOWING","TGT")</f>
        <v>43103</v>
      </c>
      <c r="M424" s="95">
        <f ca="1"/>
        <v>-1.5608634377003547E-3</v>
      </c>
      <c r="N424" s="5" t="s">
        <v>4</v>
      </c>
      <c r="O424" s="97">
        <f ca="1">_xll.meDateFromTenor(O423,"1D","FOLLOWING","TGT")</f>
        <v>43103</v>
      </c>
      <c r="P424" s="95">
        <f ca="1"/>
        <v>3.0446239625807488E-4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-3.9946491128010821E-3</v>
      </c>
      <c r="H425" s="92" t="s">
        <v>4</v>
      </c>
      <c r="I425" s="97">
        <f ca="1">_xll.meDateFromTenor(I424,"1D","FOLLOWING","TGT")</f>
        <v>43104</v>
      </c>
      <c r="J425" s="95">
        <f ca="1"/>
        <v>-2.5142679557781916E-3</v>
      </c>
      <c r="K425" s="5" t="s">
        <v>4</v>
      </c>
      <c r="L425" s="97">
        <f ca="1">_xll.meDateFromTenor(L424,"1D","FOLLOWING","TGT")</f>
        <v>43104</v>
      </c>
      <c r="M425" s="95">
        <f ca="1"/>
        <v>-1.5561594148808522E-3</v>
      </c>
      <c r="N425" s="5" t="s">
        <v>4</v>
      </c>
      <c r="O425" s="97">
        <f ca="1">_xll.meDateFromTenor(O424,"1D","FOLLOWING","TGT")</f>
        <v>43104</v>
      </c>
      <c r="P425" s="95">
        <f ca="1"/>
        <v>3.0777655219203141E-4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-3.9932431701240325E-3</v>
      </c>
      <c r="H426" s="92" t="s">
        <v>4</v>
      </c>
      <c r="I426" s="97">
        <f ca="1">_xll.meDateFromTenor(I425,"1D","FOLLOWING","TGT")</f>
        <v>43105</v>
      </c>
      <c r="J426" s="95">
        <f ca="1"/>
        <v>-2.4845680639369897E-3</v>
      </c>
      <c r="K426" s="5" t="s">
        <v>4</v>
      </c>
      <c r="L426" s="97">
        <f ca="1">_xll.meDateFromTenor(L425,"1D","FOLLOWING","TGT")</f>
        <v>43105</v>
      </c>
      <c r="M426" s="95">
        <f ca="1"/>
        <v>-1.551504792459939E-3</v>
      </c>
      <c r="N426" s="5" t="s">
        <v>4</v>
      </c>
      <c r="O426" s="97">
        <f ca="1">_xll.meDateFromTenor(O425,"1D","FOLLOWING","TGT")</f>
        <v>43105</v>
      </c>
      <c r="P426" s="95">
        <f ca="1"/>
        <v>3.1109898509809012E-4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-3.9890171735845852E-3</v>
      </c>
      <c r="H427" s="92" t="s">
        <v>4</v>
      </c>
      <c r="I427" s="97">
        <f ca="1">_xll.meDateFromTenor(I426,"1D","FOLLOWING","TGT")</f>
        <v>43108</v>
      </c>
      <c r="J427" s="95">
        <f ca="1"/>
        <v>-2.3996814906502312E-3</v>
      </c>
      <c r="K427" s="5" t="s">
        <v>4</v>
      </c>
      <c r="L427" s="97">
        <f ca="1">_xll.meDateFromTenor(L426,"1D","FOLLOWING","TGT")</f>
        <v>43108</v>
      </c>
      <c r="M427" s="95">
        <f ca="1"/>
        <v>-1.5378322171254188E-3</v>
      </c>
      <c r="N427" s="5" t="s">
        <v>4</v>
      </c>
      <c r="O427" s="97">
        <f ca="1">_xll.meDateFromTenor(O426,"1D","FOLLOWING","TGT")</f>
        <v>43108</v>
      </c>
      <c r="P427" s="95">
        <f ca="1"/>
        <v>3.2111581535969216E-4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-3.9876017999517285E-3</v>
      </c>
      <c r="H428" s="92" t="s">
        <v>4</v>
      </c>
      <c r="I428" s="97">
        <f ca="1">_xll.meDateFromTenor(I427,"1D","FOLLOWING","TGT")</f>
        <v>43109</v>
      </c>
      <c r="J428" s="95">
        <f ca="1"/>
        <v>-2.372828998724234E-3</v>
      </c>
      <c r="K428" s="5" t="s">
        <v>4</v>
      </c>
      <c r="L428" s="97">
        <f ca="1">_xll.meDateFromTenor(L427,"1D","FOLLOWING","TGT")</f>
        <v>43109</v>
      </c>
      <c r="M428" s="95">
        <f ca="1"/>
        <v>-1.5333700858355462E-3</v>
      </c>
      <c r="N428" s="5" t="s">
        <v>4</v>
      </c>
      <c r="O428" s="97">
        <f ca="1">_xll.meDateFromTenor(O427,"1D","FOLLOWING","TGT")</f>
        <v>43109</v>
      </c>
      <c r="P428" s="95">
        <f ca="1"/>
        <v>3.2447122586497354E-4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-3.9861810796172122E-3</v>
      </c>
      <c r="H429" s="92" t="s">
        <v>4</v>
      </c>
      <c r="I429" s="97">
        <f ca="1">_xll.meDateFromTenor(I428,"1D","FOLLOWING","TGT")</f>
        <v>43110</v>
      </c>
      <c r="J429" s="95">
        <f ca="1"/>
        <v>-2.3467173555950186E-3</v>
      </c>
      <c r="K429" s="5" t="s">
        <v>4</v>
      </c>
      <c r="L429" s="97">
        <f ca="1">_xll.meDateFromTenor(L428,"1D","FOLLOWING","TGT")</f>
        <v>43110</v>
      </c>
      <c r="M429" s="95">
        <f ca="1"/>
        <v>-1.5289547997126051E-3</v>
      </c>
      <c r="N429" s="5" t="s">
        <v>4</v>
      </c>
      <c r="O429" s="97">
        <f ca="1">_xll.meDateFromTenor(O428,"1D","FOLLOWING","TGT")</f>
        <v>43110</v>
      </c>
      <c r="P429" s="95">
        <f ca="1"/>
        <v>3.2783484819776446E-4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-3.9847538169959533E-3</v>
      </c>
      <c r="H430" s="92" t="s">
        <v>4</v>
      </c>
      <c r="I430" s="97">
        <f ca="1">_xll.meDateFromTenor(I429,"1D","FOLLOWING","TGT")</f>
        <v>43111</v>
      </c>
      <c r="J430" s="95">
        <f ca="1"/>
        <v>-2.3213581607897816E-3</v>
      </c>
      <c r="K430" s="5" t="s">
        <v>4</v>
      </c>
      <c r="L430" s="97">
        <f ca="1">_xll.meDateFromTenor(L429,"1D","FOLLOWING","TGT")</f>
        <v>43111</v>
      </c>
      <c r="M430" s="95">
        <f ca="1"/>
        <v>-1.5245858477102641E-3</v>
      </c>
      <c r="N430" s="5" t="s">
        <v>4</v>
      </c>
      <c r="O430" s="97">
        <f ca="1">_xll.meDateFromTenor(O429,"1D","FOLLOWING","TGT")</f>
        <v>43111</v>
      </c>
      <c r="P430" s="95">
        <f ca="1"/>
        <v>3.3120666932914605E-4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-3.983318816502871E-3</v>
      </c>
      <c r="H431" s="92" t="s">
        <v>4</v>
      </c>
      <c r="I431" s="97">
        <f ca="1">_xll.meDateFromTenor(I430,"1D","FOLLOWING","TGT")</f>
        <v>43112</v>
      </c>
      <c r="J431" s="95">
        <f ca="1"/>
        <v>-2.2967630138357128E-3</v>
      </c>
      <c r="K431" s="5" t="s">
        <v>4</v>
      </c>
      <c r="L431" s="97">
        <f ca="1">_xll.meDateFromTenor(L430,"1D","FOLLOWING","TGT")</f>
        <v>43112</v>
      </c>
      <c r="M431" s="95">
        <f ca="1"/>
        <v>-1.5202627187821916E-3</v>
      </c>
      <c r="N431" s="5" t="s">
        <v>4</v>
      </c>
      <c r="O431" s="97">
        <f ca="1">_xll.meDateFromTenor(O430,"1D","FOLLOWING","TGT")</f>
        <v>43112</v>
      </c>
      <c r="P431" s="95">
        <f ca="1"/>
        <v>3.3458667623019987E-4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-3.9789554319418496E-3</v>
      </c>
      <c r="H432" s="92" t="s">
        <v>4</v>
      </c>
      <c r="I432" s="97">
        <f ca="1">_xll.meDateFromTenor(I431,"1D","FOLLOWING","TGT")</f>
        <v>43115</v>
      </c>
      <c r="J432" s="95">
        <f ca="1"/>
        <v>-2.227677855352436E-3</v>
      </c>
      <c r="K432" s="5" t="s">
        <v>4</v>
      </c>
      <c r="L432" s="97">
        <f ca="1">_xll.meDateFromTenor(L431,"1D","FOLLOWING","TGT")</f>
        <v>43115</v>
      </c>
      <c r="M432" s="95">
        <f ca="1"/>
        <v>-1.5075631599802677E-3</v>
      </c>
      <c r="N432" s="5" t="s">
        <v>4</v>
      </c>
      <c r="O432" s="97">
        <f ca="1">_xll.meDateFromTenor(O431,"1D","FOLLOWING","TGT")</f>
        <v>43115</v>
      </c>
      <c r="P432" s="95">
        <f ca="1"/>
        <v>3.4477568126221208E-4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-3.9774775241106421E-3</v>
      </c>
      <c r="H433" s="92" t="s">
        <v>4</v>
      </c>
      <c r="I433" s="97">
        <f ca="1">_xll.meDateFromTenor(I432,"1D","FOLLOWING","TGT")</f>
        <v>43116</v>
      </c>
      <c r="J433" s="95">
        <f ca="1"/>
        <v>-2.2062548950749672E-3</v>
      </c>
      <c r="K433" s="5" t="s">
        <v>4</v>
      </c>
      <c r="L433" s="97">
        <f ca="1">_xll.meDateFromTenor(L432,"1D","FOLLOWING","TGT")</f>
        <v>43116</v>
      </c>
      <c r="M433" s="95">
        <f ca="1"/>
        <v>-1.5034182128859535E-3</v>
      </c>
      <c r="N433" s="5" t="s">
        <v>4</v>
      </c>
      <c r="O433" s="97">
        <f ca="1">_xll.meDateFromTenor(O432,"1D","FOLLOWING","TGT")</f>
        <v>43116</v>
      </c>
      <c r="P433" s="95">
        <f ca="1"/>
        <v>3.4818830095277066E-4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-3.9759859004821962E-3</v>
      </c>
      <c r="H434" s="92" t="s">
        <v>4</v>
      </c>
      <c r="I434" s="97">
        <f ca="1">_xll.meDateFromTenor(I433,"1D","FOLLOWING","TGT")</f>
        <v>43117</v>
      </c>
      <c r="J434" s="95">
        <f ca="1"/>
        <v>-2.1856539802846296E-3</v>
      </c>
      <c r="K434" s="5" t="s">
        <v>4</v>
      </c>
      <c r="L434" s="97">
        <f ca="1">_xll.meDateFromTenor(L433,"1D","FOLLOWING","TGT")</f>
        <v>43117</v>
      </c>
      <c r="M434" s="95">
        <f ca="1"/>
        <v>-1.4993165336342502E-3</v>
      </c>
      <c r="N434" s="5" t="s">
        <v>4</v>
      </c>
      <c r="O434" s="97">
        <f ca="1">_xll.meDateFromTenor(O433,"1D","FOLLOWING","TGT")</f>
        <v>43117</v>
      </c>
      <c r="P434" s="95">
        <f ca="1"/>
        <v>3.5160904126840917E-4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-3.9744793654714313E-3</v>
      </c>
      <c r="H435" s="92" t="s">
        <v>4</v>
      </c>
      <c r="I435" s="97">
        <f ca="1">_xll.meDateFromTenor(I434,"1D","FOLLOWING","TGT")</f>
        <v>43118</v>
      </c>
      <c r="J435" s="95">
        <f ca="1"/>
        <v>-2.1658867105086143E-3</v>
      </c>
      <c r="K435" s="5" t="s">
        <v>4</v>
      </c>
      <c r="L435" s="97">
        <f ca="1">_xll.meDateFromTenor(L434,"1D","FOLLOWING","TGT")</f>
        <v>43118</v>
      </c>
      <c r="M435" s="95">
        <f ca="1"/>
        <v>-1.4952576111788255E-3</v>
      </c>
      <c r="N435" s="5" t="s">
        <v>4</v>
      </c>
      <c r="O435" s="97">
        <f ca="1">_xll.meDateFromTenor(O434,"1D","FOLLOWING","TGT")</f>
        <v>43118</v>
      </c>
      <c r="P435" s="95">
        <f ca="1"/>
        <v>3.5503788918020938E-4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-3.9729567234932615E-3</v>
      </c>
      <c r="H436" s="92" t="s">
        <v>4</v>
      </c>
      <c r="I436" s="97">
        <f ca="1">_xll.meDateFromTenor(I435,"1D","FOLLOWING","TGT")</f>
        <v>43119</v>
      </c>
      <c r="J436" s="95">
        <f ca="1"/>
        <v>-2.1469646852741169E-3</v>
      </c>
      <c r="K436" s="5" t="s">
        <v>4</v>
      </c>
      <c r="L436" s="97">
        <f ca="1">_xll.meDateFromTenor(L435,"1D","FOLLOWING","TGT")</f>
        <v>43119</v>
      </c>
      <c r="M436" s="95">
        <f ca="1"/>
        <v>-1.4912409344733485E-3</v>
      </c>
      <c r="N436" s="5" t="s">
        <v>4</v>
      </c>
      <c r="O436" s="97">
        <f ca="1">_xll.meDateFromTenor(O435,"1D","FOLLOWING","TGT")</f>
        <v>43119</v>
      </c>
      <c r="P436" s="95">
        <f ca="1"/>
        <v>3.5847483165925233E-4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-3.9682801999035055E-3</v>
      </c>
      <c r="H437" s="92" t="s">
        <v>4</v>
      </c>
      <c r="I437" s="97">
        <f ca="1">_xll.meDateFromTenor(I436,"1D","FOLLOWING","TGT")</f>
        <v>43122</v>
      </c>
      <c r="J437" s="95">
        <f ca="1"/>
        <v>-2.0953860720916576E-3</v>
      </c>
      <c r="K437" s="5" t="s">
        <v>4</v>
      </c>
      <c r="L437" s="97">
        <f ca="1">_xll.meDateFromTenor(L436,"1D","FOLLOWING","TGT")</f>
        <v>43122</v>
      </c>
      <c r="M437" s="95">
        <f ca="1"/>
        <v>-1.4794392683932906E-3</v>
      </c>
      <c r="N437" s="5" t="s">
        <v>4</v>
      </c>
      <c r="O437" s="97">
        <f ca="1">_xll.meDateFromTenor(O436,"1D","FOLLOWING","TGT")</f>
        <v>43122</v>
      </c>
      <c r="P437" s="95">
        <f ca="1"/>
        <v>3.6883409621065328E-4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-3.9666811742048941E-3</v>
      </c>
      <c r="H438" s="92" t="s">
        <v>4</v>
      </c>
      <c r="I438" s="97">
        <f ca="1">_xll.meDateFromTenor(I437,"1D","FOLLOWING","TGT")</f>
        <v>43123</v>
      </c>
      <c r="J438" s="95">
        <f ca="1"/>
        <v>-2.0799610202951561E-3</v>
      </c>
      <c r="K438" s="5" t="s">
        <v>4</v>
      </c>
      <c r="L438" s="97">
        <f ca="1">_xll.meDateFromTenor(L437,"1D","FOLLOWING","TGT")</f>
        <v>43123</v>
      </c>
      <c r="M438" s="95">
        <f ca="1"/>
        <v>-1.4755864642242897E-3</v>
      </c>
      <c r="N438" s="5" t="s">
        <v>4</v>
      </c>
      <c r="O438" s="97">
        <f ca="1">_xll.meDateFromTenor(O437,"1D","FOLLOWING","TGT")</f>
        <v>43123</v>
      </c>
      <c r="P438" s="95">
        <f ca="1"/>
        <v>3.7230328666948279E-4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-3.9650600636134672E-3</v>
      </c>
      <c r="H439" s="92" t="s">
        <v>4</v>
      </c>
      <c r="I439" s="97">
        <f ca="1">_xll.meDateFromTenor(I438,"1D","FOLLOWING","TGT")</f>
        <v>43124</v>
      </c>
      <c r="J439" s="95">
        <f ca="1"/>
        <v>-2.065439210676135E-3</v>
      </c>
      <c r="K439" s="5" t="s">
        <v>4</v>
      </c>
      <c r="L439" s="97">
        <f ca="1">_xll.meDateFromTenor(L438,"1D","FOLLOWING","TGT")</f>
        <v>43124</v>
      </c>
      <c r="M439" s="95">
        <f ca="1"/>
        <v>-1.4717733505735789E-3</v>
      </c>
      <c r="N439" s="5" t="s">
        <v>4</v>
      </c>
      <c r="O439" s="97">
        <f ca="1">_xll.meDateFromTenor(O438,"1D","FOLLOWING","TGT")</f>
        <v>43124</v>
      </c>
      <c r="P439" s="95">
        <f ca="1"/>
        <v>3.7578050655096278E-4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-3.9634156725441398E-3</v>
      </c>
      <c r="H440" s="92" t="s">
        <v>4</v>
      </c>
      <c r="I440" s="97">
        <f ca="1">_xll.meDateFromTenor(I439,"1D","FOLLOWING","TGT")</f>
        <v>43125</v>
      </c>
      <c r="J440" s="95">
        <f ca="1"/>
        <v>-2.0518322427617885E-3</v>
      </c>
      <c r="K440" s="5" t="s">
        <v>4</v>
      </c>
      <c r="L440" s="97">
        <f ca="1">_xll.meDateFromTenor(L439,"1D","FOLLOWING","TGT")</f>
        <v>43125</v>
      </c>
      <c r="M440" s="95">
        <f ca="1"/>
        <v>-1.4679994163948273E-3</v>
      </c>
      <c r="N440" s="5" t="s">
        <v>4</v>
      </c>
      <c r="O440" s="97">
        <f ca="1">_xll.meDateFromTenor(O439,"1D","FOLLOWING","TGT")</f>
        <v>43125</v>
      </c>
      <c r="P440" s="95">
        <f ca="1"/>
        <v>3.7926574282617432E-4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-3.9617468054118296E-3</v>
      </c>
      <c r="H441" s="92" t="s">
        <v>4</v>
      </c>
      <c r="I441" s="97">
        <f ca="1">_xll.meDateFromTenor(I440,"1D","FOLLOWING","TGT")</f>
        <v>43126</v>
      </c>
      <c r="J441" s="95">
        <f ca="1"/>
        <v>-2.0391517160793086E-3</v>
      </c>
      <c r="K441" s="5" t="s">
        <v>4</v>
      </c>
      <c r="L441" s="97">
        <f ca="1">_xll.meDateFromTenor(L440,"1D","FOLLOWING","TGT")</f>
        <v>43126</v>
      </c>
      <c r="M441" s="95">
        <f ca="1"/>
        <v>-1.4642641506417029E-3</v>
      </c>
      <c r="N441" s="5" t="s">
        <v>4</v>
      </c>
      <c r="O441" s="97">
        <f ca="1">_xll.meDateFromTenor(O440,"1D","FOLLOWING","TGT")</f>
        <v>43126</v>
      </c>
      <c r="P441" s="95">
        <f ca="1"/>
        <v>3.8275898246619908E-4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-3.956581391786178E-3</v>
      </c>
      <c r="H442" s="92" t="s">
        <v>4</v>
      </c>
      <c r="I442" s="97">
        <f ca="1">_xll.meDateFromTenor(I441,"1D","FOLLOWING","TGT")</f>
        <v>43129</v>
      </c>
      <c r="J442" s="95">
        <f ca="1"/>
        <v>-2.0067847786949893E-3</v>
      </c>
      <c r="K442" s="5" t="s">
        <v>4</v>
      </c>
      <c r="L442" s="97">
        <f ca="1">_xll.meDateFromTenor(L441,"1D","FOLLOWING","TGT")</f>
        <v>43129</v>
      </c>
      <c r="M442" s="95">
        <f ca="1"/>
        <v>-1.4532852534727767E-3</v>
      </c>
      <c r="N442" s="5" t="s">
        <v>4</v>
      </c>
      <c r="O442" s="97">
        <f ca="1">_xll.meDateFromTenor(O441,"1D","FOLLOWING","TGT")</f>
        <v>43129</v>
      </c>
      <c r="P442" s="95">
        <f ca="1"/>
        <v>3.9328659128596926E-4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-3.9548026645511106E-3</v>
      </c>
      <c r="H443" s="92" t="s">
        <v>4</v>
      </c>
      <c r="I443" s="97">
        <f ca="1">_xll.meDateFromTenor(I442,"1D","FOLLOWING","TGT")</f>
        <v>43130</v>
      </c>
      <c r="J443" s="95">
        <f ca="1"/>
        <v>-1.9979260122119005E-3</v>
      </c>
      <c r="K443" s="5" t="s">
        <v>4</v>
      </c>
      <c r="L443" s="97">
        <f ca="1">_xll.meDateFromTenor(L442,"1D","FOLLOWING","TGT")</f>
        <v>43130</v>
      </c>
      <c r="M443" s="95">
        <f ca="1"/>
        <v>-1.4496995509588456E-3</v>
      </c>
      <c r="N443" s="5" t="s">
        <v>4</v>
      </c>
      <c r="O443" s="97">
        <f ca="1">_xll.meDateFromTenor(O442,"1D","FOLLOWING","TGT")</f>
        <v>43130</v>
      </c>
      <c r="P443" s="95">
        <f ca="1"/>
        <v>3.968117140960624E-4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-3.952993483327648E-3</v>
      </c>
      <c r="H444" s="92" t="s">
        <v>4</v>
      </c>
      <c r="I444" s="97">
        <f ca="1">_xll.meDateFromTenor(I443,"1D","FOLLOWING","TGT")</f>
        <v>43131</v>
      </c>
      <c r="J444" s="95">
        <f ca="1"/>
        <v>-1.9900516845966403E-3</v>
      </c>
      <c r="K444" s="5" t="s">
        <v>4</v>
      </c>
      <c r="L444" s="97">
        <f ca="1">_xll.meDateFromTenor(L443,"1D","FOLLOWING","TGT")</f>
        <v>43131</v>
      </c>
      <c r="M444" s="95">
        <f ca="1"/>
        <v>-1.4461499616388843E-3</v>
      </c>
      <c r="N444" s="5" t="s">
        <v>4</v>
      </c>
      <c r="O444" s="97">
        <f ca="1">_xll.meDateFromTenor(O443,"1D","FOLLOWING","TGT")</f>
        <v>43131</v>
      </c>
      <c r="P444" s="95">
        <f ca="1"/>
        <v>4.0034477512637678E-4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-3.9511526525307051E-3</v>
      </c>
      <c r="H445" s="92" t="s">
        <v>4</v>
      </c>
      <c r="I445" s="97">
        <f ca="1">_xll.meDateFromTenor(I444,"1D","FOLLOWING","TGT")</f>
        <v>43132</v>
      </c>
      <c r="J445" s="95">
        <f ca="1"/>
        <v>-1.9831733953764026E-3</v>
      </c>
      <c r="K445" s="5" t="s">
        <v>4</v>
      </c>
      <c r="L445" s="97">
        <f ca="1">_xll.meDateFromTenor(L444,"1D","FOLLOWING","TGT")</f>
        <v>43132</v>
      </c>
      <c r="M445" s="95">
        <f ca="1"/>
        <v>-1.4426359744665609E-3</v>
      </c>
      <c r="N445" s="5" t="s">
        <v>4</v>
      </c>
      <c r="O445" s="97">
        <f ca="1">_xll.meDateFromTenor(O444,"1D","FOLLOWING","TGT")</f>
        <v>43132</v>
      </c>
      <c r="P445" s="95">
        <f ca="1"/>
        <v>4.0388576134799337E-4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-3.9492789765752014E-3</v>
      </c>
      <c r="H446" s="92" t="s">
        <v>4</v>
      </c>
      <c r="I446" s="97">
        <f ca="1">_xll.meDateFromTenor(I445,"1D","FOLLOWING","TGT")</f>
        <v>43133</v>
      </c>
      <c r="J446" s="95">
        <f ca="1"/>
        <v>-1.9773027440783807E-3</v>
      </c>
      <c r="K446" s="5" t="s">
        <v>4</v>
      </c>
      <c r="L446" s="97">
        <f ca="1">_xll.meDateFromTenor(L445,"1D","FOLLOWING","TGT")</f>
        <v>43133</v>
      </c>
      <c r="M446" s="95">
        <f ca="1"/>
        <v>-1.4391570783955439E-3</v>
      </c>
      <c r="N446" s="5" t="s">
        <v>4</v>
      </c>
      <c r="O446" s="97">
        <f ca="1">_xll.meDateFromTenor(O445,"1D","FOLLOWING","TGT")</f>
        <v>43133</v>
      </c>
      <c r="P446" s="95">
        <f ca="1"/>
        <v>4.0743465973199357E-4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-3.9434621309812293E-3</v>
      </c>
      <c r="H447" s="92" t="s">
        <v>4</v>
      </c>
      <c r="I447" s="97">
        <f ca="1">_xll.meDateFromTenor(I446,"1D","FOLLOWING","TGT")</f>
        <v>43136</v>
      </c>
      <c r="J447" s="95">
        <f ca="1"/>
        <v>-1.9658526129895312E-3</v>
      </c>
      <c r="K447" s="5" t="s">
        <v>4</v>
      </c>
      <c r="L447" s="97">
        <f ca="1">_xll.meDateFromTenor(L446,"1D","FOLLOWING","TGT")</f>
        <v>43136</v>
      </c>
      <c r="M447" s="95">
        <f ca="1"/>
        <v>-1.4289258263270178E-3</v>
      </c>
      <c r="N447" s="5" t="s">
        <v>4</v>
      </c>
      <c r="O447" s="97">
        <f ca="1">_xll.meDateFromTenor(O446,"1D","FOLLOWING","TGT")</f>
        <v>43136</v>
      </c>
      <c r="P447" s="95">
        <f ca="1"/>
        <v>4.1812869756911242E-4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-3.9414632198652919E-3</v>
      </c>
      <c r="H448" s="92" t="s">
        <v>4</v>
      </c>
      <c r="I448" s="97">
        <f ca="1">_xll.meDateFromTenor(I447,"1D","FOLLOWING","TGT")</f>
        <v>43137</v>
      </c>
      <c r="J448" s="95">
        <f ca="1"/>
        <v>-1.9641285086522964E-3</v>
      </c>
      <c r="K448" s="5" t="s">
        <v>4</v>
      </c>
      <c r="L448" s="97">
        <f ca="1">_xll.meDateFromTenor(L447,"1D","FOLLOWING","TGT")</f>
        <v>43137</v>
      </c>
      <c r="M448" s="95">
        <f ca="1"/>
        <v>-1.425582184197912E-3</v>
      </c>
      <c r="N448" s="5" t="s">
        <v>4</v>
      </c>
      <c r="O448" s="97">
        <f ca="1">_xll.meDateFromTenor(O447,"1D","FOLLOWING","TGT")</f>
        <v>43137</v>
      </c>
      <c r="P448" s="95">
        <f ca="1"/>
        <v>4.2170911431346303E-4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-3.9394372270651441E-3</v>
      </c>
      <c r="H449" s="92" t="s">
        <v>4</v>
      </c>
      <c r="I449" s="97">
        <f ca="1">_xll.meDateFromTenor(I448,"1D","FOLLOWING","TGT")</f>
        <v>43138</v>
      </c>
      <c r="J449" s="95">
        <f ca="1"/>
        <v>-1.9634700398732403E-3</v>
      </c>
      <c r="K449" s="5" t="s">
        <v>4</v>
      </c>
      <c r="L449" s="97">
        <f ca="1">_xll.meDateFromTenor(L448,"1D","FOLLOWING","TGT")</f>
        <v>43138</v>
      </c>
      <c r="M449" s="95">
        <f ca="1"/>
        <v>-1.4222710779384553E-3</v>
      </c>
      <c r="N449" s="5" t="s">
        <v>4</v>
      </c>
      <c r="O449" s="97">
        <f ca="1">_xll.meDateFromTenor(O448,"1D","FOLLOWING","TGT")</f>
        <v>43138</v>
      </c>
      <c r="P449" s="95">
        <f ca="1"/>
        <v>4.2529737807560472E-4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-3.9373858923456451E-3</v>
      </c>
      <c r="H450" s="92" t="s">
        <v>4</v>
      </c>
      <c r="I450" s="97">
        <f ca="1">_xll.meDateFromTenor(I449,"1D","FOLLOWING","TGT")</f>
        <v>43139</v>
      </c>
      <c r="J450" s="95">
        <f ca="1"/>
        <v>-1.963888806179555E-3</v>
      </c>
      <c r="K450" s="5" t="s">
        <v>4</v>
      </c>
      <c r="L450" s="97">
        <f ca="1">_xll.meDateFromTenor(L449,"1D","FOLLOWING","TGT")</f>
        <v>43139</v>
      </c>
      <c r="M450" s="95">
        <f ca="1"/>
        <v>-1.4189919965023167E-3</v>
      </c>
      <c r="N450" s="5" t="s">
        <v>4</v>
      </c>
      <c r="O450" s="97">
        <f ca="1">_xll.meDateFromTenor(O449,"1D","FOLLOWING","TGT")</f>
        <v>43139</v>
      </c>
      <c r="P450" s="95">
        <f ca="1"/>
        <v>4.2889347582661917E-4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-3.9353109554716558E-3</v>
      </c>
      <c r="H451" s="92" t="s">
        <v>4</v>
      </c>
      <c r="I451" s="97">
        <f ca="1">_xll.meDateFromTenor(I450,"1D","FOLLOWING","TGT")</f>
        <v>43140</v>
      </c>
      <c r="J451" s="95">
        <f ca="1"/>
        <v>-1.9653964070984343E-3</v>
      </c>
      <c r="K451" s="5" t="s">
        <v>4</v>
      </c>
      <c r="L451" s="97">
        <f ca="1">_xll.meDateFromTenor(L450,"1D","FOLLOWING","TGT")</f>
        <v>43140</v>
      </c>
      <c r="M451" s="95">
        <f ca="1"/>
        <v>-1.4157444288431631E-3</v>
      </c>
      <c r="N451" s="5" t="s">
        <v>4</v>
      </c>
      <c r="O451" s="97">
        <f ca="1">_xll.meDateFromTenor(O450,"1D","FOLLOWING","TGT")</f>
        <v>43140</v>
      </c>
      <c r="P451" s="95">
        <f ca="1"/>
        <v>4.324973945375882E-4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-3.9289619295713209E-3</v>
      </c>
      <c r="H452" s="92" t="s">
        <v>4</v>
      </c>
      <c r="I452" s="97">
        <f ca="1">_xll.meDateFromTenor(I451,"1D","FOLLOWING","TGT")</f>
        <v>43143</v>
      </c>
      <c r="J452" s="95">
        <f ca="1"/>
        <v>-1.9765682128023822E-3</v>
      </c>
      <c r="K452" s="5" t="s">
        <v>4</v>
      </c>
      <c r="L452" s="97">
        <f ca="1">_xll.meDateFromTenor(L451,"1D","FOLLOWING","TGT")</f>
        <v>43143</v>
      </c>
      <c r="M452" s="95">
        <f ca="1"/>
        <v>-1.4061856980643046E-3</v>
      </c>
      <c r="N452" s="5" t="s">
        <v>4</v>
      </c>
      <c r="O452" s="97">
        <f ca="1">_xll.meDateFromTenor(O451,"1D","FOLLOWING","TGT")</f>
        <v>43143</v>
      </c>
      <c r="P452" s="95">
        <f ca="1"/>
        <v>4.4335594614103551E-4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-3.9268099817279514E-3</v>
      </c>
      <c r="H453" s="92" t="s">
        <v>4</v>
      </c>
      <c r="I453" s="97">
        <f ca="1">_xll.meDateFromTenor(I452,"1D","FOLLOWING","TGT")</f>
        <v>43144</v>
      </c>
      <c r="J453" s="95">
        <f ca="1"/>
        <v>-1.9825471474434445E-3</v>
      </c>
      <c r="K453" s="5" t="s">
        <v>4</v>
      </c>
      <c r="L453" s="97">
        <f ca="1">_xll.meDateFromTenor(L452,"1D","FOLLOWING","TGT")</f>
        <v>43144</v>
      </c>
      <c r="M453" s="95">
        <f ca="1"/>
        <v>-1.4030590750497801E-3</v>
      </c>
      <c r="N453" s="5" t="s">
        <v>4</v>
      </c>
      <c r="O453" s="97">
        <f ca="1">_xll.meDateFromTenor(O452,"1D","FOLLOWING","TGT")</f>
        <v>43144</v>
      </c>
      <c r="P453" s="95">
        <f ca="1"/>
        <v>4.4699101840263628E-4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-3.9246431305543826E-3</v>
      </c>
      <c r="H454" s="92" t="s">
        <v>4</v>
      </c>
      <c r="I454" s="97">
        <f ca="1">_xll.meDateFromTenor(I453,"1D","FOLLOWING","TGT")</f>
        <v>43145</v>
      </c>
      <c r="J454" s="95">
        <f ca="1"/>
        <v>-1.9896729143330343E-3</v>
      </c>
      <c r="K454" s="5" t="s">
        <v>4</v>
      </c>
      <c r="L454" s="97">
        <f ca="1">_xll.meDateFromTenor(L453,"1D","FOLLOWING","TGT")</f>
        <v>43145</v>
      </c>
      <c r="M454" s="95">
        <f ca="1"/>
        <v>-1.3999614105805842E-3</v>
      </c>
      <c r="N454" s="5" t="s">
        <v>4</v>
      </c>
      <c r="O454" s="97">
        <f ca="1">_xll.meDateFromTenor(O453,"1D","FOLLOWING","TGT")</f>
        <v>43145</v>
      </c>
      <c r="P454" s="95">
        <f ca="1"/>
        <v>4.5063384647959901E-4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-3.9224631158154746E-3</v>
      </c>
      <c r="H455" s="92" t="s">
        <v>4</v>
      </c>
      <c r="I455" s="97">
        <f ca="1">_xll.meDateFromTenor(I454,"1D","FOLLOWING","TGT")</f>
        <v>43146</v>
      </c>
      <c r="J455" s="95">
        <f ca="1"/>
        <v>-1.997957112998344E-3</v>
      </c>
      <c r="K455" s="5" t="s">
        <v>4</v>
      </c>
      <c r="L455" s="97">
        <f ca="1">_xll.meDateFromTenor(L454,"1D","FOLLOWING","TGT")</f>
        <v>43146</v>
      </c>
      <c r="M455" s="95">
        <f ca="1"/>
        <v>-1.3968921936103849E-3</v>
      </c>
      <c r="N455" s="5" t="s">
        <v>4</v>
      </c>
      <c r="O455" s="97">
        <f ca="1">_xll.meDateFromTenor(O454,"1D","FOLLOWING","TGT")</f>
        <v>43146</v>
      </c>
      <c r="P455" s="95">
        <f ca="1"/>
        <v>4.5428441734300521E-4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-3.9202716772760871E-3</v>
      </c>
      <c r="H456" s="92" t="s">
        <v>4</v>
      </c>
      <c r="I456" s="97">
        <f ca="1">_xll.meDateFromTenor(I455,"1D","FOLLOWING","TGT")</f>
        <v>43147</v>
      </c>
      <c r="J456" s="95">
        <f ca="1"/>
        <v>-2.0074113429665672E-3</v>
      </c>
      <c r="K456" s="5" t="s">
        <v>4</v>
      </c>
      <c r="L456" s="97">
        <f ca="1">_xll.meDateFromTenor(L455,"1D","FOLLOWING","TGT")</f>
        <v>43147</v>
      </c>
      <c r="M456" s="95">
        <f ca="1"/>
        <v>-1.3938509130928514E-3</v>
      </c>
      <c r="N456" s="5" t="s">
        <v>4</v>
      </c>
      <c r="O456" s="97">
        <f ca="1">_xll.meDateFromTenor(O455,"1D","FOLLOWING","TGT")</f>
        <v>43147</v>
      </c>
      <c r="P456" s="95">
        <f ca="1"/>
        <v>4.5794271796393562E-4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-3.9136462165036256E-3</v>
      </c>
      <c r="H457" s="92" t="s">
        <v>4</v>
      </c>
      <c r="I457" s="97">
        <f ca="1">_xll.meDateFromTenor(I456,"1D","FOLLOWING","TGT")</f>
        <v>43150</v>
      </c>
      <c r="J457" s="95">
        <f ca="1"/>
        <v>-2.0429102159606402E-3</v>
      </c>
      <c r="K457" s="5" t="s">
        <v>4</v>
      </c>
      <c r="L457" s="97">
        <f ca="1">_xll.meDateFromTenor(L456,"1D","FOLLOWING","TGT")</f>
        <v>43150</v>
      </c>
      <c r="M457" s="95">
        <f ca="1"/>
        <v>-1.3848895797929275E-3</v>
      </c>
      <c r="N457" s="5" t="s">
        <v>4</v>
      </c>
      <c r="O457" s="97">
        <f ca="1">_xll.meDateFromTenor(O456,"1D","FOLLOWING","TGT")</f>
        <v>43150</v>
      </c>
      <c r="P457" s="95">
        <f ca="1"/>
        <v>4.6896386808269121E-4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-3.9114264804109011E-3</v>
      </c>
      <c r="H458" s="92" t="s">
        <v>4</v>
      </c>
      <c r="I458" s="97">
        <f ca="1">_xll.meDateFromTenor(I457,"1D","FOLLOWING","TGT")</f>
        <v>43151</v>
      </c>
      <c r="J458" s="95">
        <f ca="1"/>
        <v>-2.0571605664124418E-3</v>
      </c>
      <c r="K458" s="5" t="s">
        <v>4</v>
      </c>
      <c r="L458" s="97">
        <f ca="1">_xll.meDateFromTenor(L457,"1D","FOLLOWING","TGT")</f>
        <v>43151</v>
      </c>
      <c r="M458" s="95">
        <f ca="1"/>
        <v>-1.3819549346227402E-3</v>
      </c>
      <c r="N458" s="5" t="s">
        <v>4</v>
      </c>
      <c r="O458" s="97">
        <f ca="1">_xll.meDateFromTenor(O457,"1D","FOLLOWING","TGT")</f>
        <v>43151</v>
      </c>
      <c r="P458" s="95">
        <f ca="1"/>
        <v>4.7265295744453555E-4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-3.909204019341991E-3</v>
      </c>
      <c r="H459" s="92" t="s">
        <v>4</v>
      </c>
      <c r="I459" s="97">
        <f ca="1">_xll.meDateFromTenor(I458,"1D","FOLLOWING","TGT")</f>
        <v>43152</v>
      </c>
      <c r="J459" s="95">
        <f ca="1"/>
        <v>-2.0726389458031198E-3</v>
      </c>
      <c r="K459" s="5" t="s">
        <v>4</v>
      </c>
      <c r="L459" s="97">
        <f ca="1">_xll.meDateFromTenor(L458,"1D","FOLLOWING","TGT")</f>
        <v>43152</v>
      </c>
      <c r="M459" s="95">
        <f ca="1"/>
        <v>-1.3790456706735607E-3</v>
      </c>
      <c r="N459" s="5" t="s">
        <v>4</v>
      </c>
      <c r="O459" s="97">
        <f ca="1">_xll.meDateFromTenor(O458,"1D","FOLLOWING","TGT")</f>
        <v>43152</v>
      </c>
      <c r="P459" s="95">
        <f ca="1"/>
        <v>4.7634971141931223E-4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-3.9069805730617526E-3</v>
      </c>
      <c r="H460" s="92" t="s">
        <v>4</v>
      </c>
      <c r="I460" s="97">
        <f ca="1">_xll.meDateFromTenor(I459,"1D","FOLLOWING","TGT")</f>
        <v>43153</v>
      </c>
      <c r="J460" s="95">
        <f ca="1"/>
        <v>-2.0893569536598678E-3</v>
      </c>
      <c r="K460" s="5" t="s">
        <v>4</v>
      </c>
      <c r="L460" s="97">
        <f ca="1">_xll.meDateFromTenor(L459,"1D","FOLLOWING","TGT")</f>
        <v>43153</v>
      </c>
      <c r="M460" s="95">
        <f ca="1"/>
        <v>-1.3761612768990574E-3</v>
      </c>
      <c r="N460" s="5" t="s">
        <v>4</v>
      </c>
      <c r="O460" s="97">
        <f ca="1">_xll.meDateFromTenor(O459,"1D","FOLLOWING","TGT")</f>
        <v>43153</v>
      </c>
      <c r="P460" s="95">
        <f ca="1"/>
        <v>4.8005411697810287E-4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-3.9047578813350445E-3</v>
      </c>
      <c r="H461" s="92" t="s">
        <v>4</v>
      </c>
      <c r="I461" s="97">
        <f ca="1">_xll.meDateFromTenor(I460,"1D","FOLLOWING","TGT")</f>
        <v>43154</v>
      </c>
      <c r="J461" s="95">
        <f ca="1"/>
        <v>-2.1073261895098775E-3</v>
      </c>
      <c r="K461" s="5" t="s">
        <v>4</v>
      </c>
      <c r="L461" s="97">
        <f ca="1">_xll.meDateFromTenor(L460,"1D","FOLLOWING","TGT")</f>
        <v>43154</v>
      </c>
      <c r="M461" s="95">
        <f ca="1"/>
        <v>-1.3733012422528991E-3</v>
      </c>
      <c r="N461" s="5" t="s">
        <v>4</v>
      </c>
      <c r="O461" s="97">
        <f ca="1">_xll.meDateFromTenor(O460,"1D","FOLLOWING","TGT")</f>
        <v>43154</v>
      </c>
      <c r="P461" s="95">
        <f ca="1"/>
        <v>4.837661610919886E-4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-3.8981117311246913E-3</v>
      </c>
      <c r="H462" s="92" t="s">
        <v>4</v>
      </c>
      <c r="I462" s="97">
        <f ca="1">_xll.meDateFromTenor(I461,"1D","FOLLOWING","TGT")</f>
        <v>43157</v>
      </c>
      <c r="J462" s="95">
        <f ca="1"/>
        <v>-2.1688572602914036E-3</v>
      </c>
      <c r="K462" s="5" t="s">
        <v>4</v>
      </c>
      <c r="L462" s="97">
        <f ca="1">_xll.meDateFromTenor(L461,"1D","FOLLOWING","TGT")</f>
        <v>43157</v>
      </c>
      <c r="M462" s="95">
        <f ca="1"/>
        <v>-1.3648621826211774E-3</v>
      </c>
      <c r="N462" s="5" t="s">
        <v>4</v>
      </c>
      <c r="O462" s="97">
        <f ca="1">_xll.meDateFromTenor(O461,"1D","FOLLOWING","TGT")</f>
        <v>43157</v>
      </c>
      <c r="P462" s="95">
        <f ca="1"/>
        <v>4.9494799447503187E-4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-3.8959094552606928E-3</v>
      </c>
      <c r="H463" s="92" t="s">
        <v>4</v>
      </c>
      <c r="I463" s="97">
        <f ca="1">_xll.meDateFromTenor(I462,"1D","FOLLOWING","TGT")</f>
        <v>43158</v>
      </c>
      <c r="J463" s="95">
        <f ca="1"/>
        <v>-2.1919474033863877E-3</v>
      </c>
      <c r="K463" s="5" t="s">
        <v>4</v>
      </c>
      <c r="L463" s="97">
        <f ca="1">_xll.meDateFromTenor(L462,"1D","FOLLOWING","TGT")</f>
        <v>43158</v>
      </c>
      <c r="M463" s="95">
        <f ca="1"/>
        <v>-1.362094474025083E-3</v>
      </c>
      <c r="N463" s="5" t="s">
        <v>4</v>
      </c>
      <c r="O463" s="97">
        <f ca="1">_xll.meDateFromTenor(O462,"1D","FOLLOWING","TGT")</f>
        <v>43158</v>
      </c>
      <c r="P463" s="95">
        <f ca="1"/>
        <v>4.9869046252011345E-4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-3.8937166327745187E-3</v>
      </c>
      <c r="H464" s="92" t="s">
        <v>4</v>
      </c>
      <c r="I464" s="97">
        <f ca="1">_xll.meDateFromTenor(I463,"1D","FOLLOWING","TGT")</f>
        <v>43159</v>
      </c>
      <c r="J464" s="95">
        <f ca="1"/>
        <v>-2.2163467721105987E-3</v>
      </c>
      <c r="K464" s="5" t="s">
        <v>4</v>
      </c>
      <c r="L464" s="97">
        <f ca="1">_xll.meDateFromTenor(L463,"1D","FOLLOWING","TGT")</f>
        <v>43159</v>
      </c>
      <c r="M464" s="95">
        <f ca="1"/>
        <v>-1.3593485693256758E-3</v>
      </c>
      <c r="N464" s="5" t="s">
        <v>4</v>
      </c>
      <c r="O464" s="97">
        <f ca="1">_xll.meDateFromTenor(O463,"1D","FOLLOWING","TGT")</f>
        <v>43159</v>
      </c>
      <c r="P464" s="95">
        <f ca="1"/>
        <v>5.0244050397569781E-4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-3.8915350034310278E-3</v>
      </c>
      <c r="H465" s="92" t="s">
        <v>4</v>
      </c>
      <c r="I465" s="97">
        <f ca="1">_xll.meDateFromTenor(I464,"1D","FOLLOWING","TGT")</f>
        <v>43160</v>
      </c>
      <c r="J465" s="95">
        <f ca="1"/>
        <v>-2.242066965991225E-3</v>
      </c>
      <c r="K465" s="5" t="s">
        <v>4</v>
      </c>
      <c r="L465" s="97">
        <f ca="1">_xll.meDateFromTenor(L464,"1D","FOLLOWING","TGT")</f>
        <v>43160</v>
      </c>
      <c r="M465" s="95">
        <f ca="1"/>
        <v>-1.3566239574766244E-3</v>
      </c>
      <c r="N465" s="5" t="s">
        <v>4</v>
      </c>
      <c r="O465" s="97">
        <f ca="1">_xll.meDateFromTenor(O464,"1D","FOLLOWING","TGT")</f>
        <v>43160</v>
      </c>
      <c r="P465" s="95">
        <f ca="1"/>
        <v>5.0619810581286587E-4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-3.8893663069950782E-3</v>
      </c>
      <c r="H466" s="92" t="s">
        <v>4</v>
      </c>
      <c r="I466" s="97">
        <f ca="1">_xll.meDateFromTenor(I465,"1D","FOLLOWING","TGT")</f>
        <v>43161</v>
      </c>
      <c r="J466" s="95">
        <f ca="1"/>
        <v>-2.2691195845554626E-3</v>
      </c>
      <c r="K466" s="5" t="s">
        <v>4</v>
      </c>
      <c r="L466" s="97">
        <f ca="1">_xll.meDateFromTenor(L465,"1D","FOLLOWING","TGT")</f>
        <v>43161</v>
      </c>
      <c r="M466" s="95">
        <f ca="1"/>
        <v>-1.3539201274315976E-3</v>
      </c>
      <c r="N466" s="5" t="s">
        <v>4</v>
      </c>
      <c r="O466" s="97">
        <f ca="1">_xll.meDateFromTenor(O465,"1D","FOLLOWING","TGT")</f>
        <v>43161</v>
      </c>
      <c r="P466" s="95">
        <f ca="1"/>
        <v>5.0996325500269972E-4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-3.8829393091095337E-3</v>
      </c>
      <c r="H467" s="92" t="s">
        <v>4</v>
      </c>
      <c r="I467" s="97">
        <f ca="1">_xll.meDateFromTenor(I466,"1D","FOLLOWING","TGT")</f>
        <v>43164</v>
      </c>
      <c r="J467" s="95">
        <f ca="1"/>
        <v>-2.3577757082156666E-3</v>
      </c>
      <c r="K467" s="5" t="s">
        <v>4</v>
      </c>
      <c r="L467" s="97">
        <f ca="1">_xll.meDateFromTenor(L466,"1D","FOLLOWING","TGT")</f>
        <v>43164</v>
      </c>
      <c r="M467" s="95">
        <f ca="1"/>
        <v>-1.3459282176573454E-3</v>
      </c>
      <c r="N467" s="5" t="s">
        <v>4</v>
      </c>
      <c r="O467" s="97">
        <f ca="1">_xll.meDateFromTenor(O466,"1D","FOLLOWING","TGT")</f>
        <v>43164</v>
      </c>
      <c r="P467" s="95">
        <f ca="1"/>
        <v>5.2130385639901126E-4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-3.8808179480320872E-3</v>
      </c>
      <c r="H468" s="92" t="s">
        <v>4</v>
      </c>
      <c r="I468" s="97">
        <f ca="1">_xll.meDateFromTenor(I467,"1D","FOLLOWING","TGT")</f>
        <v>43165</v>
      </c>
      <c r="J468" s="95">
        <f ca="1"/>
        <v>-2.3894349767112394E-3</v>
      </c>
      <c r="K468" s="5" t="s">
        <v>4</v>
      </c>
      <c r="L468" s="97">
        <f ca="1">_xll.meDateFromTenor(L467,"1D","FOLLOWING","TGT")</f>
        <v>43165</v>
      </c>
      <c r="M468" s="95">
        <f ca="1"/>
        <v>-1.3433024043650998E-3</v>
      </c>
      <c r="N468" s="5" t="s">
        <v>4</v>
      </c>
      <c r="O468" s="97">
        <f ca="1">_xll.meDateFromTenor(O467,"1D","FOLLOWING","TGT")</f>
        <v>43165</v>
      </c>
      <c r="P468" s="95">
        <f ca="1"/>
        <v>5.250990647103225E-4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-3.8787040820895567E-3</v>
      </c>
      <c r="H469" s="92" t="s">
        <v>4</v>
      </c>
      <c r="I469" s="97">
        <f ca="1">_xll.meDateFromTenor(I468,"1D","FOLLOWING","TGT")</f>
        <v>43166</v>
      </c>
      <c r="J469" s="95">
        <f ca="1"/>
        <v>-2.4219404227209572E-3</v>
      </c>
      <c r="K469" s="5" t="s">
        <v>4</v>
      </c>
      <c r="L469" s="97">
        <f ca="1">_xll.meDateFromTenor(L468,"1D","FOLLOWING","TGT")</f>
        <v>43166</v>
      </c>
      <c r="M469" s="95">
        <f ca="1"/>
        <v>-1.3406948176452212E-3</v>
      </c>
      <c r="N469" s="5" t="s">
        <v>4</v>
      </c>
      <c r="O469" s="97">
        <f ca="1">_xll.meDateFromTenor(O468,"1D","FOLLOWING","TGT")</f>
        <v>43166</v>
      </c>
      <c r="P469" s="95">
        <f ca="1"/>
        <v>5.2890175522970714E-4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-3.8765959168975705E-3</v>
      </c>
      <c r="H470" s="92" t="s">
        <v>4</v>
      </c>
      <c r="I470" s="97">
        <f ca="1">_xll.meDateFromTenor(I469,"1D","FOLLOWING","TGT")</f>
        <v>43167</v>
      </c>
      <c r="J470" s="95">
        <f ca="1"/>
        <v>-2.4551675845706595E-3</v>
      </c>
      <c r="K470" s="5" t="s">
        <v>4</v>
      </c>
      <c r="L470" s="97">
        <f ca="1">_xll.meDateFromTenor(L469,"1D","FOLLOWING","TGT")</f>
        <v>43167</v>
      </c>
      <c r="M470" s="95">
        <f ca="1"/>
        <v>-1.338104946451377E-3</v>
      </c>
      <c r="N470" s="5" t="s">
        <v>4</v>
      </c>
      <c r="O470" s="97">
        <f ca="1">_xll.meDateFromTenor(O469,"1D","FOLLOWING","TGT")</f>
        <v>43167</v>
      </c>
      <c r="P470" s="95">
        <f ca="1"/>
        <v>5.3271191492824661E-4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-3.8744916580717571E-3</v>
      </c>
      <c r="H471" s="92" t="s">
        <v>4</v>
      </c>
      <c r="I471" s="97">
        <f ca="1">_xll.meDateFromTenor(I470,"1D","FOLLOWING","TGT")</f>
        <v>43168</v>
      </c>
      <c r="J471" s="95">
        <f ca="1"/>
        <v>-2.4889920005861793E-3</v>
      </c>
      <c r="K471" s="5" t="s">
        <v>4</v>
      </c>
      <c r="L471" s="97">
        <f ca="1">_xll.meDateFromTenor(L470,"1D","FOLLOWING","TGT")</f>
        <v>43168</v>
      </c>
      <c r="M471" s="95">
        <f ca="1"/>
        <v>-1.3355322797372366E-3</v>
      </c>
      <c r="N471" s="5" t="s">
        <v>4</v>
      </c>
      <c r="O471" s="97">
        <f ca="1">_xll.meDateFromTenor(O470,"1D","FOLLOWING","TGT")</f>
        <v>43168</v>
      </c>
      <c r="P471" s="95">
        <f ca="1"/>
        <v>5.3652953077702238E-4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-3.8681843759476439E-3</v>
      </c>
      <c r="H472" s="92" t="s">
        <v>4</v>
      </c>
      <c r="I472" s="97">
        <f ca="1">_xll.meDateFromTenor(I471,"1D","FOLLOWING","TGT")</f>
        <v>43171</v>
      </c>
      <c r="J472" s="95">
        <f ca="1"/>
        <v>-2.5928041568859918E-3</v>
      </c>
      <c r="K472" s="5" t="s">
        <v>4</v>
      </c>
      <c r="L472" s="97">
        <f ca="1">_xll.meDateFromTenor(L471,"1D","FOLLOWING","TGT")</f>
        <v>43171</v>
      </c>
      <c r="M472" s="95">
        <f ca="1"/>
        <v>-1.3279123960097227E-3</v>
      </c>
      <c r="N472" s="5" t="s">
        <v>4</v>
      </c>
      <c r="O472" s="97">
        <f ca="1">_xll.meDateFromTenor(O471,"1D","FOLLOWING","TGT")</f>
        <v>43171</v>
      </c>
      <c r="P472" s="95">
        <f ca="1"/>
        <v>5.4802698493558043E-4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-3.8660777987428101E-3</v>
      </c>
      <c r="H473" s="92" t="s">
        <v>4</v>
      </c>
      <c r="I473" s="97">
        <f ca="1">_xll.meDateFromTenor(I472,"1D","FOLLOWING","TGT")</f>
        <v>43172</v>
      </c>
      <c r="J473" s="95">
        <f ca="1"/>
        <v>-2.6277729728231367E-3</v>
      </c>
      <c r="K473" s="5" t="s">
        <v>4</v>
      </c>
      <c r="L473" s="97">
        <f ca="1">_xll.meDateFromTenor(L472,"1D","FOLLOWING","TGT")</f>
        <v>43172</v>
      </c>
      <c r="M473" s="95">
        <f ca="1"/>
        <v>-1.3254034367510812E-3</v>
      </c>
      <c r="N473" s="5" t="s">
        <v>4</v>
      </c>
      <c r="O473" s="97">
        <f ca="1">_xll.meDateFromTenor(O472,"1D","FOLLOWING","TGT")</f>
        <v>43172</v>
      </c>
      <c r="P473" s="95">
        <f ca="1"/>
        <v>5.5187429509611556E-4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-3.8639661559822938E-3</v>
      </c>
      <c r="H474" s="92" t="s">
        <v>4</v>
      </c>
      <c r="I474" s="97">
        <f ca="1">_xll.meDateFromTenor(I473,"1D","FOLLOWING","TGT")</f>
        <v>43173</v>
      </c>
      <c r="J474" s="95">
        <f ca="1"/>
        <v>-2.6627167345552767E-3</v>
      </c>
      <c r="K474" s="5" t="s">
        <v>4</v>
      </c>
      <c r="L474" s="97">
        <f ca="1">_xll.meDateFromTenor(L473,"1D","FOLLOWING","TGT")</f>
        <v>43173</v>
      </c>
      <c r="M474" s="95">
        <f ca="1"/>
        <v>-1.3229091267404863E-3</v>
      </c>
      <c r="N474" s="5" t="s">
        <v>4</v>
      </c>
      <c r="O474" s="97">
        <f ca="1">_xll.meDateFromTenor(O473,"1D","FOLLOWING","TGT")</f>
        <v>43173</v>
      </c>
      <c r="P474" s="95">
        <f ca="1"/>
        <v>5.5572899626229447E-4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-3.8618476532817246E-3</v>
      </c>
      <c r="H475" s="92" t="s">
        <v>4</v>
      </c>
      <c r="I475" s="97">
        <f ca="1">_xll.meDateFromTenor(I474,"1D","FOLLOWING","TGT")</f>
        <v>43174</v>
      </c>
      <c r="J475" s="95">
        <f ca="1"/>
        <v>-2.6975109804082439E-3</v>
      </c>
      <c r="K475" s="5" t="s">
        <v>4</v>
      </c>
      <c r="L475" s="97">
        <f ca="1">_xll.meDateFromTenor(L474,"1D","FOLLOWING","TGT")</f>
        <v>43174</v>
      </c>
      <c r="M475" s="95">
        <f ca="1"/>
        <v>-1.320428954931606E-3</v>
      </c>
      <c r="N475" s="5" t="s">
        <v>4</v>
      </c>
      <c r="O475" s="97">
        <f ca="1">_xll.meDateFromTenor(O474,"1D","FOLLOWING","TGT")</f>
        <v>43174</v>
      </c>
      <c r="P475" s="95">
        <f ca="1"/>
        <v>5.5959107540519794E-4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-3.8597204962567285E-3</v>
      </c>
      <c r="H476" s="92" t="s">
        <v>4</v>
      </c>
      <c r="I476" s="97">
        <f ca="1">_xll.meDateFromTenor(I475,"1D","FOLLOWING","TGT")</f>
        <v>43175</v>
      </c>
      <c r="J476" s="95">
        <f ca="1"/>
        <v>-2.7320312487078779E-3</v>
      </c>
      <c r="K476" s="5" t="s">
        <v>4</v>
      </c>
      <c r="L476" s="97">
        <f ca="1">_xll.meDateFromTenor(L475,"1D","FOLLOWING","TGT")</f>
        <v>43175</v>
      </c>
      <c r="M476" s="95">
        <f ca="1"/>
        <v>-1.3179624102781088E-3</v>
      </c>
      <c r="N476" s="5" t="s">
        <v>4</v>
      </c>
      <c r="O476" s="97">
        <f ca="1">_xll.meDateFromTenor(O475,"1D","FOLLOWING","TGT")</f>
        <v>43175</v>
      </c>
      <c r="P476" s="95">
        <f ca="1"/>
        <v>5.634605194959081E-4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-3.8532691553914756E-3</v>
      </c>
      <c r="H477" s="92" t="s">
        <v>4</v>
      </c>
      <c r="I477" s="97">
        <f ca="1">_xll.meDateFromTenor(I476,"1D","FOLLOWING","TGT")</f>
        <v>43178</v>
      </c>
      <c r="J477" s="95">
        <f ca="1"/>
        <v>-2.8327035715451409E-3</v>
      </c>
      <c r="K477" s="5" t="s">
        <v>4</v>
      </c>
      <c r="L477" s="97">
        <f ca="1">_xll.meDateFromTenor(L476,"1D","FOLLOWING","TGT")</f>
        <v>43178</v>
      </c>
      <c r="M477" s="95">
        <f ca="1"/>
        <v>-1.3106394287865993E-3</v>
      </c>
      <c r="N477" s="5" t="s">
        <v>4</v>
      </c>
      <c r="O477" s="97">
        <f ca="1">_xll.meDateFromTenor(O476,"1D","FOLLOWING","TGT")</f>
        <v>43178</v>
      </c>
      <c r="P477" s="95">
        <f ca="1"/>
        <v>5.7511291116569348E-4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-3.8510894372250654E-3</v>
      </c>
      <c r="H478" s="92" t="s">
        <v>4</v>
      </c>
      <c r="I478" s="97">
        <f ca="1">_xll.meDateFromTenor(I477,"1D","FOLLOWING","TGT")</f>
        <v>43179</v>
      </c>
      <c r="J478" s="95">
        <f ca="1"/>
        <v>-2.864883312889796E-3</v>
      </c>
      <c r="K478" s="5" t="s">
        <v>4</v>
      </c>
      <c r="L478" s="97">
        <f ca="1">_xll.meDateFromTenor(L477,"1D","FOLLOWING","TGT")</f>
        <v>43179</v>
      </c>
      <c r="M478" s="95">
        <f ca="1"/>
        <v>-1.3082222822913187E-3</v>
      </c>
      <c r="N478" s="5" t="s">
        <v>4</v>
      </c>
      <c r="O478" s="97">
        <f ca="1">_xll.meDateFromTenor(O477,"1D","FOLLOWING","TGT")</f>
        <v>43179</v>
      </c>
      <c r="P478" s="95">
        <f ca="1"/>
        <v>5.7901168475844498E-4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-3.8488920928123737E-3</v>
      </c>
      <c r="H479" s="92" t="s">
        <v>4</v>
      </c>
      <c r="I479" s="97">
        <f ca="1">_xll.meDateFromTenor(I478,"1D","FOLLOWING","TGT")</f>
        <v>43180</v>
      </c>
      <c r="J479" s="95">
        <f ca="1"/>
        <v>-2.8961667683102994E-3</v>
      </c>
      <c r="K479" s="5" t="s">
        <v>4</v>
      </c>
      <c r="L479" s="97">
        <f ca="1">_xll.meDateFromTenor(L478,"1D","FOLLOWING","TGT")</f>
        <v>43180</v>
      </c>
      <c r="M479" s="95">
        <f ca="1"/>
        <v>-1.3058162077197635E-3</v>
      </c>
      <c r="N479" s="5" t="s">
        <v>4</v>
      </c>
      <c r="O479" s="97">
        <f ca="1">_xll.meDateFromTenor(O478,"1D","FOLLOWING","TGT")</f>
        <v>43180</v>
      </c>
      <c r="P479" s="95">
        <f ca="1"/>
        <v>5.8291775815441074E-4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-3.8466753277690293E-3</v>
      </c>
      <c r="H480" s="92" t="s">
        <v>4</v>
      </c>
      <c r="I480" s="97">
        <f ca="1">_xll.meDateFromTenor(I479,"1D","FOLLOWING","TGT")</f>
        <v>43181</v>
      </c>
      <c r="J480" s="95">
        <f ca="1"/>
        <v>-2.9264523607483938E-3</v>
      </c>
      <c r="K480" s="5" t="s">
        <v>4</v>
      </c>
      <c r="L480" s="97">
        <f ca="1">_xll.meDateFromTenor(L479,"1D","FOLLOWING","TGT")</f>
        <v>43181</v>
      </c>
      <c r="M480" s="95">
        <f ca="1"/>
        <v>-1.3034206940256022E-3</v>
      </c>
      <c r="N480" s="5" t="s">
        <v>4</v>
      </c>
      <c r="O480" s="97">
        <f ca="1">_xll.meDateFromTenor(O479,"1D","FOLLOWING","TGT")</f>
        <v>43181</v>
      </c>
      <c r="P480" s="95">
        <f ca="1"/>
        <v>5.8683111832467222E-4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-3.8444373477106602E-3</v>
      </c>
      <c r="H481" s="92" t="s">
        <v>4</v>
      </c>
      <c r="I481" s="97">
        <f ca="1">_xll.meDateFromTenor(I480,"1D","FOLLOWING","TGT")</f>
        <v>43182</v>
      </c>
      <c r="J481" s="95">
        <f ca="1"/>
        <v>-2.9557300516094669E-3</v>
      </c>
      <c r="K481" s="5" t="s">
        <v>4</v>
      </c>
      <c r="L481" s="97">
        <f ca="1">_xll.meDateFromTenor(L480,"1D","FOLLOWING","TGT")</f>
        <v>43182</v>
      </c>
      <c r="M481" s="95">
        <f ca="1"/>
        <v>-1.3010352301625035E-3</v>
      </c>
      <c r="N481" s="5" t="s">
        <v>4</v>
      </c>
      <c r="O481" s="97">
        <f ca="1">_xll.meDateFromTenor(O480,"1D","FOLLOWING","TGT")</f>
        <v>43182</v>
      </c>
      <c r="P481" s="95">
        <f ca="1"/>
        <v>5.9075175224031033E-4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-3.8375781736016976E-3</v>
      </c>
      <c r="H482" s="92" t="s">
        <v>4</v>
      </c>
      <c r="I482" s="97">
        <f ca="1">_xll.meDateFromTenor(I481,"1D","FOLLOWING","TGT")</f>
        <v>43185</v>
      </c>
      <c r="J482" s="95">
        <f ca="1"/>
        <v>-3.0376441749435982E-3</v>
      </c>
      <c r="K482" s="5" t="s">
        <v>4</v>
      </c>
      <c r="L482" s="97">
        <f ca="1">_xll.meDateFromTenor(L481,"1D","FOLLOWING","TGT")</f>
        <v>43185</v>
      </c>
      <c r="M482" s="95">
        <f ca="1"/>
        <v>-1.2939340270962663E-3</v>
      </c>
      <c r="N482" s="5" t="s">
        <v>4</v>
      </c>
      <c r="O482" s="97">
        <f ca="1">_xll.meDateFromTenor(O481,"1D","FOLLOWING","TGT")</f>
        <v>43185</v>
      </c>
      <c r="P482" s="95">
        <f ca="1"/>
        <v>6.0255716617030265E-4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-3.8352373896395203E-3</v>
      </c>
      <c r="H483" s="92" t="s">
        <v>4</v>
      </c>
      <c r="I483" s="97">
        <f ca="1">_xll.meDateFromTenor(I482,"1D","FOLLOWING","TGT")</f>
        <v>43186</v>
      </c>
      <c r="J483" s="95">
        <f ca="1"/>
        <v>-3.0630187197096177E-3</v>
      </c>
      <c r="K483" s="5" t="s">
        <v>4</v>
      </c>
      <c r="L483" s="97">
        <f ca="1">_xll.meDateFromTenor(L482,"1D","FOLLOWING","TGT")</f>
        <v>43186</v>
      </c>
      <c r="M483" s="95">
        <f ca="1"/>
        <v>-1.291583652094102E-3</v>
      </c>
      <c r="N483" s="5" t="s">
        <v>4</v>
      </c>
      <c r="O483" s="97">
        <f ca="1">_xll.meDateFromTenor(O482,"1D","FOLLOWING","TGT")</f>
        <v>43186</v>
      </c>
      <c r="P483" s="95">
        <f ca="1"/>
        <v>6.0650676477826441E-4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-3.8328664187404623E-3</v>
      </c>
      <c r="H484" s="92" t="s">
        <v>4</v>
      </c>
      <c r="I484" s="97">
        <f ca="1">_xll.meDateFromTenor(I483,"1D","FOLLOWING","TGT")</f>
        <v>43187</v>
      </c>
      <c r="J484" s="95">
        <f ca="1"/>
        <v>-3.0874495930051245E-3</v>
      </c>
      <c r="K484" s="5" t="s">
        <v>4</v>
      </c>
      <c r="L484" s="97">
        <f ca="1">_xll.meDateFromTenor(L483,"1D","FOLLOWING","TGT")</f>
        <v>43187</v>
      </c>
      <c r="M484" s="95">
        <f ca="1"/>
        <v>-1.2892407716913424E-3</v>
      </c>
      <c r="N484" s="5" t="s">
        <v>4</v>
      </c>
      <c r="O484" s="97">
        <f ca="1">_xll.meDateFromTenor(O483,"1D","FOLLOWING","TGT")</f>
        <v>43187</v>
      </c>
      <c r="P484" s="95">
        <f ca="1"/>
        <v>6.1046357198701016E-4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-3.8304634665201538E-3</v>
      </c>
      <c r="H485" s="92" t="s">
        <v>4</v>
      </c>
      <c r="I485" s="97">
        <f ca="1">_xll.meDateFromTenor(I484,"1D","FOLLOWING","TGT")</f>
        <v>43188</v>
      </c>
      <c r="J485" s="95">
        <f ca="1"/>
        <v>-3.110949640851424E-3</v>
      </c>
      <c r="K485" s="5" t="s">
        <v>4</v>
      </c>
      <c r="L485" s="97">
        <f ca="1">_xll.meDateFromTenor(L484,"1D","FOLLOWING","TGT")</f>
        <v>43188</v>
      </c>
      <c r="M485" s="95">
        <f ca="1"/>
        <v>-1.2869048748416563E-3</v>
      </c>
      <c r="N485" s="5" t="s">
        <v>4</v>
      </c>
      <c r="O485" s="97">
        <f ca="1">_xll.meDateFromTenor(O484,"1D","FOLLOWING","TGT")</f>
        <v>43188</v>
      </c>
      <c r="P485" s="95">
        <f ca="1"/>
        <v>6.1442757476762213E-4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-3.8179061821468426E-3</v>
      </c>
      <c r="H486" s="92" t="s">
        <v>4</v>
      </c>
      <c r="I486" s="97">
        <f ca="1">_xll.meDateFromTenor(I485,"1D","FOLLOWING","TGT")</f>
        <v>43193</v>
      </c>
      <c r="J486" s="95">
        <f ca="1"/>
        <v>-3.2149371090903624E-3</v>
      </c>
      <c r="K486" s="5" t="s">
        <v>4</v>
      </c>
      <c r="L486" s="97">
        <f ca="1">_xll.meDateFromTenor(L485,"1D","FOLLOWING","TGT")</f>
        <v>43193</v>
      </c>
      <c r="M486" s="95">
        <f ca="1"/>
        <v>-1.2753122572677226E-3</v>
      </c>
      <c r="N486" s="5" t="s">
        <v>4</v>
      </c>
      <c r="O486" s="97">
        <f ca="1">_xll.meDateFromTenor(O485,"1D","FOLLOWING","TGT")</f>
        <v>43193</v>
      </c>
      <c r="P486" s="95">
        <f ca="1"/>
        <v>6.3435506623652502E-4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-3.8152743457389678E-3</v>
      </c>
      <c r="H487" s="92" t="s">
        <v>4</v>
      </c>
      <c r="I487" s="97">
        <f ca="1">_xll.meDateFromTenor(I486,"1D","FOLLOWING","TGT")</f>
        <v>43194</v>
      </c>
      <c r="J487" s="95">
        <f ca="1"/>
        <v>-3.2331219706887493E-3</v>
      </c>
      <c r="K487" s="5" t="s">
        <v>4</v>
      </c>
      <c r="L487" s="97">
        <f ca="1">_xll.meDateFromTenor(L486,"1D","FOLLOWING","TGT")</f>
        <v>43194</v>
      </c>
      <c r="M487" s="95">
        <f ca="1"/>
        <v>-1.2730075297635146E-3</v>
      </c>
      <c r="N487" s="5" t="s">
        <v>4</v>
      </c>
      <c r="O487" s="97">
        <f ca="1">_xll.meDateFromTenor(O486,"1D","FOLLOWING","TGT")</f>
        <v>43194</v>
      </c>
      <c r="P487" s="95">
        <f ca="1"/>
        <v>6.3836196884104477E-4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-3.8126020821896787E-3</v>
      </c>
      <c r="H488" s="92" t="s">
        <v>4</v>
      </c>
      <c r="I488" s="97">
        <f ca="1">_xll.meDateFromTenor(I487,"1D","FOLLOWING","TGT")</f>
        <v>43195</v>
      </c>
      <c r="J488" s="95">
        <f ca="1"/>
        <v>-3.2504659289870402E-3</v>
      </c>
      <c r="K488" s="5" t="s">
        <v>4</v>
      </c>
      <c r="L488" s="97">
        <f ca="1">_xll.meDateFromTenor(L487,"1D","FOLLOWING","TGT")</f>
        <v>43195</v>
      </c>
      <c r="M488" s="95">
        <f ca="1"/>
        <v>-1.2707062084880592E-3</v>
      </c>
      <c r="N488" s="5" t="s">
        <v>4</v>
      </c>
      <c r="O488" s="97">
        <f ca="1">_xll.meDateFromTenor(O487,"1D","FOLLOWING","TGT")</f>
        <v>43195</v>
      </c>
      <c r="P488" s="95">
        <f ca="1"/>
        <v>6.4237597581500111E-4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-3.8098917119850396E-3</v>
      </c>
      <c r="H489" s="92" t="s">
        <v>4</v>
      </c>
      <c r="I489" s="97">
        <f ca="1">_xll.meDateFromTenor(I488,"1D","FOLLOWING","TGT")</f>
        <v>43196</v>
      </c>
      <c r="J489" s="95">
        <f ca="1"/>
        <v>-3.2669818300065344E-3</v>
      </c>
      <c r="K489" s="5" t="s">
        <v>4</v>
      </c>
      <c r="L489" s="97">
        <f ca="1">_xll.meDateFromTenor(L488,"1D","FOLLOWING","TGT")</f>
        <v>43196</v>
      </c>
      <c r="M489" s="95">
        <f ca="1"/>
        <v>-1.2684077823950253E-3</v>
      </c>
      <c r="N489" s="5" t="s">
        <v>4</v>
      </c>
      <c r="O489" s="97">
        <f ca="1">_xll.meDateFromTenor(O488,"1D","FOLLOWING","TGT")</f>
        <v>43196</v>
      </c>
      <c r="P489" s="95">
        <f ca="1"/>
        <v>6.4639707412947485E-4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-3.8015551662996696E-3</v>
      </c>
      <c r="H490" s="92" t="s">
        <v>4</v>
      </c>
      <c r="I490" s="97">
        <f ca="1">_xll.meDateFromTenor(I489,"1D","FOLLOWING","TGT")</f>
        <v>43199</v>
      </c>
      <c r="J490" s="95">
        <f ca="1"/>
        <v>-3.3116896496052702E-3</v>
      </c>
      <c r="K490" s="5" t="s">
        <v>4</v>
      </c>
      <c r="L490" s="97">
        <f ca="1">_xll.meDateFromTenor(L489,"1D","FOLLOWING","TGT")</f>
        <v>43199</v>
      </c>
      <c r="M490" s="95">
        <f ca="1"/>
        <v>-1.2615247647471356E-3</v>
      </c>
      <c r="N490" s="5" t="s">
        <v>4</v>
      </c>
      <c r="O490" s="97">
        <f ca="1">_xll.meDateFromTenor(O489,"1D","FOLLOWING","TGT")</f>
        <v>43199</v>
      </c>
      <c r="P490" s="95">
        <f ca="1"/>
        <v>6.5850278682682022E-4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-3.7987155743342774E-3</v>
      </c>
      <c r="H491" s="92" t="s">
        <v>4</v>
      </c>
      <c r="I491" s="97">
        <f ca="1">_xll.meDateFromTenor(I490,"1D","FOLLOWING","TGT")</f>
        <v>43200</v>
      </c>
      <c r="J491" s="95">
        <f ca="1"/>
        <v>-3.3250217817226025E-3</v>
      </c>
      <c r="K491" s="5" t="s">
        <v>4</v>
      </c>
      <c r="L491" s="97">
        <f ca="1">_xll.meDateFromTenor(L490,"1D","FOLLOWING","TGT")</f>
        <v>43200</v>
      </c>
      <c r="M491" s="95">
        <f ca="1"/>
        <v>-1.2592328089204715E-3</v>
      </c>
      <c r="N491" s="5" t="s">
        <v>4</v>
      </c>
      <c r="O491" s="97">
        <f ca="1">_xll.meDateFromTenor(O490,"1D","FOLLOWING","TGT")</f>
        <v>43200</v>
      </c>
      <c r="P491" s="95">
        <f ca="1"/>
        <v>6.625521202141809E-4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-3.7958494781438574E-3</v>
      </c>
      <c r="H492" s="92" t="s">
        <v>4</v>
      </c>
      <c r="I492" s="97">
        <f ca="1">_xll.meDateFromTenor(I491,"1D","FOLLOWING","TGT")</f>
        <v>43201</v>
      </c>
      <c r="J492" s="95">
        <f ca="1"/>
        <v>-3.3375900866676493E-3</v>
      </c>
      <c r="K492" s="5" t="s">
        <v>4</v>
      </c>
      <c r="L492" s="97">
        <f ca="1">_xll.meDateFromTenor(L491,"1D","FOLLOWING","TGT")</f>
        <v>43201</v>
      </c>
      <c r="M492" s="95">
        <f ca="1"/>
        <v>-1.2569411930445707E-3</v>
      </c>
      <c r="N492" s="5" t="s">
        <v>4</v>
      </c>
      <c r="O492" s="97">
        <f ca="1">_xll.meDateFromTenor(O491,"1D","FOLLOWING","TGT")</f>
        <v>43201</v>
      </c>
      <c r="P492" s="95">
        <f ca="1"/>
        <v>6.6660847979746723E-4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-3.7929591982144746E-3</v>
      </c>
      <c r="H493" s="92" t="s">
        <v>4</v>
      </c>
      <c r="I493" s="97">
        <f ca="1">_xll.meDateFromTenor(I492,"1D","FOLLOWING","TGT")</f>
        <v>43202</v>
      </c>
      <c r="J493" s="95">
        <f ca="1"/>
        <v>-3.3494074104617115E-3</v>
      </c>
      <c r="K493" s="5" t="s">
        <v>4</v>
      </c>
      <c r="L493" s="97">
        <f ca="1">_xll.meDateFromTenor(L492,"1D","FOLLOWING","TGT")</f>
        <v>43202</v>
      </c>
      <c r="M493" s="95">
        <f ca="1"/>
        <v>-1.2546494060731023E-3</v>
      </c>
      <c r="N493" s="5" t="s">
        <v>4</v>
      </c>
      <c r="O493" s="97">
        <f ca="1">_xll.meDateFromTenor(O492,"1D","FOLLOWING","TGT")</f>
        <v>43202</v>
      </c>
      <c r="P493" s="95">
        <f ca="1"/>
        <v>6.7067185254776054E-4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-3.790047055032194E-3</v>
      </c>
      <c r="H494" s="92" t="s">
        <v>4</v>
      </c>
      <c r="I494" s="97">
        <f ca="1">_xll.meDateFromTenor(I493,"1D","FOLLOWING","TGT")</f>
        <v>43203</v>
      </c>
      <c r="J494" s="95">
        <f ca="1"/>
        <v>-3.3604865991260918E-3</v>
      </c>
      <c r="K494" s="5" t="s">
        <v>4</v>
      </c>
      <c r="L494" s="97">
        <f ca="1">_xll.meDateFromTenor(L493,"1D","FOLLOWING","TGT")</f>
        <v>43203</v>
      </c>
      <c r="M494" s="95">
        <f ca="1"/>
        <v>-1.2523569369597342E-3</v>
      </c>
      <c r="N494" s="5" t="s">
        <v>4</v>
      </c>
      <c r="O494" s="97">
        <f ca="1">_xll.meDateFromTenor(O493,"1D","FOLLOWING","TGT")</f>
        <v>43203</v>
      </c>
      <c r="P494" s="95">
        <f ca="1"/>
        <v>6.7474222543614261E-4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-3.7812026508286076E-3</v>
      </c>
      <c r="H495" s="92" t="s">
        <v>4</v>
      </c>
      <c r="I495" s="97">
        <f ca="1">_xll.meDateFromTenor(I494,"1D","FOLLOWING","TGT")</f>
        <v>43206</v>
      </c>
      <c r="J495" s="95">
        <f ca="1"/>
        <v>-3.3894238145541489E-3</v>
      </c>
      <c r="K495" s="5" t="s">
        <v>4</v>
      </c>
      <c r="L495" s="97">
        <f ca="1">_xll.meDateFromTenor(L494,"1D","FOLLOWING","TGT")</f>
        <v>43206</v>
      </c>
      <c r="M495" s="95">
        <f ca="1"/>
        <v>-1.2454703263049193E-3</v>
      </c>
      <c r="N495" s="5" t="s">
        <v>4</v>
      </c>
      <c r="O495" s="97">
        <f ca="1">_xll.meDateFromTenor(O494,"1D","FOLLOWING","TGT")</f>
        <v>43206</v>
      </c>
      <c r="P495" s="95">
        <f ca="1"/>
        <v>6.8699521464063342E-4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-3.77822625949538E-3</v>
      </c>
      <c r="H496" s="92" t="s">
        <v>4</v>
      </c>
      <c r="I496" s="97">
        <f ca="1">_xll.meDateFromTenor(I495,"1D","FOLLOWING","TGT")</f>
        <v>43207</v>
      </c>
      <c r="J496" s="95">
        <f ca="1"/>
        <v>-3.3976789229128133E-3</v>
      </c>
      <c r="K496" s="5" t="s">
        <v>4</v>
      </c>
      <c r="L496" s="97">
        <f ca="1">_xll.meDateFromTenor(L495,"1D","FOLLOWING","TGT")</f>
        <v>43207</v>
      </c>
      <c r="M496" s="95">
        <f ca="1"/>
        <v>-1.2431700181606388E-3</v>
      </c>
      <c r="N496" s="5" t="s">
        <v>4</v>
      </c>
      <c r="O496" s="97">
        <f ca="1">_xll.meDateFromTenor(O495,"1D","FOLLOWING","TGT")</f>
        <v>43207</v>
      </c>
      <c r="P496" s="95">
        <f ca="1"/>
        <v>6.9109345779218409E-4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-3.7752396073395759E-3</v>
      </c>
      <c r="H497" s="92" t="s">
        <v>4</v>
      </c>
      <c r="I497" s="97">
        <f ca="1">_xll.meDateFromTenor(I496,"1D","FOLLOWING","TGT")</f>
        <v>43208</v>
      </c>
      <c r="J497" s="95">
        <f ca="1"/>
        <v>-3.4052601262483037E-3</v>
      </c>
      <c r="K497" s="5" t="s">
        <v>4</v>
      </c>
      <c r="L497" s="97">
        <f ca="1">_xll.meDateFromTenor(L496,"1D","FOLLOWING","TGT")</f>
        <v>43208</v>
      </c>
      <c r="M497" s="95">
        <f ca="1"/>
        <v>-1.2408664726428014E-3</v>
      </c>
      <c r="N497" s="5" t="s">
        <v>4</v>
      </c>
      <c r="O497" s="97">
        <f ca="1">_xll.meDateFromTenor(O496,"1D","FOLLOWING","TGT")</f>
        <v>43208</v>
      </c>
      <c r="P497" s="95">
        <f ca="1"/>
        <v>6.9519863593723089E-4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-3.7722450148472619E-3</v>
      </c>
      <c r="H498" s="92" t="s">
        <v>4</v>
      </c>
      <c r="I498" s="97">
        <f ca="1">_xll.meDateFromTenor(I497,"1D","FOLLOWING","TGT")</f>
        <v>43209</v>
      </c>
      <c r="J498" s="95">
        <f ca="1"/>
        <v>-3.4121802705819205E-3</v>
      </c>
      <c r="K498" s="5" t="s">
        <v>4</v>
      </c>
      <c r="L498" s="97">
        <f ca="1">_xll.meDateFromTenor(L497,"1D","FOLLOWING","TGT")</f>
        <v>43209</v>
      </c>
      <c r="M498" s="95">
        <f ca="1"/>
        <v>-1.2385591787050754E-3</v>
      </c>
      <c r="N498" s="5" t="s">
        <v>4</v>
      </c>
      <c r="O498" s="97">
        <f ca="1">_xll.meDateFromTenor(O497,"1D","FOLLOWING","TGT")</f>
        <v>43209</v>
      </c>
      <c r="P498" s="95">
        <f ca="1"/>
        <v>6.9931073604685451E-4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-3.7692448025045005E-3</v>
      </c>
      <c r="H499" s="92" t="s">
        <v>4</v>
      </c>
      <c r="I499" s="97">
        <f ca="1">_xll.meDateFromTenor(I498,"1D","FOLLOWING","TGT")</f>
        <v>43210</v>
      </c>
      <c r="J499" s="95">
        <f ca="1"/>
        <v>-3.4184522019349664E-3</v>
      </c>
      <c r="K499" s="5" t="s">
        <v>4</v>
      </c>
      <c r="L499" s="97">
        <f ca="1">_xll.meDateFromTenor(L498,"1D","FOLLOWING","TGT")</f>
        <v>43210</v>
      </c>
      <c r="M499" s="95">
        <f ca="1"/>
        <v>-1.2362476253011297E-3</v>
      </c>
      <c r="N499" s="5" t="s">
        <v>4</v>
      </c>
      <c r="O499" s="97">
        <f ca="1">_xll.meDateFromTenor(O498,"1D","FOLLOWING","TGT")</f>
        <v>43210</v>
      </c>
      <c r="P499" s="95">
        <f ca="1"/>
        <v>7.0342974509213707E-4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-3.7602336512341842E-3</v>
      </c>
      <c r="H500" s="92" t="s">
        <v>4</v>
      </c>
      <c r="I500" s="97">
        <f ca="1">_xll.meDateFromTenor(I499,"1D","FOLLOWING","TGT")</f>
        <v>43213</v>
      </c>
      <c r="J500" s="95">
        <f ca="1"/>
        <v>-3.4335071783236945E-3</v>
      </c>
      <c r="K500" s="5" t="s">
        <v>4</v>
      </c>
      <c r="L500" s="97">
        <f ca="1">_xll.meDateFromTenor(L499,"1D","FOLLOWING","TGT")</f>
        <v>43213</v>
      </c>
      <c r="M500" s="95">
        <f ca="1"/>
        <v>-1.2292822978286569E-3</v>
      </c>
      <c r="N500" s="5" t="s">
        <v>4</v>
      </c>
      <c r="O500" s="97">
        <f ca="1">_xll.meDateFromTenor(O499,"1D","FOLLOWING","TGT")</f>
        <v>43213</v>
      </c>
      <c r="P500" s="95">
        <f ca="1"/>
        <v>7.1582809555275424E-4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-3.7572341643502824E-3</v>
      </c>
      <c r="H501" s="92" t="s">
        <v>4</v>
      </c>
      <c r="I501" s="97">
        <f ca="1">_xll.meDateFromTenor(I500,"1D","FOLLOWING","TGT")</f>
        <v>43214</v>
      </c>
      <c r="J501" s="95">
        <f ca="1"/>
        <v>-3.4373147179674723E-3</v>
      </c>
      <c r="K501" s="5" t="s">
        <v>4</v>
      </c>
      <c r="L501" s="97">
        <f ca="1">_xll.meDateFromTenor(L500,"1D","FOLLOWING","TGT")</f>
        <v>43214</v>
      </c>
      <c r="M501" s="95">
        <f ca="1"/>
        <v>-1.226948596096516E-3</v>
      </c>
      <c r="N501" s="5" t="s">
        <v>4</v>
      </c>
      <c r="O501" s="97">
        <f ca="1">_xll.meDateFromTenor(O500,"1D","FOLLOWING","TGT")</f>
        <v>43214</v>
      </c>
      <c r="P501" s="95">
        <f ca="1"/>
        <v>7.1997461005148748E-4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-3.7542406600462575E-3</v>
      </c>
      <c r="H502" s="92" t="s">
        <v>4</v>
      </c>
      <c r="I502" s="97">
        <f ca="1">_xll.meDateFromTenor(I501,"1D","FOLLOWING","TGT")</f>
        <v>43215</v>
      </c>
      <c r="J502" s="95">
        <f ca="1"/>
        <v>-3.4405382747371874E-3</v>
      </c>
      <c r="K502" s="5" t="s">
        <v>4</v>
      </c>
      <c r="L502" s="97">
        <f ca="1">_xll.meDateFromTenor(L501,"1D","FOLLOWING","TGT")</f>
        <v>43215</v>
      </c>
      <c r="M502" s="95">
        <f ca="1"/>
        <v>-1.2246080796664977E-3</v>
      </c>
      <c r="N502" s="5" t="s">
        <v>4</v>
      </c>
      <c r="O502" s="97">
        <f ca="1">_xll.meDateFromTenor(O501,"1D","FOLLOWING","TGT")</f>
        <v>43215</v>
      </c>
      <c r="P502" s="95">
        <f ca="1"/>
        <v>7.2412796834128701E-4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-3.7512554588081727E-3</v>
      </c>
      <c r="H503" s="92" t="s">
        <v>4</v>
      </c>
      <c r="I503" s="97">
        <f ca="1">_xll.meDateFromTenor(I502,"1D","FOLLOWING","TGT")</f>
        <v>43216</v>
      </c>
      <c r="J503" s="95">
        <f ca="1"/>
        <v>-3.443190694654142E-3</v>
      </c>
      <c r="K503" s="5" t="s">
        <v>4</v>
      </c>
      <c r="L503" s="97">
        <f ca="1">_xll.meDateFromTenor(L502,"1D","FOLLOWING","TGT")</f>
        <v>43216</v>
      </c>
      <c r="M503" s="95">
        <f ca="1"/>
        <v>-1.22226023749227E-3</v>
      </c>
      <c r="N503" s="5" t="s">
        <v>4</v>
      </c>
      <c r="O503" s="97">
        <f ca="1">_xll.meDateFromTenor(O502,"1D","FOLLOWING","TGT")</f>
        <v>43216</v>
      </c>
      <c r="P503" s="95">
        <f ca="1"/>
        <v>7.2828815739323495E-4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-3.7482808811220934E-3</v>
      </c>
      <c r="H504" s="92" t="s">
        <v>4</v>
      </c>
      <c r="I504" s="97">
        <f ca="1">_xll.meDateFromTenor(I503,"1D","FOLLOWING","TGT")</f>
        <v>43217</v>
      </c>
      <c r="J504" s="95">
        <f ca="1"/>
        <v>-3.4452848237396367E-3</v>
      </c>
      <c r="K504" s="5" t="s">
        <v>4</v>
      </c>
      <c r="L504" s="97">
        <f ca="1">_xll.meDateFromTenor(L503,"1D","FOLLOWING","TGT")</f>
        <v>43217</v>
      </c>
      <c r="M504" s="95">
        <f ca="1"/>
        <v>-1.2199045585275018E-3</v>
      </c>
      <c r="N504" s="5" t="s">
        <v>4</v>
      </c>
      <c r="O504" s="97">
        <f ca="1">_xll.meDateFromTenor(O503,"1D","FOLLOWING","TGT")</f>
        <v>43217</v>
      </c>
      <c r="P504" s="95">
        <f ca="1"/>
        <v>7.3245516417841199E-4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-3.7394440942365315E-3</v>
      </c>
      <c r="H505" s="92" t="s">
        <v>4</v>
      </c>
      <c r="I505" s="97">
        <f ca="1">_xll.meDateFromTenor(I504,"1D","FOLLOWING","TGT")</f>
        <v>43220</v>
      </c>
      <c r="J505" s="95">
        <f ca="1"/>
        <v>-3.4483459262203819E-3</v>
      </c>
      <c r="K505" s="5" t="s">
        <v>4</v>
      </c>
      <c r="L505" s="97">
        <f ca="1">_xll.meDateFromTenor(L504,"1D","FOLLOWING","TGT")</f>
        <v>43220</v>
      </c>
      <c r="M505" s="95">
        <f ca="1"/>
        <v>-1.2127853904266392E-3</v>
      </c>
      <c r="N505" s="5" t="s">
        <v>4</v>
      </c>
      <c r="O505" s="97">
        <f ca="1">_xll.meDateFromTenor(O504,"1D","FOLLOWING","TGT")</f>
        <v>43220</v>
      </c>
      <c r="P505" s="95">
        <f ca="1"/>
        <v>7.4499696064413417E-4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-3.7336485629840327E-3</v>
      </c>
      <c r="H506" s="92" t="s">
        <v>4</v>
      </c>
      <c r="I506" s="97">
        <f ca="1">_xll.meDateFromTenor(I505,"1D","FOLLOWING","TGT")</f>
        <v>43222</v>
      </c>
      <c r="J506" s="95">
        <f ca="1"/>
        <v>-3.4478307174407793E-3</v>
      </c>
      <c r="K506" s="5" t="s">
        <v>4</v>
      </c>
      <c r="L506" s="97">
        <f ca="1">_xll.meDateFromTenor(L505,"1D","FOLLOWING","TGT")</f>
        <v>43222</v>
      </c>
      <c r="M506" s="95">
        <f ca="1"/>
        <v>-1.2079907252239498E-3</v>
      </c>
      <c r="N506" s="5" t="s">
        <v>4</v>
      </c>
      <c r="O506" s="97">
        <f ca="1">_xll.meDateFromTenor(O505,"1D","FOLLOWING","TGT")</f>
        <v>43222</v>
      </c>
      <c r="P506" s="95">
        <f ca="1"/>
        <v>7.5339200809059024E-4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-3.7307857655726898E-3</v>
      </c>
      <c r="H507" s="92" t="s">
        <v>4</v>
      </c>
      <c r="I507" s="97">
        <f ca="1">_xll.meDateFromTenor(I506,"1D","FOLLOWING","TGT")</f>
        <v>43223</v>
      </c>
      <c r="J507" s="95">
        <f ca="1"/>
        <v>-3.4468448679848534E-3</v>
      </c>
      <c r="K507" s="5" t="s">
        <v>4</v>
      </c>
      <c r="L507" s="97">
        <f ca="1">_xll.meDateFromTenor(L506,"1D","FOLLOWING","TGT")</f>
        <v>43223</v>
      </c>
      <c r="M507" s="95">
        <f ca="1"/>
        <v>-1.2055772935429768E-3</v>
      </c>
      <c r="N507" s="5" t="s">
        <v>4</v>
      </c>
      <c r="O507" s="97">
        <f ca="1">_xll.meDateFromTenor(O506,"1D","FOLLOWING","TGT")</f>
        <v>43223</v>
      </c>
      <c r="P507" s="95">
        <f ca="1"/>
        <v>7.5759964766785475E-4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-3.7279456876479042E-3</v>
      </c>
      <c r="H508" s="92" t="s">
        <v>4</v>
      </c>
      <c r="I508" s="97">
        <f ca="1">_xll.meDateFromTenor(I507,"1D","FOLLOWING","TGT")</f>
        <v>43224</v>
      </c>
      <c r="J508" s="95">
        <f ca="1"/>
        <v>-3.4453906498465793E-3</v>
      </c>
      <c r="K508" s="5" t="s">
        <v>4</v>
      </c>
      <c r="L508" s="97">
        <f ca="1">_xll.meDateFromTenor(L507,"1D","FOLLOWING","TGT")</f>
        <v>43224</v>
      </c>
      <c r="M508" s="95">
        <f ca="1"/>
        <v>-1.2031524477471424E-3</v>
      </c>
      <c r="N508" s="5" t="s">
        <v>4</v>
      </c>
      <c r="O508" s="97">
        <f ca="1">_xll.meDateFromTenor(O507,"1D","FOLLOWING","TGT")</f>
        <v>43224</v>
      </c>
      <c r="P508" s="95">
        <f ca="1"/>
        <v>7.6181401377591897E-4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-3.7195435009745445E-3</v>
      </c>
      <c r="H509" s="92" t="s">
        <v>4</v>
      </c>
      <c r="I509" s="97">
        <f ca="1">_xll.meDateFromTenor(I508,"1D","FOLLOWING","TGT")</f>
        <v>43227</v>
      </c>
      <c r="J509" s="95">
        <f ca="1"/>
        <v>-3.4383462435506897E-3</v>
      </c>
      <c r="K509" s="5" t="s">
        <v>4</v>
      </c>
      <c r="L509" s="97">
        <f ca="1">_xll.meDateFromTenor(L508,"1D","FOLLOWING","TGT")</f>
        <v>43227</v>
      </c>
      <c r="M509" s="95">
        <f ca="1"/>
        <v>-1.195804315207157E-3</v>
      </c>
      <c r="N509" s="5" t="s">
        <v>4</v>
      </c>
      <c r="O509" s="97">
        <f ca="1">_xll.meDateFromTenor(O508,"1D","FOLLOWING","TGT")</f>
        <v>43227</v>
      </c>
      <c r="P509" s="95">
        <f ca="1"/>
        <v>7.7449734099572663E-4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-3.7167760311776401E-3</v>
      </c>
      <c r="H510" s="92" t="s">
        <v>4</v>
      </c>
      <c r="I510" s="97">
        <f ca="1">_xll.meDateFromTenor(I509,"1D","FOLLOWING","TGT")</f>
        <v>43228</v>
      </c>
      <c r="J510" s="95">
        <f ca="1"/>
        <v>-3.4351470108960423E-3</v>
      </c>
      <c r="K510" s="5" t="s">
        <v>4</v>
      </c>
      <c r="L510" s="97">
        <f ca="1">_xll.meDateFromTenor(L509,"1D","FOLLOWING","TGT")</f>
        <v>43228</v>
      </c>
      <c r="M510" s="95">
        <f ca="1"/>
        <v>-1.193328702488563E-3</v>
      </c>
      <c r="N510" s="5" t="s">
        <v>4</v>
      </c>
      <c r="O510" s="97">
        <f ca="1">_xll.meDateFromTenor(O509,"1D","FOLLOWING","TGT")</f>
        <v>43228</v>
      </c>
      <c r="P510" s="95">
        <f ca="1"/>
        <v>7.7873848293780515E-4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-3.7140221459581188E-3</v>
      </c>
      <c r="H511" s="92" t="s">
        <v>4</v>
      </c>
      <c r="I511" s="97">
        <f ca="1">_xll.meDateFromTenor(I510,"1D","FOLLOWING","TGT")</f>
        <v>43229</v>
      </c>
      <c r="J511" s="95">
        <f ca="1"/>
        <v>-3.4315436396655558E-3</v>
      </c>
      <c r="K511" s="5" t="s">
        <v>4</v>
      </c>
      <c r="L511" s="97">
        <f ca="1">_xll.meDateFromTenor(L510,"1D","FOLLOWING","TGT")</f>
        <v>43229</v>
      </c>
      <c r="M511" s="95">
        <f ca="1"/>
        <v>-1.1908391204234498E-3</v>
      </c>
      <c r="N511" s="5" t="s">
        <v>4</v>
      </c>
      <c r="O511" s="97">
        <f ca="1">_xll.meDateFromTenor(O510,"1D","FOLLOWING","TGT")</f>
        <v>43229</v>
      </c>
      <c r="P511" s="95">
        <f ca="1"/>
        <v>7.829862862660914E-4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-3.7112800183341458E-3</v>
      </c>
      <c r="H512" s="92" t="s">
        <v>4</v>
      </c>
      <c r="I512" s="97">
        <f ca="1">_xll.meDateFromTenor(I511,"1D","FOLLOWING","TGT")</f>
        <v>43230</v>
      </c>
      <c r="J512" s="95">
        <f ca="1"/>
        <v>-3.4275489758805316E-3</v>
      </c>
      <c r="K512" s="5" t="s">
        <v>4</v>
      </c>
      <c r="L512" s="97">
        <f ca="1">_xll.meDateFromTenor(L511,"1D","FOLLOWING","TGT")</f>
        <v>43230</v>
      </c>
      <c r="M512" s="95">
        <f ca="1"/>
        <v>-1.1883350579654866E-3</v>
      </c>
      <c r="N512" s="5" t="s">
        <v>4</v>
      </c>
      <c r="O512" s="97">
        <f ca="1">_xll.meDateFromTenor(O511,"1D","FOLLOWING","TGT")</f>
        <v>43230</v>
      </c>
      <c r="P512" s="95">
        <f ca="1"/>
        <v>7.8724073795166649E-4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-3.7085478213238869E-3</v>
      </c>
      <c r="H513" s="92" t="s">
        <v>4</v>
      </c>
      <c r="I513" s="97">
        <f ca="1">_xll.meDateFromTenor(I512,"1D","FOLLOWING","TGT")</f>
        <v>43231</v>
      </c>
      <c r="J513" s="95">
        <f ca="1"/>
        <v>-3.4231758655622721E-3</v>
      </c>
      <c r="K513" s="5" t="s">
        <v>4</v>
      </c>
      <c r="L513" s="97">
        <f ca="1">_xll.meDateFromTenor(L512,"1D","FOLLOWING","TGT")</f>
        <v>43231</v>
      </c>
      <c r="M513" s="95">
        <f ca="1"/>
        <v>-1.1858160040683417E-3</v>
      </c>
      <c r="N513" s="5" t="s">
        <v>4</v>
      </c>
      <c r="O513" s="97">
        <f ca="1">_xll.meDateFromTenor(O512,"1D","FOLLOWING","TGT")</f>
        <v>43231</v>
      </c>
      <c r="P513" s="95">
        <f ca="1"/>
        <v>7.9150182496561146E-4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-3.7003925441570404E-3</v>
      </c>
      <c r="H514" s="92" t="s">
        <v>4</v>
      </c>
      <c r="I514" s="97">
        <f ca="1">_xll.meDateFromTenor(I513,"1D","FOLLOWING","TGT")</f>
        <v>43234</v>
      </c>
      <c r="J514" s="95">
        <f ca="1"/>
        <v>-3.4079143156210932E-3</v>
      </c>
      <c r="K514" s="5" t="s">
        <v>4</v>
      </c>
      <c r="L514" s="97">
        <f ca="1">_xll.meDateFromTenor(L513,"1D","FOLLOWING","TGT")</f>
        <v>43234</v>
      </c>
      <c r="M514" s="95">
        <f ca="1"/>
        <v>-1.1781637832785007E-3</v>
      </c>
      <c r="N514" s="5" t="s">
        <v>4</v>
      </c>
      <c r="O514" s="97">
        <f ca="1">_xll.meDateFromTenor(O513,"1D","FOLLOWING","TGT")</f>
        <v>43234</v>
      </c>
      <c r="P514" s="95">
        <f ca="1"/>
        <v>8.043247676884841E-4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-3.6976817997832856E-3</v>
      </c>
      <c r="H515" s="92" t="s">
        <v>4</v>
      </c>
      <c r="I515" s="97">
        <f ca="1">_xll.meDateFromTenor(I514,"1D","FOLLOWING","TGT")</f>
        <v>43235</v>
      </c>
      <c r="J515" s="95">
        <f ca="1"/>
        <v>-3.4021558793829072E-3</v>
      </c>
      <c r="K515" s="5" t="s">
        <v>4</v>
      </c>
      <c r="L515" s="97">
        <f ca="1">_xll.meDateFromTenor(L514,"1D","FOLLOWING","TGT")</f>
        <v>43235</v>
      </c>
      <c r="M515" s="95">
        <f ca="1"/>
        <v>-1.1755796531613134E-3</v>
      </c>
      <c r="N515" s="5" t="s">
        <v>4</v>
      </c>
      <c r="O515" s="97">
        <f ca="1">_xll.meDateFromTenor(O514,"1D","FOLLOWING","TGT")</f>
        <v>43235</v>
      </c>
      <c r="P515" s="95">
        <f ca="1"/>
        <v>8.0861226572672557E-4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-3.6949718511140703E-3</v>
      </c>
      <c r="H516" s="92" t="s">
        <v>4</v>
      </c>
      <c r="I516" s="97">
        <f ca="1">_xll.meDateFromTenor(I515,"1D","FOLLOWING","TGT")</f>
        <v>43236</v>
      </c>
      <c r="J516" s="95">
        <f ca="1"/>
        <v>-3.3960832267179932E-3</v>
      </c>
      <c r="K516" s="5" t="s">
        <v>4</v>
      </c>
      <c r="L516" s="97">
        <f ca="1">_xll.meDateFromTenor(L515,"1D","FOLLOWING","TGT")</f>
        <v>43236</v>
      </c>
      <c r="M516" s="95">
        <f ca="1"/>
        <v>-1.1729779763732873E-3</v>
      </c>
      <c r="N516" s="5" t="s">
        <v>4</v>
      </c>
      <c r="O516" s="97">
        <f ca="1">_xll.meDateFromTenor(O515,"1D","FOLLOWING","TGT")</f>
        <v>43236</v>
      </c>
      <c r="P516" s="95">
        <f ca="1"/>
        <v>8.1290633394874448E-4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-3.6922608711675584E-3</v>
      </c>
      <c r="H517" s="92" t="s">
        <v>4</v>
      </c>
      <c r="I517" s="97">
        <f ca="1">_xll.meDateFromTenor(I516,"1D","FOLLOWING","TGT")</f>
        <v>43237</v>
      </c>
      <c r="J517" s="95">
        <f ca="1"/>
        <v>-3.3897092036476537E-3</v>
      </c>
      <c r="K517" s="5" t="s">
        <v>4</v>
      </c>
      <c r="L517" s="97">
        <f ca="1">_xll.meDateFromTenor(L516,"1D","FOLLOWING","TGT")</f>
        <v>43237</v>
      </c>
      <c r="M517" s="95">
        <f ca="1"/>
        <v>-1.17035824186809E-3</v>
      </c>
      <c r="N517" s="5" t="s">
        <v>4</v>
      </c>
      <c r="O517" s="97">
        <f ca="1">_xll.meDateFromTenor(O516,"1D","FOLLOWING","TGT")</f>
        <v>43237</v>
      </c>
      <c r="P517" s="95">
        <f ca="1"/>
        <v>8.1720695932562275E-4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-3.6895470329619162E-3</v>
      </c>
      <c r="H518" s="92" t="s">
        <v>4</v>
      </c>
      <c r="I518" s="97">
        <f ca="1">_xll.meDateFromTenor(I517,"1D","FOLLOWING","TGT")</f>
        <v>43238</v>
      </c>
      <c r="J518" s="95">
        <f ca="1"/>
        <v>-3.3830466561931903E-3</v>
      </c>
      <c r="K518" s="5" t="s">
        <v>4</v>
      </c>
      <c r="L518" s="97">
        <f ca="1">_xll.meDateFromTenor(L517,"1D","FOLLOWING","TGT")</f>
        <v>43238</v>
      </c>
      <c r="M518" s="95">
        <f ca="1"/>
        <v>-1.1677199385993905E-3</v>
      </c>
      <c r="N518" s="5" t="s">
        <v>4</v>
      </c>
      <c r="O518" s="97">
        <f ca="1">_xll.meDateFromTenor(O517,"1D","FOLLOWING","TGT")</f>
        <v>43238</v>
      </c>
      <c r="P518" s="95">
        <f ca="1"/>
        <v>8.2151412882844202E-4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-3.681370098971857E-3</v>
      </c>
      <c r="H519" s="92" t="s">
        <v>4</v>
      </c>
      <c r="I519" s="97">
        <f ca="1">_xll.meDateFromTenor(I518,"1D","FOLLOWING","TGT")</f>
        <v>43241</v>
      </c>
      <c r="J519" s="95">
        <f ca="1"/>
        <v>-3.3614563277380716E-3</v>
      </c>
      <c r="K519" s="5" t="s">
        <v>4</v>
      </c>
      <c r="L519" s="97">
        <f ca="1">_xll.meDateFromTenor(L518,"1D","FOLLOWING","TGT")</f>
        <v>43241</v>
      </c>
      <c r="M519" s="95">
        <f ca="1"/>
        <v>-1.1596885057489623E-3</v>
      </c>
      <c r="N519" s="5" t="s">
        <v>4</v>
      </c>
      <c r="O519" s="97">
        <f ca="1">_xll.meDateFromTenor(O518,"1D","FOLLOWING","TGT")</f>
        <v>43241</v>
      </c>
      <c r="P519" s="95">
        <f ca="1"/>
        <v>8.3447477180335872E-4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-3.6786265579113425E-3</v>
      </c>
      <c r="H520" s="92" t="s">
        <v>4</v>
      </c>
      <c r="I520" s="97">
        <f ca="1">_xll.meDateFromTenor(I519,"1D","FOLLOWING","TGT")</f>
        <v>43242</v>
      </c>
      <c r="J520" s="95">
        <f ca="1"/>
        <v>-3.353768142960129E-3</v>
      </c>
      <c r="K520" s="5" t="s">
        <v>4</v>
      </c>
      <c r="L520" s="97">
        <f ca="1">_xll.meDateFromTenor(L519,"1D","FOLLOWING","TGT")</f>
        <v>43242</v>
      </c>
      <c r="M520" s="95">
        <f ca="1"/>
        <v>-1.1569708169629381E-3</v>
      </c>
      <c r="N520" s="5" t="s">
        <v>4</v>
      </c>
      <c r="O520" s="97">
        <f ca="1">_xll.meDateFromTenor(O519,"1D","FOLLOWING","TGT")</f>
        <v>43242</v>
      </c>
      <c r="P520" s="95">
        <f ca="1"/>
        <v>8.3880798752075615E-4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-3.6758710236825237E-3</v>
      </c>
      <c r="H521" s="92" t="s">
        <v>4</v>
      </c>
      <c r="I521" s="97">
        <f ca="1">_xll.meDateFromTenor(I520,"1D","FOLLOWING","TGT")</f>
        <v>43243</v>
      </c>
      <c r="J521" s="95">
        <f ca="1"/>
        <v>-3.3458556639045698E-3</v>
      </c>
      <c r="K521" s="5" t="s">
        <v>4</v>
      </c>
      <c r="L521" s="97">
        <f ca="1">_xll.meDateFromTenor(L520,"1D","FOLLOWING","TGT")</f>
        <v>43243</v>
      </c>
      <c r="M521" s="95">
        <f ca="1"/>
        <v>-1.1542320041817537E-3</v>
      </c>
      <c r="N521" s="5" t="s">
        <v>4</v>
      </c>
      <c r="O521" s="97">
        <f ca="1">_xll.meDateFromTenor(O520,"1D","FOLLOWING","TGT")</f>
        <v>43243</v>
      </c>
      <c r="P521" s="95">
        <f ca="1"/>
        <v>8.4314768221950163E-4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-3.6731016693035646E-3</v>
      </c>
      <c r="H522" s="92" t="s">
        <v>4</v>
      </c>
      <c r="I522" s="97">
        <f ca="1">_xll.meDateFromTenor(I521,"1D","FOLLOWING","TGT")</f>
        <v>43244</v>
      </c>
      <c r="J522" s="95">
        <f ca="1"/>
        <v>-3.3377317365926966E-3</v>
      </c>
      <c r="K522" s="5" t="s">
        <v>4</v>
      </c>
      <c r="L522" s="97">
        <f ca="1">_xll.meDateFromTenor(L521,"1D","FOLLOWING","TGT")</f>
        <v>43244</v>
      </c>
      <c r="M522" s="95">
        <f ca="1"/>
        <v>-1.151471556359078E-3</v>
      </c>
      <c r="N522" s="5" t="s">
        <v>4</v>
      </c>
      <c r="O522" s="97">
        <f ca="1">_xll.meDateFromTenor(O521,"1D","FOLLOWING","TGT")</f>
        <v>43244</v>
      </c>
      <c r="P522" s="95">
        <f ca="1"/>
        <v>8.4749384287067706E-4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-3.6703166677926309E-3</v>
      </c>
      <c r="H523" s="92" t="s">
        <v>4</v>
      </c>
      <c r="I523" s="97">
        <f ca="1">_xll.meDateFromTenor(I522,"1D","FOLLOWING","TGT")</f>
        <v>43245</v>
      </c>
      <c r="J523" s="95">
        <f ca="1"/>
        <v>-3.3294092070458117E-3</v>
      </c>
      <c r="K523" s="5" t="s">
        <v>4</v>
      </c>
      <c r="L523" s="97">
        <f ca="1">_xll.meDateFromTenor(L522,"1D","FOLLOWING","TGT")</f>
        <v>43245</v>
      </c>
      <c r="M523" s="95">
        <f ca="1"/>
        <v>-1.1486889624485797E-3</v>
      </c>
      <c r="N523" s="5" t="s">
        <v>4</v>
      </c>
      <c r="O523" s="97">
        <f ca="1">_xll.meDateFromTenor(O522,"1D","FOLLOWING","TGT")</f>
        <v>43245</v>
      </c>
      <c r="P523" s="95">
        <f ca="1"/>
        <v>8.5184645644536313E-4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-3.6618495106496311E-3</v>
      </c>
      <c r="H524" s="92" t="s">
        <v>4</v>
      </c>
      <c r="I524" s="97">
        <f ca="1">_xll.meDateFromTenor(I523,"1D","FOLLOWING","TGT")</f>
        <v>43248</v>
      </c>
      <c r="J524" s="95">
        <f ca="1"/>
        <v>-3.3033784652080995E-3</v>
      </c>
      <c r="K524" s="5" t="s">
        <v>4</v>
      </c>
      <c r="L524" s="97">
        <f ca="1">_xll.meDateFromTenor(L523,"1D","FOLLOWING","TGT")</f>
        <v>43248</v>
      </c>
      <c r="M524" s="95">
        <f ca="1"/>
        <v>-1.1402031937268315E-3</v>
      </c>
      <c r="N524" s="5" t="s">
        <v>4</v>
      </c>
      <c r="O524" s="97">
        <f ca="1">_xll.meDateFromTenor(O523,"1D","FOLLOWING","TGT")</f>
        <v>43248</v>
      </c>
      <c r="P524" s="95">
        <f ca="1"/>
        <v>8.6494288442130458E-4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-3.6589836507924492E-3</v>
      </c>
      <c r="H525" s="92" t="s">
        <v>4</v>
      </c>
      <c r="I525" s="97">
        <f ca="1">_xll.meDateFromTenor(I524,"1D","FOLLOWING","TGT")</f>
        <v>43249</v>
      </c>
      <c r="J525" s="95">
        <f ca="1"/>
        <v>-3.2943899869341832E-3</v>
      </c>
      <c r="K525" s="5" t="s">
        <v>4</v>
      </c>
      <c r="L525" s="97">
        <f ca="1">_xll.meDateFromTenor(L524,"1D","FOLLOWING","TGT")</f>
        <v>43249</v>
      </c>
      <c r="M525" s="95">
        <f ca="1"/>
        <v>-1.137326905001726E-3</v>
      </c>
      <c r="N525" s="5" t="s">
        <v>4</v>
      </c>
      <c r="O525" s="97">
        <f ca="1">_xll.meDateFromTenor(O524,"1D","FOLLOWING","TGT")</f>
        <v>43249</v>
      </c>
      <c r="P525" s="95">
        <f ca="1"/>
        <v>8.6932117940085067E-4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-3.6560930088941185E-3</v>
      </c>
      <c r="H526" s="92" t="s">
        <v>4</v>
      </c>
      <c r="I526" s="97">
        <f ca="1">_xll.meDateFromTenor(I525,"1D","FOLLOWING","TGT")</f>
        <v>43250</v>
      </c>
      <c r="J526" s="95">
        <f ca="1"/>
        <v>-3.2852671365317626E-3</v>
      </c>
      <c r="K526" s="5" t="s">
        <v>4</v>
      </c>
      <c r="L526" s="97">
        <f ca="1">_xll.meDateFromTenor(L525,"1D","FOLLOWING","TGT")</f>
        <v>43250</v>
      </c>
      <c r="M526" s="95">
        <f ca="1"/>
        <v>-1.1344259149571403E-3</v>
      </c>
      <c r="N526" s="5" t="s">
        <v>4</v>
      </c>
      <c r="O526" s="97">
        <f ca="1">_xll.meDateFromTenor(O525,"1D","FOLLOWING","TGT")</f>
        <v>43250</v>
      </c>
      <c r="P526" s="95">
        <f ca="1"/>
        <v>8.7370586215931531E-4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-3.6531757579728024E-3</v>
      </c>
      <c r="H527" s="92" t="s">
        <v>4</v>
      </c>
      <c r="I527" s="97">
        <f ca="1">_xll.meDateFromTenor(I526,"1D","FOLLOWING","TGT")</f>
        <v>43251</v>
      </c>
      <c r="J527" s="95">
        <f ca="1"/>
        <v>-3.2760227600221385E-3</v>
      </c>
      <c r="K527" s="5" t="s">
        <v>4</v>
      </c>
      <c r="L527" s="97">
        <f ca="1">_xll.meDateFromTenor(L526,"1D","FOLLOWING","TGT")</f>
        <v>43251</v>
      </c>
      <c r="M527" s="95">
        <f ca="1"/>
        <v>-1.1314997125467421E-3</v>
      </c>
      <c r="N527" s="5" t="s">
        <v>4</v>
      </c>
      <c r="O527" s="97">
        <f ca="1">_xll.meDateFromTenor(O526,"1D","FOLLOWING","TGT")</f>
        <v>43251</v>
      </c>
      <c r="P527" s="95">
        <f ca="1"/>
        <v>8.7809691966778071E-4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-3.6502300710466681E-3</v>
      </c>
      <c r="H528" s="92" t="s">
        <v>4</v>
      </c>
      <c r="I528" s="97">
        <f ca="1">_xll.meDateFromTenor(I527,"1D","FOLLOWING","TGT")</f>
        <v>43252</v>
      </c>
      <c r="J528" s="95">
        <f ca="1"/>
        <v>-3.2666697034266145E-3</v>
      </c>
      <c r="K528" s="5" t="s">
        <v>4</v>
      </c>
      <c r="L528" s="97">
        <f ca="1">_xll.meDateFromTenor(L527,"1D","FOLLOWING","TGT")</f>
        <v>43252</v>
      </c>
      <c r="M528" s="95">
        <f ca="1"/>
        <v>-1.1285477867242007E-3</v>
      </c>
      <c r="N528" s="5" t="s">
        <v>4</v>
      </c>
      <c r="O528" s="97">
        <f ca="1">_xll.meDateFromTenor(O527,"1D","FOLLOWING","TGT")</f>
        <v>43252</v>
      </c>
      <c r="P528" s="95">
        <f ca="1"/>
        <v>8.8249433889732757E-4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-3.6412041244210025E-3</v>
      </c>
      <c r="H529" s="92" t="s">
        <v>4</v>
      </c>
      <c r="I529" s="97">
        <f ca="1">_xll.meDateFromTenor(I528,"1D","FOLLOWING","TGT")</f>
        <v>43255</v>
      </c>
      <c r="J529" s="95">
        <f ca="1"/>
        <v>-3.2380869133376575E-3</v>
      </c>
      <c r="K529" s="5" t="s">
        <v>4</v>
      </c>
      <c r="L529" s="97">
        <f ca="1">_xll.meDateFromTenor(L528,"1D","FOLLOWING","TGT")</f>
        <v>43255</v>
      </c>
      <c r="M529" s="95">
        <f ca="1"/>
        <v>-1.1195325583203998E-3</v>
      </c>
      <c r="N529" s="5" t="s">
        <v>4</v>
      </c>
      <c r="O529" s="97">
        <f ca="1">_xll.meDateFromTenor(O528,"1D","FOLLOWING","TGT")</f>
        <v>43255</v>
      </c>
      <c r="P529" s="95">
        <f ca="1"/>
        <v>8.9572463662327296E-4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-3.6381269816375345E-3</v>
      </c>
      <c r="H530" s="92" t="s">
        <v>4</v>
      </c>
      <c r="I530" s="97">
        <f ca="1">_xll.meDateFromTenor(I529,"1D","FOLLOWING","TGT")</f>
        <v>43256</v>
      </c>
      <c r="J530" s="95">
        <f ca="1"/>
        <v>-3.2284256562395207E-3</v>
      </c>
      <c r="K530" s="5" t="s">
        <v>4</v>
      </c>
      <c r="L530" s="97">
        <f ca="1">_xll.meDateFromTenor(L529,"1D","FOLLOWING","TGT")</f>
        <v>43256</v>
      </c>
      <c r="M530" s="95">
        <f ca="1"/>
        <v>-1.1164727405820099E-3</v>
      </c>
      <c r="N530" s="5" t="s">
        <v>4</v>
      </c>
      <c r="O530" s="97">
        <f ca="1">_xll.meDateFromTenor(O529,"1D","FOLLOWING","TGT")</f>
        <v>43256</v>
      </c>
      <c r="P530" s="95">
        <f ca="1"/>
        <v>9.0014737154563487E-4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-3.635015615821819E-3</v>
      </c>
      <c r="H531" s="92" t="s">
        <v>4</v>
      </c>
      <c r="I531" s="97">
        <f ca="1">_xll.meDateFromTenor(I530,"1D","FOLLOWING","TGT")</f>
        <v>43257</v>
      </c>
      <c r="J531" s="95">
        <f ca="1"/>
        <v>-3.2187083069298273E-3</v>
      </c>
      <c r="K531" s="5" t="s">
        <v>4</v>
      </c>
      <c r="L531" s="97">
        <f ca="1">_xll.meDateFromTenor(L530,"1D","FOLLOWING","TGT")</f>
        <v>43257</v>
      </c>
      <c r="M531" s="95">
        <f ca="1"/>
        <v>-1.1133853173760646E-3</v>
      </c>
      <c r="N531" s="5" t="s">
        <v>4</v>
      </c>
      <c r="O531" s="97">
        <f ca="1">_xll.meDateFromTenor(O530,"1D","FOLLOWING","TGT")</f>
        <v>43257</v>
      </c>
      <c r="P531" s="95">
        <f ca="1"/>
        <v>9.0457639763052479E-4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-3.6318715478737685E-3</v>
      </c>
      <c r="H532" s="92" t="s">
        <v>4</v>
      </c>
      <c r="I532" s="97">
        <f ca="1">_xll.meDateFromTenor(I531,"1D","FOLLOWING","TGT")</f>
        <v>43258</v>
      </c>
      <c r="J532" s="95">
        <f ca="1"/>
        <v>-3.2089360691977134E-3</v>
      </c>
      <c r="K532" s="5" t="s">
        <v>4</v>
      </c>
      <c r="L532" s="97">
        <f ca="1">_xll.meDateFromTenor(L531,"1D","FOLLOWING","TGT")</f>
        <v>43258</v>
      </c>
      <c r="M532" s="95">
        <f ca="1"/>
        <v>-1.1102704508324777E-3</v>
      </c>
      <c r="N532" s="5" t="s">
        <v>4</v>
      </c>
      <c r="O532" s="97">
        <f ca="1">_xll.meDateFromTenor(O531,"1D","FOLLOWING","TGT")</f>
        <v>43258</v>
      </c>
      <c r="P532" s="95">
        <f ca="1"/>
        <v>9.0901169643506363E-4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-3.6286962986932935E-3</v>
      </c>
      <c r="H533" s="92" t="s">
        <v>4</v>
      </c>
      <c r="I533" s="97">
        <f ca="1">_xll.meDateFromTenor(I532,"1D","FOLLOWING","TGT")</f>
        <v>43259</v>
      </c>
      <c r="J533" s="95">
        <f ca="1"/>
        <v>-3.1991101468323178E-3</v>
      </c>
      <c r="K533" s="5" t="s">
        <v>4</v>
      </c>
      <c r="L533" s="97">
        <f ca="1">_xll.meDateFromTenor(L532,"1D","FOLLOWING","TGT")</f>
        <v>43259</v>
      </c>
      <c r="M533" s="95">
        <f ca="1"/>
        <v>-1.1071283030811641E-3</v>
      </c>
      <c r="N533" s="5" t="s">
        <v>4</v>
      </c>
      <c r="O533" s="97">
        <f ca="1">_xll.meDateFromTenor(O532,"1D","FOLLOWING","TGT")</f>
        <v>43259</v>
      </c>
      <c r="P533" s="95">
        <f ca="1"/>
        <v>9.134532495163717E-4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-3.6189986727564395E-3</v>
      </c>
      <c r="H534" s="92" t="s">
        <v>4</v>
      </c>
      <c r="I534" s="97">
        <f ca="1">_xll.meDateFromTenor(I533,"1D","FOLLOWING","TGT")</f>
        <v>43262</v>
      </c>
      <c r="J534" s="95">
        <f ca="1"/>
        <v>-3.1693223098278093E-3</v>
      </c>
      <c r="K534" s="5" t="s">
        <v>4</v>
      </c>
      <c r="L534" s="97">
        <f ca="1">_xll.meDateFromTenor(L533,"1D","FOLLOWING","TGT")</f>
        <v>43262</v>
      </c>
      <c r="M534" s="95">
        <f ca="1"/>
        <v>-1.0975397938800039E-3</v>
      </c>
      <c r="N534" s="5" t="s">
        <v>4</v>
      </c>
      <c r="O534" s="97">
        <f ca="1">_xll.meDateFromTenor(O533,"1D","FOLLOWING","TGT")</f>
        <v>43262</v>
      </c>
      <c r="P534" s="95">
        <f ca="1"/>
        <v>9.2681524999211511E-4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-3.615713907645382E-3</v>
      </c>
      <c r="H535" s="92" t="s">
        <v>4</v>
      </c>
      <c r="I535" s="97">
        <f ca="1">_xll.meDateFromTenor(I534,"1D","FOLLOWING","TGT")</f>
        <v>43263</v>
      </c>
      <c r="J535" s="95">
        <f ca="1"/>
        <v>-3.1592936868206538E-3</v>
      </c>
      <c r="K535" s="5" t="s">
        <v>4</v>
      </c>
      <c r="L535" s="97">
        <f ca="1">_xll.meDateFromTenor(L534,"1D","FOLLOWING","TGT")</f>
        <v>43263</v>
      </c>
      <c r="M535" s="95">
        <f ca="1"/>
        <v>-1.0942901425969242E-3</v>
      </c>
      <c r="N535" s="5" t="s">
        <v>4</v>
      </c>
      <c r="O535" s="97">
        <f ca="1">_xll.meDateFromTenor(O534,"1D","FOLLOWING","TGT")</f>
        <v>43263</v>
      </c>
      <c r="P535" s="95">
        <f ca="1"/>
        <v>9.3128163575170557E-4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-3.6124055658014577E-3</v>
      </c>
      <c r="H536" s="92" t="s">
        <v>4</v>
      </c>
      <c r="I536" s="97">
        <f ca="1">_xll.meDateFromTenor(I535,"1D","FOLLOWING","TGT")</f>
        <v>43264</v>
      </c>
      <c r="J536" s="95">
        <f ca="1"/>
        <v>-3.1492173981259009E-3</v>
      </c>
      <c r="K536" s="5" t="s">
        <v>4</v>
      </c>
      <c r="L536" s="97">
        <f ca="1">_xll.meDateFromTenor(L535,"1D","FOLLOWING","TGT")</f>
        <v>43264</v>
      </c>
      <c r="M536" s="95">
        <f ca="1"/>
        <v>-1.0910140207556886E-3</v>
      </c>
      <c r="N536" s="5" t="s">
        <v>4</v>
      </c>
      <c r="O536" s="97">
        <f ca="1">_xll.meDateFromTenor(O535,"1D","FOLLOWING","TGT")</f>
        <v>43264</v>
      </c>
      <c r="P536" s="95">
        <f ca="1"/>
        <v>9.3575418357366789E-4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-3.6090751681245787E-3</v>
      </c>
      <c r="H537" s="92" t="s">
        <v>4</v>
      </c>
      <c r="I537" s="97">
        <f ca="1">_xll.meDateFromTenor(I536,"1D","FOLLOWING","TGT")</f>
        <v>43265</v>
      </c>
      <c r="J537" s="95">
        <f ca="1"/>
        <v>-3.1390946475326875E-3</v>
      </c>
      <c r="K537" s="5" t="s">
        <v>4</v>
      </c>
      <c r="L537" s="97">
        <f ca="1">_xll.meDateFromTenor(L536,"1D","FOLLOWING","TGT")</f>
        <v>43265</v>
      </c>
      <c r="M537" s="95">
        <f ca="1"/>
        <v>-1.0877115904862108E-3</v>
      </c>
      <c r="N537" s="5" t="s">
        <v>4</v>
      </c>
      <c r="O537" s="97">
        <f ca="1">_xll.meDateFromTenor(O536,"1D","FOLLOWING","TGT")</f>
        <v>43265</v>
      </c>
      <c r="P537" s="95">
        <f ca="1"/>
        <v>9.4023287501512269E-4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-3.6057242355146553E-3</v>
      </c>
      <c r="H538" s="92" t="s">
        <v>4</v>
      </c>
      <c r="I538" s="97">
        <f ca="1">_xll.meDateFromTenor(I537,"1D","FOLLOWING","TGT")</f>
        <v>43266</v>
      </c>
      <c r="J538" s="95">
        <f ca="1"/>
        <v>-3.1289266388301513E-3</v>
      </c>
      <c r="K538" s="5" t="s">
        <v>4</v>
      </c>
      <c r="L538" s="97">
        <f ca="1">_xll.meDateFromTenor(L537,"1D","FOLLOWING","TGT")</f>
        <v>43266</v>
      </c>
      <c r="M538" s="95">
        <f ca="1"/>
        <v>-1.084383013918405E-3</v>
      </c>
      <c r="N538" s="5" t="s">
        <v>4</v>
      </c>
      <c r="O538" s="97">
        <f ca="1">_xll.meDateFromTenor(O537,"1D","FOLLOWING","TGT")</f>
        <v>43266</v>
      </c>
      <c r="P538" s="95">
        <f ca="1"/>
        <v>9.4471769163319036E-4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-3.5955634370857356E-3</v>
      </c>
      <c r="H539" s="92" t="s">
        <v>4</v>
      </c>
      <c r="I539" s="97">
        <f ca="1">_xll.meDateFromTenor(I538,"1D","FOLLOWING","TGT")</f>
        <v>43269</v>
      </c>
      <c r="J539" s="95">
        <f ca="1"/>
        <v>-3.098163101957976E-3</v>
      </c>
      <c r="K539" s="5" t="s">
        <v>4</v>
      </c>
      <c r="L539" s="97">
        <f ca="1">_xll.meDateFromTenor(L538,"1D","FOLLOWING","TGT")</f>
        <v>43269</v>
      </c>
      <c r="M539" s="95">
        <f ca="1"/>
        <v>-1.0742420277241656E-3</v>
      </c>
      <c r="N539" s="5" t="s">
        <v>4</v>
      </c>
      <c r="O539" s="97">
        <f ca="1">_xll.meDateFromTenor(O538,"1D","FOLLOWING","TGT")</f>
        <v>43269</v>
      </c>
      <c r="P539" s="95">
        <f ca="1"/>
        <v>9.5820870811827582E-4</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-3.5921455737427501E-3</v>
      </c>
      <c r="H540" s="92" t="s">
        <v>4</v>
      </c>
      <c r="I540" s="97">
        <f ca="1">_xll.meDateFromTenor(I539,"1D","FOLLOWING","TGT")</f>
        <v>43270</v>
      </c>
      <c r="J540" s="95">
        <f ca="1"/>
        <v>-3.0878260987095177E-3</v>
      </c>
      <c r="K540" s="5" t="s">
        <v>4</v>
      </c>
      <c r="L540" s="97">
        <f ca="1">_xll.meDateFromTenor(L539,"1D","FOLLOWING","TGT")</f>
        <v>43270</v>
      </c>
      <c r="M540" s="95">
        <f ca="1"/>
        <v>-1.070810487262191E-3</v>
      </c>
      <c r="N540" s="5" t="s">
        <v>4</v>
      </c>
      <c r="O540" s="97">
        <f ca="1">_xll.meDateFromTenor(O539,"1D","FOLLOWING","TGT")</f>
        <v>43270</v>
      </c>
      <c r="P540" s="95">
        <f ca="1"/>
        <v>9.6271784101400072E-4</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-3.5887147799662784E-3</v>
      </c>
      <c r="H541" s="92" t="s">
        <v>4</v>
      </c>
      <c r="I541" s="97">
        <f ca="1">_xll.meDateFromTenor(I540,"1D","FOLLOWING","TGT")</f>
        <v>43271</v>
      </c>
      <c r="J541" s="95">
        <f ca="1"/>
        <v>-3.0774498562974231E-3</v>
      </c>
      <c r="K541" s="5" t="s">
        <v>4</v>
      </c>
      <c r="L541" s="97">
        <f ca="1">_xll.meDateFromTenor(L540,"1D","FOLLOWING","TGT")</f>
        <v>43271</v>
      </c>
      <c r="M541" s="95">
        <f ca="1"/>
        <v>-1.0673536111514609E-3</v>
      </c>
      <c r="N541" s="5" t="s">
        <v>4</v>
      </c>
      <c r="O541" s="97">
        <f ca="1">_xll.meDateFromTenor(O540,"1D","FOLLOWING","TGT")</f>
        <v>43271</v>
      </c>
      <c r="P541" s="95">
        <f ca="1"/>
        <v>9.6723300687194059E-4</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-3.5852725766562315E-3</v>
      </c>
      <c r="H542" s="92" t="s">
        <v>4</v>
      </c>
      <c r="I542" s="97">
        <f ca="1">_xll.meDateFromTenor(I541,"1D","FOLLOWING","TGT")</f>
        <v>43272</v>
      </c>
      <c r="J542" s="95">
        <f ca="1"/>
        <v>-3.0670355785108257E-3</v>
      </c>
      <c r="K542" s="5" t="s">
        <v>4</v>
      </c>
      <c r="L542" s="97">
        <f ca="1">_xll.meDateFromTenor(L541,"1D","FOLLOWING","TGT")</f>
        <v>43272</v>
      </c>
      <c r="M542" s="95">
        <f ca="1"/>
        <v>-1.0638715615218875E-3</v>
      </c>
      <c r="N542" s="5" t="s">
        <v>4</v>
      </c>
      <c r="O542" s="97">
        <f ca="1">_xll.meDateFromTenor(O541,"1D","FOLLOWING","TGT")</f>
        <v>43272</v>
      </c>
      <c r="P542" s="95">
        <f ca="1"/>
        <v>9.7175418724921735E-4</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-3.58182048471252E-3</v>
      </c>
      <c r="H543" s="92" t="s">
        <v>4</v>
      </c>
      <c r="I543" s="97">
        <f ca="1">_xll.meDateFromTenor(I542,"1D","FOLLOWING","TGT")</f>
        <v>43273</v>
      </c>
      <c r="J543" s="95">
        <f ca="1"/>
        <v>-3.0565844691388647E-3</v>
      </c>
      <c r="K543" s="5" t="s">
        <v>4</v>
      </c>
      <c r="L543" s="97">
        <f ca="1">_xll.meDateFromTenor(L542,"1D","FOLLOWING","TGT")</f>
        <v>43273</v>
      </c>
      <c r="M543" s="95">
        <f ca="1"/>
        <v>-1.0603645005033858E-3</v>
      </c>
      <c r="N543" s="5" t="s">
        <v>4</v>
      </c>
      <c r="O543" s="97">
        <f ca="1">_xll.meDateFromTenor(O542,"1D","FOLLOWING","TGT")</f>
        <v>43273</v>
      </c>
      <c r="P543" s="95">
        <f ca="1"/>
        <v>9.7628136370295064E-4</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-3.5714200860785163E-3</v>
      </c>
      <c r="H544" s="92" t="s">
        <v>4</v>
      </c>
      <c r="I544" s="97">
        <f ca="1">_xll.meDateFromTenor(I543,"1D","FOLLOWING","TGT")</f>
        <v>43276</v>
      </c>
      <c r="J544" s="95">
        <f ca="1"/>
        <v>-3.0250221894021711E-3</v>
      </c>
      <c r="K544" s="5" t="s">
        <v>4</v>
      </c>
      <c r="L544" s="97">
        <f ca="1">_xll.meDateFromTenor(L543,"1D","FOLLOWING","TGT")</f>
        <v>43276</v>
      </c>
      <c r="M544" s="95">
        <f ca="1"/>
        <v>-1.0496948704134521E-3</v>
      </c>
      <c r="N544" s="5" t="s">
        <v>4</v>
      </c>
      <c r="O544" s="97">
        <f ca="1">_xll.meDateFromTenor(O543,"1D","FOLLOWING","TGT")</f>
        <v>43276</v>
      </c>
      <c r="P544" s="95">
        <f ca="1"/>
        <v>9.8989868509409616E-4</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-3.5679436485992642E-3</v>
      </c>
      <c r="H545" s="92" t="s">
        <v>4</v>
      </c>
      <c r="I545" s="97">
        <f ca="1">_xll.meDateFromTenor(I544,"1D","FOLLOWING","TGT")</f>
        <v>43277</v>
      </c>
      <c r="J545" s="95">
        <f ca="1"/>
        <v>-3.0144357915801254E-3</v>
      </c>
      <c r="K545" s="5" t="s">
        <v>4</v>
      </c>
      <c r="L545" s="97">
        <f ca="1">_xll.meDateFromTenor(L544,"1D","FOLLOWING","TGT")</f>
        <v>43277</v>
      </c>
      <c r="M545" s="95">
        <f ca="1"/>
        <v>-1.0460893851383791E-3</v>
      </c>
      <c r="N545" s="5" t="s">
        <v>4</v>
      </c>
      <c r="O545" s="97">
        <f ca="1">_xll.meDateFromTenor(O544,"1D","FOLLOWING","TGT")</f>
        <v>43277</v>
      </c>
      <c r="P545" s="95">
        <f ca="1"/>
        <v>9.9444966142486183E-4</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-3.5644649269859058E-3</v>
      </c>
      <c r="H546" s="92" t="s">
        <v>4</v>
      </c>
      <c r="I546" s="97">
        <f ca="1">_xll.meDateFromTenor(I545,"1D","FOLLOWING","TGT")</f>
        <v>43278</v>
      </c>
      <c r="J546" s="95">
        <f ca="1"/>
        <v>-3.0038185811184035E-3</v>
      </c>
      <c r="K546" s="5" t="s">
        <v>4</v>
      </c>
      <c r="L546" s="97">
        <f ca="1">_xll.meDateFromTenor(L545,"1D","FOLLOWING","TGT")</f>
        <v>43278</v>
      </c>
      <c r="M546" s="95">
        <f ca="1"/>
        <v>-1.042459699123949E-3</v>
      </c>
      <c r="N546" s="5" t="s">
        <v>4</v>
      </c>
      <c r="O546" s="97">
        <f ca="1">_xll.meDateFromTenor(O545,"1D","FOLLOWING","TGT")</f>
        <v>43278</v>
      </c>
      <c r="P546" s="95">
        <f ca="1"/>
        <v>9.9900654161768558E-4</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-3.5609854421383507E-3</v>
      </c>
      <c r="H547" s="92" t="s">
        <v>4</v>
      </c>
      <c r="I547" s="97">
        <f ca="1">_xll.meDateFromTenor(I546,"1D","FOLLOWING","TGT")</f>
        <v>43279</v>
      </c>
      <c r="J547" s="95">
        <f ca="1"/>
        <v>-2.9931717618061388E-3</v>
      </c>
      <c r="K547" s="5" t="s">
        <v>4</v>
      </c>
      <c r="L547" s="97">
        <f ca="1">_xll.meDateFromTenor(L546,"1D","FOLLOWING","TGT")</f>
        <v>43279</v>
      </c>
      <c r="M547" s="95">
        <f ca="1"/>
        <v>-1.0388059745000753E-3</v>
      </c>
      <c r="N547" s="5" t="s">
        <v>4</v>
      </c>
      <c r="O547" s="97">
        <f ca="1">_xll.meDateFromTenor(O546,"1D","FOLLOWING","TGT")</f>
        <v>43279</v>
      </c>
      <c r="P547" s="95">
        <f ca="1"/>
        <v>1.0035693072296902E-3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-3.557506714956513E-3</v>
      </c>
      <c r="H548" s="92" t="s">
        <v>4</v>
      </c>
      <c r="I548" s="97">
        <f ca="1">_xll.meDateFromTenor(I547,"1D","FOLLOWING","TGT")</f>
        <v>43280</v>
      </c>
      <c r="J548" s="95">
        <f ca="1"/>
        <v>-2.9824965374324708E-3</v>
      </c>
      <c r="K548" s="5" t="s">
        <v>4</v>
      </c>
      <c r="L548" s="97">
        <f ca="1">_xll.meDateFromTenor(L547,"1D","FOLLOWING","TGT")</f>
        <v>43280</v>
      </c>
      <c r="M548" s="95">
        <f ca="1"/>
        <v>-1.0351283733966733E-3</v>
      </c>
      <c r="N548" s="5" t="s">
        <v>4</v>
      </c>
      <c r="O548" s="97">
        <f ca="1">_xll.meDateFromTenor(O547,"1D","FOLLOWING","TGT")</f>
        <v>43280</v>
      </c>
      <c r="P548" s="95">
        <f ca="1"/>
        <v>1.0081379398179946E-3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-3.5470902884044094E-3</v>
      </c>
      <c r="H549" s="92" t="s">
        <v>4</v>
      </c>
      <c r="I549" s="97">
        <f ca="1">_xll.meDateFromTenor(I548,"1D","FOLLOWING","TGT")</f>
        <v>43283</v>
      </c>
      <c r="J549" s="95">
        <f ca="1"/>
        <v>-2.950312471834408E-3</v>
      </c>
      <c r="K549" s="5" t="s">
        <v>4</v>
      </c>
      <c r="L549" s="97">
        <f ca="1">_xll.meDateFromTenor(L548,"1D","FOLLOWING","TGT")</f>
        <v>43283</v>
      </c>
      <c r="M549" s="95">
        <f ca="1"/>
        <v>-1.0239539325084333E-3</v>
      </c>
      <c r="N549" s="5" t="s">
        <v>4</v>
      </c>
      <c r="O549" s="97">
        <f ca="1">_xll.meDateFromTenor(O548,"1D","FOLLOWING","TGT")</f>
        <v>43283</v>
      </c>
      <c r="P549" s="95">
        <f ca="1"/>
        <v>1.0218788550119173E-3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-3.5436295608816735E-3</v>
      </c>
      <c r="H550" s="92" t="s">
        <v>4</v>
      </c>
      <c r="I550" s="97">
        <f ca="1">_xll.meDateFromTenor(I549,"1D","FOLLOWING","TGT")</f>
        <v>43284</v>
      </c>
      <c r="J550" s="95">
        <f ca="1"/>
        <v>-2.9395356651064912E-3</v>
      </c>
      <c r="K550" s="5" t="s">
        <v>4</v>
      </c>
      <c r="L550" s="97">
        <f ca="1">_xll.meDateFromTenor(L549,"1D","FOLLOWING","TGT")</f>
        <v>43284</v>
      </c>
      <c r="M550" s="95">
        <f ca="1"/>
        <v>-1.0201824467860566E-3</v>
      </c>
      <c r="N550" s="5" t="s">
        <v>4</v>
      </c>
      <c r="O550" s="97">
        <f ca="1">_xll.meDateFromTenor(O549,"1D","FOLLOWING","TGT")</f>
        <v>43284</v>
      </c>
      <c r="P550" s="95">
        <f ca="1"/>
        <v>1.0264707710766292E-3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-3.54017575550695E-3</v>
      </c>
      <c r="H551" s="92" t="s">
        <v>4</v>
      </c>
      <c r="I551" s="97">
        <f ca="1">_xll.meDateFromTenor(I550,"1D","FOLLOWING","TGT")</f>
        <v>43285</v>
      </c>
      <c r="J551" s="95">
        <f ca="1"/>
        <v>-2.9287364722628559E-3</v>
      </c>
      <c r="K551" s="5" t="s">
        <v>4</v>
      </c>
      <c r="L551" s="97">
        <f ca="1">_xll.meDateFromTenor(L550,"1D","FOLLOWING","TGT")</f>
        <v>43285</v>
      </c>
      <c r="M551" s="95">
        <f ca="1"/>
        <v>-1.0163878952337219E-3</v>
      </c>
      <c r="N551" s="5" t="s">
        <v>4</v>
      </c>
      <c r="O551" s="97">
        <f ca="1">_xll.meDateFromTenor(O550,"1D","FOLLOWING","TGT")</f>
        <v>43285</v>
      </c>
      <c r="P551" s="95">
        <f ca="1"/>
        <v>1.0310684619032444E-3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-3.5367289531628922E-3</v>
      </c>
      <c r="H552" s="92" t="s">
        <v>4</v>
      </c>
      <c r="I552" s="97">
        <f ca="1">_xll.meDateFromTenor(I551,"1D","FOLLOWING","TGT")</f>
        <v>43286</v>
      </c>
      <c r="J552" s="95">
        <f ca="1"/>
        <v>-2.917916097092639E-3</v>
      </c>
      <c r="K552" s="5" t="s">
        <v>4</v>
      </c>
      <c r="L552" s="97">
        <f ca="1">_xll.meDateFromTenor(L551,"1D","FOLLOWING","TGT")</f>
        <v>43286</v>
      </c>
      <c r="M552" s="95">
        <f ca="1"/>
        <v>-1.0125704399813432E-3</v>
      </c>
      <c r="N552" s="5" t="s">
        <v>4</v>
      </c>
      <c r="O552" s="97">
        <f ca="1">_xll.meDateFromTenor(O551,"1D","FOLLOWING","TGT")</f>
        <v>43286</v>
      </c>
      <c r="P552" s="95">
        <f ca="1"/>
        <v>1.0356719090488828E-3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-3.5332892347321489E-3</v>
      </c>
      <c r="H553" s="92" t="s">
        <v>4</v>
      </c>
      <c r="I553" s="97">
        <f ca="1">_xll.meDateFromTenor(I552,"1D","FOLLOWING","TGT")</f>
        <v>43287</v>
      </c>
      <c r="J553" s="95">
        <f ca="1"/>
        <v>-2.9070757433849789E-3</v>
      </c>
      <c r="K553" s="5" t="s">
        <v>4</v>
      </c>
      <c r="L553" s="97">
        <f ca="1">_xll.meDateFromTenor(L552,"1D","FOLLOWING","TGT")</f>
        <v>43287</v>
      </c>
      <c r="M553" s="95">
        <f ca="1"/>
        <v>-1.0087302431588357E-3</v>
      </c>
      <c r="N553" s="5" t="s">
        <v>4</v>
      </c>
      <c r="O553" s="97">
        <f ca="1">_xll.meDateFromTenor(O552,"1D","FOLLOWING","TGT")</f>
        <v>43287</v>
      </c>
      <c r="P553" s="95">
        <f ca="1"/>
        <v>1.0402810940706648E-3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-3.5230133917463209E-3</v>
      </c>
      <c r="H554" s="92" t="s">
        <v>4</v>
      </c>
      <c r="I554" s="97">
        <f ca="1">_xll.meDateFromTenor(I553,"1D","FOLLOWING","TGT")</f>
        <v>43290</v>
      </c>
      <c r="J554" s="95">
        <f ca="1"/>
        <v>-2.8744468489286957E-3</v>
      </c>
      <c r="K554" s="5" t="s">
        <v>4</v>
      </c>
      <c r="L554" s="97">
        <f ca="1">_xll.meDateFromTenor(L553,"1D","FOLLOWING","TGT")</f>
        <v>43290</v>
      </c>
      <c r="M554" s="95">
        <f ca="1"/>
        <v>-9.970748245696757E-4</v>
      </c>
      <c r="N554" s="5" t="s">
        <v>4</v>
      </c>
      <c r="O554" s="97">
        <f ca="1">_xll.meDateFromTenor(O553,"1D","FOLLOWING","TGT")</f>
        <v>43290</v>
      </c>
      <c r="P554" s="95">
        <f ca="1"/>
        <v>1.0541428919640819E-3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-3.5196028177953489E-3</v>
      </c>
      <c r="H555" s="92" t="s">
        <v>4</v>
      </c>
      <c r="I555" s="97">
        <f ca="1">_xll.meDateFromTenor(I554,"1D","FOLLOWING","TGT")</f>
        <v>43291</v>
      </c>
      <c r="J555" s="95">
        <f ca="1"/>
        <v>-2.8635386189626248E-3</v>
      </c>
      <c r="K555" s="5" t="s">
        <v>4</v>
      </c>
      <c r="L555" s="97">
        <f ca="1">_xll.meDateFromTenor(L554,"1D","FOLLOWING","TGT")</f>
        <v>43291</v>
      </c>
      <c r="M555" s="95">
        <f ca="1"/>
        <v>-9.93145282765791E-4</v>
      </c>
      <c r="N555" s="5" t="s">
        <v>4</v>
      </c>
      <c r="O555" s="97">
        <f ca="1">_xll.meDateFromTenor(O554,"1D","FOLLOWING","TGT")</f>
        <v>43291</v>
      </c>
      <c r="P555" s="95">
        <f ca="1"/>
        <v>1.0587748440616465E-3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-3.5161997321709474E-3</v>
      </c>
      <c r="H556" s="92" t="s">
        <v>4</v>
      </c>
      <c r="I556" s="97">
        <f ca="1">_xll.meDateFromTenor(I555,"1D","FOLLOWING","TGT")</f>
        <v>43292</v>
      </c>
      <c r="J556" s="95">
        <f ca="1"/>
        <v>-2.8526164294047939E-3</v>
      </c>
      <c r="K556" s="5" t="s">
        <v>4</v>
      </c>
      <c r="L556" s="97">
        <f ca="1">_xll.meDateFromTenor(L555,"1D","FOLLOWING","TGT")</f>
        <v>43292</v>
      </c>
      <c r="M556" s="95">
        <f ca="1"/>
        <v>-9.8919381004134756E-4</v>
      </c>
      <c r="N556" s="5" t="s">
        <v>4</v>
      </c>
      <c r="O556" s="97">
        <f ca="1">_xll.meDateFromTenor(O555,"1D","FOLLOWING","TGT")</f>
        <v>43292</v>
      </c>
      <c r="P556" s="95">
        <f ca="1"/>
        <v>1.0634124418209578E-3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-3.5128042157557674E-3</v>
      </c>
      <c r="H557" s="92" t="s">
        <v>4</v>
      </c>
      <c r="I557" s="97">
        <f ca="1">_xll.meDateFromTenor(I556,"1D","FOLLOWING","TGT")</f>
        <v>43293</v>
      </c>
      <c r="J557" s="95">
        <f ca="1"/>
        <v>-2.8416814840443402E-3</v>
      </c>
      <c r="K557" s="5" t="s">
        <v>4</v>
      </c>
      <c r="L557" s="97">
        <f ca="1">_xll.meDateFromTenor(L556,"1D","FOLLOWING","TGT")</f>
        <v>43293</v>
      </c>
      <c r="M557" s="95">
        <f ca="1"/>
        <v>-9.8522056852625947E-4</v>
      </c>
      <c r="N557" s="5" t="s">
        <v>4</v>
      </c>
      <c r="O557" s="97">
        <f ca="1">_xll.meDateFromTenor(O556,"1D","FOLLOWING","TGT")</f>
        <v>43293</v>
      </c>
      <c r="P557" s="95">
        <f ca="1"/>
        <v>1.0680556667991361E-3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-3.5094163494324604E-3</v>
      </c>
      <c r="H558" s="92" t="s">
        <v>4</v>
      </c>
      <c r="I558" s="97">
        <f ca="1">_xll.meDateFromTenor(I557,"1D","FOLLOWING","TGT")</f>
        <v>43294</v>
      </c>
      <c r="J558" s="95">
        <f ca="1"/>
        <v>-2.8307349866704017E-3</v>
      </c>
      <c r="K558" s="5" t="s">
        <v>4</v>
      </c>
      <c r="L558" s="97">
        <f ca="1">_xll.meDateFromTenor(L557,"1D","FOLLOWING","TGT")</f>
        <v>43294</v>
      </c>
      <c r="M558" s="95">
        <f ca="1"/>
        <v>-9.8122572035044126E-4</v>
      </c>
      <c r="N558" s="5" t="s">
        <v>4</v>
      </c>
      <c r="O558" s="97">
        <f ca="1">_xll.meDateFromTenor(O557,"1D","FOLLOWING","TGT")</f>
        <v>43294</v>
      </c>
      <c r="P558" s="95">
        <f ca="1"/>
        <v>1.0727045005533024E-3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-3.4992994598402874E-3</v>
      </c>
      <c r="H559" s="92" t="s">
        <v>4</v>
      </c>
      <c r="I559" s="97">
        <f ca="1">_xll.meDateFromTenor(I558,"1D","FOLLOWING","TGT")</f>
        <v>43297</v>
      </c>
      <c r="J559" s="95">
        <f ca="1"/>
        <v>-2.7978382203590452E-3</v>
      </c>
      <c r="K559" s="5" t="s">
        <v>4</v>
      </c>
      <c r="L559" s="97">
        <f ca="1">_xll.meDateFromTenor(L558,"1D","FOLLOWING","TGT")</f>
        <v>43297</v>
      </c>
      <c r="M559" s="95">
        <f ca="1"/>
        <v>-9.6911315715774728E-4</v>
      </c>
      <c r="N559" s="5" t="s">
        <v>4</v>
      </c>
      <c r="O559" s="97">
        <f ca="1">_xll.meDateFromTenor(O558,"1D","FOLLOWING","TGT")</f>
        <v>43297</v>
      </c>
      <c r="P559" s="95">
        <f ca="1"/>
        <v>1.0866844700429328E-3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-3.4959430027109825E-3</v>
      </c>
      <c r="H560" s="92" t="s">
        <v>4</v>
      </c>
      <c r="I560" s="97">
        <f ca="1">_xll.meDateFromTenor(I559,"1D","FOLLOWING","TGT")</f>
        <v>43298</v>
      </c>
      <c r="J560" s="95">
        <f ca="1"/>
        <v>-2.7868575528225371E-3</v>
      </c>
      <c r="K560" s="5" t="s">
        <v>4</v>
      </c>
      <c r="L560" s="97">
        <f ca="1">_xll.meDateFromTenor(L559,"1D","FOLLOWING","TGT")</f>
        <v>43298</v>
      </c>
      <c r="M560" s="95">
        <f ca="1"/>
        <v>-9.650335036381504E-4</v>
      </c>
      <c r="N560" s="5" t="s">
        <v>4</v>
      </c>
      <c r="O560" s="97">
        <f ca="1">_xll.meDateFromTenor(O559,"1D","FOLLOWING","TGT")</f>
        <v>43298</v>
      </c>
      <c r="P560" s="95">
        <f ca="1"/>
        <v>1.0913555544722548E-3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-3.4925946000868057E-3</v>
      </c>
      <c r="H561" s="92" t="s">
        <v>4</v>
      </c>
      <c r="I561" s="97">
        <f ca="1">_xll.meDateFromTenor(I560,"1D","FOLLOWING","TGT")</f>
        <v>43299</v>
      </c>
      <c r="J561" s="95">
        <f ca="1"/>
        <v>-2.7758713522182264E-3</v>
      </c>
      <c r="K561" s="5" t="s">
        <v>4</v>
      </c>
      <c r="L561" s="97">
        <f ca="1">_xll.meDateFromTenor(L560,"1D","FOLLOWING","TGT")</f>
        <v>43299</v>
      </c>
      <c r="M561" s="95">
        <f ca="1"/>
        <v>-9.6093305410739345E-4</v>
      </c>
      <c r="N561" s="5" t="s">
        <v>4</v>
      </c>
      <c r="O561" s="97">
        <f ca="1">_xll.meDateFromTenor(O560,"1D","FOLLOWING","TGT")</f>
        <v>43299</v>
      </c>
      <c r="P561" s="95">
        <f ca="1"/>
        <v>1.0960321554631684E-3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-3.4892543328504076E-3</v>
      </c>
      <c r="H562" s="92" t="s">
        <v>4</v>
      </c>
      <c r="I562" s="97">
        <f ca="1">_xll.meDateFromTenor(I561,"1D","FOLLOWING","TGT")</f>
        <v>43300</v>
      </c>
      <c r="J562" s="95">
        <f ca="1"/>
        <v>-2.7648808223352532E-3</v>
      </c>
      <c r="K562" s="5" t="s">
        <v>4</v>
      </c>
      <c r="L562" s="97">
        <f ca="1">_xll.meDateFromTenor(L561,"1D","FOLLOWING","TGT")</f>
        <v>43300</v>
      </c>
      <c r="M562" s="95">
        <f ca="1"/>
        <v>-9.5681197069539148E-4</v>
      </c>
      <c r="N562" s="5" t="s">
        <v>4</v>
      </c>
      <c r="O562" s="97">
        <f ca="1">_xll.meDateFromTenor(O561,"1D","FOLLOWING","TGT")</f>
        <v>43300</v>
      </c>
      <c r="P562" s="95">
        <f ca="1"/>
        <v>1.100714254572793E-3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-3.4859222818844392E-3</v>
      </c>
      <c r="H563" s="92" t="s">
        <v>4</v>
      </c>
      <c r="I563" s="97">
        <f ca="1">_xll.meDateFromTenor(I562,"1D","FOLLOWING","TGT")</f>
        <v>43301</v>
      </c>
      <c r="J563" s="95">
        <f ca="1"/>
        <v>-2.753887166962754E-3</v>
      </c>
      <c r="K563" s="5" t="s">
        <v>4</v>
      </c>
      <c r="L563" s="97">
        <f ca="1">_xll.meDateFromTenor(L562,"1D","FOLLOWING","TGT")</f>
        <v>43301</v>
      </c>
      <c r="M563" s="95">
        <f ca="1"/>
        <v>-9.526704155320586E-4</v>
      </c>
      <c r="N563" s="5" t="s">
        <v>4</v>
      </c>
      <c r="O563" s="97">
        <f ca="1">_xll.meDateFromTenor(O562,"1D","FOLLOWING","TGT")</f>
        <v>43301</v>
      </c>
      <c r="P563" s="95">
        <f ca="1"/>
        <v>1.1054018333582487E-3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-3.4759762354356297E-3</v>
      </c>
      <c r="H564" s="92" t="s">
        <v>4</v>
      </c>
      <c r="I564" s="97">
        <f ca="1">_xll.meDateFromTenor(I563,"1D","FOLLOWING","TGT")</f>
        <v>43304</v>
      </c>
      <c r="J564" s="95">
        <f ca="1"/>
        <v>-2.7208994857994715E-3</v>
      </c>
      <c r="K564" s="5" t="s">
        <v>4</v>
      </c>
      <c r="L564" s="97">
        <f ca="1">_xll.meDateFromTenor(L563,"1D","FOLLOWING","TGT")</f>
        <v>43304</v>
      </c>
      <c r="M564" s="95">
        <f ca="1"/>
        <v>-9.4012454083321662E-4</v>
      </c>
      <c r="N564" s="5" t="s">
        <v>4</v>
      </c>
      <c r="O564" s="97">
        <f ca="1">_xll.meDateFromTenor(O563,"1D","FOLLOWING","TGT")</f>
        <v>43304</v>
      </c>
      <c r="P564" s="95">
        <f ca="1"/>
        <v>1.1194972633408102E-3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-3.4726778583778943E-3</v>
      </c>
      <c r="H565" s="92" t="s">
        <v>4</v>
      </c>
      <c r="I565" s="97">
        <f ca="1">_xll.meDateFromTenor(I564,"1D","FOLLOWING","TGT")</f>
        <v>43305</v>
      </c>
      <c r="J565" s="95">
        <f ca="1"/>
        <v>-2.709905366360238E-3</v>
      </c>
      <c r="K565" s="5" t="s">
        <v>4</v>
      </c>
      <c r="L565" s="97">
        <f ca="1">_xll.meDateFromTenor(L564,"1D","FOLLOWING","TGT")</f>
        <v>43305</v>
      </c>
      <c r="M565" s="95">
        <f ca="1"/>
        <v>-9.359027199637019E-4</v>
      </c>
      <c r="N565" s="5" t="s">
        <v>4</v>
      </c>
      <c r="O565" s="97">
        <f ca="1">_xll.meDateFromTenor(O564,"1D","FOLLOWING","TGT")</f>
        <v>43305</v>
      </c>
      <c r="P565" s="95">
        <f ca="1"/>
        <v>1.1242065764007977E-3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-3.4693881020038445E-3</v>
      </c>
      <c r="H566" s="92" t="s">
        <v>4</v>
      </c>
      <c r="I566" s="97">
        <f ca="1">_xll.meDateFromTenor(I565,"1D","FOLLOWING","TGT")</f>
        <v>43306</v>
      </c>
      <c r="J566" s="95">
        <f ca="1"/>
        <v>-2.6989141403771641E-3</v>
      </c>
      <c r="K566" s="5" t="s">
        <v>4</v>
      </c>
      <c r="L566" s="97">
        <f ca="1">_xll.meDateFromTenor(L565,"1D","FOLLOWING","TGT")</f>
        <v>43306</v>
      </c>
      <c r="M566" s="95">
        <f ca="1"/>
        <v>-9.3166123799242706E-4</v>
      </c>
      <c r="N566" s="5" t="s">
        <v>4</v>
      </c>
      <c r="O566" s="97">
        <f ca="1">_xll.meDateFromTenor(O565,"1D","FOLLOWING","TGT")</f>
        <v>43306</v>
      </c>
      <c r="P566" s="95">
        <f ca="1"/>
        <v>1.1289212769222193E-3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-3.4661070471961315E-3</v>
      </c>
      <c r="H567" s="92" t="s">
        <v>4</v>
      </c>
      <c r="I567" s="97">
        <f ca="1">_xll.meDateFromTenor(I566,"1D","FOLLOWING","TGT")</f>
        <v>43307</v>
      </c>
      <c r="J567" s="95">
        <f ca="1"/>
        <v>-2.6879270116393883E-3</v>
      </c>
      <c r="K567" s="5" t="s">
        <v>4</v>
      </c>
      <c r="L567" s="97">
        <f ca="1">_xll.meDateFromTenor(L566,"1D","FOLLOWING","TGT")</f>
        <v>43307</v>
      </c>
      <c r="M567" s="95">
        <f ca="1"/>
        <v>-9.2740025704930718E-4</v>
      </c>
      <c r="N567" s="5" t="s">
        <v>4</v>
      </c>
      <c r="O567" s="97">
        <f ca="1">_xll.meDateFromTenor(O566,"1D","FOLLOWING","TGT")</f>
        <v>43307</v>
      </c>
      <c r="P567" s="95">
        <f ca="1"/>
        <v>1.1336413464621948E-3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-3.4628347748374062E-3</v>
      </c>
      <c r="H568" s="92" t="s">
        <v>4</v>
      </c>
      <c r="I568" s="97">
        <f ca="1">_xll.meDateFromTenor(I567,"1D","FOLLOWING","TGT")</f>
        <v>43308</v>
      </c>
      <c r="J568" s="95">
        <f ca="1"/>
        <v>-2.6769451839360439E-3</v>
      </c>
      <c r="K568" s="5" t="s">
        <v>4</v>
      </c>
      <c r="L568" s="97">
        <f ca="1">_xll.meDateFromTenor(L567,"1D","FOLLOWING","TGT")</f>
        <v>43308</v>
      </c>
      <c r="M568" s="95">
        <f ca="1"/>
        <v>-9.2311993926425515E-4</v>
      </c>
      <c r="N568" s="5" t="s">
        <v>4</v>
      </c>
      <c r="O568" s="97">
        <f ca="1">_xll.meDateFromTenor(O567,"1D","FOLLOWING","TGT")</f>
        <v>43308</v>
      </c>
      <c r="P568" s="95">
        <f ca="1"/>
        <v>1.1383667665778464E-3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-3.4530714612816676E-3</v>
      </c>
      <c r="H569" s="92" t="s">
        <v>4</v>
      </c>
      <c r="I569" s="97">
        <f ca="1">_xll.meDateFromTenor(I568,"1D","FOLLOWING","TGT")</f>
        <v>43311</v>
      </c>
      <c r="J569" s="95">
        <f ca="1"/>
        <v>-2.6440435449239822E-3</v>
      </c>
      <c r="K569" s="5" t="s">
        <v>4</v>
      </c>
      <c r="L569" s="97">
        <f ca="1">_xll.meDateFromTenor(L568,"1D","FOLLOWING","TGT")</f>
        <v>43311</v>
      </c>
      <c r="M569" s="95">
        <f ca="1"/>
        <v>-9.1016458615665087E-4</v>
      </c>
      <c r="N569" s="5" t="s">
        <v>4</v>
      </c>
      <c r="O569" s="97">
        <f ca="1">_xll.meDateFromTenor(O568,"1D","FOLLOWING","TGT")</f>
        <v>43311</v>
      </c>
      <c r="P569" s="95">
        <f ca="1"/>
        <v>1.1525749459500576E-3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-3.4498351275454035E-3</v>
      </c>
      <c r="H570" s="92" t="s">
        <v>4</v>
      </c>
      <c r="I570" s="97">
        <f ca="1">_xll.meDateFromTenor(I569,"1D","FOLLOWING","TGT")</f>
        <v>43312</v>
      </c>
      <c r="J570" s="95">
        <f ca="1"/>
        <v>-2.633094959249742E-3</v>
      </c>
      <c r="K570" s="5" t="s">
        <v>4</v>
      </c>
      <c r="L570" s="97">
        <f ca="1">_xll.meDateFromTenor(L569,"1D","FOLLOWING","TGT")</f>
        <v>43312</v>
      </c>
      <c r="M570" s="95">
        <f ca="1"/>
        <v>-9.0580854230301415E-4</v>
      </c>
      <c r="N570" s="5" t="s">
        <v>4</v>
      </c>
      <c r="O570" s="97">
        <f ca="1">_xll.meDateFromTenor(O569,"1D","FOLLOWING","TGT")</f>
        <v>43312</v>
      </c>
      <c r="P570" s="95">
        <f ca="1"/>
        <v>1.1573215839396156E-3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-3.4466079806713843E-3</v>
      </c>
      <c r="H571" s="92" t="s">
        <v>4</v>
      </c>
      <c r="I571" s="97">
        <f ca="1">_xll.meDateFromTenor(I570,"1D","FOLLOWING","TGT")</f>
        <v>43313</v>
      </c>
      <c r="J571" s="95">
        <f ca="1"/>
        <v>-2.6221576935556217E-3</v>
      </c>
      <c r="K571" s="5" t="s">
        <v>4</v>
      </c>
      <c r="L571" s="97">
        <f ca="1">_xll.meDateFromTenor(L570,"1D","FOLLOWING","TGT")</f>
        <v>43313</v>
      </c>
      <c r="M571" s="95">
        <f ca="1"/>
        <v>-9.0143397225701772E-4</v>
      </c>
      <c r="N571" s="5" t="s">
        <v>4</v>
      </c>
      <c r="O571" s="97">
        <f ca="1">_xll.meDateFromTenor(O570,"1D","FOLLOWING","TGT")</f>
        <v>43313</v>
      </c>
      <c r="P571" s="95">
        <f ca="1"/>
        <v>1.1620734802904504E-3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-3.4433901015422587E-3</v>
      </c>
      <c r="H572" s="92" t="s">
        <v>4</v>
      </c>
      <c r="I572" s="97">
        <f ca="1">_xll.meDateFromTenor(I571,"1D","FOLLOWING","TGT")</f>
        <v>43314</v>
      </c>
      <c r="J572" s="95">
        <f ca="1"/>
        <v>-2.6112329516307562E-3</v>
      </c>
      <c r="K572" s="5" t="s">
        <v>4</v>
      </c>
      <c r="L572" s="97">
        <f ca="1">_xll.meDateFromTenor(L571,"1D","FOLLOWING","TGT")</f>
        <v>43314</v>
      </c>
      <c r="M572" s="95">
        <f ca="1"/>
        <v>-8.9704103814857382E-4</v>
      </c>
      <c r="N572" s="5" t="s">
        <v>4</v>
      </c>
      <c r="O572" s="97">
        <f ca="1">_xll.meDateFromTenor(O571,"1D","FOLLOWING","TGT")</f>
        <v>43314</v>
      </c>
      <c r="P572" s="95">
        <f ca="1"/>
        <v>1.1668306165596848E-3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-3.440181390078856E-3</v>
      </c>
      <c r="H573" s="92" t="s">
        <v>4</v>
      </c>
      <c r="I573" s="97">
        <f ca="1">_xll.meDateFromTenor(I572,"1D","FOLLOWING","TGT")</f>
        <v>43315</v>
      </c>
      <c r="J573" s="95">
        <f ca="1"/>
        <v>-2.6003219372642849E-3</v>
      </c>
      <c r="K573" s="5" t="s">
        <v>4</v>
      </c>
      <c r="L573" s="97">
        <f ca="1">_xll.meDateFromTenor(L572,"1D","FOLLOWING","TGT")</f>
        <v>43315</v>
      </c>
      <c r="M573" s="95">
        <f ca="1"/>
        <v>-8.9262990210759851E-4</v>
      </c>
      <c r="N573" s="5" t="s">
        <v>4</v>
      </c>
      <c r="O573" s="97">
        <f ca="1">_xll.meDateFromTenor(O572,"1D","FOLLOWING","TGT")</f>
        <v>43315</v>
      </c>
      <c r="P573" s="95">
        <f ca="1"/>
        <v>1.171592974304437E-3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-3.4306012985710851E-3</v>
      </c>
      <c r="H574" s="92" t="s">
        <v>4</v>
      </c>
      <c r="I574" s="97">
        <f ca="1">_xll.meDateFromTenor(I573,"1D","FOLLOWING","TGT")</f>
        <v>43318</v>
      </c>
      <c r="J574" s="95">
        <f ca="1"/>
        <v>-2.5676832974065927E-3</v>
      </c>
      <c r="K574" s="5" t="s">
        <v>4</v>
      </c>
      <c r="L574" s="97">
        <f ca="1">_xll.meDateFromTenor(L573,"1D","FOLLOWING","TGT")</f>
        <v>43318</v>
      </c>
      <c r="M574" s="95">
        <f ca="1"/>
        <v>-8.7928890368861904E-4</v>
      </c>
      <c r="N574" s="5" t="s">
        <v>4</v>
      </c>
      <c r="O574" s="97">
        <f ca="1">_xll.meDateFromTenor(O573,"1D","FOLLOWING","TGT")</f>
        <v>43318</v>
      </c>
      <c r="P574" s="95">
        <f ca="1"/>
        <v>1.1859111919630156E-3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-3.4274199327350287E-3</v>
      </c>
      <c r="H575" s="92" t="s">
        <v>4</v>
      </c>
      <c r="I575" s="97">
        <f ca="1">_xll.meDateFromTenor(I574,"1D","FOLLOWING","TGT")</f>
        <v>43319</v>
      </c>
      <c r="J575" s="95">
        <f ca="1"/>
        <v>-2.5568392311650615E-3</v>
      </c>
      <c r="K575" s="5" t="s">
        <v>4</v>
      </c>
      <c r="L575" s="97">
        <f ca="1">_xll.meDateFromTenor(L574,"1D","FOLLOWING","TGT")</f>
        <v>43319</v>
      </c>
      <c r="M575" s="95">
        <f ca="1"/>
        <v>-8.7480658121665586E-4</v>
      </c>
      <c r="N575" s="5" t="s">
        <v>4</v>
      </c>
      <c r="O575" s="97">
        <f ca="1">_xll.meDateFromTenor(O574,"1D","FOLLOWING","TGT")</f>
        <v>43319</v>
      </c>
      <c r="P575" s="95">
        <f ca="1"/>
        <v>1.1906942511810499E-3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-3.4242428910850999E-3</v>
      </c>
      <c r="H576" s="92" t="s">
        <v>4</v>
      </c>
      <c r="I576" s="97">
        <f ca="1">_xll.meDateFromTenor(I575,"1D","FOLLOWING","TGT")</f>
        <v>43320</v>
      </c>
      <c r="J576" s="95">
        <f ca="1"/>
        <v>-2.546014911427608E-3</v>
      </c>
      <c r="K576" s="5" t="s">
        <v>4</v>
      </c>
      <c r="L576" s="97">
        <f ca="1">_xll.meDateFromTenor(L575,"1D","FOLLOWING","TGT")</f>
        <v>43320</v>
      </c>
      <c r="M576" s="95">
        <f ca="1"/>
        <v>-8.7030686746173151E-4</v>
      </c>
      <c r="N576" s="5" t="s">
        <v>4</v>
      </c>
      <c r="O576" s="97">
        <f ca="1">_xll.meDateFromTenor(O575,"1D","FOLLOWING","TGT")</f>
        <v>43320</v>
      </c>
      <c r="P576" s="95">
        <f ca="1"/>
        <v>1.1954824396602057E-3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-3.4210691687330159E-3</v>
      </c>
      <c r="H577" s="92" t="s">
        <v>4</v>
      </c>
      <c r="I577" s="97">
        <f ca="1">_xll.meDateFromTenor(I576,"1D","FOLLOWING","TGT")</f>
        <v>43321</v>
      </c>
      <c r="J577" s="95">
        <f ca="1"/>
        <v>-2.5352115419833695E-3</v>
      </c>
      <c r="K577" s="5" t="s">
        <v>4</v>
      </c>
      <c r="L577" s="97">
        <f ca="1">_xll.meDateFromTenor(L576,"1D","FOLLOWING","TGT")</f>
        <v>43321</v>
      </c>
      <c r="M577" s="95">
        <f ca="1"/>
        <v>-8.657899245537601E-4</v>
      </c>
      <c r="N577" s="5" t="s">
        <v>4</v>
      </c>
      <c r="O577" s="97">
        <f ca="1">_xll.meDateFromTenor(O576,"1D","FOLLOWING","TGT")</f>
        <v>43321</v>
      </c>
      <c r="P577" s="95">
        <f ca="1"/>
        <v>1.2002757389576037E-3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-3.4178977607904936E-3</v>
      </c>
      <c r="H578" s="92" t="s">
        <v>4</v>
      </c>
      <c r="I578" s="97">
        <f ca="1">_xll.meDateFromTenor(I577,"1D","FOLLOWING","TGT")</f>
        <v>43322</v>
      </c>
      <c r="J578" s="95">
        <f ca="1"/>
        <v>-2.5244303266214853E-3</v>
      </c>
      <c r="K578" s="5" t="s">
        <v>4</v>
      </c>
      <c r="L578" s="97">
        <f ca="1">_xll.meDateFromTenor(L577,"1D","FOLLOWING","TGT")</f>
        <v>43322</v>
      </c>
      <c r="M578" s="95">
        <f ca="1"/>
        <v>-8.6125591462265637E-4</v>
      </c>
      <c r="N578" s="5" t="s">
        <v>4</v>
      </c>
      <c r="O578" s="97">
        <f ca="1">_xll.meDateFromTenor(O577,"1D","FOLLOWING","TGT")</f>
        <v>43322</v>
      </c>
      <c r="P578" s="95">
        <f ca="1"/>
        <v>1.2050741306303637E-3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-3.4083873745374567E-3</v>
      </c>
      <c r="H579" s="92" t="s">
        <v>4</v>
      </c>
      <c r="I579" s="97">
        <f ca="1">_xll.meDateFromTenor(I578,"1D","FOLLOWING","TGT")</f>
        <v>43325</v>
      </c>
      <c r="J579" s="95">
        <f ca="1"/>
        <v>-2.4922316429213127E-3</v>
      </c>
      <c r="K579" s="5" t="s">
        <v>4</v>
      </c>
      <c r="L579" s="97">
        <f ca="1">_xll.meDateFromTenor(L578,"1D","FOLLOWING","TGT")</f>
        <v>43325</v>
      </c>
      <c r="M579" s="95">
        <f ca="1"/>
        <v>-8.4755310398968852E-4</v>
      </c>
      <c r="N579" s="5" t="s">
        <v>4</v>
      </c>
      <c r="O579" s="97">
        <f ca="1">_xll.meDateFromTenor(O578,"1D","FOLLOWING","TGT")</f>
        <v>43325</v>
      </c>
      <c r="P579" s="95">
        <f ca="1"/>
        <v>1.2194996754720264E-3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-3.4052151753503437E-3</v>
      </c>
      <c r="H580" s="92" t="s">
        <v>4</v>
      </c>
      <c r="I580" s="97">
        <f ca="1">_xll.meDateFromTenor(I579,"1D","FOLLOWING","TGT")</f>
        <v>43326</v>
      </c>
      <c r="J580" s="95">
        <f ca="1"/>
        <v>-2.4815510817802065E-3</v>
      </c>
      <c r="K580" s="5" t="s">
        <v>4</v>
      </c>
      <c r="L580" s="97">
        <f ca="1">_xll.meDateFromTenor(L579,"1D","FOLLOWING","TGT")</f>
        <v>43326</v>
      </c>
      <c r="M580" s="95">
        <f ca="1"/>
        <v>-8.4295244726519439E-4</v>
      </c>
      <c r="N580" s="5" t="s">
        <v>4</v>
      </c>
      <c r="O580" s="97">
        <f ca="1">_xll.meDateFromTenor(O579,"1D","FOLLOWING","TGT")</f>
        <v>43326</v>
      </c>
      <c r="P580" s="95">
        <f ca="1"/>
        <v>1.2243182522174434E-3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-3.4020402661313733E-3</v>
      </c>
      <c r="H581" s="92" t="s">
        <v>4</v>
      </c>
      <c r="I581" s="97">
        <f ca="1">_xll.meDateFromTenor(I580,"1D","FOLLOWING","TGT")</f>
        <v>43327</v>
      </c>
      <c r="J581" s="95">
        <f ca="1"/>
        <v>-2.4708986936671372E-3</v>
      </c>
      <c r="K581" s="5" t="s">
        <v>4</v>
      </c>
      <c r="L581" s="97">
        <f ca="1">_xll.meDateFromTenor(L580,"1D","FOLLOWING","TGT")</f>
        <v>43327</v>
      </c>
      <c r="M581" s="95">
        <f ca="1"/>
        <v>-8.3833553416713842E-4</v>
      </c>
      <c r="N581" s="5" t="s">
        <v>4</v>
      </c>
      <c r="O581" s="97">
        <f ca="1">_xll.meDateFromTenor(O580,"1D","FOLLOWING","TGT")</f>
        <v>43327</v>
      </c>
      <c r="P581" s="95">
        <f ca="1"/>
        <v>1.2291418291238254E-3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-3.3988616419922632E-3</v>
      </c>
      <c r="H582" s="92" t="s">
        <v>4</v>
      </c>
      <c r="I582" s="97">
        <f ca="1">_xll.meDateFromTenor(I581,"1D","FOLLOWING","TGT")</f>
        <v>43328</v>
      </c>
      <c r="J582" s="95">
        <f ca="1"/>
        <v>-2.4602756823712425E-3</v>
      </c>
      <c r="K582" s="5" t="s">
        <v>4</v>
      </c>
      <c r="L582" s="97">
        <f ca="1">_xll.meDateFromTenor(L581,"1D","FOLLOWING","TGT")</f>
        <v>43328</v>
      </c>
      <c r="M582" s="95">
        <f ca="1"/>
        <v>-8.3370252682543459E-4</v>
      </c>
      <c r="N582" s="5" t="s">
        <v>4</v>
      </c>
      <c r="O582" s="97">
        <f ca="1">_xll.meDateFromTenor(O581,"1D","FOLLOWING","TGT")</f>
        <v>43328</v>
      </c>
      <c r="P582" s="95">
        <f ca="1"/>
        <v>1.2339703877482934E-3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-3.3956782980447296E-3</v>
      </c>
      <c r="H583" s="92" t="s">
        <v>4</v>
      </c>
      <c r="I583" s="97">
        <f ca="1">_xll.meDateFromTenor(I582,"1D","FOLLOWING","TGT")</f>
        <v>43329</v>
      </c>
      <c r="J583" s="95">
        <f ca="1"/>
        <v>-2.4496832516816593E-3</v>
      </c>
      <c r="K583" s="5" t="s">
        <v>4</v>
      </c>
      <c r="L583" s="97">
        <f ca="1">_xll.meDateFromTenor(L582,"1D","FOLLOWING","TGT")</f>
        <v>43329</v>
      </c>
      <c r="M583" s="95">
        <f ca="1"/>
        <v>-8.2905358736999721E-4</v>
      </c>
      <c r="N583" s="5" t="s">
        <v>4</v>
      </c>
      <c r="O583" s="97">
        <f ca="1">_xll.meDateFromTenor(O582,"1D","FOLLOWING","TGT")</f>
        <v>43329</v>
      </c>
      <c r="P583" s="95">
        <f ca="1"/>
        <v>1.2388039096479675E-3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-3.3860898984687548E-3</v>
      </c>
      <c r="H584" s="92" t="s">
        <v>4</v>
      </c>
      <c r="I584" s="97">
        <f ca="1">_xll.meDateFromTenor(I583,"1D","FOLLOWING","TGT")</f>
        <v>43332</v>
      </c>
      <c r="J584" s="95">
        <f ca="1"/>
        <v>-2.4181014811421528E-3</v>
      </c>
      <c r="K584" s="5" t="s">
        <v>4</v>
      </c>
      <c r="L584" s="97">
        <f ca="1">_xll.meDateFromTenor(L583,"1D","FOLLOWING","TGT")</f>
        <v>43332</v>
      </c>
      <c r="M584" s="95">
        <f ca="1"/>
        <v>-8.1501279762042646E-4</v>
      </c>
      <c r="N584" s="5" t="s">
        <v>4</v>
      </c>
      <c r="O584" s="97">
        <f ca="1">_xll.meDateFromTenor(O583,"1D","FOLLOWING","TGT")</f>
        <v>43332</v>
      </c>
      <c r="P584" s="95">
        <f ca="1"/>
        <v>1.2533340705694334E-3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-3.3828776264046936E-3</v>
      </c>
      <c r="H585" s="92" t="s">
        <v>4</v>
      </c>
      <c r="I585" s="97">
        <f ca="1">_xll.meDateFromTenor(I584,"1D","FOLLOWING","TGT")</f>
        <v>43333</v>
      </c>
      <c r="J585" s="95">
        <f ca="1"/>
        <v>-2.4076434107691883E-3</v>
      </c>
      <c r="K585" s="5" t="s">
        <v>4</v>
      </c>
      <c r="L585" s="97">
        <f ca="1">_xll.meDateFromTenor(L584,"1D","FOLLOWING","TGT")</f>
        <v>43333</v>
      </c>
      <c r="M585" s="95">
        <f ca="1"/>
        <v>-8.1030175100919768E-4</v>
      </c>
      <c r="N585" s="5" t="s">
        <v>4</v>
      </c>
      <c r="O585" s="97">
        <f ca="1">_xll.meDateFromTenor(O584,"1D","FOLLOWING","TGT")</f>
        <v>43333</v>
      </c>
      <c r="P585" s="95">
        <f ca="1"/>
        <v>1.2581872611411378E-3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-3.3796556100907909E-3</v>
      </c>
      <c r="H586" s="92" t="s">
        <v>4</v>
      </c>
      <c r="I586" s="97">
        <f ca="1">_xll.meDateFromTenor(I585,"1D","FOLLOWING","TGT")</f>
        <v>43334</v>
      </c>
      <c r="J586" s="95">
        <f ca="1"/>
        <v>-2.3972219399482192E-3</v>
      </c>
      <c r="K586" s="5" t="s">
        <v>4</v>
      </c>
      <c r="L586" s="97">
        <f ca="1">_xll.meDateFromTenor(L585,"1D","FOLLOWING","TGT")</f>
        <v>43334</v>
      </c>
      <c r="M586" s="95">
        <f ca="1"/>
        <v>-8.0557558293380528E-4</v>
      </c>
      <c r="N586" s="5" t="s">
        <v>4</v>
      </c>
      <c r="O586" s="97">
        <f ca="1">_xll.meDateFromTenor(O585,"1D","FOLLOWING","TGT")</f>
        <v>43334</v>
      </c>
      <c r="P586" s="95">
        <f ca="1"/>
        <v>1.2630453227736517E-3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-3.3764228446387643E-3</v>
      </c>
      <c r="H587" s="92" t="s">
        <v>4</v>
      </c>
      <c r="I587" s="97">
        <f ca="1">_xll.meDateFromTenor(I586,"1D","FOLLOWING","TGT")</f>
        <v>43335</v>
      </c>
      <c r="J587" s="95">
        <f ca="1"/>
        <v>-2.3868382724683839E-3</v>
      </c>
      <c r="K587" s="5" t="s">
        <v>4</v>
      </c>
      <c r="L587" s="97">
        <f ca="1">_xll.meDateFromTenor(L586,"1D","FOLLOWING","TGT")</f>
        <v>43335</v>
      </c>
      <c r="M587" s="95">
        <f ca="1"/>
        <v>-8.0083445552416466E-4</v>
      </c>
      <c r="N587" s="5" t="s">
        <v>4</v>
      </c>
      <c r="O587" s="97">
        <f ca="1">_xll.meDateFromTenor(O586,"1D","FOLLOWING","TGT")</f>
        <v>43335</v>
      </c>
      <c r="P587" s="95">
        <f ca="1"/>
        <v>1.2679082370240955E-3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-3.3731783251603293E-3</v>
      </c>
      <c r="H588" s="92" t="s">
        <v>4</v>
      </c>
      <c r="I588" s="97">
        <f ca="1">_xll.meDateFromTenor(I587,"1D","FOLLOWING","TGT")</f>
        <v>43336</v>
      </c>
      <c r="J588" s="95">
        <f ca="1"/>
        <v>-2.3764936121188204E-3</v>
      </c>
      <c r="K588" s="5" t="s">
        <v>4</v>
      </c>
      <c r="L588" s="97">
        <f ca="1">_xll.meDateFromTenor(L587,"1D","FOLLOWING","TGT")</f>
        <v>43336</v>
      </c>
      <c r="M588" s="95">
        <f ca="1"/>
        <v>-7.960785309101897E-4</v>
      </c>
      <c r="N588" s="5" t="s">
        <v>4</v>
      </c>
      <c r="O588" s="97">
        <f ca="1">_xll.meDateFromTenor(O587,"1D","FOLLOWING","TGT")</f>
        <v>43336</v>
      </c>
      <c r="P588" s="95">
        <f ca="1"/>
        <v>1.2727759854495894E-3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-3.3633641936837442E-3</v>
      </c>
      <c r="H589" s="92" t="s">
        <v>4</v>
      </c>
      <c r="I589" s="97">
        <f ca="1">_xll.meDateFromTenor(I588,"1D","FOLLOWING","TGT")</f>
        <v>43339</v>
      </c>
      <c r="J589" s="95">
        <f ca="1"/>
        <v>-2.345705711743125E-3</v>
      </c>
      <c r="K589" s="5" t="s">
        <v>4</v>
      </c>
      <c r="L589" s="97">
        <f ca="1">_xll.meDateFromTenor(L588,"1D","FOLLOWING","TGT")</f>
        <v>43339</v>
      </c>
      <c r="M589" s="95">
        <f ca="1"/>
        <v>-7.8172359514140177E-4</v>
      </c>
      <c r="N589" s="5" t="s">
        <v>4</v>
      </c>
      <c r="O589" s="97">
        <f ca="1">_xll.meDateFromTenor(O588,"1D","FOLLOWING","TGT")</f>
        <v>43339</v>
      </c>
      <c r="P589" s="95">
        <f ca="1"/>
        <v>1.2874080513475771E-3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-3.3600626092168445E-3</v>
      </c>
      <c r="H590" s="92" t="s">
        <v>4</v>
      </c>
      <c r="I590" s="97">
        <f ca="1">_xll.meDateFromTenor(I589,"1D","FOLLOWING","TGT")</f>
        <v>43340</v>
      </c>
      <c r="J590" s="95">
        <f ca="1"/>
        <v>-2.3355291178060178E-3</v>
      </c>
      <c r="K590" s="5" t="s">
        <v>4</v>
      </c>
      <c r="L590" s="97">
        <f ca="1">_xll.meDateFromTenor(L589,"1D","FOLLOWING","TGT")</f>
        <v>43340</v>
      </c>
      <c r="M590" s="95">
        <f ca="1"/>
        <v>-7.7691010300923267E-4</v>
      </c>
      <c r="N590" s="5" t="s">
        <v>4</v>
      </c>
      <c r="O590" s="97">
        <f ca="1">_xll.meDateFromTenor(O589,"1D","FOLLOWING","TGT")</f>
        <v>43340</v>
      </c>
      <c r="P590" s="95">
        <f ca="1"/>
        <v>1.2922949520444756E-3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-3.3567442462821193E-3</v>
      </c>
      <c r="H591" s="92" t="s">
        <v>4</v>
      </c>
      <c r="I591" s="97">
        <f ca="1">_xll.meDateFromTenor(I590,"1D","FOLLOWING","TGT")</f>
        <v>43341</v>
      </c>
      <c r="J591" s="95">
        <f ca="1"/>
        <v>-2.3253975499448647E-3</v>
      </c>
      <c r="K591" s="5" t="s">
        <v>4</v>
      </c>
      <c r="L591" s="97">
        <f ca="1">_xll.meDateFromTenor(L590,"1D","FOLLOWING","TGT")</f>
        <v>43341</v>
      </c>
      <c r="M591" s="95">
        <f ca="1"/>
        <v>-7.7208262432229959E-4</v>
      </c>
      <c r="N591" s="5" t="s">
        <v>4</v>
      </c>
      <c r="O591" s="97">
        <f ca="1">_xll.meDateFromTenor(O590,"1D","FOLLOWING","TGT")</f>
        <v>43341</v>
      </c>
      <c r="P591" s="95">
        <f ca="1"/>
        <v>1.2971865947020282E-3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-3.3534080999912852E-3</v>
      </c>
      <c r="H592" s="92" t="s">
        <v>4</v>
      </c>
      <c r="I592" s="97">
        <f ca="1">_xll.meDateFromTenor(I591,"1D","FOLLOWING","TGT")</f>
        <v>43342</v>
      </c>
      <c r="J592" s="95">
        <f ca="1"/>
        <v>-2.3153122119488065E-3</v>
      </c>
      <c r="K592" s="5" t="s">
        <v>4</v>
      </c>
      <c r="L592" s="97">
        <f ca="1">_xll.meDateFromTenor(L591,"1D","FOLLOWING","TGT")</f>
        <v>43342</v>
      </c>
      <c r="M592" s="95">
        <f ca="1"/>
        <v>-7.6724132121051825E-4</v>
      </c>
      <c r="N592" s="5" t="s">
        <v>4</v>
      </c>
      <c r="O592" s="97">
        <f ca="1">_xll.meDateFromTenor(O591,"1D","FOLLOWING","TGT")</f>
        <v>43342</v>
      </c>
      <c r="P592" s="95">
        <f ca="1"/>
        <v>1.3020829608773529E-3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-3.350053165456059E-3</v>
      </c>
      <c r="H593" s="92" t="s">
        <v>4</v>
      </c>
      <c r="I593" s="97">
        <f ca="1">_xll.meDateFromTenor(I592,"1D","FOLLOWING","TGT")</f>
        <v>43343</v>
      </c>
      <c r="J593" s="95">
        <f ca="1"/>
        <v>-2.3052743076069776E-3</v>
      </c>
      <c r="K593" s="5" t="s">
        <v>4</v>
      </c>
      <c r="L593" s="97">
        <f ca="1">_xll.meDateFromTenor(L592,"1D","FOLLOWING","TGT")</f>
        <v>43343</v>
      </c>
      <c r="M593" s="95">
        <f ca="1"/>
        <v>-7.6238635580380123E-4</v>
      </c>
      <c r="N593" s="5" t="s">
        <v>4</v>
      </c>
      <c r="O593" s="97">
        <f ca="1">_xll.meDateFromTenor(O592,"1D","FOLLOWING","TGT")</f>
        <v>43343</v>
      </c>
      <c r="P593" s="95">
        <f ca="1"/>
        <v>1.3069840321275725E-3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-3.3398655835011918E-3</v>
      </c>
      <c r="H594" s="92" t="s">
        <v>4</v>
      </c>
      <c r="I594" s="97">
        <f ca="1">_xll.meDateFromTenor(I593,"1D","FOLLOWING","TGT")</f>
        <v>43346</v>
      </c>
      <c r="J594" s="95">
        <f ca="1"/>
        <v>-2.2754572343982441E-3</v>
      </c>
      <c r="K594" s="5" t="s">
        <v>4</v>
      </c>
      <c r="L594" s="97">
        <f ca="1">_xll.meDateFromTenor(L593,"1D","FOLLOWING","TGT")</f>
        <v>43346</v>
      </c>
      <c r="M594" s="95">
        <f ca="1"/>
        <v>-7.4774110711318292E-4</v>
      </c>
      <c r="N594" s="5" t="s">
        <v>4</v>
      </c>
      <c r="O594" s="97">
        <f ca="1">_xll.meDateFromTenor(O593,"1D","FOLLOWING","TGT")</f>
        <v>43346</v>
      </c>
      <c r="P594" s="95">
        <f ca="1"/>
        <v>1.3217152918987988E-3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-3.3364257780320694E-3</v>
      </c>
      <c r="H595" s="92" t="s">
        <v>4</v>
      </c>
      <c r="I595" s="97">
        <f ca="1">_xll.meDateFromTenor(I594,"1D","FOLLOWING","TGT")</f>
        <v>43347</v>
      </c>
      <c r="J595" s="95">
        <f ca="1"/>
        <v>-2.2656208507911588E-3</v>
      </c>
      <c r="K595" s="5" t="s">
        <v>4</v>
      </c>
      <c r="L595" s="97">
        <f ca="1">_xll.meDateFromTenor(L594,"1D","FOLLOWING","TGT")</f>
        <v>43347</v>
      </c>
      <c r="M595" s="95">
        <f ca="1"/>
        <v>-7.4283311382586836E-4</v>
      </c>
      <c r="N595" s="5" t="s">
        <v>4</v>
      </c>
      <c r="O595" s="97">
        <f ca="1">_xll.meDateFromTenor(O594,"1D","FOLLOWING","TGT")</f>
        <v>43347</v>
      </c>
      <c r="P595" s="95">
        <f ca="1"/>
        <v>1.3266349990197989E-3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-3.3329641454361821E-3</v>
      </c>
      <c r="H596" s="92" t="s">
        <v>4</v>
      </c>
      <c r="I596" s="97">
        <f ca="1">_xll.meDateFromTenor(I595,"1D","FOLLOWING","TGT")</f>
        <v>43348</v>
      </c>
      <c r="J596" s="95">
        <f ca="1"/>
        <v>-2.2558364091426995E-3</v>
      </c>
      <c r="K596" s="5" t="s">
        <v>4</v>
      </c>
      <c r="L596" s="97">
        <f ca="1">_xll.meDateFromTenor(L595,"1D","FOLLOWING","TGT")</f>
        <v>43348</v>
      </c>
      <c r="M596" s="95">
        <f ca="1"/>
        <v>-7.3791226889318991E-4</v>
      </c>
      <c r="N596" s="5" t="s">
        <v>4</v>
      </c>
      <c r="O596" s="97">
        <f ca="1">_xll.meDateFromTenor(O595,"1D","FOLLOWING","TGT")</f>
        <v>43348</v>
      </c>
      <c r="P596" s="95">
        <f ca="1"/>
        <v>1.3315593190012954E-3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-3.3294816663842924E-3</v>
      </c>
      <c r="H597" s="92" t="s">
        <v>4</v>
      </c>
      <c r="I597" s="97">
        <f ca="1">_xll.meDateFromTenor(I596,"1D","FOLLOWING","TGT")</f>
        <v>43349</v>
      </c>
      <c r="J597" s="95">
        <f ca="1"/>
        <v>-2.2461036026007125E-3</v>
      </c>
      <c r="K597" s="5" t="s">
        <v>4</v>
      </c>
      <c r="L597" s="97">
        <f ca="1">_xll.meDateFromTenor(L596,"1D","FOLLOWING","TGT")</f>
        <v>43349</v>
      </c>
      <c r="M597" s="95">
        <f ca="1"/>
        <v>-7.329787344450624E-4</v>
      </c>
      <c r="N597" s="5" t="s">
        <v>4</v>
      </c>
      <c r="O597" s="97">
        <f ca="1">_xll.meDateFromTenor(O596,"1D","FOLLOWING","TGT")</f>
        <v>43349</v>
      </c>
      <c r="P597" s="95">
        <f ca="1"/>
        <v>1.3364882334004078E-3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-3.3259793215471602E-3</v>
      </c>
      <c r="H598" s="92" t="s">
        <v>4</v>
      </c>
      <c r="I598" s="97">
        <f ca="1">_xll.meDateFromTenor(I597,"1D","FOLLOWING","TGT")</f>
        <v>43350</v>
      </c>
      <c r="J598" s="95">
        <f ca="1"/>
        <v>-2.236422124313043E-3</v>
      </c>
      <c r="K598" s="5" t="s">
        <v>4</v>
      </c>
      <c r="L598" s="97">
        <f ca="1">_xll.meDateFromTenor(L597,"1D","FOLLOWING","TGT")</f>
        <v>43350</v>
      </c>
      <c r="M598" s="95">
        <f ca="1"/>
        <v>-7.2803267261139875E-4</v>
      </c>
      <c r="N598" s="5" t="s">
        <v>4</v>
      </c>
      <c r="O598" s="97">
        <f ca="1">_xll.meDateFromTenor(O597,"1D","FOLLOWING","TGT")</f>
        <v>43350</v>
      </c>
      <c r="P598" s="95">
        <f ca="1"/>
        <v>1.3414217237742588E-3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-3.3153628990319254E-3</v>
      </c>
      <c r="H599" s="92" t="s">
        <v>4</v>
      </c>
      <c r="I599" s="97">
        <f ca="1">_xll.meDateFromTenor(I598,"1D","FOLLOWING","TGT")</f>
        <v>43353</v>
      </c>
      <c r="J599" s="95">
        <f ca="1"/>
        <v>-2.2076825904544079E-3</v>
      </c>
      <c r="K599" s="5" t="s">
        <v>4</v>
      </c>
      <c r="L599" s="97">
        <f ca="1">_xll.meDateFromTenor(L598,"1D","FOLLOWING","TGT")</f>
        <v>43353</v>
      </c>
      <c r="M599" s="95">
        <f ca="1"/>
        <v>-7.1312094409633716E-4</v>
      </c>
      <c r="N599" s="5" t="s">
        <v>4</v>
      </c>
      <c r="O599" s="97">
        <f ca="1">_xll.meDateFromTenor(O598,"1D","FOLLOWING","TGT")</f>
        <v>43353</v>
      </c>
      <c r="P599" s="95">
        <f ca="1"/>
        <v>1.3562494663154415E-3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-3.3117908977614388E-3</v>
      </c>
      <c r="H600" s="92" t="s">
        <v>4</v>
      </c>
      <c r="I600" s="97">
        <f ca="1">_xll.meDateFromTenor(I599,"1D","FOLLOWING","TGT")</f>
        <v>43354</v>
      </c>
      <c r="J600" s="95">
        <f ca="1"/>
        <v>-2.1982033566624753E-3</v>
      </c>
      <c r="K600" s="5" t="s">
        <v>4</v>
      </c>
      <c r="L600" s="97">
        <f ca="1">_xll.meDateFromTenor(L599,"1D","FOLLOWING","TGT")</f>
        <v>43354</v>
      </c>
      <c r="M600" s="95">
        <f ca="1"/>
        <v>-7.0812639401967323E-4</v>
      </c>
      <c r="N600" s="5" t="s">
        <v>4</v>
      </c>
      <c r="O600" s="97">
        <f ca="1">_xll.meDateFromTenor(O599,"1D","FOLLOWING","TGT")</f>
        <v>43354</v>
      </c>
      <c r="P600" s="95">
        <f ca="1"/>
        <v>1.3612010761594477E-3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-3.3082039340595168E-3</v>
      </c>
      <c r="H601" s="92" t="s">
        <v>4</v>
      </c>
      <c r="I601" s="97">
        <f ca="1">_xll.meDateFromTenor(I600,"1D","FOLLOWING","TGT")</f>
        <v>43355</v>
      </c>
      <c r="J601" s="95">
        <f ca="1"/>
        <v>-2.1887739168640935E-3</v>
      </c>
      <c r="K601" s="5" t="s">
        <v>4</v>
      </c>
      <c r="L601" s="97">
        <f ca="1">_xll.meDateFromTenor(L600,"1D","FOLLOWING","TGT")</f>
        <v>43355</v>
      </c>
      <c r="M601" s="95">
        <f ca="1"/>
        <v>-7.0312012720704481E-4</v>
      </c>
      <c r="N601" s="5" t="s">
        <v>4</v>
      </c>
      <c r="O601" s="97">
        <f ca="1">_xll.meDateFromTenor(O600,"1D","FOLLOWING","TGT")</f>
        <v>43355</v>
      </c>
      <c r="P601" s="95">
        <f ca="1"/>
        <v>1.3661571697637944E-3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-3.3046029885969211E-3</v>
      </c>
      <c r="H602" s="92" t="s">
        <v>4</v>
      </c>
      <c r="I602" s="97">
        <f ca="1">_xll.meDateFromTenor(I601,"1D","FOLLOWING","TGT")</f>
        <v>43356</v>
      </c>
      <c r="J602" s="95">
        <f ca="1"/>
        <v>-2.1793939642071086E-3</v>
      </c>
      <c r="K602" s="5" t="s">
        <v>4</v>
      </c>
      <c r="L602" s="97">
        <f ca="1">_xll.meDateFromTenor(L601,"1D","FOLLOWING","TGT")</f>
        <v>43356</v>
      </c>
      <c r="M602" s="95">
        <f ca="1"/>
        <v>-6.9810230578836591E-4</v>
      </c>
      <c r="N602" s="5" t="s">
        <v>4</v>
      </c>
      <c r="O602" s="97">
        <f ca="1">_xll.meDateFromTenor(O601,"1D","FOLLOWING","TGT")</f>
        <v>43356</v>
      </c>
      <c r="P602" s="95">
        <f ca="1"/>
        <v>1.3711177286856017E-3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-3.3009890420444121E-3</v>
      </c>
      <c r="H603" s="92" t="s">
        <v>4</v>
      </c>
      <c r="I603" s="97">
        <f ca="1">_xll.meDateFromTenor(I602,"1D","FOLLOWING","TGT")</f>
        <v>43357</v>
      </c>
      <c r="J603" s="95">
        <f ca="1"/>
        <v>-2.1700631918393672E-3</v>
      </c>
      <c r="K603" s="5" t="s">
        <v>4</v>
      </c>
      <c r="L603" s="97">
        <f ca="1">_xll.meDateFromTenor(L602,"1D","FOLLOWING","TGT")</f>
        <v>43357</v>
      </c>
      <c r="M603" s="95">
        <f ca="1"/>
        <v>-6.9307309189355092E-4</v>
      </c>
      <c r="N603" s="5" t="s">
        <v>4</v>
      </c>
      <c r="O603" s="97">
        <f ca="1">_xll.meDateFromTenor(O602,"1D","FOLLOWING","TGT")</f>
        <v>43357</v>
      </c>
      <c r="P603" s="95">
        <f ca="1"/>
        <v>1.3760827344819902E-3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-3.2900790025550274E-3</v>
      </c>
      <c r="H604" s="92" t="s">
        <v>4</v>
      </c>
      <c r="I604" s="97">
        <f ca="1">_xll.meDateFromTenor(I603,"1D","FOLLOWING","TGT")</f>
        <v>43360</v>
      </c>
      <c r="J604" s="95">
        <f ca="1"/>
        <v>-2.1423628879500729E-3</v>
      </c>
      <c r="K604" s="5" t="s">
        <v>4</v>
      </c>
      <c r="L604" s="97">
        <f ca="1">_xll.meDateFromTenor(L603,"1D","FOLLOWING","TGT")</f>
        <v>43360</v>
      </c>
      <c r="M604" s="95">
        <f ca="1"/>
        <v>-6.7791871665143254E-4</v>
      </c>
      <c r="N604" s="5" t="s">
        <v>4</v>
      </c>
      <c r="O604" s="97">
        <f ca="1">_xll.meDateFromTenor(O603,"1D","FOLLOWING","TGT")</f>
        <v>43360</v>
      </c>
      <c r="P604" s="95">
        <f ca="1"/>
        <v>1.3910042486898466E-3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-3.2864228583504834E-3</v>
      </c>
      <c r="H605" s="92" t="s">
        <v>4</v>
      </c>
      <c r="I605" s="97">
        <f ca="1">_xll.meDateFromTenor(I604,"1D","FOLLOWING","TGT")</f>
        <v>43361</v>
      </c>
      <c r="J605" s="95">
        <f ca="1"/>
        <v>-2.133225768217771E-3</v>
      </c>
      <c r="K605" s="5" t="s">
        <v>4</v>
      </c>
      <c r="L605" s="97">
        <f ca="1">_xll.meDateFromTenor(L604,"1D","FOLLOWING","TGT")</f>
        <v>43361</v>
      </c>
      <c r="M605" s="95">
        <f ca="1"/>
        <v>-6.7284555415121476E-4</v>
      </c>
      <c r="N605" s="5" t="s">
        <v>4</v>
      </c>
      <c r="O605" s="97">
        <f ca="1">_xll.meDateFromTenor(O604,"1D","FOLLOWING","TGT")</f>
        <v>43361</v>
      </c>
      <c r="P605" s="95">
        <f ca="1"/>
        <v>1.3959868575557656E-3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-3.2827586164098327E-3</v>
      </c>
      <c r="H606" s="92" t="s">
        <v>4</v>
      </c>
      <c r="I606" s="97">
        <f ca="1">_xll.meDateFromTenor(I605,"1D","FOLLOWING","TGT")</f>
        <v>43362</v>
      </c>
      <c r="J606" s="95">
        <f ca="1"/>
        <v>-2.1241362945139445E-3</v>
      </c>
      <c r="K606" s="5" t="s">
        <v>4</v>
      </c>
      <c r="L606" s="97">
        <f ca="1">_xll.meDateFromTenor(L605,"1D","FOLLOWING","TGT")</f>
        <v>43362</v>
      </c>
      <c r="M606" s="95">
        <f ca="1"/>
        <v>-6.677618098244318E-4</v>
      </c>
      <c r="N606" s="5" t="s">
        <v>4</v>
      </c>
      <c r="O606" s="97">
        <f ca="1">_xll.meDateFromTenor(O605,"1D","FOLLOWING","TGT")</f>
        <v>43362</v>
      </c>
      <c r="P606" s="95">
        <f ca="1"/>
        <v>1.4009738210818681E-3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-3.2790872574038378E-3</v>
      </c>
      <c r="H607" s="92" t="s">
        <v>4</v>
      </c>
      <c r="I607" s="97">
        <f ca="1">_xll.meDateFromTenor(I606,"1D","FOLLOWING","TGT")</f>
        <v>43363</v>
      </c>
      <c r="J607" s="95">
        <f ca="1"/>
        <v>-2.1150941599864409E-3</v>
      </c>
      <c r="K607" s="5" t="s">
        <v>4</v>
      </c>
      <c r="L607" s="97">
        <f ca="1">_xll.meDateFromTenor(L606,"1D","FOLLOWING","TGT")</f>
        <v>43363</v>
      </c>
      <c r="M607" s="95">
        <f ca="1"/>
        <v>-6.6266764580099778E-4</v>
      </c>
      <c r="N607" s="5" t="s">
        <v>4</v>
      </c>
      <c r="O607" s="97">
        <f ca="1">_xll.meDateFromTenor(O606,"1D","FOLLOWING","TGT")</f>
        <v>43363</v>
      </c>
      <c r="P607" s="95">
        <f ca="1"/>
        <v>1.4059651208252753E-3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-3.2754097620032608E-3</v>
      </c>
      <c r="H608" s="92" t="s">
        <v>4</v>
      </c>
      <c r="I608" s="97">
        <f ca="1">_xll.meDateFromTenor(I607,"1D","FOLLOWING","TGT")</f>
        <v>43364</v>
      </c>
      <c r="J608" s="95">
        <f ca="1"/>
        <v>-2.1060990577831062E-3</v>
      </c>
      <c r="K608" s="5" t="s">
        <v>4</v>
      </c>
      <c r="L608" s="97">
        <f ca="1">_xll.meDateFromTenor(L607,"1D","FOLLOWING","TGT")</f>
        <v>43364</v>
      </c>
      <c r="M608" s="95">
        <f ca="1"/>
        <v>-6.5756322421082689E-4</v>
      </c>
      <c r="N608" s="5" t="s">
        <v>4</v>
      </c>
      <c r="O608" s="97">
        <f ca="1">_xll.meDateFromTenor(O607,"1D","FOLLOWING","TGT")</f>
        <v>43364</v>
      </c>
      <c r="P608" s="95">
        <f ca="1"/>
        <v>1.4109607383431071E-3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-3.2643502641416435E-3</v>
      </c>
      <c r="H609" s="92" t="s">
        <v>4</v>
      </c>
      <c r="I609" s="97">
        <f ca="1">_xll.meDateFromTenor(I608,"1D","FOLLOWING","TGT")</f>
        <v>43367</v>
      </c>
      <c r="J609" s="95">
        <f ca="1"/>
        <v>-2.079392876596582E-3</v>
      </c>
      <c r="K609" s="5" t="s">
        <v>4</v>
      </c>
      <c r="L609" s="97">
        <f ca="1">_xll.meDateFromTenor(L608,"1D","FOLLOWING","TGT")</f>
        <v>43367</v>
      </c>
      <c r="M609" s="95">
        <f ca="1"/>
        <v>-6.4219003533903622E-4</v>
      </c>
      <c r="N609" s="5" t="s">
        <v>4</v>
      </c>
      <c r="O609" s="97">
        <f ca="1">_xll.meDateFromTenor(O608,"1D","FOLLOWING","TGT")</f>
        <v>43367</v>
      </c>
      <c r="P609" s="95">
        <f ca="1"/>
        <v>1.4259733131143577E-3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-3.2606580298703484E-3</v>
      </c>
      <c r="H610" s="92" t="s">
        <v>4</v>
      </c>
      <c r="I610" s="97">
        <f ca="1">_xll.meDateFromTenor(I609,"1D","FOLLOWING","TGT")</f>
        <v>43368</v>
      </c>
      <c r="J610" s="95">
        <f ca="1"/>
        <v>-2.0705828351683881E-3</v>
      </c>
      <c r="K610" s="5" t="s">
        <v>4</v>
      </c>
      <c r="L610" s="97">
        <f ca="1">_xll.meDateFromTenor(L609,"1D","FOLLOWING","TGT")</f>
        <v>43368</v>
      </c>
      <c r="M610" s="95">
        <f ca="1"/>
        <v>-6.3704620478105989E-4</v>
      </c>
      <c r="N610" s="5" t="s">
        <v>4</v>
      </c>
      <c r="O610" s="97">
        <f ca="1">_xll.meDateFromTenor(O609,"1D","FOLLOWING","TGT")</f>
        <v>43368</v>
      </c>
      <c r="P610" s="95">
        <f ca="1"/>
        <v>1.4309860173010946E-3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-3.2569645625582762E-3</v>
      </c>
      <c r="H611" s="92" t="s">
        <v>4</v>
      </c>
      <c r="I611" s="97">
        <f ca="1">_xll.meDateFromTenor(I610,"1D","FOLLOWING","TGT")</f>
        <v>43369</v>
      </c>
      <c r="J611" s="95">
        <f ca="1"/>
        <v>-2.0618182918035973E-3</v>
      </c>
      <c r="K611" s="5" t="s">
        <v>4</v>
      </c>
      <c r="L611" s="97">
        <f ca="1">_xll.meDateFromTenor(L610,"1D","FOLLOWING","TGT")</f>
        <v>43369</v>
      </c>
      <c r="M611" s="95">
        <f ca="1"/>
        <v>-6.3189292730591858E-4</v>
      </c>
      <c r="N611" s="5" t="s">
        <v>4</v>
      </c>
      <c r="O611" s="97">
        <f ca="1">_xll.meDateFromTenor(O610,"1D","FOLLOWING","TGT")</f>
        <v>43369</v>
      </c>
      <c r="P611" s="95">
        <f ca="1"/>
        <v>1.4360029470478583E-3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-3.2532708428761894E-3</v>
      </c>
      <c r="H612" s="92" t="s">
        <v>4</v>
      </c>
      <c r="I612" s="97">
        <f ca="1">_xll.meDateFromTenor(I611,"1D","FOLLOWING","TGT")</f>
        <v>43370</v>
      </c>
      <c r="J612" s="95">
        <f ca="1"/>
        <v>-2.0530989396500524E-3</v>
      </c>
      <c r="K612" s="5" t="s">
        <v>4</v>
      </c>
      <c r="L612" s="97">
        <f ca="1">_xll.meDateFromTenor(L611,"1D","FOLLOWING","TGT")</f>
        <v>43370</v>
      </c>
      <c r="M612" s="95">
        <f ca="1"/>
        <v>-6.2673036504352474E-4</v>
      </c>
      <c r="N612" s="5" t="s">
        <v>4</v>
      </c>
      <c r="O612" s="97">
        <f ca="1">_xll.meDateFromTenor(O611,"1D","FOLLOWING","TGT")</f>
        <v>43370</v>
      </c>
      <c r="P612" s="95">
        <f ca="1"/>
        <v>1.4410240839117711E-3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-3.2495778514948495E-3</v>
      </c>
      <c r="H613" s="92" t="s">
        <v>4</v>
      </c>
      <c r="I613" s="97">
        <f ca="1">_xll.meDateFromTenor(I612,"1D","FOLLOWING","TGT")</f>
        <v>43371</v>
      </c>
      <c r="J613" s="95">
        <f ca="1"/>
        <v>-2.0444244718556023E-3</v>
      </c>
      <c r="K613" s="5" t="s">
        <v>4</v>
      </c>
      <c r="L613" s="97">
        <f ca="1">_xll.meDateFromTenor(L612,"1D","FOLLOWING","TGT")</f>
        <v>43371</v>
      </c>
      <c r="M613" s="95">
        <f ca="1"/>
        <v>-6.2155868012379357E-4</v>
      </c>
      <c r="N613" s="5" t="s">
        <v>4</v>
      </c>
      <c r="O613" s="97">
        <f ca="1">_xll.meDateFromTenor(O612,"1D","FOLLOWING","TGT")</f>
        <v>43371</v>
      </c>
      <c r="P613" s="95">
        <f ca="1"/>
        <v>1.4460494094499529E-3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-3.2385130538629208E-3</v>
      </c>
      <c r="H614" s="92" t="s">
        <v>4</v>
      </c>
      <c r="I614" s="97">
        <f ca="1">_xll.meDateFromTenor(I613,"1D","FOLLOWING","TGT")</f>
        <v>43374</v>
      </c>
      <c r="J614" s="95">
        <f ca="1"/>
        <v>-2.0186673061052826E-3</v>
      </c>
      <c r="K614" s="5" t="s">
        <v>4</v>
      </c>
      <c r="L614" s="97">
        <f ca="1">_xll.meDateFromTenor(L613,"1D","FOLLOWING","TGT")</f>
        <v>43374</v>
      </c>
      <c r="M614" s="95">
        <f ca="1"/>
        <v>-6.0599051071971678E-4</v>
      </c>
      <c r="N614" s="5" t="s">
        <v>4</v>
      </c>
      <c r="O614" s="97">
        <f ca="1">_xll.meDateFromTenor(O613,"1D","FOLLOWING","TGT")</f>
        <v>43374</v>
      </c>
      <c r="P614" s="95">
        <f ca="1"/>
        <v>1.4611503336813148E-3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-3.2348327823921801E-3</v>
      </c>
      <c r="H615" s="92" t="s">
        <v>4</v>
      </c>
      <c r="I615" s="97">
        <f ca="1">_xll.meDateFromTenor(I614,"1D","FOLLOWING","TGT")</f>
        <v>43375</v>
      </c>
      <c r="J615" s="95">
        <f ca="1"/>
        <v>-2.0101693072256746E-3</v>
      </c>
      <c r="K615" s="5" t="s">
        <v>4</v>
      </c>
      <c r="L615" s="97">
        <f ca="1">_xll.meDateFromTenor(L614,"1D","FOLLOWING","TGT")</f>
        <v>43375</v>
      </c>
      <c r="M615" s="95">
        <f ca="1"/>
        <v>-6.0078395646977743E-4</v>
      </c>
      <c r="N615" s="5" t="s">
        <v>4</v>
      </c>
      <c r="O615" s="97">
        <f ca="1">_xll.meDateFromTenor(O614,"1D","FOLLOWING","TGT")</f>
        <v>43375</v>
      </c>
      <c r="P615" s="95">
        <f ca="1"/>
        <v>1.4661922294877763E-3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-3.2311579657487892E-3</v>
      </c>
      <c r="H616" s="92" t="s">
        <v>4</v>
      </c>
      <c r="I616" s="97">
        <f ca="1">_xll.meDateFromTenor(I615,"1D","FOLLOWING","TGT")</f>
        <v>43376</v>
      </c>
      <c r="J616" s="95">
        <f ca="1"/>
        <v>-2.0017146584443953E-3</v>
      </c>
      <c r="K616" s="5" t="s">
        <v>4</v>
      </c>
      <c r="L616" s="97">
        <f ca="1">_xll.meDateFromTenor(L615,"1D","FOLLOWING","TGT")</f>
        <v>43376</v>
      </c>
      <c r="M616" s="95">
        <f ca="1"/>
        <v>-5.9556909021207252E-4</v>
      </c>
      <c r="N616" s="5" t="s">
        <v>4</v>
      </c>
      <c r="O616" s="97">
        <f ca="1">_xll.meDateFromTenor(O615,"1D","FOLLOWING","TGT")</f>
        <v>43376</v>
      </c>
      <c r="P616" s="95">
        <f ca="1"/>
        <v>1.4712382217541085E-3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-3.2274887004674841E-3</v>
      </c>
      <c r="H617" s="92" t="s">
        <v>4</v>
      </c>
      <c r="I617" s="97">
        <f ca="1">_xll.meDateFromTenor(I616,"1D","FOLLOWING","TGT")</f>
        <v>43377</v>
      </c>
      <c r="J617" s="95">
        <f ca="1"/>
        <v>-1.9933030529092868E-3</v>
      </c>
      <c r="K617" s="5" t="s">
        <v>4</v>
      </c>
      <c r="L617" s="97">
        <f ca="1">_xll.meDateFromTenor(L616,"1D","FOLLOWING","TGT")</f>
        <v>43377</v>
      </c>
      <c r="M617" s="95">
        <f ca="1"/>
        <v>-5.9034607407651429E-4</v>
      </c>
      <c r="N617" s="5" t="s">
        <v>4</v>
      </c>
      <c r="O617" s="97">
        <f ca="1">_xll.meDateFromTenor(O616,"1D","FOLLOWING","TGT")</f>
        <v>43377</v>
      </c>
      <c r="P617" s="95">
        <f ca="1"/>
        <v>1.4762882920374332E-3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-3.2238249062558019E-3</v>
      </c>
      <c r="H618" s="92" t="s">
        <v>4</v>
      </c>
      <c r="I618" s="97">
        <f ca="1">_xll.meDateFromTenor(I617,"1D","FOLLOWING","TGT")</f>
        <v>43378</v>
      </c>
      <c r="J618" s="95">
        <f ca="1"/>
        <v>-1.9849341837682006E-3</v>
      </c>
      <c r="K618" s="5" t="s">
        <v>4</v>
      </c>
      <c r="L618" s="97">
        <f ca="1">_xll.meDateFromTenor(L617,"1D","FOLLOWING","TGT")</f>
        <v>43378</v>
      </c>
      <c r="M618" s="95">
        <f ca="1"/>
        <v>-5.8511507019301892E-4</v>
      </c>
      <c r="N618" s="5" t="s">
        <v>4</v>
      </c>
      <c r="O618" s="97">
        <f ca="1">_xll.meDateFromTenor(O617,"1D","FOLLOWING","TGT")</f>
        <v>43378</v>
      </c>
      <c r="P618" s="95">
        <f ca="1"/>
        <v>1.4813424218948692E-3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-3.2128655471138209E-3</v>
      </c>
      <c r="H619" s="92" t="s">
        <v>4</v>
      </c>
      <c r="I619" s="97">
        <f ca="1">_xll.meDateFromTenor(I618,"1D","FOLLOWING","TGT")</f>
        <v>43381</v>
      </c>
      <c r="J619" s="95">
        <f ca="1"/>
        <v>-1.9600809261875202E-3</v>
      </c>
      <c r="K619" s="5" t="s">
        <v>4</v>
      </c>
      <c r="L619" s="97">
        <f ca="1">_xll.meDateFromTenor(L618,"1D","FOLLOWING","TGT")</f>
        <v>43381</v>
      </c>
      <c r="M619" s="95">
        <f ca="1"/>
        <v>-5.6937575335404321E-4</v>
      </c>
      <c r="N619" s="5" t="s">
        <v>4</v>
      </c>
      <c r="O619" s="97">
        <f ca="1">_xll.meDateFromTenor(O618,"1D","FOLLOWING","TGT")</f>
        <v>43381</v>
      </c>
      <c r="P619" s="95">
        <f ca="1"/>
        <v>1.49652898448306E-3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-3.2092228342559632E-3</v>
      </c>
      <c r="H620" s="92" t="s">
        <v>4</v>
      </c>
      <c r="I620" s="97">
        <f ca="1">_xll.meDateFromTenor(I619,"1D","FOLLOWING","TGT")</f>
        <v>43382</v>
      </c>
      <c r="J620" s="95">
        <f ca="1"/>
        <v>-1.9518799341009764E-3</v>
      </c>
      <c r="K620" s="5" t="s">
        <v>4</v>
      </c>
      <c r="L620" s="97">
        <f ca="1">_xll.meDateFromTenor(L619,"1D","FOLLOWING","TGT")</f>
        <v>43382</v>
      </c>
      <c r="M620" s="95">
        <f ca="1"/>
        <v>-5.6411441977793637E-4</v>
      </c>
      <c r="N620" s="5" t="s">
        <v>4</v>
      </c>
      <c r="O620" s="97">
        <f ca="1">_xll.meDateFromTenor(O619,"1D","FOLLOWING","TGT")</f>
        <v>43382</v>
      </c>
      <c r="P620" s="95">
        <f ca="1"/>
        <v>1.5015991682081518E-3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-3.2055851910053976E-3</v>
      </c>
      <c r="H621" s="92" t="s">
        <v>4</v>
      </c>
      <c r="I621" s="97">
        <f ca="1">_xll.meDateFromTenor(I620,"1D","FOLLOWING","TGT")</f>
        <v>43383</v>
      </c>
      <c r="J621" s="95">
        <f ca="1"/>
        <v>-1.9437201441476841E-3</v>
      </c>
      <c r="K621" s="5" t="s">
        <v>4</v>
      </c>
      <c r="L621" s="97">
        <f ca="1">_xll.meDateFromTenor(L620,"1D","FOLLOWING","TGT")</f>
        <v>43383</v>
      </c>
      <c r="M621" s="95">
        <f ca="1"/>
        <v>-5.5884590910346209E-4</v>
      </c>
      <c r="N621" s="5" t="s">
        <v>4</v>
      </c>
      <c r="O621" s="97">
        <f ca="1">_xll.meDateFromTenor(O620,"1D","FOLLOWING","TGT")</f>
        <v>43383</v>
      </c>
      <c r="P621" s="95">
        <f ca="1"/>
        <v>1.5066733192929586E-3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-3.2019525370696584E-3</v>
      </c>
      <c r="H622" s="92" t="s">
        <v>4</v>
      </c>
      <c r="I622" s="97">
        <f ca="1">_xll.meDateFromTenor(I621,"1D","FOLLOWING","TGT")</f>
        <v>43384</v>
      </c>
      <c r="J622" s="95">
        <f ca="1"/>
        <v>-1.9356012494754925E-3</v>
      </c>
      <c r="K622" s="5" t="s">
        <v>4</v>
      </c>
      <c r="L622" s="97">
        <f ca="1">_xll.meDateFromTenor(L621,"1D","FOLLOWING","TGT")</f>
        <v>43384</v>
      </c>
      <c r="M622" s="95">
        <f ca="1"/>
        <v>-5.5357038346053598E-4</v>
      </c>
      <c r="N622" s="5" t="s">
        <v>4</v>
      </c>
      <c r="O622" s="97">
        <f ca="1">_xll.meDateFromTenor(O621,"1D","FOLLOWING","TGT")</f>
        <v>43384</v>
      </c>
      <c r="P622" s="95">
        <f ca="1"/>
        <v>1.5117514192946003E-3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-3.1983247921562766E-3</v>
      </c>
      <c r="H623" s="92" t="s">
        <v>4</v>
      </c>
      <c r="I623" s="97">
        <f ca="1">_xll.meDateFromTenor(I622,"1D","FOLLOWING","TGT")</f>
        <v>43385</v>
      </c>
      <c r="J623" s="95">
        <f ca="1"/>
        <v>-1.9275229432322441E-3</v>
      </c>
      <c r="K623" s="5" t="s">
        <v>4</v>
      </c>
      <c r="L623" s="97">
        <f ca="1">_xll.meDateFromTenor(L622,"1D","FOLLOWING","TGT")</f>
        <v>43385</v>
      </c>
      <c r="M623" s="95">
        <f ca="1"/>
        <v>-5.4828800497907007E-4</v>
      </c>
      <c r="N623" s="5" t="s">
        <v>4</v>
      </c>
      <c r="O623" s="97">
        <f ca="1">_xll.meDateFromTenor(O622,"1D","FOLLOWING","TGT")</f>
        <v>43385</v>
      </c>
      <c r="P623" s="95">
        <f ca="1"/>
        <v>1.5168334497701985E-3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-3.1874702086256324E-3</v>
      </c>
      <c r="H624" s="92" t="s">
        <v>4</v>
      </c>
      <c r="I624" s="97">
        <f ca="1">_xll.meDateFromTenor(I623,"1D","FOLLOWING","TGT")</f>
        <v>43388</v>
      </c>
      <c r="J624" s="95">
        <f ca="1"/>
        <v>-1.9035284865546384E-3</v>
      </c>
      <c r="K624" s="5" t="s">
        <v>4</v>
      </c>
      <c r="L624" s="97">
        <f ca="1">_xll.meDateFromTenor(L623,"1D","FOLLOWING","TGT")</f>
        <v>43388</v>
      </c>
      <c r="M624" s="95">
        <f ca="1"/>
        <v>-5.3240137380258258E-4</v>
      </c>
      <c r="N624" s="5" t="s">
        <v>4</v>
      </c>
      <c r="O624" s="97">
        <f ca="1">_xll.meDateFromTenor(O623,"1D","FOLLOWING","TGT")</f>
        <v>43388</v>
      </c>
      <c r="P624" s="95">
        <f ca="1"/>
        <v>1.5321029396119354E-3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-3.1838612968770304E-3</v>
      </c>
      <c r="H625" s="92" t="s">
        <v>4</v>
      </c>
      <c r="I625" s="97">
        <f ca="1">_xll.meDateFromTenor(I624,"1D","FOLLOWING","TGT")</f>
        <v>43389</v>
      </c>
      <c r="J625" s="95">
        <f ca="1"/>
        <v>-1.8956094655056359E-3</v>
      </c>
      <c r="K625" s="5" t="s">
        <v>4</v>
      </c>
      <c r="L625" s="97">
        <f ca="1">_xll.meDateFromTenor(L624,"1D","FOLLOWING","TGT")</f>
        <v>43389</v>
      </c>
      <c r="M625" s="95">
        <f ca="1"/>
        <v>-5.2709320526610345E-4</v>
      </c>
      <c r="N625" s="5" t="s">
        <v>4</v>
      </c>
      <c r="O625" s="97">
        <f ca="1">_xll.meDateFromTenor(O624,"1D","FOLLOWING","TGT")</f>
        <v>43389</v>
      </c>
      <c r="P625" s="95">
        <f ca="1"/>
        <v>1.5372005075545636E-3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-3.1802568926884572E-3</v>
      </c>
      <c r="H626" s="92" t="s">
        <v>4</v>
      </c>
      <c r="I626" s="97">
        <f ca="1">_xll.meDateFromTenor(I625,"1D","FOLLOWING","TGT")</f>
        <v>43390</v>
      </c>
      <c r="J626" s="95">
        <f ca="1"/>
        <v>-1.8877294986248112E-3</v>
      </c>
      <c r="K626" s="5" t="s">
        <v>4</v>
      </c>
      <c r="L626" s="97">
        <f ca="1">_xll.meDateFromTenor(L625,"1D","FOLLOWING","TGT")</f>
        <v>43390</v>
      </c>
      <c r="M626" s="95">
        <f ca="1"/>
        <v>-5.2177899454065651E-4</v>
      </c>
      <c r="N626" s="5" t="s">
        <v>4</v>
      </c>
      <c r="O626" s="97">
        <f ca="1">_xll.meDateFromTenor(O625,"1D","FOLLOWING","TGT")</f>
        <v>43390</v>
      </c>
      <c r="P626" s="95">
        <f ca="1"/>
        <v>1.5423019137567504E-3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-3.1766569157674479E-3</v>
      </c>
      <c r="H627" s="92" t="s">
        <v>4</v>
      </c>
      <c r="I627" s="97">
        <f ca="1">_xll.meDateFromTenor(I626,"1D","FOLLOWING","TGT")</f>
        <v>43391</v>
      </c>
      <c r="J627" s="95">
        <f ca="1"/>
        <v>-1.8798882790600109E-3</v>
      </c>
      <c r="K627" s="5" t="s">
        <v>4</v>
      </c>
      <c r="L627" s="97">
        <f ca="1">_xll.meDateFromTenor(L626,"1D","FOLLOWING","TGT")</f>
        <v>43391</v>
      </c>
      <c r="M627" s="95">
        <f ca="1"/>
        <v>-5.1645890375615587E-4</v>
      </c>
      <c r="N627" s="5" t="s">
        <v>4</v>
      </c>
      <c r="O627" s="97">
        <f ca="1">_xll.meDateFromTenor(O626,"1D","FOLLOWING","TGT")</f>
        <v>43391</v>
      </c>
      <c r="P627" s="95">
        <f ca="1"/>
        <v>1.5474071397756169E-3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-3.173061285821537E-3</v>
      </c>
      <c r="H628" s="92" t="s">
        <v>4</v>
      </c>
      <c r="I628" s="97">
        <f ca="1">_xll.meDateFromTenor(I627,"1D","FOLLOWING","TGT")</f>
        <v>43392</v>
      </c>
      <c r="J628" s="95">
        <f ca="1"/>
        <v>-1.8720854999590805E-3</v>
      </c>
      <c r="K628" s="5" t="s">
        <v>4</v>
      </c>
      <c r="L628" s="97">
        <f ca="1">_xll.meDateFromTenor(L627,"1D","FOLLOWING","TGT")</f>
        <v>43392</v>
      </c>
      <c r="M628" s="95">
        <f ca="1"/>
        <v>-5.1113309504251584E-4</v>
      </c>
      <c r="N628" s="5" t="s">
        <v>4</v>
      </c>
      <c r="O628" s="97">
        <f ca="1">_xll.meDateFromTenor(O627,"1D","FOLLOWING","TGT")</f>
        <v>43392</v>
      </c>
      <c r="P628" s="95">
        <f ca="1"/>
        <v>1.5525161671682828E-3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-3.16229967490973E-3</v>
      </c>
      <c r="H629" s="92" t="s">
        <v>4</v>
      </c>
      <c r="I629" s="97">
        <f ca="1">_xll.meDateFromTenor(I628,"1D","FOLLOWING","TGT")</f>
        <v>43395</v>
      </c>
      <c r="J629" s="95">
        <f ca="1"/>
        <v>-1.8489047369179808E-3</v>
      </c>
      <c r="K629" s="5" t="s">
        <v>4</v>
      </c>
      <c r="L629" s="97">
        <f ca="1">_xll.meDateFromTenor(L628,"1D","FOLLOWING","TGT")</f>
        <v>43395</v>
      </c>
      <c r="M629" s="95">
        <f ca="1"/>
        <v>-4.9512298262590184E-4</v>
      </c>
      <c r="N629" s="5" t="s">
        <v>4</v>
      </c>
      <c r="O629" s="97">
        <f ca="1">_xll.meDateFromTenor(O628,"1D","FOLLOWING","TGT")</f>
        <v>43395</v>
      </c>
      <c r="P629" s="95">
        <f ca="1"/>
        <v>1.5678658731602842E-3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-3.1587206299395505E-3</v>
      </c>
      <c r="H630" s="92" t="s">
        <v>4</v>
      </c>
      <c r="I630" s="97">
        <f ca="1">_xll.meDateFromTenor(I629,"1D","FOLLOWING","TGT")</f>
        <v>43396</v>
      </c>
      <c r="J630" s="95">
        <f ca="1"/>
        <v>-1.8412526511509988E-3</v>
      </c>
      <c r="K630" s="5" t="s">
        <v>4</v>
      </c>
      <c r="L630" s="97">
        <f ca="1">_xll.meDateFromTenor(L629,"1D","FOLLOWING","TGT")</f>
        <v>43396</v>
      </c>
      <c r="M630" s="95">
        <f ca="1"/>
        <v>-4.897759234948468E-4</v>
      </c>
      <c r="N630" s="5" t="s">
        <v>4</v>
      </c>
      <c r="O630" s="97">
        <f ca="1">_xll.meDateFromTenor(O629,"1D","FOLLOWING","TGT")</f>
        <v>43396</v>
      </c>
      <c r="P630" s="95">
        <f ca="1"/>
        <v>1.5729899216193539E-3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-3.1551455304821376E-3</v>
      </c>
      <c r="H631" s="92" t="s">
        <v>4</v>
      </c>
      <c r="I631" s="97">
        <f ca="1">_xll.meDateFromTenor(I630,"1D","FOLLOWING","TGT")</f>
        <v>43397</v>
      </c>
      <c r="J631" s="95">
        <f ca="1"/>
        <v>-1.8336374715871193E-3</v>
      </c>
      <c r="K631" s="5" t="s">
        <v>4</v>
      </c>
      <c r="L631" s="97">
        <f ca="1">_xll.meDateFromTenor(L630,"1D","FOLLOWING","TGT")</f>
        <v>43397</v>
      </c>
      <c r="M631" s="95">
        <f ca="1"/>
        <v>-4.8442395708422247E-4</v>
      </c>
      <c r="N631" s="5" t="s">
        <v>4</v>
      </c>
      <c r="O631" s="97">
        <f ca="1">_xll.meDateFromTenor(O630,"1D","FOLLOWING","TGT")</f>
        <v>43397</v>
      </c>
      <c r="P631" s="95">
        <f ca="1"/>
        <v>1.578117679237827E-3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-3.1515742962450271E-3</v>
      </c>
      <c r="H632" s="92" t="s">
        <v>4</v>
      </c>
      <c r="I632" s="97">
        <f ca="1">_xll.meDateFromTenor(I631,"1D","FOLLOWING","TGT")</f>
        <v>43398</v>
      </c>
      <c r="J632" s="95">
        <f ca="1"/>
        <v>-1.8260588913741893E-3</v>
      </c>
      <c r="K632" s="5" t="s">
        <v>4</v>
      </c>
      <c r="L632" s="97">
        <f ca="1">_xll.meDateFromTenor(L631,"1D","FOLLOWING","TGT")</f>
        <v>43398</v>
      </c>
      <c r="M632" s="95">
        <f ca="1"/>
        <v>-4.7906724552394375E-4</v>
      </c>
      <c r="N632" s="5" t="s">
        <v>4</v>
      </c>
      <c r="O632" s="97">
        <f ca="1">_xll.meDateFromTenor(O631,"1D","FOLLOWING","TGT")</f>
        <v>43398</v>
      </c>
      <c r="P632" s="95">
        <f ca="1"/>
        <v>1.5832491275728229E-3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-3.1480068469357516E-3</v>
      </c>
      <c r="H633" s="92" t="s">
        <v>4</v>
      </c>
      <c r="I633" s="97">
        <f ca="1">_xll.meDateFromTenor(I632,"1D","FOLLOWING","TGT")</f>
        <v>43399</v>
      </c>
      <c r="J633" s="95">
        <f ca="1"/>
        <v>-1.8185166036600552E-3</v>
      </c>
      <c r="K633" s="5" t="s">
        <v>4</v>
      </c>
      <c r="L633" s="97">
        <f ca="1">_xll.meDateFromTenor(L632,"1D","FOLLOWING","TGT")</f>
        <v>43399</v>
      </c>
      <c r="M633" s="95">
        <f ca="1"/>
        <v>-4.7370595094392494E-4</v>
      </c>
      <c r="N633" s="5" t="s">
        <v>4</v>
      </c>
      <c r="O633" s="97">
        <f ca="1">_xll.meDateFromTenor(O632,"1D","FOLLOWING","TGT")</f>
        <v>43399</v>
      </c>
      <c r="P633" s="95">
        <f ca="1"/>
        <v>1.5883842481814623E-3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-3.1373264056502839E-3</v>
      </c>
      <c r="H634" s="92" t="s">
        <v>4</v>
      </c>
      <c r="I634" s="97">
        <f ca="1">_xll.meDateFromTenor(I633,"1D","FOLLOWING","TGT")</f>
        <v>43402</v>
      </c>
      <c r="J634" s="95">
        <f ca="1"/>
        <v>-1.796104426988895E-3</v>
      </c>
      <c r="K634" s="5" t="s">
        <v>4</v>
      </c>
      <c r="L634" s="97">
        <f ca="1">_xll.meDateFromTenor(L633,"1D","FOLLOWING","TGT")</f>
        <v>43402</v>
      </c>
      <c r="M634" s="95">
        <f ca="1"/>
        <v>-4.575961903845709E-4</v>
      </c>
      <c r="N634" s="5" t="s">
        <v>4</v>
      </c>
      <c r="O634" s="97">
        <f ca="1">_xll.meDateFromTenor(O633,"1D","FOLLOWING","TGT")</f>
        <v>43402</v>
      </c>
      <c r="P634" s="95">
        <f ca="1"/>
        <v>1.6038114592204465E-3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-3.133773293127693E-3</v>
      </c>
      <c r="H635" s="92" t="s">
        <v>4</v>
      </c>
      <c r="I635" s="97">
        <f ca="1">_xll.meDateFromTenor(I634,"1D","FOLLOWING","TGT")</f>
        <v>43403</v>
      </c>
      <c r="J635" s="95">
        <f ca="1"/>
        <v>-1.7887042407484094E-3</v>
      </c>
      <c r="K635" s="5" t="s">
        <v>4</v>
      </c>
      <c r="L635" s="97">
        <f ca="1">_xll.meDateFromTenor(L634,"1D","FOLLOWING","TGT")</f>
        <v>43403</v>
      </c>
      <c r="M635" s="95">
        <f ca="1"/>
        <v>-4.522181850247336E-4</v>
      </c>
      <c r="N635" s="5" t="s">
        <v>4</v>
      </c>
      <c r="O635" s="97">
        <f ca="1">_xll.meDateFromTenor(O634,"1D","FOLLOWING","TGT")</f>
        <v>43403</v>
      </c>
      <c r="P635" s="95">
        <f ca="1"/>
        <v>1.608961084494865E-3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-3.1302235640706085E-3</v>
      </c>
      <c r="H636" s="92" t="s">
        <v>4</v>
      </c>
      <c r="I636" s="97">
        <f ca="1">_xll.meDateFromTenor(I635,"1D","FOLLOWING","TGT")</f>
        <v>43404</v>
      </c>
      <c r="J636" s="95">
        <f ca="1"/>
        <v>-1.7813388127459538E-3</v>
      </c>
      <c r="K636" s="5" t="s">
        <v>4</v>
      </c>
      <c r="L636" s="97">
        <f ca="1">_xll.meDateFromTenor(L635,"1D","FOLLOWING","TGT")</f>
        <v>43404</v>
      </c>
      <c r="M636" s="95">
        <f ca="1"/>
        <v>-4.4683640729472804E-4</v>
      </c>
      <c r="N636" s="5" t="s">
        <v>4</v>
      </c>
      <c r="O636" s="97">
        <f ca="1">_xll.meDateFromTenor(O635,"1D","FOLLOWING","TGT")</f>
        <v>43404</v>
      </c>
      <c r="P636" s="95">
        <f ca="1"/>
        <v>1.6141142898285293E-3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-3.1266771381865642E-3</v>
      </c>
      <c r="H637" s="92" t="s">
        <v>4</v>
      </c>
      <c r="I637" s="97">
        <f ca="1">_xll.meDateFromTenor(I636,"1D","FOLLOWING","TGT")</f>
        <v>43405</v>
      </c>
      <c r="J637" s="95">
        <f ca="1"/>
        <v>-1.7740078361293719E-3</v>
      </c>
      <c r="K637" s="5" t="s">
        <v>4</v>
      </c>
      <c r="L637" s="97">
        <f ca="1">_xll.meDateFromTenor(L636,"1D","FOLLOWING","TGT")</f>
        <v>43405</v>
      </c>
      <c r="M637" s="95">
        <f ca="1"/>
        <v>-4.4145101932446682E-4</v>
      </c>
      <c r="N637" s="5" t="s">
        <v>4</v>
      </c>
      <c r="O637" s="97">
        <f ca="1">_xll.meDateFromTenor(O636,"1D","FOLLOWING","TGT")</f>
        <v>43405</v>
      </c>
      <c r="P637" s="95">
        <f ca="1"/>
        <v>1.6192710567785608E-3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-3.1231339351830926E-3</v>
      </c>
      <c r="H638" s="92" t="s">
        <v>4</v>
      </c>
      <c r="I638" s="97">
        <f ca="1">_xll.meDateFromTenor(I637,"1D","FOLLOWING","TGT")</f>
        <v>43406</v>
      </c>
      <c r="J638" s="95">
        <f ca="1"/>
        <v>-1.7667110040465114E-3</v>
      </c>
      <c r="K638" s="5" t="s">
        <v>4</v>
      </c>
      <c r="L638" s="97">
        <f ca="1">_xll.meDateFromTenor(L637,"1D","FOLLOWING","TGT")</f>
        <v>43406</v>
      </c>
      <c r="M638" s="95">
        <f ca="1"/>
        <v>-4.3606218324386466E-4</v>
      </c>
      <c r="N638" s="5" t="s">
        <v>4</v>
      </c>
      <c r="O638" s="97">
        <f ca="1">_xll.meDateFromTenor(O637,"1D","FOLLOWING","TGT")</f>
        <v>43406</v>
      </c>
      <c r="P638" s="95">
        <f ca="1"/>
        <v>1.6244313669020799E-3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-3.1125188855202742E-3</v>
      </c>
      <c r="H639" s="92" t="s">
        <v>4</v>
      </c>
      <c r="I639" s="97">
        <f ca="1">_xll.meDateFromTenor(I638,"1D","FOLLOWING","TGT")</f>
        <v>43409</v>
      </c>
      <c r="J639" s="95">
        <f ca="1"/>
        <v>-1.7450223064787232E-3</v>
      </c>
      <c r="K639" s="5" t="s">
        <v>4</v>
      </c>
      <c r="L639" s="97">
        <f ca="1">_xll.meDateFromTenor(L638,"1D","FOLLOWING","TGT")</f>
        <v>43409</v>
      </c>
      <c r="M639" s="95">
        <f ca="1"/>
        <v>-4.1987660763915586E-4</v>
      </c>
      <c r="N639" s="5" t="s">
        <v>4</v>
      </c>
      <c r="O639" s="97">
        <f ca="1">_xll.meDateFromTenor(O638,"1D","FOLLOWING","TGT")</f>
        <v>43409</v>
      </c>
      <c r="P639" s="95">
        <f ca="1"/>
        <v>1.6399333718847655E-3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-3.1089823238768829E-3</v>
      </c>
      <c r="H640" s="92" t="s">
        <v>4</v>
      </c>
      <c r="I640" s="97">
        <f ca="1">_xll.meDateFromTenor(I639,"1D","FOLLOWING","TGT")</f>
        <v>43410</v>
      </c>
      <c r="J640" s="95">
        <f ca="1"/>
        <v>-1.7378589840092132E-3</v>
      </c>
      <c r="K640" s="5" t="s">
        <v>4</v>
      </c>
      <c r="L640" s="97">
        <f ca="1">_xll.meDateFromTenor(L639,"1D","FOLLOWING","TGT")</f>
        <v>43410</v>
      </c>
      <c r="M640" s="95">
        <f ca="1"/>
        <v>-4.1447560041633268E-4</v>
      </c>
      <c r="N640" s="5" t="s">
        <v>4</v>
      </c>
      <c r="O640" s="97">
        <f ca="1">_xll.meDateFromTenor(O639,"1D","FOLLOWING","TGT")</f>
        <v>43410</v>
      </c>
      <c r="P640" s="95">
        <f ca="1"/>
        <v>1.6451076702734386E-3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-3.1054450503084558E-3</v>
      </c>
      <c r="H641" s="92" t="s">
        <v>4</v>
      </c>
      <c r="I641" s="97">
        <f ca="1">_xll.meDateFromTenor(I640,"1D","FOLLOWING","TGT")</f>
        <v>43411</v>
      </c>
      <c r="J641" s="95">
        <f ca="1"/>
        <v>-1.7307282718126578E-3</v>
      </c>
      <c r="K641" s="5" t="s">
        <v>4</v>
      </c>
      <c r="L641" s="97">
        <f ca="1">_xll.meDateFromTenor(L640,"1D","FOLLOWING","TGT")</f>
        <v>43411</v>
      </c>
      <c r="M641" s="95">
        <f ca="1"/>
        <v>-4.0907195573274056E-4</v>
      </c>
      <c r="N641" s="5" t="s">
        <v>4</v>
      </c>
      <c r="O641" s="97">
        <f ca="1">_xll.meDateFromTenor(O640,"1D","FOLLOWING","TGT")</f>
        <v>43411</v>
      </c>
      <c r="P641" s="95">
        <f ca="1"/>
        <v>1.6502854196212007E-3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-3.1019061011867063E-3</v>
      </c>
      <c r="H642" s="92" t="s">
        <v>4</v>
      </c>
      <c r="I642" s="97">
        <f ca="1">_xll.meDateFromTenor(I641,"1D","FOLLOWING","TGT")</f>
        <v>43412</v>
      </c>
      <c r="J642" s="95">
        <f ca="1"/>
        <v>-1.7236298630369021E-3</v>
      </c>
      <c r="K642" s="5" t="s">
        <v>4</v>
      </c>
      <c r="L642" s="97">
        <f ca="1">_xll.meDateFromTenor(L641,"1D","FOLLOWING","TGT")</f>
        <v>43412</v>
      </c>
      <c r="M642" s="95">
        <f ca="1"/>
        <v>-4.0366583571829198E-4</v>
      </c>
      <c r="N642" s="5" t="s">
        <v>4</v>
      </c>
      <c r="O642" s="97">
        <f ca="1">_xll.meDateFromTenor(O641,"1D","FOLLOWING","TGT")</f>
        <v>43412</v>
      </c>
      <c r="P642" s="95">
        <f ca="1"/>
        <v>1.6554666014851744E-3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-3.0983645128833497E-3</v>
      </c>
      <c r="H643" s="92" t="s">
        <v>4</v>
      </c>
      <c r="I643" s="97">
        <f ca="1">_xll.meDateFromTenor(I642,"1D","FOLLOWING","TGT")</f>
        <v>43413</v>
      </c>
      <c r="J643" s="95">
        <f ca="1"/>
        <v>-1.7165634508297942E-3</v>
      </c>
      <c r="K643" s="5" t="s">
        <v>4</v>
      </c>
      <c r="L643" s="97">
        <f ca="1">_xll.meDateFromTenor(L642,"1D","FOLLOWING","TGT")</f>
        <v>43413</v>
      </c>
      <c r="M643" s="95">
        <f ca="1"/>
        <v>-3.9825740250290292E-4</v>
      </c>
      <c r="N643" s="5" t="s">
        <v>4</v>
      </c>
      <c r="O643" s="97">
        <f ca="1">_xll.meDateFromTenor(O642,"1D","FOLLOWING","TGT")</f>
        <v>43413</v>
      </c>
      <c r="P643" s="95">
        <f ca="1"/>
        <v>1.6606511974224779E-3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-3.0877142766007701E-3</v>
      </c>
      <c r="H644" s="92" t="s">
        <v>4</v>
      </c>
      <c r="I644" s="97">
        <f ca="1">_xll.meDateFromTenor(I643,"1D","FOLLOWING","TGT")</f>
        <v>43416</v>
      </c>
      <c r="J644" s="95">
        <f ca="1"/>
        <v>-1.6955531250988129E-3</v>
      </c>
      <c r="K644" s="5" t="s">
        <v>4</v>
      </c>
      <c r="L644" s="97">
        <f ca="1">_xll.meDateFromTenor(L643,"1D","FOLLOWING","TGT")</f>
        <v>43416</v>
      </c>
      <c r="M644" s="95">
        <f ca="1"/>
        <v>-3.8201984495022642E-4</v>
      </c>
      <c r="N644" s="5" t="s">
        <v>4</v>
      </c>
      <c r="O644" s="97">
        <f ca="1">_xll.meDateFromTenor(O643,"1D","FOLLOWING","TGT")</f>
        <v>43416</v>
      </c>
      <c r="P644" s="95">
        <f ca="1"/>
        <v>1.6762252852455816E-3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-3.0841524952881214E-3</v>
      </c>
      <c r="H645" s="92" t="s">
        <v>4</v>
      </c>
      <c r="I645" s="97">
        <f ca="1">_xll.meDateFromTenor(I644,"1D","FOLLOWING","TGT")</f>
        <v>43417</v>
      </c>
      <c r="J645" s="95">
        <f ca="1"/>
        <v>-1.6886116306447561E-3</v>
      </c>
      <c r="K645" s="5" t="s">
        <v>4</v>
      </c>
      <c r="L645" s="97">
        <f ca="1">_xll.meDateFromTenor(L644,"1D","FOLLOWING","TGT")</f>
        <v>43417</v>
      </c>
      <c r="M645" s="95">
        <f ca="1"/>
        <v>-3.7660378023021267E-4</v>
      </c>
      <c r="N645" s="5" t="s">
        <v>4</v>
      </c>
      <c r="O645" s="97">
        <f ca="1">_xll.meDateFromTenor(O644,"1D","FOLLOWING","TGT")</f>
        <v>43417</v>
      </c>
      <c r="P645" s="95">
        <f ca="1"/>
        <v>1.6814233530474153E-3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-3.0805832566524346E-3</v>
      </c>
      <c r="H646" s="92" t="s">
        <v>4</v>
      </c>
      <c r="I646" s="97">
        <f ca="1">_xll.meDateFromTenor(I645,"1D","FOLLOWING","TGT")</f>
        <v>43418</v>
      </c>
      <c r="J646" s="95">
        <f ca="1"/>
        <v>-1.6817005984985783E-3</v>
      </c>
      <c r="K646" s="5" t="s">
        <v>4</v>
      </c>
      <c r="L646" s="97">
        <f ca="1">_xll.meDateFromTenor(L645,"1D","FOLLOWING","TGT")</f>
        <v>43418</v>
      </c>
      <c r="M646" s="95">
        <f ca="1"/>
        <v>-3.7118621295882865E-4</v>
      </c>
      <c r="N646" s="5" t="s">
        <v>4</v>
      </c>
      <c r="O646" s="97">
        <f ca="1">_xll.meDateFromTenor(O645,"1D","FOLLOWING","TGT")</f>
        <v>43418</v>
      </c>
      <c r="P646" s="95">
        <f ca="1"/>
        <v>1.6866247427081819E-3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-3.077005597065423E-3</v>
      </c>
      <c r="H647" s="92" t="s">
        <v>4</v>
      </c>
      <c r="I647" s="97">
        <f ca="1">_xll.meDateFromTenor(I646,"1D","FOLLOWING","TGT")</f>
        <v>43419</v>
      </c>
      <c r="J647" s="95">
        <f ca="1"/>
        <v>-1.6748197218081264E-3</v>
      </c>
      <c r="K647" s="5" t="s">
        <v>4</v>
      </c>
      <c r="L647" s="97">
        <f ca="1">_xll.meDateFromTenor(L646,"1D","FOLLOWING","TGT")</f>
        <v>43419</v>
      </c>
      <c r="M647" s="95">
        <f ca="1"/>
        <v>-3.6576730526598818E-4</v>
      </c>
      <c r="N647" s="5" t="s">
        <v>4</v>
      </c>
      <c r="O647" s="97">
        <f ca="1">_xll.meDateFromTenor(O646,"1D","FOLLOWING","TGT")</f>
        <v>43419</v>
      </c>
      <c r="P647" s="95">
        <f ca="1"/>
        <v>1.6918294357850035E-3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-3.0734185528988028E-3</v>
      </c>
      <c r="H648" s="92" t="s">
        <v>4</v>
      </c>
      <c r="I648" s="97">
        <f ca="1">_xll.meDateFromTenor(I647,"1D","FOLLOWING","TGT")</f>
        <v>43420</v>
      </c>
      <c r="J648" s="95">
        <f ca="1"/>
        <v>-1.6679686937212477E-3</v>
      </c>
      <c r="K648" s="5" t="s">
        <v>4</v>
      </c>
      <c r="L648" s="97">
        <f ca="1">_xll.meDateFromTenor(L647,"1D","FOLLOWING","TGT")</f>
        <v>43420</v>
      </c>
      <c r="M648" s="95">
        <f ca="1"/>
        <v>-3.6034721928160666E-4</v>
      </c>
      <c r="N648" s="5" t="s">
        <v>4</v>
      </c>
      <c r="O648" s="97">
        <f ca="1">_xll.meDateFromTenor(O647,"1D","FOLLOWING","TGT")</f>
        <v>43420</v>
      </c>
      <c r="P648" s="95">
        <f ca="1"/>
        <v>1.6970374138349984E-3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-3.0625914766384201E-3</v>
      </c>
      <c r="H649" s="92" t="s">
        <v>4</v>
      </c>
      <c r="I649" s="97">
        <f ca="1">_xll.meDateFromTenor(I648,"1D","FOLLOWING","TGT")</f>
        <v>43423</v>
      </c>
      <c r="J649" s="95">
        <f ca="1"/>
        <v>-1.647591632560508E-3</v>
      </c>
      <c r="K649" s="5" t="s">
        <v>4</v>
      </c>
      <c r="L649" s="97">
        <f ca="1">_xll.meDateFromTenor(L648,"1D","FOLLOWING","TGT")</f>
        <v>43423</v>
      </c>
      <c r="M649" s="95">
        <f ca="1"/>
        <v>-3.440815128783497E-4</v>
      </c>
      <c r="N649" s="5" t="s">
        <v>4</v>
      </c>
      <c r="O649" s="97">
        <f ca="1">_xll.meDateFromTenor(O648,"1D","FOLLOWING","TGT")</f>
        <v>43423</v>
      </c>
      <c r="P649" s="95">
        <f ca="1"/>
        <v>1.7126808733952384E-3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-3.0589572578704994E-3</v>
      </c>
      <c r="H650" s="92" t="s">
        <v>4</v>
      </c>
      <c r="I650" s="97">
        <f ca="1">_xll.meDateFromTenor(I649,"1D","FOLLOWING","TGT")</f>
        <v>43424</v>
      </c>
      <c r="J650" s="95">
        <f ca="1"/>
        <v>-1.6408569303663818E-3</v>
      </c>
      <c r="K650" s="5" t="s">
        <v>4</v>
      </c>
      <c r="L650" s="97">
        <f ca="1">_xll.meDateFromTenor(L649,"1D","FOLLOWING","TGT")</f>
        <v>43424</v>
      </c>
      <c r="M650" s="95">
        <f ca="1"/>
        <v>-3.3865833502694096E-4</v>
      </c>
      <c r="N650" s="5" t="s">
        <v>4</v>
      </c>
      <c r="O650" s="97">
        <f ca="1">_xll.meDateFromTenor(O649,"1D","FOLLOWING","TGT")</f>
        <v>43424</v>
      </c>
      <c r="P650" s="95">
        <f ca="1"/>
        <v>1.717901806909138E-3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-3.0553088363815387E-3</v>
      </c>
      <c r="H651" s="92" t="s">
        <v>4</v>
      </c>
      <c r="I651" s="97">
        <f ca="1">_xll.meDateFromTenor(I650,"1D","FOLLOWING","TGT")</f>
        <v>43425</v>
      </c>
      <c r="J651" s="95">
        <f ca="1"/>
        <v>-1.6341505425150607E-3</v>
      </c>
      <c r="K651" s="5" t="s">
        <v>4</v>
      </c>
      <c r="L651" s="97">
        <f ca="1">_xll.meDateFromTenor(L650,"1D","FOLLOWING","TGT")</f>
        <v>43425</v>
      </c>
      <c r="M651" s="95">
        <f ca="1"/>
        <v>-3.3323478953356116E-4</v>
      </c>
      <c r="N651" s="5" t="s">
        <v>4</v>
      </c>
      <c r="O651" s="97">
        <f ca="1">_xll.meDateFromTenor(O650,"1D","FOLLOWING","TGT")</f>
        <v>43425</v>
      </c>
      <c r="P651" s="95">
        <f ca="1"/>
        <v>1.7231259331818149E-3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-3.051645248543251E-3</v>
      </c>
      <c r="H652" s="92" t="s">
        <v>4</v>
      </c>
      <c r="I652" s="97">
        <f ca="1">_xll.meDateFromTenor(I651,"1D","FOLLOWING","TGT")</f>
        <v>43426</v>
      </c>
      <c r="J652" s="95">
        <f ca="1"/>
        <v>-1.6274721621543904E-3</v>
      </c>
      <c r="K652" s="5" t="s">
        <v>4</v>
      </c>
      <c r="L652" s="97">
        <f ca="1">_xll.meDateFromTenor(L651,"1D","FOLLOWING","TGT")</f>
        <v>43426</v>
      </c>
      <c r="M652" s="95">
        <f ca="1"/>
        <v>-3.2781103852812433E-4</v>
      </c>
      <c r="N652" s="5" t="s">
        <v>4</v>
      </c>
      <c r="O652" s="97">
        <f ca="1">_xll.meDateFromTenor(O651,"1D","FOLLOWING","TGT")</f>
        <v>43426</v>
      </c>
      <c r="P652" s="95">
        <f ca="1"/>
        <v>1.7283532337703897E-3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-3.0479655307273528E-3</v>
      </c>
      <c r="H653" s="92" t="s">
        <v>4</v>
      </c>
      <c r="I653" s="97">
        <f ca="1">_xll.meDateFromTenor(I652,"1D","FOLLOWING","TGT")</f>
        <v>43427</v>
      </c>
      <c r="J653" s="95">
        <f ca="1"/>
        <v>-1.6208214824322178E-3</v>
      </c>
      <c r="K653" s="5" t="s">
        <v>4</v>
      </c>
      <c r="L653" s="97">
        <f ca="1">_xll.meDateFromTenor(L652,"1D","FOLLOWING","TGT")</f>
        <v>43427</v>
      </c>
      <c r="M653" s="95">
        <f ca="1"/>
        <v>-3.2238724414054485E-4</v>
      </c>
      <c r="N653" s="5" t="s">
        <v>4</v>
      </c>
      <c r="O653" s="97">
        <f ca="1">_xll.meDateFromTenor(O652,"1D","FOLLOWING","TGT")</f>
        <v>43427</v>
      </c>
      <c r="P653" s="95">
        <f ca="1"/>
        <v>1.733583690231983E-3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-3.0368199611311244E-3</v>
      </c>
      <c r="H654" s="92" t="s">
        <v>4</v>
      </c>
      <c r="I654" s="97">
        <f ca="1">_xll.meDateFromTenor(I653,"1D","FOLLOWING","TGT")</f>
        <v>43430</v>
      </c>
      <c r="J654" s="95">
        <f ca="1"/>
        <v>-1.601032578575152E-3</v>
      </c>
      <c r="K654" s="5" t="s">
        <v>4</v>
      </c>
      <c r="L654" s="97">
        <f ca="1">_xll.meDateFromTenor(L653,"1D","FOLLOWING","TGT")</f>
        <v>43430</v>
      </c>
      <c r="M654" s="95">
        <f ca="1"/>
        <v>-3.0611722198409274E-4</v>
      </c>
      <c r="N654" s="5" t="s">
        <v>4</v>
      </c>
      <c r="O654" s="97">
        <f ca="1">_xll.meDateFromTenor(O653,"1D","FOLLOWING","TGT")</f>
        <v>43430</v>
      </c>
      <c r="P654" s="95">
        <f ca="1"/>
        <v>1.7492938104260774E-3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-3.0330660871219182E-3</v>
      </c>
      <c r="H655" s="92" t="s">
        <v>4</v>
      </c>
      <c r="I655" s="97">
        <f ca="1">_xll.meDateFromTenor(I654,"1D","FOLLOWING","TGT")</f>
        <v>43431</v>
      </c>
      <c r="J655" s="95">
        <f ca="1"/>
        <v>-1.594489632885436E-3</v>
      </c>
      <c r="K655" s="5" t="s">
        <v>4</v>
      </c>
      <c r="L655" s="97">
        <f ca="1">_xll.meDateFromTenor(L654,"1D","FOLLOWING","TGT")</f>
        <v>43431</v>
      </c>
      <c r="M655" s="95">
        <f ca="1"/>
        <v>-3.0069487536708519E-4</v>
      </c>
      <c r="N655" s="5" t="s">
        <v>4</v>
      </c>
      <c r="O655" s="97">
        <f ca="1">_xll.meDateFromTenor(O654,"1D","FOLLOWING","TGT")</f>
        <v>43431</v>
      </c>
      <c r="P655" s="95">
        <f ca="1"/>
        <v>1.7545367059509484E-3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-3.0292912649936693E-3</v>
      </c>
      <c r="H656" s="92" t="s">
        <v>4</v>
      </c>
      <c r="I656" s="97">
        <f ca="1">_xll.meDateFromTenor(I655,"1D","FOLLOWING","TGT")</f>
        <v>43432</v>
      </c>
      <c r="J656" s="95">
        <f ca="1"/>
        <v>-1.5879728535734487E-3</v>
      </c>
      <c r="K656" s="5" t="s">
        <v>4</v>
      </c>
      <c r="L656" s="97">
        <f ca="1">_xll.meDateFromTenor(L655,"1D","FOLLOWING","TGT")</f>
        <v>43432</v>
      </c>
      <c r="M656" s="95">
        <f ca="1"/>
        <v>-2.9527329601750503E-4</v>
      </c>
      <c r="N656" s="5" t="s">
        <v>4</v>
      </c>
      <c r="O656" s="97">
        <f ca="1">_xll.meDateFromTenor(O655,"1D","FOLLOWING","TGT")</f>
        <v>43432</v>
      </c>
      <c r="P656" s="95">
        <f ca="1"/>
        <v>1.7597826651344415E-3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-3.0254945311180923E-3</v>
      </c>
      <c r="H657" s="92" t="s">
        <v>4</v>
      </c>
      <c r="I657" s="97">
        <f ca="1">_xll.meDateFromTenor(I656,"1D","FOLLOWING","TGT")</f>
        <v>43433</v>
      </c>
      <c r="J657" s="95">
        <f ca="1"/>
        <v>-1.581481933787038E-3</v>
      </c>
      <c r="K657" s="5" t="s">
        <v>4</v>
      </c>
      <c r="L657" s="97">
        <f ca="1">_xll.meDateFromTenor(L656,"1D","FOLLOWING","TGT")</f>
        <v>43433</v>
      </c>
      <c r="M657" s="95">
        <f ca="1"/>
        <v>-2.8985264606526726E-4</v>
      </c>
      <c r="N657" s="5" t="s">
        <v>4</v>
      </c>
      <c r="O657" s="97">
        <f ca="1">_xll.meDateFromTenor(O656,"1D","FOLLOWING","TGT")</f>
        <v>43433</v>
      </c>
      <c r="P657" s="95">
        <f ca="1"/>
        <v>1.7650316695336764E-3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-3.0216749218669016E-3</v>
      </c>
      <c r="H658" s="92" t="s">
        <v>4</v>
      </c>
      <c r="I658" s="97">
        <f ca="1">_xll.meDateFromTenor(I657,"1D","FOLLOWING","TGT")</f>
        <v>43434</v>
      </c>
      <c r="J658" s="95">
        <f ca="1"/>
        <v>-1.5750165666740506E-3</v>
      </c>
      <c r="K658" s="5" t="s">
        <v>4</v>
      </c>
      <c r="L658" s="97">
        <f ca="1">_xll.meDateFromTenor(L657,"1D","FOLLOWING","TGT")</f>
        <v>43434</v>
      </c>
      <c r="M658" s="95">
        <f ca="1"/>
        <v>-2.844330876402862E-4</v>
      </c>
      <c r="N658" s="5" t="s">
        <v>4</v>
      </c>
      <c r="O658" s="97">
        <f ca="1">_xll.meDateFromTenor(O657,"1D","FOLLOWING","TGT")</f>
        <v>43434</v>
      </c>
      <c r="P658" s="95">
        <f ca="1"/>
        <v>1.7702837007057728E-3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-3.0100692055767845E-3</v>
      </c>
      <c r="H659" s="92" t="s">
        <v>4</v>
      </c>
      <c r="I659" s="97">
        <f ca="1">_xll.meDateFromTenor(I658,"1D","FOLLOWING","TGT")</f>
        <v>43437</v>
      </c>
      <c r="J659" s="95">
        <f ca="1"/>
        <v>-1.555770712854091E-3</v>
      </c>
      <c r="K659" s="5" t="s">
        <v>4</v>
      </c>
      <c r="L659" s="97">
        <f ca="1">_xll.meDateFromTenor(L658,"1D","FOLLOWING","TGT")</f>
        <v>43437</v>
      </c>
      <c r="M659" s="95">
        <f ca="1"/>
        <v>-2.681825828280245E-4</v>
      </c>
      <c r="N659" s="5" t="s">
        <v>4</v>
      </c>
      <c r="O659" s="97">
        <f ca="1">_xll.meDateFromTenor(O658,"1D","FOLLOWING","TGT")</f>
        <v>43437</v>
      </c>
      <c r="P659" s="95">
        <f ca="1"/>
        <v>1.7860577704304408E-3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-3.006148955023978E-3</v>
      </c>
      <c r="H660" s="92" t="s">
        <v>4</v>
      </c>
      <c r="I660" s="97">
        <f ca="1">_xll.meDateFromTenor(I659,"1D","FOLLOWING","TGT")</f>
        <v>43438</v>
      </c>
      <c r="J660" s="95">
        <f ca="1"/>
        <v>-1.5494045528141925E-3</v>
      </c>
      <c r="K660" s="5" t="s">
        <v>4</v>
      </c>
      <c r="L660" s="97">
        <f ca="1">_xll.meDateFromTenor(L659,"1D","FOLLOWING","TGT")</f>
        <v>43438</v>
      </c>
      <c r="M660" s="95">
        <f ca="1"/>
        <v>-2.6276898014936193E-4</v>
      </c>
      <c r="N660" s="5" t="s">
        <v>4</v>
      </c>
      <c r="O660" s="97">
        <f ca="1">_xll.meDateFromTenor(O659,"1D","FOLLOWING","TGT")</f>
        <v>43438</v>
      </c>
      <c r="P660" s="95">
        <f ca="1"/>
        <v>1.7913217242651902E-3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-3.0022039898563281E-3</v>
      </c>
      <c r="H661" s="92" t="s">
        <v>4</v>
      </c>
      <c r="I661" s="97">
        <f ca="1">_xll.meDateFromTenor(I660,"1D","FOLLOWING","TGT")</f>
        <v>43439</v>
      </c>
      <c r="J661" s="95">
        <f ca="1"/>
        <v>-1.5430628005925337E-3</v>
      </c>
      <c r="K661" s="5" t="s">
        <v>4</v>
      </c>
      <c r="L661" s="97">
        <f ca="1">_xll.meDateFromTenor(L660,"1D","FOLLOWING","TGT")</f>
        <v>43439</v>
      </c>
      <c r="M661" s="95">
        <f ca="1"/>
        <v>-2.5735708967642156E-4</v>
      </c>
      <c r="N661" s="5" t="s">
        <v>4</v>
      </c>
      <c r="O661" s="97">
        <f ca="1">_xll.meDateFromTenor(O660,"1D","FOLLOWING","TGT")</f>
        <v>43439</v>
      </c>
      <c r="P661" s="95">
        <f ca="1"/>
        <v>1.7965886126584051E-3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-2.9982363253477492E-3</v>
      </c>
      <c r="H662" s="92" t="s">
        <v>4</v>
      </c>
      <c r="I662" s="97">
        <f ca="1">_xll.meDateFromTenor(I661,"1D","FOLLOWING","TGT")</f>
        <v>43440</v>
      </c>
      <c r="J662" s="95">
        <f ca="1"/>
        <v>-1.5367455387425492E-3</v>
      </c>
      <c r="K662" s="5" t="s">
        <v>4</v>
      </c>
      <c r="L662" s="97">
        <f ca="1">_xll.meDateFromTenor(L661,"1D","FOLLOWING","TGT")</f>
        <v>43440</v>
      </c>
      <c r="M662" s="95">
        <f ca="1"/>
        <v>-2.5194688356801472E-4</v>
      </c>
      <c r="N662" s="5" t="s">
        <v>4</v>
      </c>
      <c r="O662" s="97">
        <f ca="1">_xll.meDateFromTenor(O661,"1D","FOLLOWING","TGT")</f>
        <v>43440</v>
      </c>
      <c r="P662" s="95">
        <f ca="1"/>
        <v>1.8018584171672046E-3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-2.9942479767721551E-3</v>
      </c>
      <c r="H663" s="92" t="s">
        <v>4</v>
      </c>
      <c r="I663" s="97">
        <f ca="1">_xll.meDateFromTenor(I662,"1D","FOLLOWING","TGT")</f>
        <v>43441</v>
      </c>
      <c r="J663" s="95">
        <f ca="1"/>
        <v>-1.5304528498176692E-3</v>
      </c>
      <c r="K663" s="5" t="s">
        <v>4</v>
      </c>
      <c r="L663" s="97">
        <f ca="1">_xll.meDateFromTenor(L662,"1D","FOLLOWING","TGT")</f>
        <v>43441</v>
      </c>
      <c r="M663" s="95">
        <f ca="1"/>
        <v>-2.465383339829494E-4</v>
      </c>
      <c r="N663" s="5" t="s">
        <v>4</v>
      </c>
      <c r="O663" s="97">
        <f ca="1">_xll.meDateFromTenor(O662,"1D","FOLLOWING","TGT")</f>
        <v>43441</v>
      </c>
      <c r="P663" s="95">
        <f ca="1"/>
        <v>1.8071311193487104E-3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-2.9821789793824318E-3</v>
      </c>
      <c r="H664" s="92" t="s">
        <v>4</v>
      </c>
      <c r="I664" s="97">
        <f ca="1">_xll.meDateFromTenor(I663,"1D","FOLLOWING","TGT")</f>
        <v>43444</v>
      </c>
      <c r="J664" s="95">
        <f ca="1"/>
        <v>-1.5117230461279805E-3</v>
      </c>
      <c r="K664" s="5" t="s">
        <v>4</v>
      </c>
      <c r="L664" s="97">
        <f ca="1">_xll.meDateFromTenor(L663,"1D","FOLLOWING","TGT")</f>
        <v>43444</v>
      </c>
      <c r="M664" s="95">
        <f ca="1"/>
        <v>-2.303223459559041E-4</v>
      </c>
      <c r="N664" s="5" t="s">
        <v>4</v>
      </c>
      <c r="O664" s="97">
        <f ca="1">_xll.meDateFromTenor(O663,"1D","FOLLOWING","TGT")</f>
        <v>43444</v>
      </c>
      <c r="P664" s="95">
        <f ca="1"/>
        <v>1.8229664275006688E-3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-2.9781280472779247E-3</v>
      </c>
      <c r="H665" s="92" t="s">
        <v>4</v>
      </c>
      <c r="I665" s="97">
        <f ca="1">_xll.meDateFromTenor(I664,"1D","FOLLOWING","TGT")</f>
        <v>43445</v>
      </c>
      <c r="J665" s="95">
        <f ca="1"/>
        <v>-1.5055294744378417E-3</v>
      </c>
      <c r="K665" s="5" t="s">
        <v>4</v>
      </c>
      <c r="L665" s="97">
        <f ca="1">_xll.meDateFromTenor(L664,"1D","FOLLOWING","TGT")</f>
        <v>43445</v>
      </c>
      <c r="M665" s="95">
        <f ca="1"/>
        <v>-2.2492014405230471E-4</v>
      </c>
      <c r="N665" s="5" t="s">
        <v>4</v>
      </c>
      <c r="O665" s="97">
        <f ca="1">_xll.meDateFromTenor(O664,"1D","FOLLOWING","TGT")</f>
        <v>43445</v>
      </c>
      <c r="P665" s="95">
        <f ca="1"/>
        <v>1.8282505359442033E-3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-2.9740665074759762E-3</v>
      </c>
      <c r="H666" s="92" t="s">
        <v>4</v>
      </c>
      <c r="I666" s="97">
        <f ca="1">_xll.meDateFromTenor(I665,"1D","FOLLOWING","TGT")</f>
        <v>43446</v>
      </c>
      <c r="J666" s="95">
        <f ca="1"/>
        <v>-1.4993608884399684E-3</v>
      </c>
      <c r="K666" s="5" t="s">
        <v>4</v>
      </c>
      <c r="L666" s="97">
        <f ca="1">_xll.meDateFromTenor(L665,"1D","FOLLOWING","TGT")</f>
        <v>43446</v>
      </c>
      <c r="M666" s="95">
        <f ca="1"/>
        <v>-2.1951945946609586E-4</v>
      </c>
      <c r="N666" s="5" t="s">
        <v>4</v>
      </c>
      <c r="O666" s="97">
        <f ca="1">_xll.meDateFromTenor(O665,"1D","FOLLOWING","TGT")</f>
        <v>43446</v>
      </c>
      <c r="P666" s="95">
        <f ca="1"/>
        <v>1.8335374498460464E-3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-2.9699963752505007E-3</v>
      </c>
      <c r="H667" s="92" t="s">
        <v>4</v>
      </c>
      <c r="I667" s="97">
        <f ca="1">_xll.meDateFromTenor(I666,"1D","FOLLOWING","TGT")</f>
        <v>43447</v>
      </c>
      <c r="J667" s="95">
        <f ca="1"/>
        <v>-1.4932173706877941E-3</v>
      </c>
      <c r="K667" s="5" t="s">
        <v>4</v>
      </c>
      <c r="L667" s="97">
        <f ca="1">_xll.meDateFromTenor(L666,"1D","FOLLOWING","TGT")</f>
        <v>43447</v>
      </c>
      <c r="M667" s="95">
        <f ca="1"/>
        <v>-2.1412026435608828E-4</v>
      </c>
      <c r="N667" s="5" t="s">
        <v>4</v>
      </c>
      <c r="O667" s="97">
        <f ca="1">_xll.meDateFromTenor(O666,"1D","FOLLOWING","TGT")</f>
        <v>43447</v>
      </c>
      <c r="P667" s="95">
        <f ca="1"/>
        <v>1.8388271507633175E-3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-2.9659196658754117E-3</v>
      </c>
      <c r="H668" s="92" t="s">
        <v>4</v>
      </c>
      <c r="I668" s="97">
        <f ca="1">_xll.meDateFromTenor(I667,"1D","FOLLOWING","TGT")</f>
        <v>43448</v>
      </c>
      <c r="J668" s="95">
        <f ca="1"/>
        <v>-1.4870990037347482E-3</v>
      </c>
      <c r="K668" s="5" t="s">
        <v>4</v>
      </c>
      <c r="L668" s="97">
        <f ca="1">_xll.meDateFromTenor(L667,"1D","FOLLOWING","TGT")</f>
        <v>43448</v>
      </c>
      <c r="M668" s="95">
        <f ca="1"/>
        <v>-2.0872253088108966E-4</v>
      </c>
      <c r="N668" s="5" t="s">
        <v>4</v>
      </c>
      <c r="O668" s="97">
        <f ca="1">_xll.meDateFromTenor(O667,"1D","FOLLOWING","TGT")</f>
        <v>43448</v>
      </c>
      <c r="P668" s="95">
        <f ca="1"/>
        <v>1.8441196202531387E-3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-2.9536702275916125E-3</v>
      </c>
      <c r="H669" s="92" t="s">
        <v>4</v>
      </c>
      <c r="I669" s="97">
        <f ca="1">_xll.meDateFromTenor(I668,"1D","FOLLOWING","TGT")</f>
        <v>43451</v>
      </c>
      <c r="J669" s="95">
        <f ca="1"/>
        <v>-1.4688956332047109E-3</v>
      </c>
      <c r="K669" s="5" t="s">
        <v>4</v>
      </c>
      <c r="L669" s="97">
        <f ca="1">_xll.meDateFromTenor(L668,"1D","FOLLOWING","TGT")</f>
        <v>43451</v>
      </c>
      <c r="M669" s="95">
        <f ca="1"/>
        <v>-1.9253782185425075E-4</v>
      </c>
      <c r="N669" s="5" t="s">
        <v>4</v>
      </c>
      <c r="O669" s="97">
        <f ca="1">_xll.meDateFromTenor(O668,"1D","FOLLOWING","TGT")</f>
        <v>43451</v>
      </c>
      <c r="P669" s="95">
        <f ca="1"/>
        <v>1.8600134557291046E-3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-2.9495873623572163E-3</v>
      </c>
      <c r="H670" s="92" t="s">
        <v>4</v>
      </c>
      <c r="I670" s="97">
        <f ca="1">_xll.meDateFromTenor(I669,"1D","FOLLOWING","TGT")</f>
        <v>43452</v>
      </c>
      <c r="J670" s="95">
        <f ca="1"/>
        <v>-1.4628786949825048E-3</v>
      </c>
      <c r="K670" s="5" t="s">
        <v>4</v>
      </c>
      <c r="L670" s="97">
        <f ca="1">_xll.meDateFromTenor(L669,"1D","FOLLOWING","TGT")</f>
        <v>43452</v>
      </c>
      <c r="M670" s="95">
        <f ca="1"/>
        <v>-1.8714565650738822E-4</v>
      </c>
      <c r="N670" s="5" t="s">
        <v>4</v>
      </c>
      <c r="O670" s="97">
        <f ca="1">_xll.meDateFromTenor(O669,"1D","FOLLOWING","TGT")</f>
        <v>43452</v>
      </c>
      <c r="P670" s="95">
        <f ca="1"/>
        <v>1.8653168150803295E-3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-2.9455079963427808E-3</v>
      </c>
      <c r="H671" s="92" t="s">
        <v>4</v>
      </c>
      <c r="I671" s="97">
        <f ca="1">_xll.meDateFromTenor(I670,"1D","FOLLOWING","TGT")</f>
        <v>43453</v>
      </c>
      <c r="J671" s="95">
        <f ca="1"/>
        <v>-1.4568873203265886E-3</v>
      </c>
      <c r="K671" s="5" t="s">
        <v>4</v>
      </c>
      <c r="L671" s="97">
        <f ca="1">_xll.meDateFromTenor(L670,"1D","FOLLOWING","TGT")</f>
        <v>43453</v>
      </c>
      <c r="M671" s="95">
        <f ca="1"/>
        <v>-1.81754813589584E-4</v>
      </c>
      <c r="N671" s="5" t="s">
        <v>4</v>
      </c>
      <c r="O671" s="97">
        <f ca="1">_xll.meDateFromTenor(O670,"1D","FOLLOWING","TGT")</f>
        <v>43453</v>
      </c>
      <c r="P671" s="95">
        <f ca="1"/>
        <v>1.8706228507897064E-3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-2.9414341448222186E-3</v>
      </c>
      <c r="H672" s="92" t="s">
        <v>4</v>
      </c>
      <c r="I672" s="97">
        <f ca="1">_xll.meDateFromTenor(I671,"1D","FOLLOWING","TGT")</f>
        <v>43454</v>
      </c>
      <c r="J672" s="95">
        <f ca="1"/>
        <v>-1.4509215917903944E-3</v>
      </c>
      <c r="K672" s="5" t="s">
        <v>4</v>
      </c>
      <c r="L672" s="97">
        <f ca="1">_xll.meDateFromTenor(L671,"1D","FOLLOWING","TGT")</f>
        <v>43454</v>
      </c>
      <c r="M672" s="95">
        <f ca="1"/>
        <v>-1.7636526525964755E-4</v>
      </c>
      <c r="N672" s="5" t="s">
        <v>4</v>
      </c>
      <c r="O672" s="97">
        <f ca="1">_xll.meDateFromTenor(O671,"1D","FOLLOWING","TGT")</f>
        <v>43454</v>
      </c>
      <c r="P672" s="95">
        <f ca="1"/>
        <v>1.875931544414356E-3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-2.9373678230694457E-3</v>
      </c>
      <c r="H673" s="92" t="s">
        <v>4</v>
      </c>
      <c r="I673" s="97">
        <f ca="1">_xll.meDateFromTenor(I672,"1D","FOLLOWING","TGT")</f>
        <v>43455</v>
      </c>
      <c r="J673" s="95">
        <f ca="1"/>
        <v>-1.4449815919273549E-3</v>
      </c>
      <c r="K673" s="5" t="s">
        <v>4</v>
      </c>
      <c r="L673" s="97">
        <f ca="1">_xll.meDateFromTenor(L672,"1D","FOLLOWING","TGT")</f>
        <v>43455</v>
      </c>
      <c r="M673" s="95">
        <f ca="1"/>
        <v>-1.7097698367638859E-4</v>
      </c>
      <c r="N673" s="5" t="s">
        <v>4</v>
      </c>
      <c r="O673" s="97">
        <f ca="1">_xll.meDateFromTenor(O672,"1D","FOLLOWING","TGT")</f>
        <v>43455</v>
      </c>
      <c r="P673" s="95">
        <f ca="1"/>
        <v>1.8812428775113988E-3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-2.9252341891570039E-3</v>
      </c>
      <c r="H674" s="92" t="s">
        <v>4</v>
      </c>
      <c r="I674" s="97">
        <f ca="1">_xll.meDateFromTenor(I673,"1D","FOLLOWING","TGT")</f>
        <v>43458</v>
      </c>
      <c r="J674" s="95">
        <f ca="1"/>
        <v>-1.427316789911484E-3</v>
      </c>
      <c r="K674" s="5" t="s">
        <v>4</v>
      </c>
      <c r="L674" s="97">
        <f ca="1">_xll.meDateFromTenor(L673,"1D","FOLLOWING","TGT")</f>
        <v>43458</v>
      </c>
      <c r="M674" s="95">
        <f ca="1"/>
        <v>-1.5481946099477482E-4</v>
      </c>
      <c r="N674" s="5" t="s">
        <v>4</v>
      </c>
      <c r="O674" s="97">
        <f ca="1">_xll.meDateFromTenor(O673,"1D","FOLLOWING","TGT")</f>
        <v>43458</v>
      </c>
      <c r="P674" s="95">
        <f ca="1"/>
        <v>1.8971925292080901E-3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-2.9132408730155809E-3</v>
      </c>
      <c r="H675" s="92" t="s">
        <v>4</v>
      </c>
      <c r="I675" s="97">
        <f ca="1">_xll.meDateFromTenor(I674,"1D","FOLLOWING","TGT")</f>
        <v>43461</v>
      </c>
      <c r="J675" s="95">
        <f ca="1"/>
        <v>-1.4098865178775533E-3</v>
      </c>
      <c r="K675" s="5" t="s">
        <v>4</v>
      </c>
      <c r="L675" s="97">
        <f ca="1">_xll.meDateFromTenor(L674,"1D","FOLLOWING","TGT")</f>
        <v>43461</v>
      </c>
      <c r="M675" s="95">
        <f ca="1"/>
        <v>-1.3867233675040399E-4</v>
      </c>
      <c r="N675" s="5" t="s">
        <v>4</v>
      </c>
      <c r="O675" s="97">
        <f ca="1">_xll.meDateFromTenor(O674,"1D","FOLLOWING","TGT")</f>
        <v>43461</v>
      </c>
      <c r="P675" s="95">
        <f ca="1"/>
        <v>1.9131652722126616E-3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-2.9092836873069344E-3</v>
      </c>
      <c r="H676" s="92" t="s">
        <v>4</v>
      </c>
      <c r="I676" s="97">
        <f ca="1">_xll.meDateFromTenor(I675,"1D","FOLLOWING","TGT")</f>
        <v>43462</v>
      </c>
      <c r="J676" s="95">
        <f ca="1"/>
        <v>-1.4041289302226913E-3</v>
      </c>
      <c r="K676" s="5" t="s">
        <v>4</v>
      </c>
      <c r="L676" s="97">
        <f ca="1">_xll.meDateFromTenor(L675,"1D","FOLLOWING","TGT")</f>
        <v>43462</v>
      </c>
      <c r="M676" s="95">
        <f ca="1"/>
        <v>-1.3329214284055758E-4</v>
      </c>
      <c r="N676" s="5" t="s">
        <v>4</v>
      </c>
      <c r="O676" s="97">
        <f ca="1">_xll.meDateFromTenor(O675,"1D","FOLLOWING","TGT")</f>
        <v>43462</v>
      </c>
      <c r="P676" s="95">
        <f ca="1"/>
        <v>1.9184945652158316E-3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-2.8975621030312821E-3</v>
      </c>
      <c r="H677" s="92" t="s">
        <v>4</v>
      </c>
      <c r="I677" s="97">
        <f ca="1">_xll.meDateFromTenor(I676,"1D","FOLLOWING","TGT")</f>
        <v>43465</v>
      </c>
      <c r="J677" s="95">
        <f ca="1"/>
        <v>-1.3870148320754994E-3</v>
      </c>
      <c r="K677" s="5" t="s">
        <v>4</v>
      </c>
      <c r="L677" s="97">
        <f ca="1">_xll.meDateFromTenor(L676,"1D","FOLLOWING","TGT")</f>
        <v>43465</v>
      </c>
      <c r="M677" s="95">
        <f ca="1"/>
        <v>-1.1715771384918597E-4</v>
      </c>
      <c r="N677" s="5" t="s">
        <v>4</v>
      </c>
      <c r="O677" s="97">
        <f ca="1">_xll.meDateFromTenor(O676,"1D","FOLLOWING","TGT")</f>
        <v>43465</v>
      </c>
      <c r="P677" s="95">
        <f ca="1"/>
        <v>1.9344973220299683E-3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-2.889892843628564E-3</v>
      </c>
      <c r="H678" s="92" t="s">
        <v>4</v>
      </c>
      <c r="I678" s="97">
        <f ca="1">_xll.meDateFromTenor(I677,"1D","FOLLOWING","TGT")</f>
        <v>43467</v>
      </c>
      <c r="J678" s="95">
        <f ca="1"/>
        <v>-1.3757384795261868E-3</v>
      </c>
      <c r="K678" s="5" t="s">
        <v>4</v>
      </c>
      <c r="L678" s="97">
        <f ca="1">_xll.meDateFromTenor(L677,"1D","FOLLOWING","TGT")</f>
        <v>43467</v>
      </c>
      <c r="M678" s="95">
        <f ca="1"/>
        <v>-1.0640627672484066E-4</v>
      </c>
      <c r="N678" s="5" t="s">
        <v>4</v>
      </c>
      <c r="O678" s="97">
        <f ca="1">_xll.meDateFromTenor(O677,"1D","FOLLOWING","TGT")</f>
        <v>43467</v>
      </c>
      <c r="P678" s="95">
        <f ca="1"/>
        <v>1.9451780403144533E-3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-2.8861071204130543E-3</v>
      </c>
      <c r="H679" s="92" t="s">
        <v>4</v>
      </c>
      <c r="I679" s="97">
        <f ca="1">_xll.meDateFromTenor(I678,"1D","FOLLOWING","TGT")</f>
        <v>43468</v>
      </c>
      <c r="J679" s="95">
        <f ca="1"/>
        <v>-1.3701404647764707E-3</v>
      </c>
      <c r="K679" s="5" t="s">
        <v>4</v>
      </c>
      <c r="L679" s="97">
        <f ca="1">_xll.meDateFromTenor(L678,"1D","FOLLOWING","TGT")</f>
        <v>43468</v>
      </c>
      <c r="M679" s="95">
        <f ca="1"/>
        <v>-1.0103192930006712E-4</v>
      </c>
      <c r="N679" s="5" t="s">
        <v>4</v>
      </c>
      <c r="O679" s="97">
        <f ca="1">_xll.meDateFromTenor(O678,"1D","FOLLOWING","TGT")</f>
        <v>43468</v>
      </c>
      <c r="P679" s="95">
        <f ca="1"/>
        <v>1.9505220082505765E-3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-2.882353070578882E-3</v>
      </c>
      <c r="H680" s="92" t="s">
        <v>4</v>
      </c>
      <c r="I680" s="97">
        <f ca="1">_xll.meDateFromTenor(I679,"1D","FOLLOWING","TGT")</f>
        <v>43469</v>
      </c>
      <c r="J680" s="95">
        <f ca="1"/>
        <v>-1.364569334447958E-3</v>
      </c>
      <c r="K680" s="5" t="s">
        <v>4</v>
      </c>
      <c r="L680" s="97">
        <f ca="1">_xll.meDateFromTenor(L679,"1D","FOLLOWING","TGT")</f>
        <v>43469</v>
      </c>
      <c r="M680" s="95">
        <f ca="1"/>
        <v>-9.5658458845306204E-5</v>
      </c>
      <c r="N680" s="5" t="s">
        <v>4</v>
      </c>
      <c r="O680" s="97">
        <f ca="1">_xll.meDateFromTenor(O679,"1D","FOLLOWING","TGT")</f>
        <v>43469</v>
      </c>
      <c r="P680" s="95">
        <f ca="1"/>
        <v>1.95586835745878E-3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-2.8712604118909953E-3</v>
      </c>
      <c r="H681" s="92" t="s">
        <v>4</v>
      </c>
      <c r="I681" s="97">
        <f ca="1">_xll.meDateFromTenor(I680,"1D","FOLLOWING","TGT")</f>
        <v>43472</v>
      </c>
      <c r="J681" s="95">
        <f ca="1"/>
        <v>-1.3480180755239598E-3</v>
      </c>
      <c r="K681" s="5" t="s">
        <v>4</v>
      </c>
      <c r="L681" s="97">
        <f ca="1">_xll.meDateFromTenor(L680,"1D","FOLLOWING","TGT")</f>
        <v>43472</v>
      </c>
      <c r="M681" s="95">
        <f ca="1"/>
        <v>-7.954303088919556E-5</v>
      </c>
      <c r="N681" s="5" t="s">
        <v>4</v>
      </c>
      <c r="O681" s="97">
        <f ca="1">_xll.meDateFromTenor(O680,"1D","FOLLOWING","TGT")</f>
        <v>43472</v>
      </c>
      <c r="P681" s="95">
        <f ca="1"/>
        <v>1.9719215082870797E-3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-2.8676125061087767E-3</v>
      </c>
      <c r="H682" s="92" t="s">
        <v>4</v>
      </c>
      <c r="I682" s="97">
        <f ca="1">_xll.meDateFromTenor(I681,"1D","FOLLOWING","TGT")</f>
        <v>43473</v>
      </c>
      <c r="J682" s="95">
        <f ca="1"/>
        <v>-1.3425553084145817E-3</v>
      </c>
      <c r="K682" s="5" t="s">
        <v>4</v>
      </c>
      <c r="L682" s="97">
        <f ca="1">_xll.meDateFromTenor(L681,"1D","FOLLOWING","TGT")</f>
        <v>43473</v>
      </c>
      <c r="M682" s="95">
        <f ca="1"/>
        <v>-7.4172789902582438E-5</v>
      </c>
      <c r="N682" s="5" t="s">
        <v>4</v>
      </c>
      <c r="O682" s="97">
        <f ca="1">_xll.meDateFromTenor(O681,"1D","FOLLOWING","TGT")</f>
        <v>43473</v>
      </c>
      <c r="P682" s="95">
        <f ca="1"/>
        <v>1.9772771981548106E-3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-2.8639859989711973E-3</v>
      </c>
      <c r="H683" s="92" t="s">
        <v>4</v>
      </c>
      <c r="I683" s="97">
        <f ca="1">_xll.meDateFromTenor(I682,"1D","FOLLOWING","TGT")</f>
        <v>43474</v>
      </c>
      <c r="J683" s="95">
        <f ca="1"/>
        <v>-1.3371198384935661E-3</v>
      </c>
      <c r="K683" s="5" t="s">
        <v>4</v>
      </c>
      <c r="L683" s="97">
        <f ca="1">_xll.meDateFromTenor(L682,"1D","FOLLOWING","TGT")</f>
        <v>43474</v>
      </c>
      <c r="M683" s="95">
        <f ca="1"/>
        <v>-6.8803286680029242E-5</v>
      </c>
      <c r="N683" s="5" t="s">
        <v>4</v>
      </c>
      <c r="O683" s="97">
        <f ca="1">_xll.meDateFromTenor(O682,"1D","FOLLOWING","TGT")</f>
        <v>43474</v>
      </c>
      <c r="P683" s="95">
        <f ca="1"/>
        <v>1.982635177080225E-3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-2.8603788355309172E-3</v>
      </c>
      <c r="H684" s="92" t="s">
        <v>4</v>
      </c>
      <c r="I684" s="97">
        <f ca="1">_xll.meDateFromTenor(I683,"1D","FOLLOWING","TGT")</f>
        <v>43475</v>
      </c>
      <c r="J684" s="95">
        <f ca="1"/>
        <v>-1.3317117483143466E-3</v>
      </c>
      <c r="K684" s="5" t="s">
        <v>4</v>
      </c>
      <c r="L684" s="97">
        <f ca="1">_xll.meDateFromTenor(L683,"1D","FOLLOWING","TGT")</f>
        <v>43475</v>
      </c>
      <c r="M684" s="95">
        <f ca="1"/>
        <v>-6.3434493380346618E-5</v>
      </c>
      <c r="N684" s="5" t="s">
        <v>4</v>
      </c>
      <c r="O684" s="97">
        <f ca="1">_xll.meDateFromTenor(O683,"1D","FOLLOWING","TGT")</f>
        <v>43475</v>
      </c>
      <c r="P684" s="95">
        <f ca="1"/>
        <v>1.9879954266204436E-3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-2.8567889608405975E-3</v>
      </c>
      <c r="H685" s="92" t="s">
        <v>4</v>
      </c>
      <c r="I685" s="97">
        <f ca="1">_xll.meDateFromTenor(I684,"1D","FOLLOWING","TGT")</f>
        <v>43476</v>
      </c>
      <c r="J685" s="95">
        <f ca="1"/>
        <v>-1.3263311204303554E-3</v>
      </c>
      <c r="K685" s="5" t="s">
        <v>4</v>
      </c>
      <c r="L685" s="97">
        <f ca="1">_xll.meDateFromTenor(L684,"1D","FOLLOWING","TGT")</f>
        <v>43476</v>
      </c>
      <c r="M685" s="95">
        <f ca="1"/>
        <v>-5.8066382162344972E-5</v>
      </c>
      <c r="N685" s="5" t="s">
        <v>4</v>
      </c>
      <c r="O685" s="97">
        <f ca="1">_xll.meDateFromTenor(O684,"1D","FOLLOWING","TGT")</f>
        <v>43476</v>
      </c>
      <c r="P685" s="95">
        <f ca="1"/>
        <v>1.9933579283325856E-3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-2.8461025197959984E-3</v>
      </c>
      <c r="H686" s="92" t="s">
        <v>4</v>
      </c>
      <c r="I686" s="97">
        <f ca="1">_xll.meDateFromTenor(I685,"1D","FOLLOWING","TGT")</f>
        <v>43479</v>
      </c>
      <c r="J686" s="95">
        <f ca="1"/>
        <v>-1.3103548360840673E-3</v>
      </c>
      <c r="K686" s="5" t="s">
        <v>4</v>
      </c>
      <c r="L686" s="97">
        <f ca="1">_xll.meDateFromTenor(L685,"1D","FOLLOWING","TGT")</f>
        <v>43479</v>
      </c>
      <c r="M686" s="95">
        <f ca="1"/>
        <v>-4.196586258651492E-5</v>
      </c>
      <c r="N686" s="5" t="s">
        <v>4</v>
      </c>
      <c r="O686" s="97">
        <f ca="1">_xll.meDateFromTenor(O685,"1D","FOLLOWING","TGT")</f>
        <v>43479</v>
      </c>
      <c r="P686" s="95">
        <f ca="1"/>
        <v>2.0094587620717659E-3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-2.8425612506321201E-3</v>
      </c>
      <c r="H687" s="92" t="s">
        <v>4</v>
      </c>
      <c r="I687" s="97">
        <f ca="1">_xll.meDateFromTenor(I686,"1D","FOLLOWING","TGT")</f>
        <v>43480</v>
      </c>
      <c r="J687" s="95">
        <f ca="1"/>
        <v>-1.305084882915307E-3</v>
      </c>
      <c r="K687" s="5" t="s">
        <v>4</v>
      </c>
      <c r="L687" s="97">
        <f ca="1">_xll.meDateFromTenor(L686,"1D","FOLLOWING","TGT")</f>
        <v>43480</v>
      </c>
      <c r="M687" s="95">
        <f ca="1"/>
        <v>-3.6600201283329524E-5</v>
      </c>
      <c r="N687" s="5" t="s">
        <v>4</v>
      </c>
      <c r="O687" s="97">
        <f ca="1">_xll.meDateFromTenor(O686,"1D","FOLLOWING","TGT")</f>
        <v>43480</v>
      </c>
      <c r="P687" s="95">
        <f ca="1"/>
        <v>2.0148300880428113E-3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-2.8390269954815029E-3</v>
      </c>
      <c r="H688" s="92" t="s">
        <v>4</v>
      </c>
      <c r="I688" s="97">
        <f ca="1">_xll.meDateFromTenor(I687,"1D","FOLLOWING","TGT")</f>
        <v>43481</v>
      </c>
      <c r="J688" s="95">
        <f ca="1"/>
        <v>-1.299842804808935E-3</v>
      </c>
      <c r="K688" s="5" t="s">
        <v>4</v>
      </c>
      <c r="L688" s="97">
        <f ca="1">_xll.meDateFromTenor(L687,"1D","FOLLOWING","TGT")</f>
        <v>43481</v>
      </c>
      <c r="M688" s="95">
        <f ca="1"/>
        <v>-3.1235082855872576E-5</v>
      </c>
      <c r="N688" s="5" t="s">
        <v>4</v>
      </c>
      <c r="O688" s="97">
        <f ca="1">_xll.meDateFromTenor(O687,"1D","FOLLOWING","TGT")</f>
        <v>43481</v>
      </c>
      <c r="P688" s="95">
        <f ca="1"/>
        <v>2.0202035739713842E-3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-2.835497699396808E-3</v>
      </c>
      <c r="H689" s="92" t="s">
        <v>4</v>
      </c>
      <c r="I689" s="97">
        <f ca="1">_xll.meDateFromTenor(I688,"1D","FOLLOWING","TGT")</f>
        <v>43482</v>
      </c>
      <c r="J689" s="95">
        <f ca="1"/>
        <v>-1.2946286843183842E-3</v>
      </c>
      <c r="K689" s="5" t="s">
        <v>4</v>
      </c>
      <c r="L689" s="97">
        <f ca="1">_xll.meDateFromTenor(L688,"1D","FOLLOWING","TGT")</f>
        <v>43482</v>
      </c>
      <c r="M689" s="95">
        <f ca="1"/>
        <v>-2.5870479462954577E-5</v>
      </c>
      <c r="N689" s="5" t="s">
        <v>4</v>
      </c>
      <c r="O689" s="97">
        <f ca="1">_xll.meDateFromTenor(O688,"1D","FOLLOWING","TGT")</f>
        <v>43482</v>
      </c>
      <c r="P689" s="95">
        <f ca="1"/>
        <v>2.0255792014146033E-3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-2.8319713074306946E-3</v>
      </c>
      <c r="H690" s="92" t="s">
        <v>4</v>
      </c>
      <c r="I690" s="97">
        <f ca="1">_xll.meDateFromTenor(I689,"1D","FOLLOWING","TGT")</f>
        <v>43483</v>
      </c>
      <c r="J690" s="95">
        <f ca="1"/>
        <v>-1.2894426039970848E-3</v>
      </c>
      <c r="K690" s="5" t="s">
        <v>4</v>
      </c>
      <c r="L690" s="97">
        <f ca="1">_xll.meDateFromTenor(L689,"1D","FOLLOWING","TGT")</f>
        <v>43483</v>
      </c>
      <c r="M690" s="95">
        <f ca="1"/>
        <v>-2.050636326338338E-5</v>
      </c>
      <c r="N690" s="5" t="s">
        <v>4</v>
      </c>
      <c r="O690" s="97">
        <f ca="1">_xll.meDateFromTenor(O689,"1D","FOLLOWING","TGT")</f>
        <v>43483</v>
      </c>
      <c r="P690" s="95">
        <f ca="1"/>
        <v>2.0309569519295916E-3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-2.8213890067704489E-3</v>
      </c>
      <c r="H691" s="92" t="s">
        <v>4</v>
      </c>
      <c r="I691" s="97">
        <f ca="1">_xll.meDateFromTenor(I690,"1D","FOLLOWING","TGT")</f>
        <v>43486</v>
      </c>
      <c r="J691" s="95">
        <f ca="1"/>
        <v>-1.2740534295830215E-3</v>
      </c>
      <c r="K691" s="5" t="s">
        <v>4</v>
      </c>
      <c r="L691" s="97">
        <f ca="1">_xll.meDateFromTenor(L690,"1D","FOLLOWING","TGT")</f>
        <v>43486</v>
      </c>
      <c r="M691" s="95">
        <f ca="1"/>
        <v>-4.4166594128535705E-6</v>
      </c>
      <c r="N691" s="5" t="s">
        <v>4</v>
      </c>
      <c r="O691" s="97">
        <f ca="1">_xll.meDateFromTenor(O690,"1D","FOLLOWING","TGT")</f>
        <v>43486</v>
      </c>
      <c r="P691" s="95">
        <f ca="1"/>
        <v>2.0471027574763688E-3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-2.8178536818052663E-3</v>
      </c>
      <c r="H692" s="92" t="s">
        <v>4</v>
      </c>
      <c r="I692" s="97">
        <f ca="1">_xll.meDateFromTenor(I691,"1D","FOLLOWING","TGT")</f>
        <v>43487</v>
      </c>
      <c r="J692" s="95">
        <f ca="1"/>
        <v>-1.268980335473052E-3</v>
      </c>
      <c r="K692" s="5" t="s">
        <v>4</v>
      </c>
      <c r="L692" s="97">
        <f ca="1">_xll.meDateFromTenor(L691,"1D","FOLLOWING","TGT")</f>
        <v>43487</v>
      </c>
      <c r="M692" s="95">
        <f ca="1"/>
        <v>9.4578642523022091E-7</v>
      </c>
      <c r="N692" s="5" t="s">
        <v>4</v>
      </c>
      <c r="O692" s="97">
        <f ca="1">_xll.meDateFromTenor(O691,"1D","FOLLOWING","TGT")</f>
        <v>43487</v>
      </c>
      <c r="P692" s="95">
        <f ca="1"/>
        <v>2.0524888158496351E-3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-2.8143109862219674E-3</v>
      </c>
      <c r="H693" s="92" t="s">
        <v>4</v>
      </c>
      <c r="I693" s="97">
        <f ca="1">_xll.meDateFromTenor(I692,"1D","FOLLOWING","TGT")</f>
        <v>43488</v>
      </c>
      <c r="J693" s="95">
        <f ca="1"/>
        <v>-1.2639356942994952E-3</v>
      </c>
      <c r="K693" s="5" t="s">
        <v>4</v>
      </c>
      <c r="L693" s="97">
        <f ca="1">_xll.meDateFromTenor(L692,"1D","FOLLOWING","TGT")</f>
        <v>43488</v>
      </c>
      <c r="M693" s="95">
        <f ca="1"/>
        <v>6.307884275918038E-6</v>
      </c>
      <c r="N693" s="5" t="s">
        <v>4</v>
      </c>
      <c r="O693" s="97">
        <f ca="1">_xll.meDateFromTenor(O692,"1D","FOLLOWING","TGT")</f>
        <v>43488</v>
      </c>
      <c r="P693" s="95">
        <f ca="1"/>
        <v>2.0578769050802713E-3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-2.8107588650732119E-3</v>
      </c>
      <c r="H694" s="92" t="s">
        <v>4</v>
      </c>
      <c r="I694" s="97">
        <f ca="1">_xll.meDateFromTenor(I693,"1D","FOLLOWING","TGT")</f>
        <v>43489</v>
      </c>
      <c r="J694" s="95">
        <f ca="1"/>
        <v>-1.2589195886157829E-3</v>
      </c>
      <c r="K694" s="5" t="s">
        <v>4</v>
      </c>
      <c r="L694" s="97">
        <f ca="1">_xll.meDateFromTenor(L693,"1D","FOLLOWING","TGT")</f>
        <v>43489</v>
      </c>
      <c r="M694" s="95">
        <f ca="1"/>
        <v>1.1669661980400231E-5</v>
      </c>
      <c r="N694" s="5" t="s">
        <v>4</v>
      </c>
      <c r="O694" s="97">
        <f ca="1">_xll.meDateFromTenor(O693,"1D","FOLLOWING","TGT")</f>
        <v>43489</v>
      </c>
      <c r="P694" s="95">
        <f ca="1"/>
        <v>2.063267006725399E-3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-2.8071952634116607E-3</v>
      </c>
      <c r="H695" s="92" t="s">
        <v>4</v>
      </c>
      <c r="I695" s="97">
        <f ca="1">_xll.meDateFromTenor(I694,"1D","FOLLOWING","TGT")</f>
        <v>43490</v>
      </c>
      <c r="J695" s="95">
        <f ca="1"/>
        <v>-1.2539321009753478E-3</v>
      </c>
      <c r="K695" s="5" t="s">
        <v>4</v>
      </c>
      <c r="L695" s="97">
        <f ca="1">_xll.meDateFromTenor(L694,"1D","FOLLOWING","TGT")</f>
        <v>43490</v>
      </c>
      <c r="M695" s="95">
        <f ca="1"/>
        <v>1.7031147379867144E-5</v>
      </c>
      <c r="N695" s="5" t="s">
        <v>4</v>
      </c>
      <c r="O695" s="97">
        <f ca="1">_xll.meDateFromTenor(O694,"1D","FOLLOWING","TGT")</f>
        <v>43490</v>
      </c>
      <c r="P695" s="95">
        <f ca="1"/>
        <v>2.0686591023421387E-3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-2.7964150258768341E-3</v>
      </c>
      <c r="H696" s="92" t="s">
        <v>4</v>
      </c>
      <c r="I696" s="97">
        <f ca="1">_xll.meDateFromTenor(I695,"1D","FOLLOWING","TGT")</f>
        <v>43493</v>
      </c>
      <c r="J696" s="95">
        <f ca="1"/>
        <v>-1.2391421718480238E-3</v>
      </c>
      <c r="K696" s="5" t="s">
        <v>4</v>
      </c>
      <c r="L696" s="97">
        <f ca="1">_xll.meDateFromTenor(L695,"1D","FOLLOWING","TGT")</f>
        <v>43493</v>
      </c>
      <c r="M696" s="95">
        <f ca="1"/>
        <v>3.3114128160078858E-5</v>
      </c>
      <c r="N696" s="5" t="s">
        <v>4</v>
      </c>
      <c r="O696" s="97">
        <f ca="1">_xll.meDateFromTenor(O695,"1D","FOLLOWING","TGT")</f>
        <v>43493</v>
      </c>
      <c r="P696" s="95">
        <f ca="1"/>
        <v>2.0848471685932326E-3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-2.7927849526907028E-3</v>
      </c>
      <c r="H697" s="92" t="s">
        <v>4</v>
      </c>
      <c r="I697" s="97">
        <f ca="1">_xll.meDateFromTenor(I696,"1D","FOLLOWING","TGT")</f>
        <v>43494</v>
      </c>
      <c r="J697" s="95">
        <f ca="1"/>
        <v>-1.234269981915017E-3</v>
      </c>
      <c r="K697" s="5" t="s">
        <v>4</v>
      </c>
      <c r="L697" s="97">
        <f ca="1">_xll.meDateFromTenor(L696,"1D","FOLLOWING","TGT")</f>
        <v>43494</v>
      </c>
      <c r="M697" s="95">
        <f ca="1"/>
        <v>3.8474722751387294E-5</v>
      </c>
      <c r="N697" s="5" t="s">
        <v>4</v>
      </c>
      <c r="O697" s="97">
        <f ca="1">_xll.meDateFromTenor(O696,"1D","FOLLOWING","TGT")</f>
        <v>43494</v>
      </c>
      <c r="P697" s="95">
        <f ca="1"/>
        <v>2.0902470556676237E-3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-2.7891331242550763E-3</v>
      </c>
      <c r="H698" s="92" t="s">
        <v>4</v>
      </c>
      <c r="I698" s="97">
        <f ca="1">_xll.meDateFromTenor(I697,"1D","FOLLOWING","TGT")</f>
        <v>43495</v>
      </c>
      <c r="J698" s="95">
        <f ca="1"/>
        <v>-1.2294268227924468E-3</v>
      </c>
      <c r="K698" s="5" t="s">
        <v>4</v>
      </c>
      <c r="L698" s="97">
        <f ca="1">_xll.meDateFromTenor(L697,"1D","FOLLOWING","TGT")</f>
        <v>43495</v>
      </c>
      <c r="M698" s="95">
        <f ca="1"/>
        <v>4.3835164243633081E-5</v>
      </c>
      <c r="N698" s="5" t="s">
        <v>4</v>
      </c>
      <c r="O698" s="97">
        <f ca="1">_xll.meDateFromTenor(O697,"1D","FOLLOWING","TGT")</f>
        <v>43495</v>
      </c>
      <c r="P698" s="95">
        <f ca="1"/>
        <v>2.0956488444992304E-3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-2.7854574856226158E-3</v>
      </c>
      <c r="H699" s="92" t="s">
        <v>4</v>
      </c>
      <c r="I699" s="97">
        <f ca="1">_xll.meDateFromTenor(I698,"1D","FOLLOWING","TGT")</f>
        <v>43496</v>
      </c>
      <c r="J699" s="95">
        <f ca="1"/>
        <v>-1.2246127770337459E-3</v>
      </c>
      <c r="K699" s="5" t="s">
        <v>4</v>
      </c>
      <c r="L699" s="97">
        <f ca="1">_xll.meDateFromTenor(L698,"1D","FOLLOWING","TGT")</f>
        <v>43496</v>
      </c>
      <c r="M699" s="95">
        <f ca="1"/>
        <v>4.9195480478005655E-5</v>
      </c>
      <c r="N699" s="5" t="s">
        <v>4</v>
      </c>
      <c r="O699" s="97">
        <f ca="1">_xll.meDateFromTenor(O698,"1D","FOLLOWING","TGT")</f>
        <v>43496</v>
      </c>
      <c r="P699" s="95">
        <f ca="1"/>
        <v>2.1010525166451715E-3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-2.7817559818459816E-3</v>
      </c>
      <c r="H700" s="92" t="s">
        <v>4</v>
      </c>
      <c r="I700" s="97">
        <f ca="1">_xll.meDateFromTenor(I699,"1D","FOLLOWING","TGT")</f>
        <v>43497</v>
      </c>
      <c r="J700" s="95">
        <f ca="1"/>
        <v>-1.2198279271923463E-3</v>
      </c>
      <c r="K700" s="5" t="s">
        <v>4</v>
      </c>
      <c r="L700" s="97">
        <f ca="1">_xll.meDateFromTenor(L699,"1D","FOLLOWING","TGT")</f>
        <v>43497</v>
      </c>
      <c r="M700" s="95">
        <f ca="1"/>
        <v>5.4555699295695367E-5</v>
      </c>
      <c r="N700" s="5" t="s">
        <v>4</v>
      </c>
      <c r="O700" s="97">
        <f ca="1">_xll.meDateFromTenor(O699,"1D","FOLLOWING","TGT")</f>
        <v>43497</v>
      </c>
      <c r="P700" s="95">
        <f ca="1"/>
        <v>2.1064580536625686E-3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-2.7704757301776398E-3</v>
      </c>
      <c r="H701" s="92" t="s">
        <v>4</v>
      </c>
      <c r="I701" s="97">
        <f ca="1">_xll.meDateFromTenor(I700,"1D","FOLLOWING","TGT")</f>
        <v>43500</v>
      </c>
      <c r="J701" s="95">
        <f ca="1"/>
        <v>-1.2056493787062767E-3</v>
      </c>
      <c r="K701" s="5" t="s">
        <v>4</v>
      </c>
      <c r="L701" s="97">
        <f ca="1">_xll.meDateFromTenor(L700,"1D","FOLLOWING","TGT")</f>
        <v>43500</v>
      </c>
      <c r="M701" s="95">
        <f ca="1"/>
        <v>7.0636049660570218E-5</v>
      </c>
      <c r="N701" s="5" t="s">
        <v>4</v>
      </c>
      <c r="O701" s="97">
        <f ca="1">_xll.meDateFromTenor(O700,"1D","FOLLOWING","TGT")</f>
        <v>43500</v>
      </c>
      <c r="P701" s="95">
        <f ca="1"/>
        <v>2.1226856695146967E-3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-2.7666508062587736E-3</v>
      </c>
      <c r="H702" s="92" t="s">
        <v>4</v>
      </c>
      <c r="I702" s="97">
        <f ca="1">_xll.meDateFromTenor(I701,"1D","FOLLOWING","TGT")</f>
        <v>43501</v>
      </c>
      <c r="J702" s="95">
        <f ca="1"/>
        <v>-1.200982138068403E-3</v>
      </c>
      <c r="K702" s="5" t="s">
        <v>4</v>
      </c>
      <c r="L702" s="97">
        <f ca="1">_xll.meDateFromTenor(L701,"1D","FOLLOWING","TGT")</f>
        <v>43501</v>
      </c>
      <c r="M702" s="95">
        <f ca="1"/>
        <v>7.5996157223432063E-5</v>
      </c>
      <c r="N702" s="5" t="s">
        <v>4</v>
      </c>
      <c r="O702" s="97">
        <f ca="1">_xll.meDateFromTenor(O701,"1D","FOLLOWING","TGT")</f>
        <v>43501</v>
      </c>
      <c r="P702" s="95">
        <f ca="1"/>
        <v>2.1280984815891207E-3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-2.7627932819061984E-3</v>
      </c>
      <c r="H703" s="92" t="s">
        <v>4</v>
      </c>
      <c r="I703" s="97">
        <f ca="1">_xll.meDateFromTenor(I702,"1D","FOLLOWING","TGT")</f>
        <v>43502</v>
      </c>
      <c r="J703" s="95">
        <f ca="1"/>
        <v>-1.1963445061149909E-3</v>
      </c>
      <c r="K703" s="5" t="s">
        <v>4</v>
      </c>
      <c r="L703" s="97">
        <f ca="1">_xll.meDateFromTenor(L702,"1D","FOLLOWING","TGT")</f>
        <v>43502</v>
      </c>
      <c r="M703" s="95">
        <f ca="1"/>
        <v>8.1356306575562881E-5</v>
      </c>
      <c r="N703" s="5" t="s">
        <v>4</v>
      </c>
      <c r="O703" s="97">
        <f ca="1">_xll.meDateFromTenor(O702,"1D","FOLLOWING","TGT")</f>
        <v>43502</v>
      </c>
      <c r="P703" s="95">
        <f ca="1"/>
        <v>2.1335130663206032E-3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-2.758904641619736E-3</v>
      </c>
      <c r="H704" s="92" t="s">
        <v>4</v>
      </c>
      <c r="I704" s="97">
        <f ca="1">_xll.meDateFromTenor(I703,"1D","FOLLOWING","TGT")</f>
        <v>43503</v>
      </c>
      <c r="J704" s="95">
        <f ca="1"/>
        <v>-1.1917365653994732E-3</v>
      </c>
      <c r="K704" s="5" t="s">
        <v>4</v>
      </c>
      <c r="L704" s="97">
        <f ca="1">_xll.meDateFromTenor(L703,"1D","FOLLOWING","TGT")</f>
        <v>43503</v>
      </c>
      <c r="M704" s="95">
        <f ca="1"/>
        <v>8.6716525558152026E-5</v>
      </c>
      <c r="N704" s="5" t="s">
        <v>4</v>
      </c>
      <c r="O704" s="97">
        <f ca="1">_xll.meDateFromTenor(O703,"1D","FOLLOWING","TGT")</f>
        <v>43503</v>
      </c>
      <c r="P704" s="95">
        <f ca="1"/>
        <v>2.1389294052662632E-3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-2.754986369899209E-3</v>
      </c>
      <c r="H705" s="92" t="s">
        <v>4</v>
      </c>
      <c r="I705" s="97">
        <f ca="1">_xll.meDateFromTenor(I704,"1D","FOLLOWING","TGT")</f>
        <v>43504</v>
      </c>
      <c r="J705" s="95">
        <f ca="1"/>
        <v>-1.187158398475281E-3</v>
      </c>
      <c r="K705" s="5" t="s">
        <v>4</v>
      </c>
      <c r="L705" s="97">
        <f ca="1">_xll.meDateFromTenor(L704,"1D","FOLLOWING","TGT")</f>
        <v>43504</v>
      </c>
      <c r="M705" s="95">
        <f ca="1"/>
        <v>9.20768420123917E-5</v>
      </c>
      <c r="N705" s="5" t="s">
        <v>4</v>
      </c>
      <c r="O705" s="97">
        <f ca="1">_xll.meDateFromTenor(O704,"1D","FOLLOWING","TGT")</f>
        <v>43504</v>
      </c>
      <c r="P705" s="95">
        <f ca="1"/>
        <v>2.1443474799832233E-3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-2.7430686111314688E-3</v>
      </c>
      <c r="H706" s="92" t="s">
        <v>4</v>
      </c>
      <c r="I706" s="97">
        <f ca="1">_xll.meDateFromTenor(I705,"1D","FOLLOWING","TGT")</f>
        <v>43507</v>
      </c>
      <c r="J706" s="95">
        <f ca="1"/>
        <v>-1.1736033659849794E-3</v>
      </c>
      <c r="K706" s="5" t="s">
        <v>4</v>
      </c>
      <c r="L706" s="97">
        <f ca="1">_xll.meDateFromTenor(L705,"1D","FOLLOWING","TGT")</f>
        <v>43507</v>
      </c>
      <c r="M706" s="95">
        <f ca="1"/>
        <v>1.0815865461691175E-4</v>
      </c>
      <c r="N706" s="5" t="s">
        <v>4</v>
      </c>
      <c r="O706" s="97">
        <f ca="1">_xll.meDateFromTenor(O705,"1D","FOLLOWING","TGT")</f>
        <v>43507</v>
      </c>
      <c r="P706" s="95">
        <f ca="1"/>
        <v>2.1606119343331046E-3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-2.739046658672912E-3</v>
      </c>
      <c r="H707" s="92" t="s">
        <v>4</v>
      </c>
      <c r="I707" s="97">
        <f ca="1">_xll.meDateFromTenor(I706,"1D","FOLLOWING","TGT")</f>
        <v>43508</v>
      </c>
      <c r="J707" s="95">
        <f ca="1"/>
        <v>-1.1691451197604113E-3</v>
      </c>
      <c r="K707" s="5" t="s">
        <v>4</v>
      </c>
      <c r="L707" s="97">
        <f ca="1">_xll.meDateFromTenor(L706,"1D","FOLLOWING","TGT")</f>
        <v>43508</v>
      </c>
      <c r="M707" s="95">
        <f ca="1"/>
        <v>1.1351963936965326E-4</v>
      </c>
      <c r="N707" s="5" t="s">
        <v>4</v>
      </c>
      <c r="O707" s="97">
        <f ca="1">_xll.meDateFromTenor(O706,"1D","FOLLOWING","TGT")</f>
        <v>43508</v>
      </c>
      <c r="P707" s="95">
        <f ca="1"/>
        <v>2.1660367677064666E-3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-2.7350024972794054E-3</v>
      </c>
      <c r="H708" s="92" t="s">
        <v>4</v>
      </c>
      <c r="I708" s="97">
        <f ca="1">_xll.meDateFromTenor(I707,"1D","FOLLOWING","TGT")</f>
        <v>43509</v>
      </c>
      <c r="J708" s="95">
        <f ca="1"/>
        <v>-1.1647170600943297E-3</v>
      </c>
      <c r="K708" s="5" t="s">
        <v>4</v>
      </c>
      <c r="L708" s="97">
        <f ca="1">_xll.meDateFromTenor(L707,"1D","FOLLOWING","TGT")</f>
        <v>43509</v>
      </c>
      <c r="M708" s="95">
        <f ca="1"/>
        <v>1.188808607999953E-4</v>
      </c>
      <c r="N708" s="5" t="s">
        <v>4</v>
      </c>
      <c r="O708" s="97">
        <f ca="1">_xll.meDateFromTenor(O707,"1D","FOLLOWING","TGT")</f>
        <v>43509</v>
      </c>
      <c r="P708" s="95">
        <f ca="1"/>
        <v>2.1714632446367304E-3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-2.730937611450769E-3</v>
      </c>
      <c r="H709" s="92" t="s">
        <v>4</v>
      </c>
      <c r="I709" s="97">
        <f ca="1">_xll.meDateFromTenor(I708,"1D","FOLLOWING","TGT")</f>
        <v>43510</v>
      </c>
      <c r="J709" s="95">
        <f ca="1"/>
        <v>-1.1603192695401659E-3</v>
      </c>
      <c r="K709" s="5" t="s">
        <v>4</v>
      </c>
      <c r="L709" s="97">
        <f ca="1">_xll.meDateFromTenor(L708,"1D","FOLLOWING","TGT")</f>
        <v>43510</v>
      </c>
      <c r="M709" s="95">
        <f ca="1"/>
        <v>1.2424234674912986E-4</v>
      </c>
      <c r="N709" s="5" t="s">
        <v>4</v>
      </c>
      <c r="O709" s="97">
        <f ca="1">_xll.meDateFromTenor(O708,"1D","FOLLOWING","TGT")</f>
        <v>43510</v>
      </c>
      <c r="P709" s="95">
        <f ca="1"/>
        <v>2.1768913466810166E-3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-2.7268534856868284E-3</v>
      </c>
      <c r="H710" s="92" t="s">
        <v>4</v>
      </c>
      <c r="I710" s="97">
        <f ca="1">_xll.meDateFromTenor(I709,"1D","FOLLOWING","TGT")</f>
        <v>43511</v>
      </c>
      <c r="J710" s="95">
        <f ca="1"/>
        <v>-1.1559518306513525E-3</v>
      </c>
      <c r="K710" s="5" t="s">
        <v>4</v>
      </c>
      <c r="L710" s="97">
        <f ca="1">_xll.meDateFromTenor(L709,"1D","FOLLOWING","TGT")</f>
        <v>43511</v>
      </c>
      <c r="M710" s="95">
        <f ca="1"/>
        <v>1.2960412505824643E-4</v>
      </c>
      <c r="N710" s="5" t="s">
        <v>4</v>
      </c>
      <c r="O710" s="97">
        <f ca="1">_xll.meDateFromTenor(O709,"1D","FOLLOWING","TGT")</f>
        <v>43511</v>
      </c>
      <c r="P710" s="95">
        <f ca="1"/>
        <v>2.1823210553964462E-3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-2.7145005137814023E-3</v>
      </c>
      <c r="H711" s="92" t="s">
        <v>4</v>
      </c>
      <c r="I711" s="97">
        <f ca="1">_xll.meDateFromTenor(I710,"1D","FOLLOWING","TGT")</f>
        <v>43514</v>
      </c>
      <c r="J711" s="95">
        <f ca="1"/>
        <v>-1.1430324495113355E-3</v>
      </c>
      <c r="K711" s="5" t="s">
        <v>4</v>
      </c>
      <c r="L711" s="97">
        <f ca="1">_xll.meDateFromTenor(L710,"1D","FOLLOWING","TGT")</f>
        <v>43514</v>
      </c>
      <c r="M711" s="95">
        <f ca="1"/>
        <v>1.4569149255739121E-4</v>
      </c>
      <c r="N711" s="5" t="s">
        <v>4</v>
      </c>
      <c r="O711" s="97">
        <f ca="1">_xll.meDateFromTenor(O710,"1D","FOLLOWING","TGT")</f>
        <v>43514</v>
      </c>
      <c r="P711" s="95">
        <f ca="1"/>
        <v>2.1986196371407965E-3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-2.7103542732744685E-3</v>
      </c>
      <c r="H712" s="92" t="s">
        <v>4</v>
      </c>
      <c r="I712" s="97">
        <f ca="1">_xll.meDateFromTenor(I711,"1D","FOLLOWING","TGT")</f>
        <v>43515</v>
      </c>
      <c r="J712" s="95">
        <f ca="1"/>
        <v>-1.1387872428182441E-3</v>
      </c>
      <c r="K712" s="5" t="s">
        <v>4</v>
      </c>
      <c r="L712" s="97">
        <f ca="1">_xll.meDateFromTenor(L711,"1D","FOLLOWING","TGT")</f>
        <v>43515</v>
      </c>
      <c r="M712" s="95">
        <f ca="1"/>
        <v>1.5105471871833948E-4</v>
      </c>
      <c r="N712" s="5" t="s">
        <v>4</v>
      </c>
      <c r="O712" s="97">
        <f ca="1">_xll.meDateFromTenor(O711,"1D","FOLLOWING","TGT")</f>
        <v>43515</v>
      </c>
      <c r="P712" s="95">
        <f ca="1"/>
        <v>2.204055588112003E-3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-2.7061962153313423E-3</v>
      </c>
      <c r="H713" s="92" t="s">
        <v>4</v>
      </c>
      <c r="I713" s="97">
        <f ca="1">_xll.meDateFromTenor(I712,"1D","FOLLOWING","TGT")</f>
        <v>43516</v>
      </c>
      <c r="J713" s="95">
        <f ca="1"/>
        <v>-1.1345728005576635E-3</v>
      </c>
      <c r="K713" s="5" t="s">
        <v>4</v>
      </c>
      <c r="L713" s="97">
        <f ca="1">_xll.meDateFromTenor(L712,"1D","FOLLOWING","TGT")</f>
        <v>43516</v>
      </c>
      <c r="M713" s="95">
        <f ca="1"/>
        <v>1.564183764452215E-4</v>
      </c>
      <c r="N713" s="5" t="s">
        <v>4</v>
      </c>
      <c r="O713" s="97">
        <f ca="1">_xll.meDateFromTenor(O712,"1D","FOLLOWING","TGT")</f>
        <v>43516</v>
      </c>
      <c r="P713" s="95">
        <f ca="1"/>
        <v>2.2094930535399553E-3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-2.7020278244518489E-3</v>
      </c>
      <c r="H714" s="92" t="s">
        <v>4</v>
      </c>
      <c r="I714" s="97">
        <f ca="1">_xll.meDateFromTenor(I713,"1D","FOLLOWING","TGT")</f>
        <v>43517</v>
      </c>
      <c r="J714" s="95">
        <f ca="1"/>
        <v>-1.1303892052830259E-3</v>
      </c>
      <c r="K714" s="5" t="s">
        <v>4</v>
      </c>
      <c r="L714" s="97">
        <f ca="1">_xll.meDateFromTenor(L713,"1D","FOLLOWING","TGT")</f>
        <v>43517</v>
      </c>
      <c r="M714" s="95">
        <f ca="1"/>
        <v>1.6178249357922685E-4</v>
      </c>
      <c r="N714" s="5" t="s">
        <v>4</v>
      </c>
      <c r="O714" s="97">
        <f ca="1">_xll.meDateFromTenor(O713,"1D","FOLLOWING","TGT")</f>
        <v>43517</v>
      </c>
      <c r="P714" s="95">
        <f ca="1"/>
        <v>2.2149320149817725E-3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-2.6978505851358078E-3</v>
      </c>
      <c r="H715" s="92" t="s">
        <v>4</v>
      </c>
      <c r="I715" s="97">
        <f ca="1">_xll.meDateFromTenor(I714,"1D","FOLLOWING","TGT")</f>
        <v>43518</v>
      </c>
      <c r="J715" s="95">
        <f ca="1"/>
        <v>-1.1262365395477629E-3</v>
      </c>
      <c r="K715" s="5" t="s">
        <v>4</v>
      </c>
      <c r="L715" s="97">
        <f ca="1">_xll.meDateFromTenor(L714,"1D","FOLLOWING","TGT")</f>
        <v>43518</v>
      </c>
      <c r="M715" s="95">
        <f ca="1"/>
        <v>1.6714709796154757E-4</v>
      </c>
      <c r="N715" s="5" t="s">
        <v>4</v>
      </c>
      <c r="O715" s="97">
        <f ca="1">_xll.meDateFromTenor(O714,"1D","FOLLOWING","TGT")</f>
        <v>43518</v>
      </c>
      <c r="P715" s="95">
        <f ca="1"/>
        <v>2.2203724539945776E-3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-2.6852806215666371E-3</v>
      </c>
      <c r="H716" s="92" t="s">
        <v>4</v>
      </c>
      <c r="I716" s="97">
        <f ca="1">_xll.meDateFromTenor(I715,"1D","FOLLOWING","TGT")</f>
        <v>43521</v>
      </c>
      <c r="J716" s="95">
        <f ca="1"/>
        <v>-1.1139649451125445E-3</v>
      </c>
      <c r="K716" s="5" t="s">
        <v>4</v>
      </c>
      <c r="L716" s="97">
        <f ca="1">_xll.meDateFromTenor(L715,"1D","FOLLOWING","TGT")</f>
        <v>43521</v>
      </c>
      <c r="M716" s="95">
        <f ca="1"/>
        <v>1.8324411301029909E-4</v>
      </c>
      <c r="N716" s="5" t="s">
        <v>4</v>
      </c>
      <c r="O716" s="97">
        <f ca="1">_xll.meDateFromTenor(O715,"1D","FOLLOWING","TGT")</f>
        <v>43521</v>
      </c>
      <c r="P716" s="95">
        <f ca="1"/>
        <v>2.2367024520301157E-3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-2.6810828335026397E-3</v>
      </c>
      <c r="H717" s="92" t="s">
        <v>4</v>
      </c>
      <c r="I717" s="97">
        <f ca="1">_xll.meDateFromTenor(I716,"1D","FOLLOWING","TGT")</f>
        <v>43522</v>
      </c>
      <c r="J717" s="95">
        <f ca="1"/>
        <v>-1.1099368230691018E-3</v>
      </c>
      <c r="K717" s="5" t="s">
        <v>4</v>
      </c>
      <c r="L717" s="97">
        <f ca="1">_xll.meDateFromTenor(L716,"1D","FOLLOWING","TGT")</f>
        <v>43522</v>
      </c>
      <c r="M717" s="95">
        <f ca="1"/>
        <v>1.8861094479778121E-4</v>
      </c>
      <c r="N717" s="5" t="s">
        <v>4</v>
      </c>
      <c r="O717" s="97">
        <f ca="1">_xll.meDateFromTenor(O716,"1D","FOLLOWING","TGT")</f>
        <v>43522</v>
      </c>
      <c r="P717" s="95">
        <f ca="1"/>
        <v>2.2421486168980728E-3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-2.6768836195012096E-3</v>
      </c>
      <c r="H718" s="92" t="s">
        <v>4</v>
      </c>
      <c r="I718" s="97">
        <f ca="1">_xll.meDateFromTenor(I717,"1D","FOLLOWING","TGT")</f>
        <v>43523</v>
      </c>
      <c r="J718" s="95">
        <f ca="1"/>
        <v>-1.1059400433321943E-3</v>
      </c>
      <c r="K718" s="5" t="s">
        <v>4</v>
      </c>
      <c r="L718" s="97">
        <f ca="1">_xll.meDateFromTenor(L717,"1D","FOLLOWING","TGT")</f>
        <v>43523</v>
      </c>
      <c r="M718" s="95">
        <f ca="1"/>
        <v>1.9397840303952949E-4</v>
      </c>
      <c r="N718" s="5" t="s">
        <v>4</v>
      </c>
      <c r="O718" s="97">
        <f ca="1">_xll.meDateFromTenor(O717,"1D","FOLLOWING","TGT")</f>
        <v>43523</v>
      </c>
      <c r="P718" s="95">
        <f ca="1"/>
        <v>2.2475961671226184E-3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-2.67268446406217E-3</v>
      </c>
      <c r="H719" s="92" t="s">
        <v>4</v>
      </c>
      <c r="I719" s="97">
        <f ca="1">_xll.meDateFromTenor(I718,"1D","FOLLOWING","TGT")</f>
        <v>43524</v>
      </c>
      <c r="J719" s="95">
        <f ca="1"/>
        <v>-1.1019746884552539E-3</v>
      </c>
      <c r="K719" s="5" t="s">
        <v>4</v>
      </c>
      <c r="L719" s="97">
        <f ca="1">_xll.meDateFromTenor(L718,"1D","FOLLOWING","TGT")</f>
        <v>43524</v>
      </c>
      <c r="M719" s="95">
        <f ca="1"/>
        <v>1.9934651557673439E-4</v>
      </c>
      <c r="N719" s="5" t="s">
        <v>4</v>
      </c>
      <c r="O719" s="97">
        <f ca="1">_xll.meDateFromTenor(O718,"1D","FOLLOWING","TGT")</f>
        <v>43524</v>
      </c>
      <c r="P719" s="95">
        <f ca="1"/>
        <v>2.2530450842608734E-3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-2.6684868516853432E-3</v>
      </c>
      <c r="H720" s="92" t="s">
        <v>4</v>
      </c>
      <c r="I720" s="97">
        <f ca="1">_xll.meDateFromTenor(I719,"1D","FOLLOWING","TGT")</f>
        <v>43525</v>
      </c>
      <c r="J720" s="95">
        <f ca="1"/>
        <v>-1.0980408409917129E-3</v>
      </c>
      <c r="K720" s="5" t="s">
        <v>4</v>
      </c>
      <c r="L720" s="97">
        <f ca="1">_xll.meDateFromTenor(L719,"1D","FOLLOWING","TGT")</f>
        <v>43525</v>
      </c>
      <c r="M720" s="95">
        <f ca="1"/>
        <v>2.0471531025058622E-4</v>
      </c>
      <c r="N720" s="5" t="s">
        <v>4</v>
      </c>
      <c r="O720" s="97">
        <f ca="1">_xll.meDateFromTenor(O719,"1D","FOLLOWING","TGT")</f>
        <v>43525</v>
      </c>
      <c r="P720" s="95">
        <f ca="1"/>
        <v>2.2584953498699599E-3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-2.6559181179263698E-3</v>
      </c>
      <c r="H721" s="92" t="s">
        <v>4</v>
      </c>
      <c r="I721" s="97">
        <f ca="1">_xll.meDateFromTenor(I720,"1D","FOLLOWING","TGT")</f>
        <v>43528</v>
      </c>
      <c r="J721" s="95">
        <f ca="1"/>
        <v>-1.0864291686158078E-3</v>
      </c>
      <c r="K721" s="5" t="s">
        <v>4</v>
      </c>
      <c r="L721" s="97">
        <f ca="1">_xll.meDateFromTenor(L720,"1D","FOLLOWING","TGT")</f>
        <v>43528</v>
      </c>
      <c r="M721" s="95">
        <f ca="1"/>
        <v>2.2082606550392577E-4</v>
      </c>
      <c r="N721" s="5" t="s">
        <v>4</v>
      </c>
      <c r="O721" s="97">
        <f ca="1">_xll.meDateFromTenor(O720,"1D","FOLLOWING","TGT")</f>
        <v>43528</v>
      </c>
      <c r="P721" s="95">
        <f ca="1"/>
        <v>2.2748540530934049E-3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-2.6517411362643882E-3</v>
      </c>
      <c r="H722" s="92" t="s">
        <v>4</v>
      </c>
      <c r="I722" s="97">
        <f ca="1">_xll.meDateFromTenor(I721,"1D","FOLLOWING","TGT")</f>
        <v>43529</v>
      </c>
      <c r="J722" s="95">
        <f ca="1"/>
        <v>-1.0826220830710631E-3</v>
      </c>
      <c r="K722" s="5" t="s">
        <v>4</v>
      </c>
      <c r="L722" s="97">
        <f ca="1">_xll.meDateFromTenor(L721,"1D","FOLLOWING","TGT")</f>
        <v>43529</v>
      </c>
      <c r="M722" s="95">
        <f ca="1"/>
        <v>2.2619786713626874E-4</v>
      </c>
      <c r="N722" s="5" t="s">
        <v>4</v>
      </c>
      <c r="O722" s="97">
        <f ca="1">_xll.meDateFromTenor(O721,"1D","FOLLOWING","TGT")</f>
        <v>43529</v>
      </c>
      <c r="P722" s="95">
        <f ca="1"/>
        <v>2.2803095281570176E-3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-2.6475708009703288E-3</v>
      </c>
      <c r="H723" s="92" t="s">
        <v>4</v>
      </c>
      <c r="I723" s="97">
        <f ca="1">_xll.meDateFromTenor(I722,"1D","FOLLOWING","TGT")</f>
        <v>43530</v>
      </c>
      <c r="J723" s="95">
        <f ca="1"/>
        <v>-1.0788463580921469E-3</v>
      </c>
      <c r="K723" s="5" t="s">
        <v>4</v>
      </c>
      <c r="L723" s="97">
        <f ca="1">_xll.meDateFromTenor(L722,"1D","FOLLOWING","TGT")</f>
        <v>43530</v>
      </c>
      <c r="M723" s="95">
        <f ca="1"/>
        <v>2.3157049011120954E-4</v>
      </c>
      <c r="N723" s="5" t="s">
        <v>4</v>
      </c>
      <c r="O723" s="97">
        <f ca="1">_xll.meDateFromTenor(O722,"1D","FOLLOWING","TGT")</f>
        <v>43530</v>
      </c>
      <c r="P723" s="95">
        <f ca="1"/>
        <v>2.2857662594770621E-3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-2.6434062773506074E-3</v>
      </c>
      <c r="H724" s="92" t="s">
        <v>4</v>
      </c>
      <c r="I724" s="97">
        <f ca="1">_xll.meDateFromTenor(I723,"1D","FOLLOWING","TGT")</f>
        <v>43531</v>
      </c>
      <c r="J724" s="95">
        <f ca="1"/>
        <v>-1.0751015166177579E-3</v>
      </c>
      <c r="K724" s="5" t="s">
        <v>4</v>
      </c>
      <c r="L724" s="97">
        <f ca="1">_xll.meDateFromTenor(L723,"1D","FOLLOWING","TGT")</f>
        <v>43531</v>
      </c>
      <c r="M724" s="95">
        <f ca="1"/>
        <v>2.3694396226994017E-4</v>
      </c>
      <c r="N724" s="5" t="s">
        <v>4</v>
      </c>
      <c r="O724" s="97">
        <f ca="1">_xll.meDateFromTenor(O723,"1D","FOLLOWING","TGT")</f>
        <v>43531</v>
      </c>
      <c r="P724" s="95">
        <f ca="1"/>
        <v>2.2912242286106613E-3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-2.6392467307116414E-3</v>
      </c>
      <c r="H725" s="92" t="s">
        <v>4</v>
      </c>
      <c r="I725" s="97">
        <f ca="1">_xll.meDateFromTenor(I724,"1D","FOLLOWING","TGT")</f>
        <v>43532</v>
      </c>
      <c r="J725" s="95">
        <f ca="1"/>
        <v>-1.0713870815865973E-3</v>
      </c>
      <c r="K725" s="5" t="s">
        <v>4</v>
      </c>
      <c r="L725" s="97">
        <f ca="1">_xll.meDateFromTenor(L724,"1D","FOLLOWING","TGT")</f>
        <v>43532</v>
      </c>
      <c r="M725" s="95">
        <f ca="1"/>
        <v>2.4231831145365022E-4</v>
      </c>
      <c r="N725" s="5" t="s">
        <v>4</v>
      </c>
      <c r="O725" s="97">
        <f ca="1">_xll.meDateFromTenor(O724,"1D","FOLLOWING","TGT")</f>
        <v>43532</v>
      </c>
      <c r="P725" s="95">
        <f ca="1"/>
        <v>2.2966834171149349E-3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-2.6267896057434502E-3</v>
      </c>
      <c r="H726" s="92" t="s">
        <v>4</v>
      </c>
      <c r="I726" s="97">
        <f ca="1">_xll.meDateFromTenor(I725,"1D","FOLLOWING","TGT")</f>
        <v>43535</v>
      </c>
      <c r="J726" s="95">
        <f ca="1"/>
        <v>-1.0604214445394857E-3</v>
      </c>
      <c r="K726" s="5" t="s">
        <v>4</v>
      </c>
      <c r="L726" s="97">
        <f ca="1">_xll.meDateFromTenor(L725,"1D","FOLLOWING","TGT")</f>
        <v>43535</v>
      </c>
      <c r="M726" s="95">
        <f ca="1"/>
        <v>2.5844689956655906E-4</v>
      </c>
      <c r="N726" s="5" t="s">
        <v>4</v>
      </c>
      <c r="O726" s="97">
        <f ca="1">_xll.meDateFromTenor(O725,"1D","FOLLOWING","TGT")</f>
        <v>43535</v>
      </c>
      <c r="P726" s="95">
        <f ca="1"/>
        <v>2.3130681144230033E-3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-2.6226416200916796E-3</v>
      </c>
      <c r="H727" s="92" t="s">
        <v>4</v>
      </c>
      <c r="I727" s="97">
        <f ca="1">_xll.meDateFromTenor(I726,"1D","FOLLOWING","TGT")</f>
        <v>43536</v>
      </c>
      <c r="J727" s="95">
        <f ca="1"/>
        <v>-1.0568238646682388E-3</v>
      </c>
      <c r="K727" s="5" t="s">
        <v>4</v>
      </c>
      <c r="L727" s="97">
        <f ca="1">_xll.meDateFromTenor(L726,"1D","FOLLOWING","TGT")</f>
        <v>43536</v>
      </c>
      <c r="M727" s="95">
        <f ca="1"/>
        <v>2.6382503526208999E-4</v>
      </c>
      <c r="N727" s="5" t="s">
        <v>4</v>
      </c>
      <c r="O727" s="97">
        <f ca="1">_xll.meDateFromTenor(O726,"1D","FOLLOWING","TGT")</f>
        <v>43536</v>
      </c>
      <c r="P727" s="95">
        <f ca="1"/>
        <v>2.3185319959811782E-3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-2.6184944379527503E-3</v>
      </c>
      <c r="H728" s="92" t="s">
        <v>4</v>
      </c>
      <c r="I728" s="97">
        <f ca="1">_xll.meDateFromTenor(I727,"1D","FOLLOWING","TGT")</f>
        <v>43537</v>
      </c>
      <c r="J728" s="95">
        <f ca="1"/>
        <v>-1.0532543059337211E-3</v>
      </c>
      <c r="K728" s="5" t="s">
        <v>4</v>
      </c>
      <c r="L728" s="97">
        <f ca="1">_xll.meDateFromTenor(L727,"1D","FOLLOWING","TGT")</f>
        <v>43537</v>
      </c>
      <c r="M728" s="95">
        <f ca="1"/>
        <v>2.6920418718855203E-4</v>
      </c>
      <c r="N728" s="5" t="s">
        <v>4</v>
      </c>
      <c r="O728" s="97">
        <f ca="1">_xll.meDateFromTenor(O727,"1D","FOLLOWING","TGT")</f>
        <v>43537</v>
      </c>
      <c r="P728" s="95">
        <f ca="1"/>
        <v>2.3239970046956301E-3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-2.6143472246330803E-3</v>
      </c>
      <c r="H729" s="92" t="s">
        <v>4</v>
      </c>
      <c r="I729" s="97">
        <f ca="1">_xll.meDateFromTenor(I728,"1D","FOLLOWING","TGT")</f>
        <v>43538</v>
      </c>
      <c r="J729" s="95">
        <f ca="1"/>
        <v>-1.049712291274632E-3</v>
      </c>
      <c r="K729" s="5" t="s">
        <v>4</v>
      </c>
      <c r="L729" s="97">
        <f ca="1">_xll.meDateFromTenor(L728,"1D","FOLLOWING","TGT")</f>
        <v>43538</v>
      </c>
      <c r="M729" s="95">
        <f ca="1"/>
        <v>2.7458438318713559E-4</v>
      </c>
      <c r="N729" s="5" t="s">
        <v>4</v>
      </c>
      <c r="O729" s="97">
        <f ca="1">_xll.meDateFromTenor(O728,"1D","FOLLOWING","TGT")</f>
        <v>43538</v>
      </c>
      <c r="P729" s="95">
        <f ca="1"/>
        <v>2.3294631221234788E-3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-2.6101991454390871E-3</v>
      </c>
      <c r="H730" s="92" t="s">
        <v>4</v>
      </c>
      <c r="I730" s="97">
        <f ca="1">_xll.meDateFromTenor(I729,"1D","FOLLOWING","TGT")</f>
        <v>43539</v>
      </c>
      <c r="J730" s="95">
        <f ca="1"/>
        <v>-1.0461973436296727E-3</v>
      </c>
      <c r="K730" s="5" t="s">
        <v>4</v>
      </c>
      <c r="L730" s="97">
        <f ca="1">_xll.meDateFromTenor(L729,"1D","FOLLOWING","TGT")</f>
        <v>43539</v>
      </c>
      <c r="M730" s="95">
        <f ca="1"/>
        <v>2.7996565109903007E-4</v>
      </c>
      <c r="N730" s="5" t="s">
        <v>4</v>
      </c>
      <c r="O730" s="97">
        <f ca="1">_xll.meDateFromTenor(O729,"1D","FOLLOWING","TGT")</f>
        <v>43539</v>
      </c>
      <c r="P730" s="95">
        <f ca="1"/>
        <v>2.3349303298218446E-3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-2.5977413656753366E-3</v>
      </c>
      <c r="H731" s="92" t="s">
        <v>4</v>
      </c>
      <c r="I731" s="97">
        <f ca="1">_xll.meDateFromTenor(I730,"1D","FOLLOWING","TGT")</f>
        <v>43542</v>
      </c>
      <c r="J731" s="95">
        <f ca="1"/>
        <v>-1.0358101321665699E-3</v>
      </c>
      <c r="K731" s="5" t="s">
        <v>4</v>
      </c>
      <c r="L731" s="97">
        <f ca="1">_xll.meDateFromTenor(L730,"1D","FOLLOWING","TGT")</f>
        <v>43542</v>
      </c>
      <c r="M731" s="95">
        <f ca="1"/>
        <v>2.9611616472649028E-4</v>
      </c>
      <c r="N731" s="5" t="s">
        <v>4</v>
      </c>
      <c r="O731" s="97">
        <f ca="1">_xll.meDateFromTenor(O730,"1D","FOLLOWING","TGT")</f>
        <v>43542</v>
      </c>
      <c r="P731" s="95">
        <f ca="1"/>
        <v>2.3513383101112562E-3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-2.5935814760482206E-3</v>
      </c>
      <c r="H732" s="92" t="s">
        <v>4</v>
      </c>
      <c r="I732" s="97">
        <f ca="1">_xll.meDateFromTenor(I731,"1D","FOLLOWING","TGT")</f>
        <v>43543</v>
      </c>
      <c r="J732" s="95">
        <f ca="1"/>
        <v>-1.0323986819651279E-3</v>
      </c>
      <c r="K732" s="5" t="s">
        <v>4</v>
      </c>
      <c r="L732" s="97">
        <f ca="1">_xll.meDateFromTenor(L731,"1D","FOLLOWING","TGT")</f>
        <v>43543</v>
      </c>
      <c r="M732" s="95">
        <f ca="1"/>
        <v>3.0150199870353624E-4</v>
      </c>
      <c r="N732" s="5" t="s">
        <v>4</v>
      </c>
      <c r="O732" s="97">
        <f ca="1">_xll.meDateFromTenor(O731,"1D","FOLLOWING","TGT")</f>
        <v>43543</v>
      </c>
      <c r="P732" s="95">
        <f ca="1"/>
        <v>2.3568096944628992E-3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-2.5894165470788681E-3</v>
      </c>
      <c r="H733" s="92" t="s">
        <v>4</v>
      </c>
      <c r="I733" s="97">
        <f ca="1">_xll.meDateFromTenor(I732,"1D","FOLLOWING","TGT")</f>
        <v>43544</v>
      </c>
      <c r="J733" s="95">
        <f ca="1"/>
        <v>-1.0290119134713168E-3</v>
      </c>
      <c r="K733" s="5" t="s">
        <v>4</v>
      </c>
      <c r="L733" s="97">
        <f ca="1">_xll.meDateFromTenor(L732,"1D","FOLLOWING","TGT")</f>
        <v>43544</v>
      </c>
      <c r="M733" s="95">
        <f ca="1"/>
        <v>3.0688904379984496E-4</v>
      </c>
      <c r="N733" s="5" t="s">
        <v>4</v>
      </c>
      <c r="O733" s="97">
        <f ca="1">_xll.meDateFromTenor(O732,"1D","FOLLOWING","TGT")</f>
        <v>43544</v>
      </c>
      <c r="P733" s="95">
        <f ca="1"/>
        <v>2.3622820768706616E-3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-2.5852457440736941E-3</v>
      </c>
      <c r="H734" s="92" t="s">
        <v>4</v>
      </c>
      <c r="I734" s="97">
        <f ca="1">_xll.meDateFromTenor(I733,"1D","FOLLOWING","TGT")</f>
        <v>43545</v>
      </c>
      <c r="J734" s="95">
        <f ca="1"/>
        <v>-1.0256493496238351E-3</v>
      </c>
      <c r="K734" s="5" t="s">
        <v>4</v>
      </c>
      <c r="L734" s="97">
        <f ca="1">_xll.meDateFromTenor(L733,"1D","FOLLOWING","TGT")</f>
        <v>43545</v>
      </c>
      <c r="M734" s="95">
        <f ca="1"/>
        <v>3.1227732785660836E-4</v>
      </c>
      <c r="N734" s="5" t="s">
        <v>4</v>
      </c>
      <c r="O734" s="97">
        <f ca="1">_xll.meDateFromTenor(O733,"1D","FOLLOWING","TGT")</f>
        <v>43545</v>
      </c>
      <c r="P734" s="95">
        <f ca="1"/>
        <v>2.3677554388916657E-3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-2.5810682323391164E-3</v>
      </c>
      <c r="H735" s="92" t="s">
        <v>4</v>
      </c>
      <c r="I735" s="97">
        <f ca="1">_xll.meDateFromTenor(I734,"1D","FOLLOWING","TGT")</f>
        <v>43546</v>
      </c>
      <c r="J735" s="95">
        <f ca="1"/>
        <v>-1.0223105133613834E-3</v>
      </c>
      <c r="K735" s="5" t="s">
        <v>4</v>
      </c>
      <c r="L735" s="97">
        <f ca="1">_xll.meDateFromTenor(L734,"1D","FOLLOWING","TGT")</f>
        <v>43546</v>
      </c>
      <c r="M735" s="95">
        <f ca="1"/>
        <v>3.1766687871501598E-4</v>
      </c>
      <c r="N735" s="5" t="s">
        <v>4</v>
      </c>
      <c r="O735" s="97">
        <f ca="1">_xll.meDateFromTenor(O734,"1D","FOLLOWING","TGT")</f>
        <v>43546</v>
      </c>
      <c r="P735" s="95">
        <f ca="1"/>
        <v>2.3732297620830318E-3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-2.5684870978231402E-3</v>
      </c>
      <c r="H736" s="92" t="s">
        <v>4</v>
      </c>
      <c r="I736" s="97">
        <f ca="1">_xll.meDateFromTenor(I735,"1D","FOLLOWING","TGT")</f>
        <v>43549</v>
      </c>
      <c r="J736" s="95">
        <f ca="1"/>
        <v>-1.0124315994712119E-3</v>
      </c>
      <c r="K736" s="5" t="s">
        <v>4</v>
      </c>
      <c r="L736" s="97">
        <f ca="1">_xll.meDateFromTenor(L735,"1D","FOLLOWING","TGT")</f>
        <v>43549</v>
      </c>
      <c r="M736" s="95">
        <f ca="1"/>
        <v>3.3384341051200715E-4</v>
      </c>
      <c r="N736" s="5" t="s">
        <v>4</v>
      </c>
      <c r="O736" s="97">
        <f ca="1">_xll.meDateFromTenor(O735,"1D","FOLLOWING","TGT")</f>
        <v>43549</v>
      </c>
      <c r="P736" s="95">
        <f ca="1"/>
        <v>2.3896583142505026E-3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-2.5642744042351233E-3</v>
      </c>
      <c r="H737" s="92" t="s">
        <v>4</v>
      </c>
      <c r="I737" s="97">
        <f ca="1">_xll.meDateFromTenor(I736,"1D","FOLLOWING","TGT")</f>
        <v>43550</v>
      </c>
      <c r="J737" s="95">
        <f ca="1"/>
        <v>-1.0091829029358827E-3</v>
      </c>
      <c r="K737" s="5" t="s">
        <v>4</v>
      </c>
      <c r="L737" s="97">
        <f ca="1">_xll.meDateFromTenor(L736,"1D","FOLLOWING","TGT")</f>
        <v>43550</v>
      </c>
      <c r="M737" s="95">
        <f ca="1"/>
        <v>3.392383069888953E-4</v>
      </c>
      <c r="N737" s="5" t="s">
        <v>4</v>
      </c>
      <c r="O737" s="97">
        <f ca="1">_xll.meDateFromTenor(O736,"1D","FOLLOWING","TGT")</f>
        <v>43550</v>
      </c>
      <c r="P737" s="95">
        <f ca="1"/>
        <v>2.3951362976945192E-3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-2.5600508284497892E-3</v>
      </c>
      <c r="H738" s="92" t="s">
        <v>4</v>
      </c>
      <c r="I738" s="97">
        <f ca="1">_xll.meDateFromTenor(I737,"1D","FOLLOWING","TGT")</f>
        <v>43551</v>
      </c>
      <c r="J738" s="95">
        <f ca="1"/>
        <v>-1.0059555486790844E-3</v>
      </c>
      <c r="K738" s="5" t="s">
        <v>4</v>
      </c>
      <c r="L738" s="97">
        <f ca="1">_xll.meDateFromTenor(L737,"1D","FOLLOWING","TGT")</f>
        <v>43551</v>
      </c>
      <c r="M738" s="95">
        <f ca="1"/>
        <v>3.4463460947337945E-4</v>
      </c>
      <c r="N738" s="5" t="s">
        <v>4</v>
      </c>
      <c r="O738" s="97">
        <f ca="1">_xll.meDateFromTenor(O737,"1D","FOLLOWING","TGT")</f>
        <v>43551</v>
      </c>
      <c r="P738" s="95">
        <f ca="1"/>
        <v>2.4006151500945007E-3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-2.5558155357735552E-3</v>
      </c>
      <c r="H739" s="92" t="s">
        <v>4</v>
      </c>
      <c r="I739" s="97">
        <f ca="1">_xll.meDateFromTenor(I738,"1D","FOLLOWING","TGT")</f>
        <v>43552</v>
      </c>
      <c r="J739" s="95">
        <f ca="1"/>
        <v>-1.0027490596395169E-3</v>
      </c>
      <c r="K739" s="5" t="s">
        <v>4</v>
      </c>
      <c r="L739" s="97">
        <f ca="1">_xll.meDateFromTenor(L738,"1D","FOLLOWING","TGT")</f>
        <v>43552</v>
      </c>
      <c r="M739" s="95">
        <f ca="1"/>
        <v>3.5003234580664987E-4</v>
      </c>
      <c r="N739" s="5" t="s">
        <v>4</v>
      </c>
      <c r="O739" s="97">
        <f ca="1">_xll.meDateFromTenor(O738,"1D","FOLLOWING","TGT")</f>
        <v>43552</v>
      </c>
      <c r="P739" s="95">
        <f ca="1"/>
        <v>2.4060948530075662E-3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-2.5515676915128399E-3</v>
      </c>
      <c r="H740" s="92" t="s">
        <v>4</v>
      </c>
      <c r="I740" s="97">
        <f ca="1">_xll.meDateFromTenor(I739,"1D","FOLLOWING","TGT")</f>
        <v>43553</v>
      </c>
      <c r="J740" s="95">
        <f ca="1"/>
        <v>-9.9956295875588139E-4</v>
      </c>
      <c r="K740" s="5" t="s">
        <v>4</v>
      </c>
      <c r="L740" s="97">
        <f ca="1">_xll.meDateFromTenor(L739,"1D","FOLLOWING","TGT")</f>
        <v>43553</v>
      </c>
      <c r="M740" s="95">
        <f ca="1"/>
        <v>3.5543154382989617E-4</v>
      </c>
      <c r="N740" s="5" t="s">
        <v>4</v>
      </c>
      <c r="O740" s="97">
        <f ca="1">_xll.meDateFromTenor(O739,"1D","FOLLOWING","TGT")</f>
        <v>43553</v>
      </c>
      <c r="P740" s="95">
        <f ca="1"/>
        <v>2.4115753879908369E-3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-2.5387405022879697E-3</v>
      </c>
      <c r="H741" s="92" t="s">
        <v>4</v>
      </c>
      <c r="I741" s="97">
        <f ca="1">_xll.meDateFromTenor(I740,"1D","FOLLOWING","TGT")</f>
        <v>43556</v>
      </c>
      <c r="J741" s="95">
        <f ca="1"/>
        <v>-9.9012221442756226E-4</v>
      </c>
      <c r="K741" s="5" t="s">
        <v>4</v>
      </c>
      <c r="L741" s="97">
        <f ca="1">_xll.meDateFromTenor(L740,"1D","FOLLOWING","TGT")</f>
        <v>43556</v>
      </c>
      <c r="M741" s="95">
        <f ca="1"/>
        <v>3.716381864514002E-4</v>
      </c>
      <c r="N741" s="5" t="s">
        <v>4</v>
      </c>
      <c r="O741" s="97">
        <f ca="1">_xll.meDateFromTenor(O740,"1D","FOLLOWING","TGT")</f>
        <v>43556</v>
      </c>
      <c r="P741" s="95">
        <f ca="1"/>
        <v>2.4280218009330853E-3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-2.5344341047534961E-3</v>
      </c>
      <c r="H742" s="92" t="s">
        <v>4</v>
      </c>
      <c r="I742" s="97">
        <f ca="1">_xll.meDateFromTenor(I741,"1D","FOLLOWING","TGT")</f>
        <v>43557</v>
      </c>
      <c r="J742" s="95">
        <f ca="1"/>
        <v>-9.8701289555465279E-4</v>
      </c>
      <c r="K742" s="5" t="s">
        <v>4</v>
      </c>
      <c r="L742" s="97">
        <f ca="1">_xll.meDateFromTenor(L741,"1D","FOLLOWING","TGT")</f>
        <v>43557</v>
      </c>
      <c r="M742" s="95">
        <f ca="1"/>
        <v>3.770435096464575E-4</v>
      </c>
      <c r="N742" s="5" t="s">
        <v>4</v>
      </c>
      <c r="O742" s="97">
        <f ca="1">_xll.meDateFromTenor(O741,"1D","FOLLOWING","TGT")</f>
        <v>43557</v>
      </c>
      <c r="P742" s="95">
        <f ca="1"/>
        <v>2.433505479768382E-3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-2.5301113472252622E-3</v>
      </c>
      <c r="H743" s="92" t="s">
        <v>4</v>
      </c>
      <c r="I743" s="97">
        <f ca="1">_xll.meDateFromTenor(I742,"1D","FOLLOWING","TGT")</f>
        <v>43558</v>
      </c>
      <c r="J743" s="95">
        <f ca="1"/>
        <v>-9.8392157953117502E-4</v>
      </c>
      <c r="K743" s="5" t="s">
        <v>4</v>
      </c>
      <c r="L743" s="97">
        <f ca="1">_xll.meDateFromTenor(L742,"1D","FOLLOWING","TGT")</f>
        <v>43558</v>
      </c>
      <c r="M743" s="95">
        <f ca="1"/>
        <v>3.8245043373744331E-4</v>
      </c>
      <c r="N743" s="5" t="s">
        <v>4</v>
      </c>
      <c r="O743" s="97">
        <f ca="1">_xll.meDateFromTenor(O742,"1D","FOLLOWING","TGT")</f>
        <v>43558</v>
      </c>
      <c r="P743" s="95">
        <f ca="1"/>
        <v>2.4389898984594877E-3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-2.525773220302863E-3</v>
      </c>
      <c r="H744" s="92" t="s">
        <v>4</v>
      </c>
      <c r="I744" s="97">
        <f ca="1">_xll.meDateFromTenor(I743,"1D","FOLLOWING","TGT")</f>
        <v>43559</v>
      </c>
      <c r="J744" s="95">
        <f ca="1"/>
        <v>-9.808477892958294E-4</v>
      </c>
      <c r="K744" s="5" t="s">
        <v>4</v>
      </c>
      <c r="L744" s="97">
        <f ca="1">_xll.meDateFromTenor(L743,"1D","FOLLOWING","TGT")</f>
        <v>43559</v>
      </c>
      <c r="M744" s="95">
        <f ca="1"/>
        <v>3.8785898656554777E-4</v>
      </c>
      <c r="N744" s="5" t="s">
        <v>4</v>
      </c>
      <c r="O744" s="97">
        <f ca="1">_xll.meDateFromTenor(O743,"1D","FOLLOWING","TGT")</f>
        <v>43559</v>
      </c>
      <c r="P744" s="95">
        <f ca="1"/>
        <v>2.4444750385635206E-3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-2.5214210796445321E-3</v>
      </c>
      <c r="H745" s="92" t="s">
        <v>4</v>
      </c>
      <c r="I745" s="97">
        <f ca="1">_xll.meDateFromTenor(I744,"1D","FOLLOWING","TGT")</f>
        <v>43560</v>
      </c>
      <c r="J745" s="95">
        <f ca="1"/>
        <v>-9.7779104778731598E-4</v>
      </c>
      <c r="K745" s="5" t="s">
        <v>4</v>
      </c>
      <c r="L745" s="97">
        <f ca="1">_xll.meDateFromTenor(L744,"1D","FOLLOWING","TGT")</f>
        <v>43560</v>
      </c>
      <c r="M745" s="95">
        <f ca="1"/>
        <v>3.9326919597196139E-4</v>
      </c>
      <c r="N745" s="5" t="s">
        <v>4</v>
      </c>
      <c r="O745" s="97">
        <f ca="1">_xll.meDateFromTenor(O744,"1D","FOLLOWING","TGT")</f>
        <v>43560</v>
      </c>
      <c r="P745" s="95">
        <f ca="1"/>
        <v>2.4499608816376025E-3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-2.5082941318362584E-3</v>
      </c>
      <c r="H746" s="92" t="s">
        <v>4</v>
      </c>
      <c r="I746" s="97">
        <f ca="1">_xll.meDateFromTenor(I745,"1D","FOLLOWING","TGT")</f>
        <v>43563</v>
      </c>
      <c r="J746" s="95">
        <f ca="1"/>
        <v>-9.6871834500977143E-4</v>
      </c>
      <c r="K746" s="5" t="s">
        <v>4</v>
      </c>
      <c r="L746" s="97">
        <f ca="1">_xll.meDateFromTenor(L745,"1D","FOLLOWING","TGT")</f>
        <v>43563</v>
      </c>
      <c r="M746" s="95">
        <f ca="1"/>
        <v>4.0951004207295967E-4</v>
      </c>
      <c r="N746" s="5" t="s">
        <v>4</v>
      </c>
      <c r="O746" s="97">
        <f ca="1">_xll.meDateFromTenor(O745,"1D","FOLLOWING","TGT")</f>
        <v>43563</v>
      </c>
      <c r="P746" s="95">
        <f ca="1"/>
        <v>2.4664224442513477E-3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-2.5038994928165128E-3</v>
      </c>
      <c r="H747" s="92" t="s">
        <v>4</v>
      </c>
      <c r="I747" s="97">
        <f ca="1">_xll.meDateFromTenor(I746,"1D","FOLLOWING","TGT")</f>
        <v>43564</v>
      </c>
      <c r="J747" s="95">
        <f ca="1"/>
        <v>-9.6572502779558871E-4</v>
      </c>
      <c r="K747" s="5" t="s">
        <v>4</v>
      </c>
      <c r="L747" s="97">
        <f ca="1">_xll.meDateFromTenor(L746,"1D","FOLLOWING","TGT")</f>
        <v>43564</v>
      </c>
      <c r="M747" s="95">
        <f ca="1"/>
        <v>4.1492715620451335E-4</v>
      </c>
      <c r="N747" s="5" t="s">
        <v>4</v>
      </c>
      <c r="O747" s="97">
        <f ca="1">_xll.meDateFromTenor(O746,"1D","FOLLOWING","TGT")</f>
        <v>43564</v>
      </c>
      <c r="P747" s="95">
        <f ca="1"/>
        <v>2.4719109147768306E-3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-2.4994976183519944E-3</v>
      </c>
      <c r="H748" s="92" t="s">
        <v>4</v>
      </c>
      <c r="I748" s="97">
        <f ca="1">_xll.meDateFromTenor(I747,"1D","FOLLOWING","TGT")</f>
        <v>43565</v>
      </c>
      <c r="J748" s="95">
        <f ca="1"/>
        <v>-9.6274637400173952E-4</v>
      </c>
      <c r="K748" s="5" t="s">
        <v>4</v>
      </c>
      <c r="L748" s="97">
        <f ca="1">_xll.meDateFromTenor(L747,"1D","FOLLOWING","TGT")</f>
        <v>43565</v>
      </c>
      <c r="M748" s="95">
        <f ca="1"/>
        <v>4.2034606612032687E-4</v>
      </c>
      <c r="N748" s="5" t="s">
        <v>4</v>
      </c>
      <c r="O748" s="97">
        <f ca="1">_xll.meDateFromTenor(O747,"1D","FOLLOWING","TGT")</f>
        <v>43565</v>
      </c>
      <c r="P748" s="95">
        <f ca="1"/>
        <v>2.4773999960579643E-3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-2.4950898641009321E-3</v>
      </c>
      <c r="H749" s="92" t="s">
        <v>4</v>
      </c>
      <c r="I749" s="97">
        <f ca="1">_xll.meDateFromTenor(I748,"1D","FOLLOWING","TGT")</f>
        <v>43566</v>
      </c>
      <c r="J749" s="95">
        <f ca="1"/>
        <v>-9.5978190656692292E-4</v>
      </c>
      <c r="K749" s="5" t="s">
        <v>4</v>
      </c>
      <c r="L749" s="97">
        <f ca="1">_xll.meDateFromTenor(L748,"1D","FOLLOWING","TGT")</f>
        <v>43566</v>
      </c>
      <c r="M749" s="95">
        <f ca="1"/>
        <v>4.257667996615927E-4</v>
      </c>
      <c r="N749" s="5" t="s">
        <v>4</v>
      </c>
      <c r="O749" s="97">
        <f ca="1">_xll.meDateFromTenor(O748,"1D","FOLLOWING","TGT")</f>
        <v>43566</v>
      </c>
      <c r="P749" s="95">
        <f ca="1"/>
        <v>2.4828896696518711E-3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-2.49067758572156E-3</v>
      </c>
      <c r="H750" s="92" t="s">
        <v>4</v>
      </c>
      <c r="I750" s="97">
        <f ca="1">_xll.meDateFromTenor(I749,"1D","FOLLOWING","TGT")</f>
        <v>43567</v>
      </c>
      <c r="J750" s="95">
        <f ca="1"/>
        <v>-9.5683114842983949E-4</v>
      </c>
      <c r="K750" s="5" t="s">
        <v>4</v>
      </c>
      <c r="L750" s="97">
        <f ca="1">_xll.meDateFromTenor(L749,"1D","FOLLOWING","TGT")</f>
        <v>43567</v>
      </c>
      <c r="M750" s="95">
        <f ca="1"/>
        <v>4.3118938466949987E-4</v>
      </c>
      <c r="N750" s="5" t="s">
        <v>4</v>
      </c>
      <c r="O750" s="97">
        <f ca="1">_xll.meDateFromTenor(O749,"1D","FOLLOWING","TGT")</f>
        <v>43567</v>
      </c>
      <c r="P750" s="95">
        <f ca="1"/>
        <v>2.4883799171156705E-3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-2.4774271623958961E-3</v>
      </c>
      <c r="H751" s="92" t="s">
        <v>4</v>
      </c>
      <c r="I751" s="97">
        <f ca="1">_xll.meDateFromTenor(I750,"1D","FOLLOWING","TGT")</f>
        <v>43570</v>
      </c>
      <c r="J751" s="95">
        <f ca="1"/>
        <v>-9.4805635919199089E-4</v>
      </c>
      <c r="K751" s="5" t="s">
        <v>4</v>
      </c>
      <c r="L751" s="97">
        <f ca="1">_xll.meDateFromTenor(L750,"1D","FOLLOWING","TGT")</f>
        <v>43570</v>
      </c>
      <c r="M751" s="95">
        <f ca="1"/>
        <v>4.4746852690497437E-4</v>
      </c>
      <c r="N751" s="5" t="s">
        <v>4</v>
      </c>
      <c r="O751" s="97">
        <f ca="1">_xll.meDateFromTenor(O750,"1D","FOLLOWING","TGT")</f>
        <v>43570</v>
      </c>
      <c r="P751" s="95">
        <f ca="1"/>
        <v>2.5048539182976302E-3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-2.4730103440855997E-3</v>
      </c>
      <c r="H752" s="92" t="s">
        <v>4</v>
      </c>
      <c r="I752" s="97">
        <f ca="1">_xll.meDateFromTenor(I751,"1D","FOLLOWING","TGT")</f>
        <v>43571</v>
      </c>
      <c r="J752" s="95">
        <f ca="1"/>
        <v>-9.4515566763284271E-4</v>
      </c>
      <c r="K752" s="5" t="s">
        <v>4</v>
      </c>
      <c r="L752" s="97">
        <f ca="1">_xll.meDateFromTenor(L751,"1D","FOLLOWING","TGT")</f>
        <v>43571</v>
      </c>
      <c r="M752" s="95">
        <f ca="1"/>
        <v>4.5289879619135056E-4</v>
      </c>
      <c r="N752" s="5" t="s">
        <v>4</v>
      </c>
      <c r="O752" s="97">
        <f ca="1">_xll.meDateFromTenor(O751,"1D","FOLLOWING","TGT")</f>
        <v>43571</v>
      </c>
      <c r="P752" s="95">
        <f ca="1"/>
        <v>2.5103462768122043E-3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-2.4685957799381506E-3</v>
      </c>
      <c r="H753" s="92" t="s">
        <v>4</v>
      </c>
      <c r="I753" s="97">
        <f ca="1">_xll.meDateFromTenor(I752,"1D","FOLLOWING","TGT")</f>
        <v>43572</v>
      </c>
      <c r="J753" s="95">
        <f ca="1"/>
        <v>-9.4226630006492807E-4</v>
      </c>
      <c r="K753" s="5" t="s">
        <v>4</v>
      </c>
      <c r="L753" s="97">
        <f ca="1">_xll.meDateFromTenor(L752,"1D","FOLLOWING","TGT")</f>
        <v>43572</v>
      </c>
      <c r="M753" s="95">
        <f ca="1"/>
        <v>4.583310561503208E-4</v>
      </c>
      <c r="N753" s="5" t="s">
        <v>4</v>
      </c>
      <c r="O753" s="97">
        <f ca="1">_xll.meDateFromTenor(O752,"1D","FOLLOWING","TGT")</f>
        <v>43572</v>
      </c>
      <c r="P753" s="95">
        <f ca="1"/>
        <v>2.5158391169822747E-3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-2.4641848256117807E-3</v>
      </c>
      <c r="H754" s="92" t="s">
        <v>4</v>
      </c>
      <c r="I754" s="97">
        <f ca="1">_xll.meDateFromTenor(I753,"1D","FOLLOWING","TGT")</f>
        <v>43573</v>
      </c>
      <c r="J754" s="95">
        <f ca="1"/>
        <v>-9.3938777942694776E-4</v>
      </c>
      <c r="K754" s="5" t="s">
        <v>4</v>
      </c>
      <c r="L754" s="97">
        <f ca="1">_xll.meDateFromTenor(L753,"1D","FOLLOWING","TGT")</f>
        <v>43573</v>
      </c>
      <c r="M754" s="95">
        <f ca="1"/>
        <v>4.6376533462307474E-4</v>
      </c>
      <c r="N754" s="5" t="s">
        <v>4</v>
      </c>
      <c r="O754" s="97">
        <f ca="1">_xll.meDateFromTenor(O753,"1D","FOLLOWING","TGT")</f>
        <v>43573</v>
      </c>
      <c r="P754" s="95">
        <f ca="1"/>
        <v>2.5213324203649614E-3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-2.4422316493342431E-3</v>
      </c>
      <c r="H755" s="92" t="s">
        <v>4</v>
      </c>
      <c r="I755" s="97">
        <f ca="1">_xll.meDateFromTenor(I754,"1D","FOLLOWING","TGT")</f>
        <v>43578</v>
      </c>
      <c r="J755" s="95">
        <f ca="1"/>
        <v>-9.2514118304056414E-4</v>
      </c>
      <c r="K755" s="5" t="s">
        <v>4</v>
      </c>
      <c r="L755" s="97">
        <f ca="1">_xll.meDateFromTenor(L754,"1D","FOLLOWING","TGT")</f>
        <v>43578</v>
      </c>
      <c r="M755" s="95">
        <f ca="1"/>
        <v>4.9096797913526042E-4</v>
      </c>
      <c r="N755" s="5" t="s">
        <v>4</v>
      </c>
      <c r="O755" s="97">
        <f ca="1">_xll.meDateFromTenor(O754,"1D","FOLLOWING","TGT")</f>
        <v>43578</v>
      </c>
      <c r="P755" s="95">
        <f ca="1"/>
        <v>2.5488052399668475E-3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-2.4378708227572191E-3</v>
      </c>
      <c r="H756" s="92" t="s">
        <v>4</v>
      </c>
      <c r="I756" s="97">
        <f ca="1">_xll.meDateFromTenor(I755,"1D","FOLLOWING","TGT")</f>
        <v>43579</v>
      </c>
      <c r="J756" s="95">
        <f ca="1"/>
        <v>-9.2231772569489195E-4</v>
      </c>
      <c r="K756" s="5" t="s">
        <v>4</v>
      </c>
      <c r="L756" s="97">
        <f ca="1">_xll.meDateFromTenor(L755,"1D","FOLLOWING","TGT")</f>
        <v>43579</v>
      </c>
      <c r="M756" s="95">
        <f ca="1"/>
        <v>4.9641495335571353E-4</v>
      </c>
      <c r="N756" s="5" t="s">
        <v>4</v>
      </c>
      <c r="O756" s="97">
        <f ca="1">_xll.meDateFromTenor(O755,"1D","FOLLOWING","TGT")</f>
        <v>43579</v>
      </c>
      <c r="P756" s="95">
        <f ca="1"/>
        <v>2.5543009353247597E-3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-2.4335230956088979E-3</v>
      </c>
      <c r="H757" s="92" t="s">
        <v>4</v>
      </c>
      <c r="I757" s="97">
        <f ca="1">_xll.meDateFromTenor(I756,"1D","FOLLOWING","TGT")</f>
        <v>43580</v>
      </c>
      <c r="J757" s="95">
        <f ca="1"/>
        <v>-9.1950177585005562E-4</v>
      </c>
      <c r="K757" s="5" t="s">
        <v>4</v>
      </c>
      <c r="L757" s="97">
        <f ca="1">_xll.meDateFromTenor(L756,"1D","FOLLOWING","TGT")</f>
        <v>43580</v>
      </c>
      <c r="M757" s="95">
        <f ca="1"/>
        <v>5.0186414097828187E-4</v>
      </c>
      <c r="N757" s="5" t="s">
        <v>4</v>
      </c>
      <c r="O757" s="97">
        <f ca="1">_xll.meDateFromTenor(O756,"1D","FOLLOWING","TGT")</f>
        <v>43580</v>
      </c>
      <c r="P757" s="95">
        <f ca="1"/>
        <v>2.559796964795131E-3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-2.4291898235475101E-3</v>
      </c>
      <c r="H758" s="92" t="s">
        <v>4</v>
      </c>
      <c r="I758" s="97">
        <f ca="1">_xll.meDateFromTenor(I757,"1D","FOLLOWING","TGT")</f>
        <v>43581</v>
      </c>
      <c r="J758" s="95">
        <f ca="1"/>
        <v>-9.1669285644475418E-4</v>
      </c>
      <c r="K758" s="5" t="s">
        <v>4</v>
      </c>
      <c r="L758" s="97">
        <f ca="1">_xll.meDateFromTenor(L757,"1D","FOLLOWING","TGT")</f>
        <v>43581</v>
      </c>
      <c r="M758" s="95">
        <f ca="1"/>
        <v>5.0731556984415758E-4</v>
      </c>
      <c r="N758" s="5" t="s">
        <v>4</v>
      </c>
      <c r="O758" s="97">
        <f ca="1">_xll.meDateFromTenor(O757,"1D","FOLLOWING","TGT")</f>
        <v>43581</v>
      </c>
      <c r="P758" s="95">
        <f ca="1"/>
        <v>2.5652933099350821E-3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-2.4162902944672676E-3</v>
      </c>
      <c r="H759" s="92" t="s">
        <v>4</v>
      </c>
      <c r="I759" s="97">
        <f ca="1">_xll.meDateFromTenor(I758,"1D","FOLLOWING","TGT")</f>
        <v>43584</v>
      </c>
      <c r="J759" s="95">
        <f ca="1"/>
        <v>-9.0830351025306371E-4</v>
      </c>
      <c r="K759" s="5" t="s">
        <v>4</v>
      </c>
      <c r="L759" s="97">
        <f ca="1">_xll.meDateFromTenor(L758,"1D","FOLLOWING","TGT")</f>
        <v>43584</v>
      </c>
      <c r="M759" s="95">
        <f ca="1"/>
        <v>5.2368358231352579E-4</v>
      </c>
      <c r="N759" s="5" t="s">
        <v>4</v>
      </c>
      <c r="O759" s="97">
        <f ca="1">_xll.meDateFromTenor(O758,"1D","FOLLOWING","TGT")</f>
        <v>43584</v>
      </c>
      <c r="P759" s="95">
        <f ca="1"/>
        <v>2.5817840549436223E-3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-2.4120283993359325E-3</v>
      </c>
      <c r="H760" s="92" t="s">
        <v>4</v>
      </c>
      <c r="I760" s="97">
        <f ca="1">_xll.meDateFromTenor(I759,"1D","FOLLOWING","TGT")</f>
        <v>43585</v>
      </c>
      <c r="J760" s="95">
        <f ca="1"/>
        <v>-9.0551794199290523E-4</v>
      </c>
      <c r="K760" s="5" t="s">
        <v>4</v>
      </c>
      <c r="L760" s="97">
        <f ca="1">_xll.meDateFromTenor(L759,"1D","FOLLOWING","TGT")</f>
        <v>43585</v>
      </c>
      <c r="M760" s="95">
        <f ca="1"/>
        <v>5.2914425456453075E-4</v>
      </c>
      <c r="N760" s="5" t="s">
        <v>4</v>
      </c>
      <c r="O760" s="97">
        <f ca="1">_xll.meDateFromTenor(O759,"1D","FOLLOWING","TGT")</f>
        <v>43585</v>
      </c>
      <c r="P760" s="95">
        <f ca="1"/>
        <v>2.5872814783331E-3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-2.4035696648657709E-3</v>
      </c>
      <c r="H761" s="92" t="s">
        <v>4</v>
      </c>
      <c r="I761" s="97">
        <f ca="1">_xll.meDateFromTenor(I760,"1D","FOLLOWING","TGT")</f>
        <v>43587</v>
      </c>
      <c r="J761" s="95">
        <f ca="1"/>
        <v>-8.999602638103967E-4</v>
      </c>
      <c r="K761" s="5" t="s">
        <v>4</v>
      </c>
      <c r="L761" s="97">
        <f ca="1">_xll.meDateFromTenor(L760,"1D","FOLLOWING","TGT")</f>
        <v>43587</v>
      </c>
      <c r="M761" s="95">
        <f ca="1"/>
        <v>5.4007276825550549E-4</v>
      </c>
      <c r="N761" s="5" t="s">
        <v>4</v>
      </c>
      <c r="O761" s="97">
        <f ca="1">_xll.meDateFromTenor(O760,"1D","FOLLOWING","TGT")</f>
        <v>43587</v>
      </c>
      <c r="P761" s="95">
        <f ca="1"/>
        <v>2.5982769770347231E-3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-2.3993750057051204E-3</v>
      </c>
      <c r="H762" s="92" t="s">
        <v>4</v>
      </c>
      <c r="I762" s="97">
        <f ca="1">_xll.meDateFromTenor(I761,"1D","FOLLOWING","TGT")</f>
        <v>43588</v>
      </c>
      <c r="J762" s="95">
        <f ca="1"/>
        <v>-8.9718719976544694E-4</v>
      </c>
      <c r="K762" s="5" t="s">
        <v>4</v>
      </c>
      <c r="L762" s="97">
        <f ca="1">_xll.meDateFromTenor(L761,"1D","FOLLOWING","TGT")</f>
        <v>43588</v>
      </c>
      <c r="M762" s="95">
        <f ca="1"/>
        <v>5.4554066537785607E-4</v>
      </c>
      <c r="N762" s="5" t="s">
        <v>4</v>
      </c>
      <c r="O762" s="97">
        <f ca="1">_xll.meDateFromTenor(O761,"1D","FOLLOWING","TGT")</f>
        <v>43588</v>
      </c>
      <c r="P762" s="95">
        <f ca="1"/>
        <v>2.6037750154611103E-3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-2.3869163846755308E-3</v>
      </c>
      <c r="H763" s="92" t="s">
        <v>4</v>
      </c>
      <c r="I763" s="97">
        <f ca="1">_xll.meDateFromTenor(I762,"1D","FOLLOWING","TGT")</f>
        <v>43591</v>
      </c>
      <c r="J763" s="95">
        <f ca="1"/>
        <v>-8.8888538308021822E-4</v>
      </c>
      <c r="K763" s="5" t="s">
        <v>4</v>
      </c>
      <c r="L763" s="97">
        <f ca="1">_xll.meDateFromTenor(L762,"1D","FOLLOWING","TGT")</f>
        <v>43591</v>
      </c>
      <c r="M763" s="95">
        <f ca="1"/>
        <v>5.6195925194664335E-4</v>
      </c>
      <c r="N763" s="5" t="s">
        <v>4</v>
      </c>
      <c r="O763" s="97">
        <f ca="1">_xll.meDateFromTenor(O762,"1D","FOLLOWING","TGT")</f>
        <v>43591</v>
      </c>
      <c r="P763" s="95">
        <f ca="1"/>
        <v>2.6202700657280177E-3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-2.3827991925781306E-3</v>
      </c>
      <c r="H764" s="92" t="s">
        <v>4</v>
      </c>
      <c r="I764" s="97">
        <f ca="1">_xll.meDateFromTenor(I763,"1D","FOLLOWING","TGT")</f>
        <v>43592</v>
      </c>
      <c r="J764" s="95">
        <f ca="1"/>
        <v>-8.8612231246401607E-4</v>
      </c>
      <c r="K764" s="5" t="s">
        <v>4</v>
      </c>
      <c r="L764" s="97">
        <f ca="1">_xll.meDateFromTenor(L763,"1D","FOLLOWING","TGT")</f>
        <v>43592</v>
      </c>
      <c r="M764" s="95">
        <f ca="1"/>
        <v>5.6743717200745207E-4</v>
      </c>
      <c r="N764" s="5" t="s">
        <v>4</v>
      </c>
      <c r="O764" s="97">
        <f ca="1">_xll.meDateFromTenor(O763,"1D","FOLLOWING","TGT")</f>
        <v>43592</v>
      </c>
      <c r="P764" s="95">
        <f ca="1"/>
        <v>2.6257686660033047E-3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-2.3786967893177991E-3</v>
      </c>
      <c r="H765" s="92" t="s">
        <v>4</v>
      </c>
      <c r="I765" s="97">
        <f ca="1">_xll.meDateFromTenor(I764,"1D","FOLLOWING","TGT")</f>
        <v>43593</v>
      </c>
      <c r="J765" s="95">
        <f ca="1"/>
        <v>-8.8336054755175049E-4</v>
      </c>
      <c r="K765" s="5" t="s">
        <v>4</v>
      </c>
      <c r="L765" s="97">
        <f ca="1">_xll.meDateFromTenor(L764,"1D","FOLLOWING","TGT")</f>
        <v>43593</v>
      </c>
      <c r="M765" s="95">
        <f ca="1"/>
        <v>5.729176674058522E-4</v>
      </c>
      <c r="N765" s="5" t="s">
        <v>4</v>
      </c>
      <c r="O765" s="97">
        <f ca="1">_xll.meDateFromTenor(O764,"1D","FOLLOWING","TGT")</f>
        <v>43593</v>
      </c>
      <c r="P765" s="95">
        <f ca="1"/>
        <v>2.6312673606336185E-3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-2.3746073437230382E-3</v>
      </c>
      <c r="H766" s="92" t="s">
        <v>4</v>
      </c>
      <c r="I766" s="97">
        <f ca="1">_xll.meDateFromTenor(I765,"1D","FOLLOWING","TGT")</f>
        <v>43594</v>
      </c>
      <c r="J766" s="95">
        <f ca="1"/>
        <v>-8.805996112821225E-4</v>
      </c>
      <c r="K766" s="5" t="s">
        <v>4</v>
      </c>
      <c r="L766" s="97">
        <f ca="1">_xll.meDateFromTenor(L765,"1D","FOLLOWING","TGT")</f>
        <v>43594</v>
      </c>
      <c r="M766" s="95">
        <f ca="1"/>
        <v>5.7840076598303326E-4</v>
      </c>
      <c r="N766" s="5" t="s">
        <v>4</v>
      </c>
      <c r="O766" s="97">
        <f ca="1">_xll.meDateFromTenor(O765,"1D","FOLLOWING","TGT")</f>
        <v>43594</v>
      </c>
      <c r="P766" s="95">
        <f ca="1"/>
        <v>2.6367661311760796E-3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-2.3705290246223525E-3</v>
      </c>
      <c r="H767" s="92" t="s">
        <v>4</v>
      </c>
      <c r="I767" s="97">
        <f ca="1">_xll.meDateFromTenor(I766,"1D","FOLLOWING","TGT")</f>
        <v>43595</v>
      </c>
      <c r="J767" s="95">
        <f ca="1"/>
        <v>-8.7783902659383179E-4</v>
      </c>
      <c r="K767" s="5" t="s">
        <v>4</v>
      </c>
      <c r="L767" s="97">
        <f ca="1">_xll.meDateFromTenor(L766,"1D","FOLLOWING","TGT")</f>
        <v>43595</v>
      </c>
      <c r="M767" s="95">
        <f ca="1"/>
        <v>5.8388649558018565E-4</v>
      </c>
      <c r="N767" s="5" t="s">
        <v>4</v>
      </c>
      <c r="O767" s="97">
        <f ca="1">_xll.meDateFromTenor(O766,"1D","FOLLOWING","TGT")</f>
        <v>43595</v>
      </c>
      <c r="P767" s="95">
        <f ca="1"/>
        <v>2.6422649591878074E-3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-2.3583425145697647E-3</v>
      </c>
      <c r="H768" s="92" t="s">
        <v>4</v>
      </c>
      <c r="I768" s="97">
        <f ca="1">_xll.meDateFromTenor(I767,"1D","FOLLOWING","TGT")</f>
        <v>43598</v>
      </c>
      <c r="J768" s="95">
        <f ca="1"/>
        <v>-8.6955461140398639E-4</v>
      </c>
      <c r="K768" s="5" t="s">
        <v>4</v>
      </c>
      <c r="L768" s="97">
        <f ca="1">_xll.meDateFromTenor(L767,"1D","FOLLOWING","TGT")</f>
        <v>43598</v>
      </c>
      <c r="M768" s="95">
        <f ca="1"/>
        <v>6.0035974890337363E-4</v>
      </c>
      <c r="N768" s="5" t="s">
        <v>4</v>
      </c>
      <c r="O768" s="97">
        <f ca="1">_xll.meDateFromTenor(O767,"1D","FOLLOWING","TGT")</f>
        <v>43598</v>
      </c>
      <c r="P768" s="95">
        <f ca="1"/>
        <v>2.658761603609801E-3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-2.3542903897304009E-3</v>
      </c>
      <c r="H769" s="92" t="s">
        <v>4</v>
      </c>
      <c r="I769" s="97">
        <f ca="1">_xll.meDateFromTenor(I768,"1D","FOLLOWING","TGT")</f>
        <v>43599</v>
      </c>
      <c r="J769" s="95">
        <f ca="1"/>
        <v>-8.6679066242804708E-4</v>
      </c>
      <c r="K769" s="5" t="s">
        <v>4</v>
      </c>
      <c r="L769" s="97">
        <f ca="1">_xll.meDateFromTenor(L768,"1D","FOLLOWING","TGT")</f>
        <v>43599</v>
      </c>
      <c r="M769" s="95">
        <f ca="1"/>
        <v>6.058562809923147E-4</v>
      </c>
      <c r="N769" s="5" t="s">
        <v>4</v>
      </c>
      <c r="O769" s="97">
        <f ca="1">_xll.meDateFromTenor(O768,"1D","FOLLOWING","TGT")</f>
        <v>43599</v>
      </c>
      <c r="P769" s="95">
        <f ca="1"/>
        <v>2.6642604770698046E-3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-2.3502402355276247E-3</v>
      </c>
      <c r="H770" s="92" t="s">
        <v>4</v>
      </c>
      <c r="I770" s="97">
        <f ca="1">_xll.meDateFromTenor(I769,"1D","FOLLOWING","TGT")</f>
        <v>43600</v>
      </c>
      <c r="J770" s="95">
        <f ca="1"/>
        <v>-8.6402467972694576E-4</v>
      </c>
      <c r="K770" s="5" t="s">
        <v>4</v>
      </c>
      <c r="L770" s="97">
        <f ca="1">_xll.meDateFromTenor(L769,"1D","FOLLOWING","TGT")</f>
        <v>43600</v>
      </c>
      <c r="M770" s="95">
        <f ca="1"/>
        <v>6.1135558330717898E-4</v>
      </c>
      <c r="N770" s="5" t="s">
        <v>4</v>
      </c>
      <c r="O770" s="97">
        <f ca="1">_xll.meDateFromTenor(O769,"1D","FOLLOWING","TGT")</f>
        <v>43600</v>
      </c>
      <c r="P770" s="95">
        <f ca="1"/>
        <v>2.6697593157846782E-3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-2.3461902207899377E-3</v>
      </c>
      <c r="H771" s="92" t="s">
        <v>4</v>
      </c>
      <c r="I771" s="97">
        <f ca="1">_xll.meDateFromTenor(I770,"1D","FOLLOWING","TGT")</f>
        <v>43601</v>
      </c>
      <c r="J771" s="95">
        <f ca="1"/>
        <v>-8.6125618623938342E-4</v>
      </c>
      <c r="K771" s="5" t="s">
        <v>4</v>
      </c>
      <c r="L771" s="97">
        <f ca="1">_xll.meDateFromTenor(L770,"1D","FOLLOWING","TGT")</f>
        <v>43601</v>
      </c>
      <c r="M771" s="95">
        <f ca="1"/>
        <v>6.168576836891557E-4</v>
      </c>
      <c r="N771" s="5" t="s">
        <v>4</v>
      </c>
      <c r="O771" s="97">
        <f ca="1">_xll.meDateFromTenor(O770,"1D","FOLLOWING","TGT")</f>
        <v>43601</v>
      </c>
      <c r="P771" s="95">
        <f ca="1"/>
        <v>2.6752581013115419E-3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-2.3421385143458429E-3</v>
      </c>
      <c r="H772" s="92" t="s">
        <v>4</v>
      </c>
      <c r="I772" s="97">
        <f ca="1">_xll.meDateFromTenor(I771,"1D","FOLLOWING","TGT")</f>
        <v>43602</v>
      </c>
      <c r="J772" s="95">
        <f ca="1"/>
        <v>-8.5848470490405913E-4</v>
      </c>
      <c r="K772" s="5" t="s">
        <v>4</v>
      </c>
      <c r="L772" s="97">
        <f ca="1">_xll.meDateFromTenor(L771,"1D","FOLLOWING","TGT")</f>
        <v>43602</v>
      </c>
      <c r="M772" s="95">
        <f ca="1"/>
        <v>6.2236260997943719E-4</v>
      </c>
      <c r="N772" s="5" t="s">
        <v>4</v>
      </c>
      <c r="O772" s="97">
        <f ca="1">_xll.meDateFromTenor(O771,"1D","FOLLOWING","TGT")</f>
        <v>43602</v>
      </c>
      <c r="P772" s="95">
        <f ca="1"/>
        <v>2.6807568152075164E-3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-2.3299549330601374E-3</v>
      </c>
      <c r="H773" s="92" t="s">
        <v>4</v>
      </c>
      <c r="I773" s="97">
        <f ca="1">_xll.meDateFromTenor(I772,"1D","FOLLOWING","TGT")</f>
        <v>43605</v>
      </c>
      <c r="J773" s="95">
        <f ca="1"/>
        <v>-8.501475631985183E-4</v>
      </c>
      <c r="K773" s="5" t="s">
        <v>4</v>
      </c>
      <c r="L773" s="97">
        <f ca="1">_xll.meDateFromTenor(L772,"1D","FOLLOWING","TGT")</f>
        <v>43605</v>
      </c>
      <c r="M773" s="95">
        <f ca="1"/>
        <v>6.3889462271200738E-4</v>
      </c>
      <c r="N773" s="5" t="s">
        <v>4</v>
      </c>
      <c r="O773" s="97">
        <f ca="1">_xll.meDateFromTenor(O772,"1D","FOLLOWING","TGT")</f>
        <v>43605</v>
      </c>
      <c r="P773" s="95">
        <f ca="1"/>
        <v>2.697252342681315E-3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-2.3258781480754377E-3</v>
      </c>
      <c r="H774" s="92" t="s">
        <v>4</v>
      </c>
      <c r="I774" s="97">
        <f ca="1">_xll.meDateFromTenor(I773,"1D","FOLLOWING","TGT")</f>
        <v>43606</v>
      </c>
      <c r="J774" s="95">
        <f ca="1"/>
        <v>-8.4735935985914986E-4</v>
      </c>
      <c r="K774" s="5" t="s">
        <v>4</v>
      </c>
      <c r="L774" s="97">
        <f ca="1">_xll.meDateFromTenor(L773,"1D","FOLLOWING","TGT")</f>
        <v>43606</v>
      </c>
      <c r="M774" s="95">
        <f ca="1"/>
        <v>6.4441113104740633E-4</v>
      </c>
      <c r="N774" s="5" t="s">
        <v>4</v>
      </c>
      <c r="O774" s="97">
        <f ca="1">_xll.meDateFromTenor(O773,"1D","FOLLOWING","TGT")</f>
        <v>43606</v>
      </c>
      <c r="P774" s="95">
        <f ca="1"/>
        <v>2.7027505856249399E-3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-2.3217905155268428E-3</v>
      </c>
      <c r="H775" s="92" t="s">
        <v>4</v>
      </c>
      <c r="I775" s="97">
        <f ca="1">_xll.meDateFromTenor(I774,"1D","FOLLOWING","TGT")</f>
        <v>43607</v>
      </c>
      <c r="J775" s="95">
        <f ca="1"/>
        <v>-8.4456578336552016E-4</v>
      </c>
      <c r="K775" s="5" t="s">
        <v>4</v>
      </c>
      <c r="L775" s="97">
        <f ca="1">_xll.meDateFromTenor(L774,"1D","FOLLOWING","TGT")</f>
        <v>43607</v>
      </c>
      <c r="M775" s="95">
        <f ca="1"/>
        <v>6.4993060449706195E-4</v>
      </c>
      <c r="N775" s="5" t="s">
        <v>4</v>
      </c>
      <c r="O775" s="97">
        <f ca="1">_xll.meDateFromTenor(O774,"1D","FOLLOWING","TGT")</f>
        <v>43607</v>
      </c>
      <c r="P775" s="95">
        <f ca="1"/>
        <v>2.7082486647232785E-3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-2.3176902042428551E-3</v>
      </c>
      <c r="H776" s="92" t="s">
        <v>4</v>
      </c>
      <c r="I776" s="97">
        <f ca="1">_xll.meDateFromTenor(I775,"1D","FOLLOWING","TGT")</f>
        <v>43608</v>
      </c>
      <c r="J776" s="95">
        <f ca="1"/>
        <v>-8.4176635665632988E-4</v>
      </c>
      <c r="K776" s="5" t="s">
        <v>4</v>
      </c>
      <c r="L776" s="97">
        <f ca="1">_xll.meDateFromTenor(L775,"1D","FOLLOWING","TGT")</f>
        <v>43608</v>
      </c>
      <c r="M776" s="95">
        <f ca="1"/>
        <v>6.5545307090216312E-4</v>
      </c>
      <c r="N776" s="5" t="s">
        <v>4</v>
      </c>
      <c r="O776" s="97">
        <f ca="1">_xll.meDateFromTenor(O775,"1D","FOLLOWING","TGT")</f>
        <v>43608</v>
      </c>
      <c r="P776" s="95">
        <f ca="1"/>
        <v>2.7137465615334521E-3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-2.3135753830519782E-3</v>
      </c>
      <c r="H777" s="92" t="s">
        <v>4</v>
      </c>
      <c r="I777" s="97">
        <f ca="1">_xll.meDateFromTenor(I776,"1D","FOLLOWING","TGT")</f>
        <v>43609</v>
      </c>
      <c r="J777" s="95">
        <f ca="1"/>
        <v>-8.3896060267027906E-4</v>
      </c>
      <c r="K777" s="5" t="s">
        <v>4</v>
      </c>
      <c r="L777" s="97">
        <f ca="1">_xll.meDateFromTenor(L776,"1D","FOLLOWING","TGT")</f>
        <v>43609</v>
      </c>
      <c r="M777" s="95">
        <f ca="1"/>
        <v>6.6097855810390066E-4</v>
      </c>
      <c r="N777" s="5" t="s">
        <v>4</v>
      </c>
      <c r="O777" s="97">
        <f ca="1">_xll.meDateFromTenor(O776,"1D","FOLLOWING","TGT")</f>
        <v>43609</v>
      </c>
      <c r="P777" s="95">
        <f ca="1"/>
        <v>2.719244257612581E-3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-2.3011255483230356E-3</v>
      </c>
      <c r="H778" s="92" t="s">
        <v>4</v>
      </c>
      <c r="I778" s="97">
        <f ca="1">_xll.meDateFromTenor(I777,"1D","FOLLOWING","TGT")</f>
        <v>43612</v>
      </c>
      <c r="J778" s="95">
        <f ca="1"/>
        <v>-8.3050060643796578E-4</v>
      </c>
      <c r="K778" s="5" t="s">
        <v>4</v>
      </c>
      <c r="L778" s="97">
        <f ca="1">_xll.meDateFromTenor(L777,"1D","FOLLOWING","TGT")</f>
        <v>43612</v>
      </c>
      <c r="M778" s="95">
        <f ca="1"/>
        <v>6.7757342290083284E-4</v>
      </c>
      <c r="N778" s="5" t="s">
        <v>4</v>
      </c>
      <c r="O778" s="97">
        <f ca="1">_xll.meDateFromTenor(O777,"1D","FOLLOWING","TGT")</f>
        <v>43612</v>
      </c>
      <c r="P778" s="95">
        <f ca="1"/>
        <v>2.7357359570348997E-3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-2.2969343757896265E-3</v>
      </c>
      <c r="H779" s="92" t="s">
        <v>4</v>
      </c>
      <c r="I779" s="97">
        <f ca="1">_xll.meDateFromTenor(I778,"1D","FOLLOWING","TGT")</f>
        <v>43613</v>
      </c>
      <c r="J779" s="95">
        <f ca="1"/>
        <v>-8.2766477273147482E-4</v>
      </c>
      <c r="K779" s="5" t="s">
        <v>4</v>
      </c>
      <c r="L779" s="97">
        <f ca="1">_xll.meDateFromTenor(L778,"1D","FOLLOWING","TGT")</f>
        <v>43613</v>
      </c>
      <c r="M779" s="95">
        <f ca="1"/>
        <v>6.8311127170101859E-4</v>
      </c>
      <c r="N779" s="5" t="s">
        <v>4</v>
      </c>
      <c r="O779" s="97">
        <f ca="1">_xll.meDateFromTenor(O778,"1D","FOLLOWING","TGT")</f>
        <v>43613</v>
      </c>
      <c r="P779" s="95">
        <f ca="1"/>
        <v>2.7412326657610536E-3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-2.2927195374918396E-3</v>
      </c>
      <c r="H780" s="92" t="s">
        <v>4</v>
      </c>
      <c r="I780" s="97">
        <f ca="1">_xll.meDateFromTenor(I779,"1D","FOLLOWING","TGT")</f>
        <v>43614</v>
      </c>
      <c r="J780" s="95">
        <f ca="1"/>
        <v>-8.248202264416239E-4</v>
      </c>
      <c r="K780" s="5" t="s">
        <v>4</v>
      </c>
      <c r="L780" s="97">
        <f ca="1">_xll.meDateFromTenor(L779,"1D","FOLLOWING","TGT")</f>
        <v>43614</v>
      </c>
      <c r="M780" s="95">
        <f ca="1"/>
        <v>6.8865228050379228E-4</v>
      </c>
      <c r="N780" s="5" t="s">
        <v>4</v>
      </c>
      <c r="O780" s="97">
        <f ca="1">_xll.meDateFromTenor(O779,"1D","FOLLOWING","TGT")</f>
        <v>43614</v>
      </c>
      <c r="P780" s="95">
        <f ca="1"/>
        <v>2.7467290815417641E-3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-2.2884792022581798E-3</v>
      </c>
      <c r="H781" s="92" t="s">
        <v>4</v>
      </c>
      <c r="I781" s="97">
        <f ca="1">_xll.meDateFromTenor(I780,"1D","FOLLOWING","TGT")</f>
        <v>43615</v>
      </c>
      <c r="J781" s="95">
        <f ca="1"/>
        <v>-8.2196649050711381E-4</v>
      </c>
      <c r="K781" s="5" t="s">
        <v>4</v>
      </c>
      <c r="L781" s="97">
        <f ca="1">_xll.meDateFromTenor(L780,"1D","FOLLOWING","TGT")</f>
        <v>43615</v>
      </c>
      <c r="M781" s="95">
        <f ca="1"/>
        <v>6.9419647715034333E-4</v>
      </c>
      <c r="N781" s="5" t="s">
        <v>4</v>
      </c>
      <c r="O781" s="97">
        <f ca="1">_xll.meDateFromTenor(O780,"1D","FOLLOWING","TGT")</f>
        <v>43615</v>
      </c>
      <c r="P781" s="95">
        <f ca="1"/>
        <v>2.7522251859341523E-3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-2.2842115389171474E-3</v>
      </c>
      <c r="H782" s="92" t="s">
        <v>4</v>
      </c>
      <c r="I782" s="97">
        <f ca="1">_xll.meDateFromTenor(I781,"1D","FOLLOWING","TGT")</f>
        <v>43616</v>
      </c>
      <c r="J782" s="95">
        <f ca="1"/>
        <v>-8.1910308786664382E-4</v>
      </c>
      <c r="K782" s="5" t="s">
        <v>4</v>
      </c>
      <c r="L782" s="97">
        <f ca="1">_xll.meDateFromTenor(L781,"1D","FOLLOWING","TGT")</f>
        <v>43616</v>
      </c>
      <c r="M782" s="95">
        <f ca="1"/>
        <v>6.9974388948186388E-4</v>
      </c>
      <c r="N782" s="5" t="s">
        <v>4</v>
      </c>
      <c r="O782" s="97">
        <f ca="1">_xll.meDateFromTenor(O781,"1D","FOLLOWING","TGT")</f>
        <v>43616</v>
      </c>
      <c r="P782" s="95">
        <f ca="1"/>
        <v>2.7577209604953403E-3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-2.2712262685348479E-3</v>
      </c>
      <c r="H783" s="92" t="s">
        <v>4</v>
      </c>
      <c r="I783" s="97">
        <f ca="1">_xll.meDateFromTenor(I782,"1D","FOLLOWING","TGT")</f>
        <v>43619</v>
      </c>
      <c r="J783" s="95">
        <f ca="1"/>
        <v>-8.1045010909647935E-4</v>
      </c>
      <c r="K783" s="5" t="s">
        <v>4</v>
      </c>
      <c r="L783" s="97">
        <f ca="1">_xll.meDateFromTenor(L782,"1D","FOLLOWING","TGT")</f>
        <v>43619</v>
      </c>
      <c r="M783" s="95">
        <f ca="1"/>
        <v>7.1640569899814022E-4</v>
      </c>
      <c r="N783" s="5" t="s">
        <v>4</v>
      </c>
      <c r="O783" s="97">
        <f ca="1">_xll.meDateFromTenor(O782,"1D","FOLLOWING","TGT")</f>
        <v>43619</v>
      </c>
      <c r="P783" s="95">
        <f ca="1"/>
        <v>2.7742061207628988E-3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-2.2668315156553608E-3</v>
      </c>
      <c r="H784" s="92" t="s">
        <v>4</v>
      </c>
      <c r="I784" s="97">
        <f ca="1">_xll.meDateFromTenor(I783,"1D","FOLLOWING","TGT")</f>
        <v>43620</v>
      </c>
      <c r="J784" s="95">
        <f ca="1"/>
        <v>-8.0754334990806593E-4</v>
      </c>
      <c r="K784" s="5" t="s">
        <v>4</v>
      </c>
      <c r="L784" s="97">
        <f ca="1">_xll.meDateFromTenor(L783,"1D","FOLLOWING","TGT")</f>
        <v>43620</v>
      </c>
      <c r="M784" s="95">
        <f ca="1"/>
        <v>7.2196624583379353E-4</v>
      </c>
      <c r="N784" s="5" t="s">
        <v>4</v>
      </c>
      <c r="O784" s="97">
        <f ca="1">_xll.meDateFromTenor(O783,"1D","FOLLOWING","TGT")</f>
        <v>43620</v>
      </c>
      <c r="P784" s="95">
        <f ca="1"/>
        <v>2.7797003973381289E-3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-2.2624034864470485E-3</v>
      </c>
      <c r="H785" s="92" t="s">
        <v>4</v>
      </c>
      <c r="I785" s="97">
        <f ca="1">_xll.meDateFromTenor(I784,"1D","FOLLOWING","TGT")</f>
        <v>43621</v>
      </c>
      <c r="J785" s="95">
        <f ca="1"/>
        <v>-8.0462502404054961E-4</v>
      </c>
      <c r="K785" s="5" t="s">
        <v>4</v>
      </c>
      <c r="L785" s="97">
        <f ca="1">_xll.meDateFromTenor(L784,"1D","FOLLOWING","TGT")</f>
        <v>43621</v>
      </c>
      <c r="M785" s="95">
        <f ca="1"/>
        <v>7.2753010767449562E-4</v>
      </c>
      <c r="N785" s="5" t="s">
        <v>4</v>
      </c>
      <c r="O785" s="97">
        <f ca="1">_xll.meDateFromTenor(O784,"1D","FOLLOWING","TGT")</f>
        <v>43621</v>
      </c>
      <c r="P785" s="95">
        <f ca="1"/>
        <v>2.7851942864736213E-3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-2.2579435573744479E-3</v>
      </c>
      <c r="H786" s="92" t="s">
        <v>4</v>
      </c>
      <c r="I786" s="97">
        <f ca="1">_xll.meDateFromTenor(I785,"1D","FOLLOWING","TGT")</f>
        <v>43622</v>
      </c>
      <c r="J786" s="95">
        <f ca="1"/>
        <v>-8.0169513976598703E-4</v>
      </c>
      <c r="K786" s="5" t="s">
        <v>4</v>
      </c>
      <c r="L786" s="97">
        <f ca="1">_xll.meDateFromTenor(L785,"1D","FOLLOWING","TGT")</f>
        <v>43622</v>
      </c>
      <c r="M786" s="95">
        <f ca="1"/>
        <v>7.3309727247556451E-4</v>
      </c>
      <c r="N786" s="5" t="s">
        <v>4</v>
      </c>
      <c r="O786" s="97">
        <f ca="1">_xll.meDateFromTenor(O785,"1D","FOLLOWING","TGT")</f>
        <v>43622</v>
      </c>
      <c r="P786" s="95">
        <f ca="1"/>
        <v>2.7906878043323534E-3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-2.2534531049020938E-3</v>
      </c>
      <c r="H787" s="92" t="s">
        <v>4</v>
      </c>
      <c r="I787" s="97">
        <f ca="1">_xll.meDateFromTenor(I786,"1D","FOLLOWING","TGT")</f>
        <v>43623</v>
      </c>
      <c r="J787" s="95">
        <f ca="1"/>
        <v>-7.9875370535643431E-4</v>
      </c>
      <c r="K787" s="5" t="s">
        <v>4</v>
      </c>
      <c r="L787" s="97">
        <f ca="1">_xll.meDateFromTenor(L786,"1D","FOLLOWING","TGT")</f>
        <v>43623</v>
      </c>
      <c r="M787" s="95">
        <f ca="1"/>
        <v>7.3866772819231941E-4</v>
      </c>
      <c r="N787" s="5" t="s">
        <v>4</v>
      </c>
      <c r="O787" s="97">
        <f ca="1">_xll.meDateFromTenor(O786,"1D","FOLLOWING","TGT")</f>
        <v>43623</v>
      </c>
      <c r="P787" s="95">
        <f ca="1"/>
        <v>2.7961809670773068E-3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-2.2398123717318748E-3</v>
      </c>
      <c r="H788" s="92" t="s">
        <v>4</v>
      </c>
      <c r="I788" s="97">
        <f ca="1">_xll.meDateFromTenor(I787,"1D","FOLLOWING","TGT")</f>
        <v>43626</v>
      </c>
      <c r="J788" s="95">
        <f ca="1"/>
        <v>-7.8986018403839724E-4</v>
      </c>
      <c r="K788" s="5" t="s">
        <v>4</v>
      </c>
      <c r="L788" s="97">
        <f ca="1">_xll.meDateFromTenor(L787,"1D","FOLLOWING","TGT")</f>
        <v>43626</v>
      </c>
      <c r="M788" s="95">
        <f ca="1"/>
        <v>7.5539872038988306E-4</v>
      </c>
      <c r="N788" s="5" t="s">
        <v>4</v>
      </c>
      <c r="O788" s="97">
        <f ca="1">_xll.meDateFromTenor(O787,"1D","FOLLOWING","TGT")</f>
        <v>43626</v>
      </c>
      <c r="P788" s="95">
        <f ca="1"/>
        <v>2.8126584862592945E-3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-2.2352135903058704E-3</v>
      </c>
      <c r="H789" s="92" t="s">
        <v>4</v>
      </c>
      <c r="I789" s="97">
        <f ca="1">_xll.meDateFromTenor(I788,"1D","FOLLOWING","TGT")</f>
        <v>43627</v>
      </c>
      <c r="J789" s="95">
        <f ca="1"/>
        <v>-7.86872631809446E-4</v>
      </c>
      <c r="K789" s="5" t="s">
        <v>4</v>
      </c>
      <c r="L789" s="97">
        <f ca="1">_xll.meDateFromTenor(L788,"1D","FOLLOWING","TGT")</f>
        <v>43627</v>
      </c>
      <c r="M789" s="95">
        <f ca="1"/>
        <v>7.6098221932256553E-4</v>
      </c>
      <c r="N789" s="5" t="s">
        <v>4</v>
      </c>
      <c r="O789" s="97">
        <f ca="1">_xll.meDateFromTenor(O788,"1D","FOLLOWING","TGT")</f>
        <v>43627</v>
      </c>
      <c r="P789" s="95">
        <f ca="1"/>
        <v>2.8181503901789336E-3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-2.2305911678027926E-3</v>
      </c>
      <c r="H790" s="92" t="s">
        <v>4</v>
      </c>
      <c r="I790" s="97">
        <f ca="1">_xll.meDateFromTenor(I789,"1D","FOLLOWING","TGT")</f>
        <v>43628</v>
      </c>
      <c r="J790" s="95">
        <f ca="1"/>
        <v>-7.8387357080578527E-4</v>
      </c>
      <c r="K790" s="5" t="s">
        <v>4</v>
      </c>
      <c r="L790" s="97">
        <f ca="1">_xll.meDateFromTenor(L789,"1D","FOLLOWING","TGT")</f>
        <v>43628</v>
      </c>
      <c r="M790" s="95">
        <f ca="1"/>
        <v>7.6656894894752746E-4</v>
      </c>
      <c r="N790" s="5" t="s">
        <v>4</v>
      </c>
      <c r="O790" s="97">
        <f ca="1">_xll.meDateFromTenor(O789,"1D","FOLLOWING","TGT")</f>
        <v>43628</v>
      </c>
      <c r="P790" s="95">
        <f ca="1"/>
        <v>2.8236420197996943E-3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-2.2259464806871788E-3</v>
      </c>
      <c r="H791" s="92" t="s">
        <v>4</v>
      </c>
      <c r="I791" s="97">
        <f ca="1">_xll.meDateFromTenor(I790,"1D","FOLLOWING","TGT")</f>
        <v>43629</v>
      </c>
      <c r="J791" s="95">
        <f ca="1"/>
        <v>-7.8086300929947159E-4</v>
      </c>
      <c r="K791" s="5" t="s">
        <v>4</v>
      </c>
      <c r="L791" s="97">
        <f ca="1">_xll.meDateFromTenor(L790,"1D","FOLLOWING","TGT")</f>
        <v>43629</v>
      </c>
      <c r="M791" s="95">
        <f ca="1"/>
        <v>7.7215889722008642E-4</v>
      </c>
      <c r="N791" s="5" t="s">
        <v>4</v>
      </c>
      <c r="O791" s="97">
        <f ca="1">_xll.meDateFromTenor(O790,"1D","FOLLOWING","TGT")</f>
        <v>43629</v>
      </c>
      <c r="P791" s="95">
        <f ca="1"/>
        <v>2.8291333912845583E-3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-2.2212809054235646E-3</v>
      </c>
      <c r="H792" s="92" t="s">
        <v>4</v>
      </c>
      <c r="I792" s="97">
        <f ca="1">_xll.meDateFromTenor(I791,"1D","FOLLOWING","TGT")</f>
        <v>43630</v>
      </c>
      <c r="J792" s="95">
        <f ca="1"/>
        <v>-7.7784095556256106E-4</v>
      </c>
      <c r="K792" s="5" t="s">
        <v>4</v>
      </c>
      <c r="L792" s="97">
        <f ca="1">_xll.meDateFromTenor(L791,"1D","FOLLOWING","TGT")</f>
        <v>43630</v>
      </c>
      <c r="M792" s="95">
        <f ca="1"/>
        <v>7.777520520955612E-4</v>
      </c>
      <c r="N792" s="5" t="s">
        <v>4</v>
      </c>
      <c r="O792" s="97">
        <f ca="1">_xll.meDateFromTenor(O791,"1D","FOLLOWING","TGT")</f>
        <v>43630</v>
      </c>
      <c r="P792" s="95">
        <f ca="1"/>
        <v>2.8346245207965031E-3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-2.2071726153900799E-3</v>
      </c>
      <c r="H793" s="92" t="s">
        <v>4</v>
      </c>
      <c r="I793" s="97">
        <f ca="1">_xll.meDateFromTenor(I792,"1D","FOLLOWING","TGT")</f>
        <v>43633</v>
      </c>
      <c r="J793" s="95">
        <f ca="1"/>
        <v>-7.6870592368881126E-4</v>
      </c>
      <c r="K793" s="5" t="s">
        <v>4</v>
      </c>
      <c r="L793" s="97">
        <f ca="1">_xll.meDateFromTenor(L792,"1D","FOLLOWING","TGT")</f>
        <v>43633</v>
      </c>
      <c r="M793" s="95">
        <f ca="1"/>
        <v>7.9455063589266468E-4</v>
      </c>
      <c r="N793" s="5" t="s">
        <v>4</v>
      </c>
      <c r="O793" s="97">
        <f ca="1">_xll.meDateFromTenor(O792,"1D","FOLLOWING","TGT")</f>
        <v>43633</v>
      </c>
      <c r="P793" s="95">
        <f ca="1"/>
        <v>2.8510966191246327E-3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-2.2024372521798259E-3</v>
      </c>
      <c r="H794" s="92" t="s">
        <v>4</v>
      </c>
      <c r="I794" s="97">
        <f ca="1">_xll.meDateFromTenor(I793,"1D","FOLLOWING","TGT")</f>
        <v>43634</v>
      </c>
      <c r="J794" s="95">
        <f ca="1"/>
        <v>-7.656379837500763E-4</v>
      </c>
      <c r="K794" s="5" t="s">
        <v>4</v>
      </c>
      <c r="L794" s="97">
        <f ca="1">_xll.meDateFromTenor(L793,"1D","FOLLOWING","TGT")</f>
        <v>43634</v>
      </c>
      <c r="M794" s="95">
        <f ca="1"/>
        <v>8.0015649673298688E-4</v>
      </c>
      <c r="N794" s="5" t="s">
        <v>4</v>
      </c>
      <c r="O794" s="97">
        <f ca="1">_xll.meDateFromTenor(O793,"1D","FOLLOWING","TGT")</f>
        <v>43634</v>
      </c>
      <c r="P794" s="95">
        <f ca="1"/>
        <v>2.856586942374706E-3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-2.1976878831442511E-3</v>
      </c>
      <c r="H795" s="92" t="s">
        <v>4</v>
      </c>
      <c r="I795" s="97">
        <f ca="1">_xll.meDateFromTenor(I794,"1D","FOLLOWING","TGT")</f>
        <v>43635</v>
      </c>
      <c r="J795" s="95">
        <f ca="1"/>
        <v>-7.6255859294102515E-4</v>
      </c>
      <c r="K795" s="5" t="s">
        <v>4</v>
      </c>
      <c r="L795" s="97">
        <f ca="1">_xll.meDateFromTenor(L794,"1D","FOLLOWING","TGT")</f>
        <v>43635</v>
      </c>
      <c r="M795" s="95">
        <f ca="1"/>
        <v>8.0576550395281823E-4</v>
      </c>
      <c r="N795" s="5" t="s">
        <v>4</v>
      </c>
      <c r="O795" s="97">
        <f ca="1">_xll.meDateFromTenor(O794,"1D","FOLLOWING","TGT")</f>
        <v>43635</v>
      </c>
      <c r="P795" s="95">
        <f ca="1"/>
        <v>2.862077104466764E-3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-2.1929258847478931E-3</v>
      </c>
      <c r="H796" s="92" t="s">
        <v>4</v>
      </c>
      <c r="I796" s="97">
        <f ca="1">_xll.meDateFromTenor(I795,"1D","FOLLOWING","TGT")</f>
        <v>43636</v>
      </c>
      <c r="J796" s="95">
        <f ca="1"/>
        <v>-7.5946775953371511E-4</v>
      </c>
      <c r="K796" s="5" t="s">
        <v>4</v>
      </c>
      <c r="L796" s="97">
        <f ca="1">_xll.meDateFromTenor(L795,"1D","FOLLOWING","TGT")</f>
        <v>43636</v>
      </c>
      <c r="M796" s="95">
        <f ca="1"/>
        <v>8.1137764550747577E-4</v>
      </c>
      <c r="N796" s="5" t="s">
        <v>4</v>
      </c>
      <c r="O796" s="97">
        <f ca="1">_xll.meDateFromTenor(O795,"1D","FOLLOWING","TGT")</f>
        <v>43636</v>
      </c>
      <c r="P796" s="95">
        <f ca="1"/>
        <v>2.867567121563783E-3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-2.188152633455287E-3</v>
      </c>
      <c r="H797" s="92" t="s">
        <v>4</v>
      </c>
      <c r="I797" s="97">
        <f ca="1">_xll.meDateFromTenor(I796,"1D","FOLLOWING","TGT")</f>
        <v>43637</v>
      </c>
      <c r="J797" s="95">
        <f ca="1"/>
        <v>-7.5636549180020099E-4</v>
      </c>
      <c r="K797" s="5" t="s">
        <v>4</v>
      </c>
      <c r="L797" s="97">
        <f ca="1">_xll.meDateFromTenor(L796,"1D","FOLLOWING","TGT")</f>
        <v>43637</v>
      </c>
      <c r="M797" s="95">
        <f ca="1"/>
        <v>8.1699290935227989E-4</v>
      </c>
      <c r="N797" s="5" t="s">
        <v>4</v>
      </c>
      <c r="O797" s="97">
        <f ca="1">_xll.meDateFromTenor(O796,"1D","FOLLOWING","TGT")</f>
        <v>43637</v>
      </c>
      <c r="P797" s="95">
        <f ca="1"/>
        <v>2.8730570098287464E-3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-2.1737791268453418E-3</v>
      </c>
      <c r="H798" s="92" t="s">
        <v>4</v>
      </c>
      <c r="I798" s="97">
        <f ca="1">_xll.meDateFromTenor(I797,"1D","FOLLOWING","TGT")</f>
        <v>43640</v>
      </c>
      <c r="J798" s="95">
        <f ca="1"/>
        <v>-7.4699016536300151E-4</v>
      </c>
      <c r="K798" s="5" t="s">
        <v>4</v>
      </c>
      <c r="L798" s="97">
        <f ca="1">_xll.meDateFromTenor(L797,"1D","FOLLOWING","TGT")</f>
        <v>43640</v>
      </c>
      <c r="M798" s="95">
        <f ca="1"/>
        <v>8.3385731418075164E-4</v>
      </c>
      <c r="N798" s="5" t="s">
        <v>4</v>
      </c>
      <c r="O798" s="97">
        <f ca="1">_xll.meDateFromTenor(O797,"1D","FOLLOWING","TGT")</f>
        <v>43640</v>
      </c>
      <c r="P798" s="95">
        <f ca="1"/>
        <v>2.8895260632610959E-3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-2.1689746286131053E-3</v>
      </c>
      <c r="H799" s="92" t="s">
        <v>4</v>
      </c>
      <c r="I799" s="97">
        <f ca="1">_xll.meDateFromTenor(I798,"1D","FOLLOWING","TGT")</f>
        <v>43641</v>
      </c>
      <c r="J799" s="95">
        <f ca="1"/>
        <v>-7.4384224304523637E-4</v>
      </c>
      <c r="K799" s="5" t="s">
        <v>4</v>
      </c>
      <c r="L799" s="97">
        <f ca="1">_xll.meDateFromTenor(L798,"1D","FOLLOWING","TGT")</f>
        <v>43641</v>
      </c>
      <c r="M799" s="95">
        <f ca="1"/>
        <v>8.394849467393237E-4</v>
      </c>
      <c r="N799" s="5" t="s">
        <v>4</v>
      </c>
      <c r="O799" s="97">
        <f ca="1">_xll.meDateFromTenor(O798,"1D","FOLLOWING","TGT")</f>
        <v>43641</v>
      </c>
      <c r="P799" s="95">
        <f ca="1"/>
        <v>2.8950155978276324E-3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-2.1641657598073022E-3</v>
      </c>
      <c r="H800" s="92" t="s">
        <v>4</v>
      </c>
      <c r="I800" s="97">
        <f ca="1">_xll.meDateFromTenor(I799,"1D","FOLLOWING","TGT")</f>
        <v>43642</v>
      </c>
      <c r="J800" s="95">
        <f ca="1"/>
        <v>-7.4068292776154922E-4</v>
      </c>
      <c r="K800" s="5" t="s">
        <v>4</v>
      </c>
      <c r="L800" s="97">
        <f ca="1">_xll.meDateFromTenor(L799,"1D","FOLLOWING","TGT")</f>
        <v>43642</v>
      </c>
      <c r="M800" s="95">
        <f ca="1"/>
        <v>8.4511564136463449E-4</v>
      </c>
      <c r="N800" s="5" t="s">
        <v>4</v>
      </c>
      <c r="O800" s="97">
        <f ca="1">_xll.meDateFromTenor(O799,"1D","FOLLOWING","TGT")</f>
        <v>43642</v>
      </c>
      <c r="P800" s="95">
        <f ca="1"/>
        <v>2.9005050843770126E-3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-2.1593538968924676E-3</v>
      </c>
      <c r="H801" s="92" t="s">
        <v>4</v>
      </c>
      <c r="I801" s="97">
        <f ca="1">_xll.meDateFromTenor(I800,"1D","FOLLOWING","TGT")</f>
        <v>43643</v>
      </c>
      <c r="J801" s="95">
        <f ca="1"/>
        <v>-7.3751222778399637E-4</v>
      </c>
      <c r="K801" s="5" t="s">
        <v>4</v>
      </c>
      <c r="L801" s="97">
        <f ca="1">_xll.meDateFromTenor(L800,"1D","FOLLOWING","TGT")</f>
        <v>43643</v>
      </c>
      <c r="M801" s="95">
        <f ca="1"/>
        <v>8.5074938601200126E-4</v>
      </c>
      <c r="N801" s="5" t="s">
        <v>4</v>
      </c>
      <c r="O801" s="97">
        <f ca="1">_xll.meDateFromTenor(O800,"1D","FOLLOWING","TGT")</f>
        <v>43643</v>
      </c>
      <c r="P801" s="95">
        <f ca="1"/>
        <v>2.9059945390722155E-3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-2.1545404163331376E-3</v>
      </c>
      <c r="H802" s="92" t="s">
        <v>4</v>
      </c>
      <c r="I802" s="97">
        <f ca="1">_xll.meDateFromTenor(I801,"1D","FOLLOWING","TGT")</f>
        <v>43644</v>
      </c>
      <c r="J802" s="95">
        <f ca="1"/>
        <v>-7.3433015138463318E-4</v>
      </c>
      <c r="K802" s="5" t="s">
        <v>4</v>
      </c>
      <c r="L802" s="97">
        <f ca="1">_xll.meDateFromTenor(L801,"1D","FOLLOWING","TGT")</f>
        <v>43644</v>
      </c>
      <c r="M802" s="95">
        <f ca="1"/>
        <v>8.5638616863674432E-4</v>
      </c>
      <c r="N802" s="5" t="s">
        <v>4</v>
      </c>
      <c r="O802" s="97">
        <f ca="1">_xll.meDateFromTenor(O801,"1D","FOLLOWING","TGT")</f>
        <v>43644</v>
      </c>
      <c r="P802" s="95">
        <f ca="1"/>
        <v>2.9114839780762232E-3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-2.1401040334335379E-3</v>
      </c>
      <c r="H803" s="92" t="s">
        <v>4</v>
      </c>
      <c r="I803" s="97">
        <f ca="1">_xll.meDateFromTenor(I802,"1D","FOLLOWING","TGT")</f>
        <v>43647</v>
      </c>
      <c r="J803" s="95">
        <f ca="1"/>
        <v>-7.2471574637624717E-4</v>
      </c>
      <c r="K803" s="5" t="s">
        <v>4</v>
      </c>
      <c r="L803" s="97">
        <f ca="1">_xll.meDateFromTenor(L802,"1D","FOLLOWING","TGT")</f>
        <v>43647</v>
      </c>
      <c r="M803" s="95">
        <f ca="1"/>
        <v>8.7331462392841212E-4</v>
      </c>
      <c r="N803" s="5" t="s">
        <v>4</v>
      </c>
      <c r="O803" s="97">
        <f ca="1">_xll.meDateFromTenor(O802,"1D","FOLLOWING","TGT")</f>
        <v>43647</v>
      </c>
      <c r="P803" s="95">
        <f ca="1"/>
        <v>2.9279523625708715E-3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-2.1352978469415885E-3</v>
      </c>
      <c r="H804" s="92" t="s">
        <v>4</v>
      </c>
      <c r="I804" s="97">
        <f ca="1">_xll.meDateFromTenor(I803,"1D","FOLLOWING","TGT")</f>
        <v>43648</v>
      </c>
      <c r="J804" s="95">
        <f ca="1"/>
        <v>-7.2148824701020672E-4</v>
      </c>
      <c r="K804" s="5" t="s">
        <v>4</v>
      </c>
      <c r="L804" s="97">
        <f ca="1">_xll.meDateFromTenor(L803,"1D","FOLLOWING","TGT")</f>
        <v>43648</v>
      </c>
      <c r="M804" s="95">
        <f ca="1"/>
        <v>8.7896343801584307E-4</v>
      </c>
      <c r="N804" s="5" t="s">
        <v>4</v>
      </c>
      <c r="O804" s="97">
        <f ca="1">_xll.meDateFromTenor(O803,"1D","FOLLOWING","TGT")</f>
        <v>43648</v>
      </c>
      <c r="P804" s="95">
        <f ca="1"/>
        <v>2.933441900439896E-3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-2.1304966791813804E-3</v>
      </c>
      <c r="H805" s="92" t="s">
        <v>4</v>
      </c>
      <c r="I805" s="97">
        <f ca="1">_xll.meDateFromTenor(I804,"1D","FOLLOWING","TGT")</f>
        <v>43649</v>
      </c>
      <c r="J805" s="95">
        <f ca="1"/>
        <v>-7.1824941258263745E-4</v>
      </c>
      <c r="K805" s="5" t="s">
        <v>4</v>
      </c>
      <c r="L805" s="97">
        <f ca="1">_xll.meDateFromTenor(L804,"1D","FOLLOWING","TGT")</f>
        <v>43649</v>
      </c>
      <c r="M805" s="95">
        <f ca="1"/>
        <v>8.8461522985724234E-4</v>
      </c>
      <c r="N805" s="5" t="s">
        <v>4</v>
      </c>
      <c r="O805" s="97">
        <f ca="1">_xll.meDateFromTenor(O804,"1D","FOLLOWING","TGT")</f>
        <v>43649</v>
      </c>
      <c r="P805" s="95">
        <f ca="1"/>
        <v>2.938931503432626E-3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-2.1257006768852301E-3</v>
      </c>
      <c r="H806" s="92" t="s">
        <v>4</v>
      </c>
      <c r="I806" s="97">
        <f ca="1">_xll.meDateFromTenor(I805,"1D","FOLLOWING","TGT")</f>
        <v>43650</v>
      </c>
      <c r="J806" s="95">
        <f ca="1"/>
        <v>-7.1499925136559567E-4</v>
      </c>
      <c r="K806" s="5" t="s">
        <v>4</v>
      </c>
      <c r="L806" s="97">
        <f ca="1">_xll.meDateFromTenor(L805,"1D","FOLLOWING","TGT")</f>
        <v>43650</v>
      </c>
      <c r="M806" s="95">
        <f ca="1"/>
        <v>8.9026998740792881E-4</v>
      </c>
      <c r="N806" s="5" t="s">
        <v>4</v>
      </c>
      <c r="O806" s="97">
        <f ca="1">_xll.meDateFromTenor(O805,"1D","FOLLOWING","TGT")</f>
        <v>43650</v>
      </c>
      <c r="P806" s="95">
        <f ca="1"/>
        <v>2.9444211877120395E-3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-2.1209097408390119E-3</v>
      </c>
      <c r="H807" s="92" t="s">
        <v>4</v>
      </c>
      <c r="I807" s="97">
        <f ca="1">_xll.meDateFromTenor(I806,"1D","FOLLOWING","TGT")</f>
        <v>43651</v>
      </c>
      <c r="J807" s="95">
        <f ca="1"/>
        <v>-7.117377716311374E-4</v>
      </c>
      <c r="K807" s="5" t="s">
        <v>4</v>
      </c>
      <c r="L807" s="97">
        <f ca="1">_xll.meDateFromTenor(L806,"1D","FOLLOWING","TGT")</f>
        <v>43651</v>
      </c>
      <c r="M807" s="95">
        <f ca="1"/>
        <v>8.9592769862322072E-4</v>
      </c>
      <c r="N807" s="5" t="s">
        <v>4</v>
      </c>
      <c r="O807" s="97">
        <f ca="1">_xll.meDateFromTenor(O806,"1D","FOLLOWING","TGT")</f>
        <v>43651</v>
      </c>
      <c r="P807" s="95">
        <f ca="1"/>
        <v>2.9499109694411186E-3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-2.1065663380586785E-3</v>
      </c>
      <c r="H808" s="92" t="s">
        <v>4</v>
      </c>
      <c r="I808" s="97">
        <f ca="1">_xll.meDateFromTenor(I807,"1D","FOLLOWING","TGT")</f>
        <v>43654</v>
      </c>
      <c r="J808" s="95">
        <f ca="1"/>
        <v>-7.0188550404382747E-4</v>
      </c>
      <c r="K808" s="5" t="s">
        <v>4</v>
      </c>
      <c r="L808" s="97">
        <f ca="1">_xll.meDateFromTenor(L807,"1D","FOLLOWING","TGT")</f>
        <v>43654</v>
      </c>
      <c r="M808" s="95">
        <f ca="1"/>
        <v>9.1291843380991299E-4</v>
      </c>
      <c r="N808" s="5" t="s">
        <v>4</v>
      </c>
      <c r="O808" s="97">
        <f ca="1">_xll.meDateFromTenor(O807,"1D","FOLLOWING","TGT")</f>
        <v>43654</v>
      </c>
      <c r="P808" s="95">
        <f ca="1"/>
        <v>2.9663810609561444E-3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-2.1017946748709175E-3</v>
      </c>
      <c r="H809" s="92" t="s">
        <v>4</v>
      </c>
      <c r="I809" s="97">
        <f ca="1">_xll.meDateFromTenor(I808,"1D","FOLLOWING","TGT")</f>
        <v>43655</v>
      </c>
      <c r="J809" s="95">
        <f ca="1"/>
        <v>-6.9857883296026591E-4</v>
      </c>
      <c r="K809" s="5" t="s">
        <v>4</v>
      </c>
      <c r="L809" s="97">
        <f ca="1">_xll.meDateFromTenor(L808,"1D","FOLLOWING","TGT")</f>
        <v>43655</v>
      </c>
      <c r="M809" s="95">
        <f ca="1"/>
        <v>9.1858783923681265E-4</v>
      </c>
      <c r="N809" s="5" t="s">
        <v>4</v>
      </c>
      <c r="O809" s="97">
        <f ca="1">_xll.meDateFromTenor(O808,"1D","FOLLOWING","TGT")</f>
        <v>43655</v>
      </c>
      <c r="P809" s="95">
        <f ca="1"/>
        <v>2.971871394113684E-3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-2.0970275818624536E-3</v>
      </c>
      <c r="H810" s="92" t="s">
        <v>4</v>
      </c>
      <c r="I810" s="97">
        <f ca="1">_xll.meDateFromTenor(I809,"1D","FOLLOWING","TGT")</f>
        <v>43656</v>
      </c>
      <c r="J810" s="95">
        <f ca="1"/>
        <v>-6.9526088471956893E-4</v>
      </c>
      <c r="K810" s="5" t="s">
        <v>4</v>
      </c>
      <c r="L810" s="97">
        <f ca="1">_xll.meDateFromTenor(L809,"1D","FOLLOWING","TGT")</f>
        <v>43656</v>
      </c>
      <c r="M810" s="95">
        <f ca="1"/>
        <v>9.2426013810491053E-4</v>
      </c>
      <c r="N810" s="5" t="s">
        <v>4</v>
      </c>
      <c r="O810" s="97">
        <f ca="1">_xll.meDateFromTenor(O809,"1D","FOLLOWING","TGT")</f>
        <v>43656</v>
      </c>
      <c r="P810" s="95">
        <f ca="1"/>
        <v>2.9773619055357891E-3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-2.0922649598191594E-3</v>
      </c>
      <c r="H811" s="92" t="s">
        <v>4</v>
      </c>
      <c r="I811" s="97">
        <f ca="1">_xll.meDateFromTenor(I810,"1D","FOLLOWING","TGT")</f>
        <v>43657</v>
      </c>
      <c r="J811" s="95">
        <f ca="1"/>
        <v>-6.9193166759379287E-4</v>
      </c>
      <c r="K811" s="5" t="s">
        <v>4</v>
      </c>
      <c r="L811" s="97">
        <f ca="1">_xll.meDateFromTenor(L810,"1D","FOLLOWING","TGT")</f>
        <v>43657</v>
      </c>
      <c r="M811" s="95">
        <f ca="1"/>
        <v>9.2993531836952519E-4</v>
      </c>
      <c r="N811" s="5" t="s">
        <v>4</v>
      </c>
      <c r="O811" s="97">
        <f ca="1">_xll.meDateFromTenor(O810,"1D","FOLLOWING","TGT")</f>
        <v>43657</v>
      </c>
      <c r="P811" s="95">
        <f ca="1"/>
        <v>2.9828526113854404E-3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-2.0875067095269084E-3</v>
      </c>
      <c r="H812" s="92" t="s">
        <v>4</v>
      </c>
      <c r="I812" s="97">
        <f ca="1">_xll.meDateFromTenor(I811,"1D","FOLLOWING","TGT")</f>
        <v>43658</v>
      </c>
      <c r="J812" s="95">
        <f ca="1"/>
        <v>-6.8859118985499371E-4</v>
      </c>
      <c r="K812" s="5" t="s">
        <v>4</v>
      </c>
      <c r="L812" s="97">
        <f ca="1">_xll.meDateFromTenor(L811,"1D","FOLLOWING","TGT")</f>
        <v>43658</v>
      </c>
      <c r="M812" s="95">
        <f ca="1"/>
        <v>9.3561336798597531E-4</v>
      </c>
      <c r="N812" s="5" t="s">
        <v>4</v>
      </c>
      <c r="O812" s="97">
        <f ca="1">_xll.meDateFromTenor(O811,"1D","FOLLOWING","TGT")</f>
        <v>43658</v>
      </c>
      <c r="P812" s="95">
        <f ca="1"/>
        <v>2.9883435278256166E-3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-2.0732571970151475E-3</v>
      </c>
      <c r="H813" s="92" t="s">
        <v>4</v>
      </c>
      <c r="I813" s="97">
        <f ca="1">_xll.meDateFromTenor(I812,"1D","FOLLOWING","TGT")</f>
        <v>43661</v>
      </c>
      <c r="J813" s="95">
        <f ca="1"/>
        <v>-6.7850227568102184E-4</v>
      </c>
      <c r="K813" s="5" t="s">
        <v>4</v>
      </c>
      <c r="L813" s="97">
        <f ca="1">_xll.meDateFromTenor(L812,"1D","FOLLOWING","TGT")</f>
        <v>43661</v>
      </c>
      <c r="M813" s="95">
        <f ca="1"/>
        <v>9.5266461249952331E-4</v>
      </c>
      <c r="N813" s="5" t="s">
        <v>4</v>
      </c>
      <c r="O813" s="97">
        <f ca="1">_xll.meDateFromTenor(O812,"1D","FOLLOWING","TGT")</f>
        <v>43661</v>
      </c>
      <c r="P813" s="95">
        <f ca="1"/>
        <v>3.0048177023191012E-3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-2.0685154415858008E-3</v>
      </c>
      <c r="H814" s="92" t="s">
        <v>4</v>
      </c>
      <c r="I814" s="97">
        <f ca="1">_xll.meDateFromTenor(I813,"1D","FOLLOWING","TGT")</f>
        <v>43662</v>
      </c>
      <c r="J814" s="95">
        <f ca="1"/>
        <v>-6.7511683821069315E-4</v>
      </c>
      <c r="K814" s="5" t="s">
        <v>4</v>
      </c>
      <c r="L814" s="97">
        <f ca="1">_xll.meDateFromTenor(L813,"1D","FOLLOWING","TGT")</f>
        <v>43662</v>
      </c>
      <c r="M814" s="95">
        <f ca="1"/>
        <v>9.5835401907650092E-4</v>
      </c>
      <c r="N814" s="5" t="s">
        <v>4</v>
      </c>
      <c r="O814" s="97">
        <f ca="1">_xll.meDateFromTenor(O813,"1D","FOLLOWING","TGT")</f>
        <v>43662</v>
      </c>
      <c r="P814" s="95">
        <f ca="1"/>
        <v>3.0103096227511823E-3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-2.0637775618368636E-3</v>
      </c>
      <c r="H815" s="92" t="s">
        <v>4</v>
      </c>
      <c r="I815" s="97">
        <f ca="1">_xll.meDateFromTenor(I814,"1D","FOLLOWING","TGT")</f>
        <v>43663</v>
      </c>
      <c r="J815" s="95">
        <f ca="1"/>
        <v>-6.7172018148762321E-4</v>
      </c>
      <c r="K815" s="5" t="s">
        <v>4</v>
      </c>
      <c r="L815" s="97">
        <f ca="1">_xll.meDateFromTenor(L814,"1D","FOLLOWING","TGT")</f>
        <v>43663</v>
      </c>
      <c r="M815" s="95">
        <f ca="1"/>
        <v>9.640462347819057E-4</v>
      </c>
      <c r="N815" s="5" t="s">
        <v>4</v>
      </c>
      <c r="O815" s="97">
        <f ca="1">_xll.meDateFromTenor(O814,"1D","FOLLOWING","TGT")</f>
        <v>43663</v>
      </c>
      <c r="P815" s="95">
        <f ca="1"/>
        <v>3.0158018345886892E-3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-2.059043458554208E-3</v>
      </c>
      <c r="H816" s="92" t="s">
        <v>4</v>
      </c>
      <c r="I816" s="97">
        <f ca="1">_xll.meDateFromTenor(I815,"1D","FOLLOWING","TGT")</f>
        <v>43664</v>
      </c>
      <c r="J816" s="95">
        <f ca="1"/>
        <v>-6.6831231378386684E-4</v>
      </c>
      <c r="K816" s="5" t="s">
        <v>4</v>
      </c>
      <c r="L816" s="97">
        <f ca="1">_xll.meDateFromTenor(L815,"1D","FOLLOWING","TGT")</f>
        <v>43664</v>
      </c>
      <c r="M816" s="95">
        <f ca="1"/>
        <v>9.6974124757105836E-4</v>
      </c>
      <c r="N816" s="5" t="s">
        <v>4</v>
      </c>
      <c r="O816" s="97">
        <f ca="1">_xll.meDateFromTenor(O815,"1D","FOLLOWING","TGT")</f>
        <v>43664</v>
      </c>
      <c r="P816" s="95">
        <f ca="1"/>
        <v>3.0212943539946026E-3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-2.0543130325237063E-3</v>
      </c>
      <c r="H817" s="92" t="s">
        <v>4</v>
      </c>
      <c r="I817" s="97">
        <f ca="1">_xll.meDateFromTenor(I816,"1D","FOLLOWING","TGT")</f>
        <v>43665</v>
      </c>
      <c r="J817" s="95">
        <f ca="1"/>
        <v>-6.6489324337148134E-4</v>
      </c>
      <c r="K817" s="5" t="s">
        <v>4</v>
      </c>
      <c r="L817" s="97">
        <f ca="1">_xll.meDateFromTenor(L816,"1D","FOLLOWING","TGT")</f>
        <v>43665</v>
      </c>
      <c r="M817" s="95">
        <f ca="1"/>
        <v>9.7543904539927661E-4</v>
      </c>
      <c r="N817" s="5" t="s">
        <v>4</v>
      </c>
      <c r="O817" s="97">
        <f ca="1">_xll.meDateFromTenor(O816,"1D","FOLLOWING","TGT")</f>
        <v>43665</v>
      </c>
      <c r="P817" s="95">
        <f ca="1"/>
        <v>3.0267871971319041E-3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-2.0401428258038645E-3</v>
      </c>
      <c r="H818" s="92" t="s">
        <v>4</v>
      </c>
      <c r="I818" s="97">
        <f ca="1">_xll.meDateFromTenor(I817,"1D","FOLLOWING","TGT")</f>
        <v>43668</v>
      </c>
      <c r="J818" s="95">
        <f ca="1"/>
        <v>-6.5456889860310969E-4</v>
      </c>
      <c r="K818" s="5" t="s">
        <v>4</v>
      </c>
      <c r="L818" s="97">
        <f ca="1">_xll.meDateFromTenor(L817,"1D","FOLLOWING","TGT")</f>
        <v>43668</v>
      </c>
      <c r="M818" s="95">
        <f ca="1"/>
        <v>9.9254902867150887E-4</v>
      </c>
      <c r="N818" s="5" t="s">
        <v>4</v>
      </c>
      <c r="O818" s="97">
        <f ca="1">_xll.meDateFromTenor(O817,"1D","FOLLOWING","TGT")</f>
        <v>43668</v>
      </c>
      <c r="P818" s="95">
        <f ca="1"/>
        <v>3.0432678305619266E-3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-2.0354261166407148E-3</v>
      </c>
      <c r="H819" s="92" t="s">
        <v>4</v>
      </c>
      <c r="I819" s="97">
        <f ca="1">_xll.meDateFromTenor(I818,"1D","FOLLOWING","TGT")</f>
        <v>43669</v>
      </c>
      <c r="J819" s="95">
        <f ca="1"/>
        <v>-6.5110510007676883E-4</v>
      </c>
      <c r="K819" s="5" t="s">
        <v>4</v>
      </c>
      <c r="L819" s="97">
        <f ca="1">_xll.meDateFromTenor(L818,"1D","FOLLOWING","TGT")</f>
        <v>43669</v>
      </c>
      <c r="M819" s="95">
        <f ca="1"/>
        <v>9.9825784620917305E-4</v>
      </c>
      <c r="N819" s="5" t="s">
        <v>4</v>
      </c>
      <c r="O819" s="97">
        <f ca="1">_xll.meDateFromTenor(O818,"1D","FOLLOWING","TGT")</f>
        <v>43669</v>
      </c>
      <c r="P819" s="95">
        <f ca="1"/>
        <v>3.0487621302545749E-3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-2.0307125886590855E-3</v>
      </c>
      <c r="H820" s="92" t="s">
        <v>4</v>
      </c>
      <c r="I820" s="97">
        <f ca="1">_xll.meDateFromTenor(I819,"1D","FOLLOWING","TGT")</f>
        <v>43670</v>
      </c>
      <c r="J820" s="95">
        <f ca="1"/>
        <v>-6.4763014020207906E-4</v>
      </c>
      <c r="K820" s="5" t="s">
        <v>4</v>
      </c>
      <c r="L820" s="97">
        <f ca="1">_xll.meDateFromTenor(L819,"1D","FOLLOWING","TGT")</f>
        <v>43670</v>
      </c>
      <c r="M820" s="95">
        <f ca="1"/>
        <v>1.0039693885624966E-3</v>
      </c>
      <c r="N820" s="5" t="s">
        <v>4</v>
      </c>
      <c r="O820" s="97">
        <f ca="1">_xll.meDateFromTenor(O819,"1D","FOLLOWING","TGT")</f>
        <v>43670</v>
      </c>
      <c r="P820" s="95">
        <f ca="1"/>
        <v>3.0542568344935107E-3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-2.0260021426448493E-3</v>
      </c>
      <c r="H821" s="92" t="s">
        <v>4</v>
      </c>
      <c r="I821" s="97">
        <f ca="1">_xll.meDateFromTenor(I820,"1D","FOLLOWING","TGT")</f>
        <v>43671</v>
      </c>
      <c r="J821" s="95">
        <f ca="1"/>
        <v>-6.4414402725109714E-4</v>
      </c>
      <c r="K821" s="5" t="s">
        <v>4</v>
      </c>
      <c r="L821" s="97">
        <f ca="1">_xll.meDateFromTenor(L820,"1D","FOLLOWING","TGT")</f>
        <v>43671</v>
      </c>
      <c r="M821" s="95">
        <f ca="1"/>
        <v>1.0096836436867969E-3</v>
      </c>
      <c r="N821" s="5" t="s">
        <v>4</v>
      </c>
      <c r="O821" s="97">
        <f ca="1">_xll.meDateFromTenor(O820,"1D","FOLLOWING","TGT")</f>
        <v>43671</v>
      </c>
      <c r="P821" s="95">
        <f ca="1"/>
        <v>3.0597519594417148E-3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-2.0212946793838811E-3</v>
      </c>
      <c r="H822" s="92" t="s">
        <v>4</v>
      </c>
      <c r="I822" s="97">
        <f ca="1">_xll.meDateFromTenor(I821,"1D","FOLLOWING","TGT")</f>
        <v>43672</v>
      </c>
      <c r="J822" s="95">
        <f ca="1"/>
        <v>-6.4064676949587959E-4</v>
      </c>
      <c r="K822" s="5" t="s">
        <v>4</v>
      </c>
      <c r="L822" s="97">
        <f ca="1">_xll.meDateFromTenor(L821,"1D","FOLLOWING","TGT")</f>
        <v>43672</v>
      </c>
      <c r="M822" s="95">
        <f ca="1"/>
        <v>1.0154005995373916E-3</v>
      </c>
      <c r="N822" s="5" t="s">
        <v>4</v>
      </c>
      <c r="O822" s="97">
        <f ca="1">_xll.meDateFromTenor(O821,"1D","FOLLOWING","TGT")</f>
        <v>43672</v>
      </c>
      <c r="P822" s="95">
        <f ca="1"/>
        <v>3.0652475212621651E-3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-2.0071891939793048E-3</v>
      </c>
      <c r="H823" s="92" t="s">
        <v>4</v>
      </c>
      <c r="I823" s="97">
        <f ca="1">_xll.meDateFromTenor(I822,"1D","FOLLOWING","TGT")</f>
        <v>43675</v>
      </c>
      <c r="J823" s="95">
        <f ca="1"/>
        <v>-6.3008821012537164E-4</v>
      </c>
      <c r="K823" s="5" t="s">
        <v>4</v>
      </c>
      <c r="L823" s="97">
        <f ca="1">_xll.meDateFromTenor(L822,"1D","FOLLOWING","TGT")</f>
        <v>43675</v>
      </c>
      <c r="M823" s="95">
        <f ca="1"/>
        <v>1.0325675510001362E-3</v>
      </c>
      <c r="N823" s="5" t="s">
        <v>4</v>
      </c>
      <c r="O823" s="97">
        <f ca="1">_xll.meDateFromTenor(O822,"1D","FOLLOWING","TGT")</f>
        <v>43675</v>
      </c>
      <c r="P823" s="95">
        <f ca="1"/>
        <v>3.0817369895868056E-3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-2.0024926695901332E-3</v>
      </c>
      <c r="H824" s="92" t="s">
        <v>4</v>
      </c>
      <c r="I824" s="97">
        <f ca="1">_xll.meDateFromTenor(I823,"1D","FOLLOWING","TGT")</f>
        <v>43676</v>
      </c>
      <c r="J824" s="95">
        <f ca="1"/>
        <v>-6.2654645587377164E-4</v>
      </c>
      <c r="K824" s="5" t="s">
        <v>4</v>
      </c>
      <c r="L824" s="97">
        <f ca="1">_xll.meDateFromTenor(L823,"1D","FOLLOWING","TGT")</f>
        <v>43676</v>
      </c>
      <c r="M824" s="95">
        <f ca="1"/>
        <v>1.0382951893090986E-3</v>
      </c>
      <c r="N824" s="5" t="s">
        <v>4</v>
      </c>
      <c r="O824" s="97">
        <f ca="1">_xll.meDateFromTenor(O823,"1D","FOLLOWING","TGT")</f>
        <v>43676</v>
      </c>
      <c r="P824" s="95">
        <f ca="1"/>
        <v>3.0872344605260482E-3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-1.9977986318835939E-3</v>
      </c>
      <c r="H825" s="92" t="s">
        <v>4</v>
      </c>
      <c r="I825" s="97">
        <f ca="1">_xll.meDateFromTenor(I824,"1D","FOLLOWING","TGT")</f>
        <v>43677</v>
      </c>
      <c r="J825" s="95">
        <f ca="1"/>
        <v>-6.2299359817821677E-4</v>
      </c>
      <c r="K825" s="5" t="s">
        <v>4</v>
      </c>
      <c r="L825" s="97">
        <f ca="1">_xll.meDateFromTenor(L824,"1D","FOLLOWING","TGT")</f>
        <v>43677</v>
      </c>
      <c r="M825" s="95">
        <f ca="1"/>
        <v>1.0440254681209494E-3</v>
      </c>
      <c r="N825" s="5" t="s">
        <v>4</v>
      </c>
      <c r="O825" s="97">
        <f ca="1">_xll.meDateFromTenor(O824,"1D","FOLLOWING","TGT")</f>
        <v>43677</v>
      </c>
      <c r="P825" s="95">
        <f ca="1"/>
        <v>3.09273244915244E-3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-1.9931069816455614E-3</v>
      </c>
      <c r="H826" s="92" t="s">
        <v>4</v>
      </c>
      <c r="I826" s="97">
        <f ca="1">_xll.meDateFromTenor(I825,"1D","FOLLOWING","TGT")</f>
        <v>43678</v>
      </c>
      <c r="J826" s="95">
        <f ca="1"/>
        <v>-6.1942964531076371E-4</v>
      </c>
      <c r="K826" s="5" t="s">
        <v>4</v>
      </c>
      <c r="L826" s="97">
        <f ca="1">_xll.meDateFromTenor(L825,"1D","FOLLOWING","TGT")</f>
        <v>43678</v>
      </c>
      <c r="M826" s="95">
        <f ca="1"/>
        <v>1.0497583753910061E-3</v>
      </c>
      <c r="N826" s="5" t="s">
        <v>4</v>
      </c>
      <c r="O826" s="97">
        <f ca="1">_xll.meDateFromTenor(O825,"1D","FOLLOWING","TGT")</f>
        <v>43678</v>
      </c>
      <c r="P826" s="95">
        <f ca="1"/>
        <v>3.0982309716289587E-3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-1.9884176196619061E-3</v>
      </c>
      <c r="H827" s="92" t="s">
        <v>4</v>
      </c>
      <c r="I827" s="97">
        <f ca="1">_xll.meDateFromTenor(I826,"1D","FOLLOWING","TGT")</f>
        <v>43679</v>
      </c>
      <c r="J827" s="95">
        <f ca="1"/>
        <v>-6.1585460554346746E-4</v>
      </c>
      <c r="K827" s="5" t="s">
        <v>4</v>
      </c>
      <c r="L827" s="97">
        <f ca="1">_xll.meDateFromTenor(L826,"1D","FOLLOWING","TGT")</f>
        <v>43679</v>
      </c>
      <c r="M827" s="95">
        <f ca="1"/>
        <v>1.0554938990745887E-3</v>
      </c>
      <c r="N827" s="5" t="s">
        <v>4</v>
      </c>
      <c r="O827" s="97">
        <f ca="1">_xll.meDateFromTenor(O826,"1D","FOLLOWING","TGT")</f>
        <v>43679</v>
      </c>
      <c r="P827" s="95">
        <f ca="1"/>
        <v>3.1037300441185871E-3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-1.9743567139213769E-3</v>
      </c>
      <c r="H828" s="92" t="s">
        <v>4</v>
      </c>
      <c r="I828" s="97">
        <f ca="1">_xll.meDateFromTenor(I827,"1D","FOLLOWING","TGT")</f>
        <v>43682</v>
      </c>
      <c r="J828" s="95">
        <f ca="1"/>
        <v>-6.0506304756308637E-4</v>
      </c>
      <c r="K828" s="5" t="s">
        <v>4</v>
      </c>
      <c r="L828" s="97">
        <f ca="1">_xll.meDateFromTenor(L827,"1D","FOLLOWING","TGT")</f>
        <v>43682</v>
      </c>
      <c r="M828" s="95">
        <f ca="1"/>
        <v>1.0727160481596733E-3</v>
      </c>
      <c r="N828" s="5" t="s">
        <v>4</v>
      </c>
      <c r="O828" s="97">
        <f ca="1">_xll.meDateFromTenor(O827,"1D","FOLLOWING","TGT")</f>
        <v>43682</v>
      </c>
      <c r="P828" s="95">
        <f ca="1"/>
        <v>3.1202307232959235E-3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-1.9696678974265983E-3</v>
      </c>
      <c r="H829" s="92" t="s">
        <v>4</v>
      </c>
      <c r="I829" s="97">
        <f ca="1">_xll.meDateFromTenor(I828,"1D","FOLLOWING","TGT")</f>
        <v>43683</v>
      </c>
      <c r="J829" s="95">
        <f ca="1"/>
        <v>-6.0144374291698206E-4</v>
      </c>
      <c r="K829" s="5" t="s">
        <v>4</v>
      </c>
      <c r="L829" s="97">
        <f ca="1">_xll.meDateFromTenor(L828,"1D","FOLLOWING","TGT")</f>
        <v>43683</v>
      </c>
      <c r="M829" s="95">
        <f ca="1"/>
        <v>1.0784619170505429E-3</v>
      </c>
      <c r="N829" s="5" t="s">
        <v>4</v>
      </c>
      <c r="O829" s="97">
        <f ca="1">_xll.meDateFromTenor(O828,"1D","FOLLOWING","TGT")</f>
        <v>43683</v>
      </c>
      <c r="P829" s="95">
        <f ca="1"/>
        <v>3.1257321574677875E-3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-1.9649759334048381E-3</v>
      </c>
      <c r="H830" s="92" t="s">
        <v>4</v>
      </c>
      <c r="I830" s="97">
        <f ca="1">_xll.meDateFromTenor(I829,"1D","FOLLOWING","TGT")</f>
        <v>43684</v>
      </c>
      <c r="J830" s="95">
        <f ca="1"/>
        <v>-5.9781339273131642E-4</v>
      </c>
      <c r="K830" s="5" t="s">
        <v>4</v>
      </c>
      <c r="L830" s="97">
        <f ca="1">_xll.meDateFromTenor(L829,"1D","FOLLOWING","TGT")</f>
        <v>43684</v>
      </c>
      <c r="M830" s="95">
        <f ca="1"/>
        <v>1.0842103421315303E-3</v>
      </c>
      <c r="N830" s="5" t="s">
        <v>4</v>
      </c>
      <c r="O830" s="97">
        <f ca="1">_xll.meDateFromTenor(O829,"1D","FOLLOWING","TGT")</f>
        <v>43684</v>
      </c>
      <c r="P830" s="95">
        <f ca="1"/>
        <v>3.1312342224676603E-3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-1.9602794877142888E-3</v>
      </c>
      <c r="H831" s="92" t="s">
        <v>4</v>
      </c>
      <c r="I831" s="97">
        <f ca="1">_xll.meDateFromTenor(I830,"1D","FOLLOWING","TGT")</f>
        <v>43685</v>
      </c>
      <c r="J831" s="95">
        <f ca="1"/>
        <v>-5.9417200527814523E-4</v>
      </c>
      <c r="K831" s="5" t="s">
        <v>4</v>
      </c>
      <c r="L831" s="97">
        <f ca="1">_xll.meDateFromTenor(L830,"1D","FOLLOWING","TGT")</f>
        <v>43685</v>
      </c>
      <c r="M831" s="95">
        <f ca="1"/>
        <v>1.0899613113579546E-3</v>
      </c>
      <c r="N831" s="5" t="s">
        <v>4</v>
      </c>
      <c r="O831" s="97">
        <f ca="1">_xll.meDateFromTenor(O830,"1D","FOLLOWING","TGT")</f>
        <v>43685</v>
      </c>
      <c r="P831" s="95">
        <f ca="1"/>
        <v>3.1367369344585229E-3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-1.9555772262131411E-3</v>
      </c>
      <c r="H832" s="92" t="s">
        <v>4</v>
      </c>
      <c r="I832" s="97">
        <f ca="1">_xll.meDateFromTenor(I831,"1D","FOLLOWING","TGT")</f>
        <v>43686</v>
      </c>
      <c r="J832" s="95">
        <f ca="1"/>
        <v>-5.9051958882952514E-4</v>
      </c>
      <c r="K832" s="5" t="s">
        <v>4</v>
      </c>
      <c r="L832" s="97">
        <f ca="1">_xll.meDateFromTenor(L831,"1D","FOLLOWING","TGT")</f>
        <v>43686</v>
      </c>
      <c r="M832" s="95">
        <f ca="1"/>
        <v>1.0957148126851341E-3</v>
      </c>
      <c r="N832" s="5" t="s">
        <v>4</v>
      </c>
      <c r="O832" s="97">
        <f ca="1">_xll.meDateFromTenor(O831,"1D","FOLLOWING","TGT")</f>
        <v>43686</v>
      </c>
      <c r="P832" s="95">
        <f ca="1"/>
        <v>3.1422403096033544E-3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-1.9414222054280315E-3</v>
      </c>
      <c r="H833" s="92" t="s">
        <v>4</v>
      </c>
      <c r="I833" s="97">
        <f ca="1">_xll.meDateFromTenor(I832,"1D","FOLLOWING","TGT")</f>
        <v>43689</v>
      </c>
      <c r="J833" s="95">
        <f ca="1"/>
        <v>-5.7949624823153351E-4</v>
      </c>
      <c r="K833" s="5" t="s">
        <v>4</v>
      </c>
      <c r="L833" s="97">
        <f ca="1">_xll.meDateFromTenor(L832,"1D","FOLLOWING","TGT")</f>
        <v>43689</v>
      </c>
      <c r="M833" s="95">
        <f ca="1"/>
        <v>1.1129903888243877E-3</v>
      </c>
      <c r="N833" s="5" t="s">
        <v>4</v>
      </c>
      <c r="O833" s="97">
        <f ca="1">_xll.meDateFromTenor(O832,"1D","FOLLOWING","TGT")</f>
        <v>43689</v>
      </c>
      <c r="P833" s="95">
        <f ca="1"/>
        <v>3.158754575591467E-3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-1.9366833392664103E-3</v>
      </c>
      <c r="H834" s="92" t="s">
        <v>4</v>
      </c>
      <c r="I834" s="97">
        <f ca="1">_xll.meDateFromTenor(I833,"1D","FOLLOWING","TGT")</f>
        <v>43690</v>
      </c>
      <c r="J834" s="95">
        <f ca="1"/>
        <v>-5.7579979852167922E-4</v>
      </c>
      <c r="K834" s="5" t="s">
        <v>4</v>
      </c>
      <c r="L834" s="97">
        <f ca="1">_xll.meDateFromTenor(L833,"1D","FOLLOWING","TGT")</f>
        <v>43690</v>
      </c>
      <c r="M834" s="95">
        <f ca="1"/>
        <v>1.118753898107774E-3</v>
      </c>
      <c r="N834" s="5" t="s">
        <v>4</v>
      </c>
      <c r="O834" s="97">
        <f ca="1">_xll.meDateFromTenor(O833,"1D","FOLLOWING","TGT")</f>
        <v>43690</v>
      </c>
      <c r="P834" s="95">
        <f ca="1"/>
        <v>3.1642607649819774E-3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-1.9319319865851504E-3</v>
      </c>
      <c r="H835" s="92" t="s">
        <v>4</v>
      </c>
      <c r="I835" s="97">
        <f ca="1">_xll.meDateFromTenor(I834,"1D","FOLLOWING","TGT")</f>
        <v>43691</v>
      </c>
      <c r="J835" s="95">
        <f ca="1"/>
        <v>-5.7209236117665657E-4</v>
      </c>
      <c r="K835" s="5" t="s">
        <v>4</v>
      </c>
      <c r="L835" s="97">
        <f ca="1">_xll.meDateFromTenor(L834,"1D","FOLLOWING","TGT")</f>
        <v>43691</v>
      </c>
      <c r="M835" s="95">
        <f ca="1"/>
        <v>1.1245198792685079E-3</v>
      </c>
      <c r="N835" s="5" t="s">
        <v>4</v>
      </c>
      <c r="O835" s="97">
        <f ca="1">_xll.meDateFromTenor(O834,"1D","FOLLOWING","TGT")</f>
        <v>43691</v>
      </c>
      <c r="P835" s="95">
        <f ca="1"/>
        <v>3.1697676983413591E-3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-1.9271668132424433E-3</v>
      </c>
      <c r="H836" s="92" t="s">
        <v>4</v>
      </c>
      <c r="I836" s="97">
        <f ca="1">_xll.meDateFromTenor(I835,"1D","FOLLOWING","TGT")</f>
        <v>43692</v>
      </c>
      <c r="J836" s="95">
        <f ca="1"/>
        <v>-5.6837394446852243E-4</v>
      </c>
      <c r="K836" s="5" t="s">
        <v>4</v>
      </c>
      <c r="L836" s="97">
        <f ca="1">_xll.meDateFromTenor(L835,"1D","FOLLOWING","TGT")</f>
        <v>43692</v>
      </c>
      <c r="M836" s="95">
        <f ca="1"/>
        <v>1.1302883202619085E-3</v>
      </c>
      <c r="N836" s="5" t="s">
        <v>4</v>
      </c>
      <c r="O836" s="97">
        <f ca="1">_xll.meDateFromTenor(O835,"1D","FOLLOWING","TGT")</f>
        <v>43692</v>
      </c>
      <c r="P836" s="95">
        <f ca="1"/>
        <v>3.1752753918325902E-3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-1.9223864850964811E-3</v>
      </c>
      <c r="H837" s="92" t="s">
        <v>4</v>
      </c>
      <c r="I837" s="97">
        <f ca="1">_xll.meDateFromTenor(I836,"1D","FOLLOWING","TGT")</f>
        <v>43693</v>
      </c>
      <c r="J837" s="95">
        <f ca="1"/>
        <v>-5.6464455666933248E-4</v>
      </c>
      <c r="K837" s="5" t="s">
        <v>4</v>
      </c>
      <c r="L837" s="97">
        <f ca="1">_xll.meDateFromTenor(L836,"1D","FOLLOWING","TGT")</f>
        <v>43693</v>
      </c>
      <c r="M837" s="95">
        <f ca="1"/>
        <v>1.1360592090432946E-3</v>
      </c>
      <c r="N837" s="5" t="s">
        <v>4</v>
      </c>
      <c r="O837" s="97">
        <f ca="1">_xll.meDateFromTenor(O836,"1D","FOLLOWING","TGT")</f>
        <v>43693</v>
      </c>
      <c r="P837" s="95">
        <f ca="1"/>
        <v>3.1807838616186523E-3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-1.9079412304209796E-3</v>
      </c>
      <c r="H838" s="92" t="s">
        <v>4</v>
      </c>
      <c r="I838" s="97">
        <f ca="1">_xll.meDateFromTenor(I837,"1D","FOLLOWING","TGT")</f>
        <v>43696</v>
      </c>
      <c r="J838" s="95">
        <f ca="1"/>
        <v>-5.5339064944599184E-4</v>
      </c>
      <c r="K838" s="5" t="s">
        <v>4</v>
      </c>
      <c r="L838" s="97">
        <f ca="1">_xll.meDateFromTenor(L837,"1D","FOLLOWING","TGT")</f>
        <v>43696</v>
      </c>
      <c r="M838" s="95">
        <f ca="1"/>
        <v>1.1533864416685478E-3</v>
      </c>
      <c r="N838" s="5" t="s">
        <v>4</v>
      </c>
      <c r="O838" s="97">
        <f ca="1">_xll.meDateFromTenor(O837,"1D","FOLLOWING","TGT")</f>
        <v>43696</v>
      </c>
      <c r="P838" s="95">
        <f ca="1"/>
        <v>3.1973140903756203E-3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-1.9030869416439128E-3</v>
      </c>
      <c r="H839" s="92" t="s">
        <v>4</v>
      </c>
      <c r="I839" s="97">
        <f ca="1">_xll.meDateFromTenor(I838,"1D","FOLLOWING","TGT")</f>
        <v>43697</v>
      </c>
      <c r="J839" s="95">
        <f ca="1"/>
        <v>-5.4961746000314166E-4</v>
      </c>
      <c r="K839" s="5" t="s">
        <v>4</v>
      </c>
      <c r="L839" s="97">
        <f ca="1">_xll.meDateFromTenor(L838,"1D","FOLLOWING","TGT")</f>
        <v>43697</v>
      </c>
      <c r="M839" s="95">
        <f ca="1"/>
        <v>1.15916700115506E-3</v>
      </c>
      <c r="N839" s="5" t="s">
        <v>4</v>
      </c>
      <c r="O839" s="97">
        <f ca="1">_xll.meDateFromTenor(O838,"1D","FOLLOWING","TGT")</f>
        <v>43697</v>
      </c>
      <c r="P839" s="95">
        <f ca="1"/>
        <v>3.2028258269708059E-3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-1.8982108273545505E-3</v>
      </c>
      <c r="H840" s="92" t="s">
        <v>4</v>
      </c>
      <c r="I840" s="97">
        <f ca="1">_xll.meDateFromTenor(I839,"1D","FOLLOWING","TGT")</f>
        <v>43698</v>
      </c>
      <c r="J840" s="95">
        <f ca="1"/>
        <v>-5.458333408295174E-4</v>
      </c>
      <c r="K840" s="5" t="s">
        <v>4</v>
      </c>
      <c r="L840" s="97">
        <f ca="1">_xll.meDateFromTenor(L839,"1D","FOLLOWING","TGT")</f>
        <v>43698</v>
      </c>
      <c r="M840" s="95">
        <f ca="1"/>
        <v>1.1649499482061494E-3</v>
      </c>
      <c r="N840" s="5" t="s">
        <v>4</v>
      </c>
      <c r="O840" s="97">
        <f ca="1">_xll.meDateFromTenor(O839,"1D","FOLLOWING","TGT")</f>
        <v>43698</v>
      </c>
      <c r="P840" s="95">
        <f ca="1"/>
        <v>3.2083384206757206E-3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-1.893311553411083E-3</v>
      </c>
      <c r="H841" s="92" t="s">
        <v>4</v>
      </c>
      <c r="I841" s="97">
        <f ca="1">_xll.meDateFromTenor(I840,"1D","FOLLOWING","TGT")</f>
        <v>43699</v>
      </c>
      <c r="J841" s="95">
        <f ca="1"/>
        <v>-5.4203830019717409E-4</v>
      </c>
      <c r="K841" s="5" t="s">
        <v>4</v>
      </c>
      <c r="L841" s="97">
        <f ca="1">_xll.meDateFromTenor(L840,"1D","FOLLOWING","TGT")</f>
        <v>43699</v>
      </c>
      <c r="M841" s="95">
        <f ca="1"/>
        <v>1.1707352707771362E-3</v>
      </c>
      <c r="N841" s="5" t="s">
        <v>4</v>
      </c>
      <c r="O841" s="97">
        <f ca="1">_xll.meDateFromTenor(O840,"1D","FOLLOWING","TGT")</f>
        <v>43699</v>
      </c>
      <c r="P841" s="95">
        <f ca="1"/>
        <v>3.2138518876533477E-3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-1.8883877856717018E-3</v>
      </c>
      <c r="H842" s="92" t="s">
        <v>4</v>
      </c>
      <c r="I842" s="97">
        <f ca="1">_xll.meDateFromTenor(I841,"1D","FOLLOWING","TGT")</f>
        <v>43700</v>
      </c>
      <c r="J842" s="95">
        <f ca="1"/>
        <v>-5.382323463781688E-4</v>
      </c>
      <c r="K842" s="5" t="s">
        <v>4</v>
      </c>
      <c r="L842" s="97">
        <f ca="1">_xll.meDateFromTenor(L841,"1D","FOLLOWING","TGT")</f>
        <v>43700</v>
      </c>
      <c r="M842" s="95">
        <f ca="1"/>
        <v>1.1765229568233379E-3</v>
      </c>
      <c r="N842" s="5" t="s">
        <v>4</v>
      </c>
      <c r="O842" s="97">
        <f ca="1">_xll.meDateFromTenor(O841,"1D","FOLLOWING","TGT")</f>
        <v>43700</v>
      </c>
      <c r="P842" s="95">
        <f ca="1"/>
        <v>3.2193662440666662E-3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-1.8734561782599987E-3</v>
      </c>
      <c r="H843" s="92" t="s">
        <v>4</v>
      </c>
      <c r="I843" s="97">
        <f ca="1">_xll.meDateFromTenor(I842,"1D","FOLLOWING","TGT")</f>
        <v>43703</v>
      </c>
      <c r="J843" s="95">
        <f ca="1"/>
        <v>-5.2674908852174166E-4</v>
      </c>
      <c r="K843" s="5" t="s">
        <v>4</v>
      </c>
      <c r="L843" s="97">
        <f ca="1">_xll.meDateFromTenor(L842,"1D","FOLLOWING","TGT")</f>
        <v>43703</v>
      </c>
      <c r="M843" s="95">
        <f ca="1"/>
        <v>1.19390007536642E-3</v>
      </c>
      <c r="N843" s="5" t="s">
        <v>4</v>
      </c>
      <c r="O843" s="97">
        <f ca="1">_xll.meDateFromTenor(O842,"1D","FOLLOWING","TGT")</f>
        <v>43703</v>
      </c>
      <c r="P843" s="95">
        <f ca="1"/>
        <v>3.2359148115505706E-3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-1.8684210939188832E-3</v>
      </c>
      <c r="H844" s="92" t="s">
        <v>4</v>
      </c>
      <c r="I844" s="97">
        <f ca="1">_xll.meDateFromTenor(I843,"1D","FOLLOWING","TGT")</f>
        <v>43704</v>
      </c>
      <c r="J844" s="95">
        <f ca="1"/>
        <v>-5.2289956467664969E-4</v>
      </c>
      <c r="K844" s="5" t="s">
        <v>4</v>
      </c>
      <c r="L844" s="97">
        <f ca="1">_xll.meDateFromTenor(L843,"1D","FOLLOWING","TGT")</f>
        <v>43704</v>
      </c>
      <c r="M844" s="95">
        <f ca="1"/>
        <v>1.1996970948666679E-3</v>
      </c>
      <c r="N844" s="5" t="s">
        <v>4</v>
      </c>
      <c r="O844" s="97">
        <f ca="1">_xll.meDateFromTenor(O843,"1D","FOLLOWING","TGT")</f>
        <v>43704</v>
      </c>
      <c r="P844" s="95">
        <f ca="1"/>
        <v>3.2414328873364554E-3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-1.8633548450728147E-3</v>
      </c>
      <c r="H845" s="92" t="s">
        <v>4</v>
      </c>
      <c r="I845" s="97">
        <f ca="1">_xll.meDateFromTenor(I844,"1D","FOLLOWING","TGT")</f>
        <v>43705</v>
      </c>
      <c r="J845" s="95">
        <f ca="1"/>
        <v>-5.1903916900517726E-4</v>
      </c>
      <c r="K845" s="5" t="s">
        <v>4</v>
      </c>
      <c r="L845" s="97">
        <f ca="1">_xll.meDateFromTenor(L844,"1D","FOLLOWING","TGT")</f>
        <v>43705</v>
      </c>
      <c r="M845" s="95">
        <f ca="1"/>
        <v>1.2054964176187229E-3</v>
      </c>
      <c r="N845" s="5" t="s">
        <v>4</v>
      </c>
      <c r="O845" s="97">
        <f ca="1">_xll.meDateFromTenor(O844,"1D","FOLLOWING","TGT")</f>
        <v>43705</v>
      </c>
      <c r="P845" s="95">
        <f ca="1"/>
        <v>3.246951933372932E-3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-1.8582560975799825E-3</v>
      </c>
      <c r="H846" s="92" t="s">
        <v>4</v>
      </c>
      <c r="I846" s="97">
        <f ca="1">_xll.meDateFromTenor(I845,"1D","FOLLOWING","TGT")</f>
        <v>43706</v>
      </c>
      <c r="J846" s="95">
        <f ca="1"/>
        <v>-5.1516790977937919E-4</v>
      </c>
      <c r="K846" s="5" t="s">
        <v>4</v>
      </c>
      <c r="L846" s="97">
        <f ca="1">_xll.meDateFromTenor(L845,"1D","FOLLOWING","TGT")</f>
        <v>43706</v>
      </c>
      <c r="M846" s="95">
        <f ca="1"/>
        <v>1.2112980315779052E-3</v>
      </c>
      <c r="N846" s="5" t="s">
        <v>4</v>
      </c>
      <c r="O846" s="97">
        <f ca="1">_xll.meDateFromTenor(O845,"1D","FOLLOWING","TGT")</f>
        <v>43706</v>
      </c>
      <c r="P846" s="95">
        <f ca="1"/>
        <v>3.2524719658229809E-3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-1.8531235172985811E-3</v>
      </c>
      <c r="H847" s="92" t="s">
        <v>4</v>
      </c>
      <c r="I847" s="97">
        <f ca="1">_xll.meDateFromTenor(I846,"1D","FOLLOWING","TGT")</f>
        <v>43707</v>
      </c>
      <c r="J847" s="95">
        <f ca="1"/>
        <v>-5.1128579527131321E-4</v>
      </c>
      <c r="K847" s="5" t="s">
        <v>4</v>
      </c>
      <c r="L847" s="97">
        <f ca="1">_xll.meDateFromTenor(L846,"1D","FOLLOWING","TGT")</f>
        <v>43707</v>
      </c>
      <c r="M847" s="95">
        <f ca="1"/>
        <v>1.2171019246995315E-3</v>
      </c>
      <c r="N847" s="5" t="s">
        <v>4</v>
      </c>
      <c r="O847" s="97">
        <f ca="1">_xll.meDateFromTenor(O846,"1D","FOLLOWING","TGT")</f>
        <v>43707</v>
      </c>
      <c r="P847" s="95">
        <f ca="1"/>
        <v>3.257993000849582E-3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-1.8375094383048674E-3</v>
      </c>
      <c r="H848" s="92" t="s">
        <v>4</v>
      </c>
      <c r="I848" s="97">
        <f ca="1">_xll.meDateFromTenor(I847,"1D","FOLLOWING","TGT")</f>
        <v>43710</v>
      </c>
      <c r="J848" s="95">
        <f ca="1"/>
        <v>-4.9957440277406293E-4</v>
      </c>
      <c r="K848" s="5" t="s">
        <v>4</v>
      </c>
      <c r="L848" s="97">
        <f ca="1">_xll.meDateFromTenor(L847,"1D","FOLLOWING","TGT")</f>
        <v>43710</v>
      </c>
      <c r="M848" s="95">
        <f ca="1"/>
        <v>1.2345271585922702E-3</v>
      </c>
      <c r="N848" s="5" t="s">
        <v>4</v>
      </c>
      <c r="O848" s="97">
        <f ca="1">_xll.meDateFromTenor(O847,"1D","FOLLOWING","TGT")</f>
        <v>43710</v>
      </c>
      <c r="P848" s="95">
        <f ca="1"/>
        <v>3.2745622830185005E-3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-1.8322288833905694E-3</v>
      </c>
      <c r="H849" s="92" t="s">
        <v>4</v>
      </c>
      <c r="I849" s="97">
        <f ca="1">_xll.meDateFromTenor(I848,"1D","FOLLOWING","TGT")</f>
        <v>43711</v>
      </c>
      <c r="J849" s="95">
        <f ca="1"/>
        <v>-4.9564894704810054E-4</v>
      </c>
      <c r="K849" s="5" t="s">
        <v>4</v>
      </c>
      <c r="L849" s="97">
        <f ca="1">_xll.meDateFromTenor(L848,"1D","FOLLOWING","TGT")</f>
        <v>43711</v>
      </c>
      <c r="M849" s="95">
        <f ca="1"/>
        <v>1.2403400479168633E-3</v>
      </c>
      <c r="N849" s="5" t="s">
        <v>4</v>
      </c>
      <c r="O849" s="97">
        <f ca="1">_xll.meDateFromTenor(O848,"1D","FOLLOWING","TGT")</f>
        <v>43711</v>
      </c>
      <c r="P849" s="95">
        <f ca="1"/>
        <v>3.2800874899811122E-3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-1.8269120126154746E-3</v>
      </c>
      <c r="H850" s="92" t="s">
        <v>4</v>
      </c>
      <c r="I850" s="97">
        <f ca="1">_xll.meDateFromTenor(I849,"1D","FOLLOWING","TGT")</f>
        <v>43712</v>
      </c>
      <c r="J850" s="95">
        <f ca="1"/>
        <v>-4.9171266054385263E-4</v>
      </c>
      <c r="K850" s="5" t="s">
        <v>4</v>
      </c>
      <c r="L850" s="97">
        <f ca="1">_xll.meDateFromTenor(L849,"1D","FOLLOWING","TGT")</f>
        <v>43712</v>
      </c>
      <c r="M850" s="95">
        <f ca="1"/>
        <v>1.2461551561804946E-3</v>
      </c>
      <c r="N850" s="5" t="s">
        <v>4</v>
      </c>
      <c r="O850" s="97">
        <f ca="1">_xll.meDateFromTenor(O849,"1D","FOLLOWING","TGT")</f>
        <v>43712</v>
      </c>
      <c r="P850" s="95">
        <f ca="1"/>
        <v>3.2856137803351773E-3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-1.8215616794745914E-3</v>
      </c>
      <c r="H851" s="92" t="s">
        <v>4</v>
      </c>
      <c r="I851" s="97">
        <f ca="1">_xll.meDateFromTenor(I850,"1D","FOLLOWING","TGT")</f>
        <v>43713</v>
      </c>
      <c r="J851" s="95">
        <f ca="1"/>
        <v>-4.877655346770776E-4</v>
      </c>
      <c r="K851" s="5" t="s">
        <v>4</v>
      </c>
      <c r="L851" s="97">
        <f ca="1">_xll.meDateFromTenor(L850,"1D","FOLLOWING","TGT")</f>
        <v>43713</v>
      </c>
      <c r="M851" s="95">
        <f ca="1"/>
        <v>1.2519724713384824E-3</v>
      </c>
      <c r="N851" s="5" t="s">
        <v>4</v>
      </c>
      <c r="O851" s="97">
        <f ca="1">_xll.meDateFromTenor(O850,"1D","FOLLOWING","TGT")</f>
        <v>43713</v>
      </c>
      <c r="P851" s="95">
        <f ca="1"/>
        <v>3.2911411702436751E-3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-1.8161807374629262E-3</v>
      </c>
      <c r="H852" s="92" t="s">
        <v>4</v>
      </c>
      <c r="I852" s="97">
        <f ca="1">_xll.meDateFromTenor(I851,"1D","FOLLOWING","TGT")</f>
        <v>43714</v>
      </c>
      <c r="J852" s="95">
        <f ca="1"/>
        <v>-4.8380756086353443E-4</v>
      </c>
      <c r="K852" s="5" t="s">
        <v>4</v>
      </c>
      <c r="L852" s="97">
        <f ca="1">_xll.meDateFromTenor(L851,"1D","FOLLOWING","TGT")</f>
        <v>43714</v>
      </c>
      <c r="M852" s="95">
        <f ca="1"/>
        <v>1.2577919813461442E-3</v>
      </c>
      <c r="N852" s="5" t="s">
        <v>4</v>
      </c>
      <c r="O852" s="97">
        <f ca="1">_xll.meDateFromTenor(O851,"1D","FOLLOWING","TGT")</f>
        <v>43714</v>
      </c>
      <c r="P852" s="95">
        <f ca="1"/>
        <v>3.2966696758695855E-3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-1.79988279315331E-3</v>
      </c>
      <c r="H853" s="92" t="s">
        <v>4</v>
      </c>
      <c r="I853" s="97">
        <f ca="1">_xll.meDateFromTenor(I852,"1D","FOLLOWING","TGT")</f>
        <v>43717</v>
      </c>
      <c r="J853" s="95">
        <f ca="1"/>
        <v>-4.7186846589987463E-4</v>
      </c>
      <c r="K853" s="5" t="s">
        <v>4</v>
      </c>
      <c r="L853" s="97">
        <f ca="1">_xll.meDateFromTenor(L852,"1D","FOLLOWING","TGT")</f>
        <v>43717</v>
      </c>
      <c r="M853" s="95">
        <f ca="1"/>
        <v>1.2752635600203671E-3</v>
      </c>
      <c r="N853" s="5" t="s">
        <v>4</v>
      </c>
      <c r="O853" s="97">
        <f ca="1">_xll.meDateFromTenor(O852,"1D","FOLLOWING","TGT")</f>
        <v>43717</v>
      </c>
      <c r="P853" s="95">
        <f ca="1"/>
        <v>3.3132620486815978E-3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-1.7944079506085878E-3</v>
      </c>
      <c r="H854" s="92" t="s">
        <v>4</v>
      </c>
      <c r="I854" s="97">
        <f ca="1">_xll.meDateFromTenor(I853,"1D","FOLLOWING","TGT")</f>
        <v>43718</v>
      </c>
      <c r="J854" s="95">
        <f ca="1"/>
        <v>-4.6786701445683938E-4</v>
      </c>
      <c r="K854" s="5" t="s">
        <v>4</v>
      </c>
      <c r="L854" s="97">
        <f ca="1">_xll.meDateFromTenor(L853,"1D","FOLLOWING","TGT")</f>
        <v>43718</v>
      </c>
      <c r="M854" s="95">
        <f ca="1"/>
        <v>1.2810917289799151E-3</v>
      </c>
      <c r="N854" s="5" t="s">
        <v>4</v>
      </c>
      <c r="O854" s="97">
        <f ca="1">_xll.meDateFromTenor(O853,"1D","FOLLOWING","TGT")</f>
        <v>43718</v>
      </c>
      <c r="P854" s="95">
        <f ca="1"/>
        <v>3.3187951788069625E-3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-1.78891676666812E-3</v>
      </c>
      <c r="H855" s="92" t="s">
        <v>4</v>
      </c>
      <c r="I855" s="97">
        <f ca="1">_xll.meDateFromTenor(I854,"1D","FOLLOWING","TGT")</f>
        <v>43719</v>
      </c>
      <c r="J855" s="95">
        <f ca="1"/>
        <v>-4.638546721458272E-4</v>
      </c>
      <c r="K855" s="5" t="s">
        <v>4</v>
      </c>
      <c r="L855" s="97">
        <f ca="1">_xll.meDateFromTenor(L854,"1D","FOLLOWING","TGT")</f>
        <v>43719</v>
      </c>
      <c r="M855" s="95">
        <f ca="1"/>
        <v>1.2869220325657312E-3</v>
      </c>
      <c r="N855" s="5" t="s">
        <v>4</v>
      </c>
      <c r="O855" s="97">
        <f ca="1">_xll.meDateFromTenor(O854,"1D","FOLLOWING","TGT")</f>
        <v>43719</v>
      </c>
      <c r="P855" s="95">
        <f ca="1"/>
        <v>3.3243295054646415E-3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-1.7834120948269129E-3</v>
      </c>
      <c r="H856" s="92" t="s">
        <v>4</v>
      </c>
      <c r="I856" s="97">
        <f ca="1">_xll.meDateFromTenor(I855,"1D","FOLLOWING","TGT")</f>
        <v>43720</v>
      </c>
      <c r="J856" s="95">
        <f ca="1"/>
        <v>-4.5983143038259649E-4</v>
      </c>
      <c r="K856" s="5" t="s">
        <v>4</v>
      </c>
      <c r="L856" s="97">
        <f ca="1">_xll.meDateFromTenor(L855,"1D","FOLLOWING","TGT")</f>
        <v>43720</v>
      </c>
      <c r="M856" s="95">
        <f ca="1"/>
        <v>1.2927544587331341E-3</v>
      </c>
      <c r="N856" s="5" t="s">
        <v>4</v>
      </c>
      <c r="O856" s="97">
        <f ca="1">_xll.meDateFromTenor(O855,"1D","FOLLOWING","TGT")</f>
        <v>43720</v>
      </c>
      <c r="P856" s="95">
        <f ca="1"/>
        <v>3.3298650448176145E-3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-1.7778967885799741E-3</v>
      </c>
      <c r="H857" s="92" t="s">
        <v>4</v>
      </c>
      <c r="I857" s="97">
        <f ca="1">_xll.meDateFromTenor(I856,"1D","FOLLOWING","TGT")</f>
        <v>43721</v>
      </c>
      <c r="J857" s="95">
        <f ca="1"/>
        <v>-4.5579728058290546E-4</v>
      </c>
      <c r="K857" s="5" t="s">
        <v>4</v>
      </c>
      <c r="L857" s="97">
        <f ca="1">_xll.meDateFromTenor(L856,"1D","FOLLOWING","TGT")</f>
        <v>43721</v>
      </c>
      <c r="M857" s="95">
        <f ca="1"/>
        <v>1.2985889954374415E-3</v>
      </c>
      <c r="N857" s="5" t="s">
        <v>4</v>
      </c>
      <c r="O857" s="97">
        <f ca="1">_xll.meDateFromTenor(O856,"1D","FOLLOWING","TGT")</f>
        <v>43721</v>
      </c>
      <c r="P857" s="95">
        <f ca="1"/>
        <v>3.3354018130288612E-3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-1.7613155983548401E-3</v>
      </c>
      <c r="H858" s="92" t="s">
        <v>4</v>
      </c>
      <c r="I858" s="97">
        <f ca="1">_xll.meDateFromTenor(I857,"1D","FOLLOWING","TGT")</f>
        <v>43724</v>
      </c>
      <c r="J858" s="95">
        <f ca="1"/>
        <v>-4.4362929712265565E-4</v>
      </c>
      <c r="K858" s="5" t="s">
        <v>4</v>
      </c>
      <c r="L858" s="97">
        <f ca="1">_xll.meDateFromTenor(L857,"1D","FOLLOWING","TGT")</f>
        <v>43724</v>
      </c>
      <c r="M858" s="95">
        <f ca="1"/>
        <v>1.3161051483249785E-3</v>
      </c>
      <c r="N858" s="5" t="s">
        <v>4</v>
      </c>
      <c r="O858" s="97">
        <f ca="1">_xll.meDateFromTenor(O857,"1D","FOLLOWING","TGT")</f>
        <v>43724</v>
      </c>
      <c r="P858" s="95">
        <f ca="1"/>
        <v>3.3520196524420478E-3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-1.7557862894350474E-3</v>
      </c>
      <c r="H859" s="92" t="s">
        <v>4</v>
      </c>
      <c r="I859" s="97">
        <f ca="1">_xll.meDateFromTenor(I858,"1D","FOLLOWING","TGT")</f>
        <v>43725</v>
      </c>
      <c r="J859" s="95">
        <f ca="1"/>
        <v>-4.3955142933470808E-4</v>
      </c>
      <c r="K859" s="5" t="s">
        <v>4</v>
      </c>
      <c r="L859" s="97">
        <f ca="1">_xll.meDateFromTenor(L858,"1D","FOLLOWING","TGT")</f>
        <v>43725</v>
      </c>
      <c r="M859" s="95">
        <f ca="1"/>
        <v>1.3219480067300905E-3</v>
      </c>
      <c r="N859" s="5" t="s">
        <v>4</v>
      </c>
      <c r="O859" s="97">
        <f ca="1">_xll.meDateFromTenor(O858,"1D","FOLLOWING","TGT")</f>
        <v>43725</v>
      </c>
      <c r="P859" s="95">
        <f ca="1"/>
        <v>3.3575614977161914E-3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-1.7502606135845575E-3</v>
      </c>
      <c r="H860" s="92" t="s">
        <v>4</v>
      </c>
      <c r="I860" s="97">
        <f ca="1">_xll.meDateFromTenor(I859,"1D","FOLLOWING","TGT")</f>
        <v>43726</v>
      </c>
      <c r="J860" s="95">
        <f ca="1"/>
        <v>-4.3546261058909162E-4</v>
      </c>
      <c r="K860" s="5" t="s">
        <v>4</v>
      </c>
      <c r="L860" s="97">
        <f ca="1">_xll.meDateFromTenor(L859,"1D","FOLLOWING","TGT")</f>
        <v>43726</v>
      </c>
      <c r="M860" s="95">
        <f ca="1"/>
        <v>1.3277929154487012E-3</v>
      </c>
      <c r="N860" s="5" t="s">
        <v>4</v>
      </c>
      <c r="O860" s="97">
        <f ca="1">_xll.meDateFromTenor(O859,"1D","FOLLOWING","TGT")</f>
        <v>43726</v>
      </c>
      <c r="P860" s="95">
        <f ca="1"/>
        <v>3.3631046526635105E-3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-1.7447414242983792E-3</v>
      </c>
      <c r="H861" s="92" t="s">
        <v>4</v>
      </c>
      <c r="I861" s="97">
        <f ca="1">_xll.meDateFromTenor(I860,"1D","FOLLOWING","TGT")</f>
        <v>43727</v>
      </c>
      <c r="J861" s="95">
        <f ca="1"/>
        <v>-4.3136283230156504E-4</v>
      </c>
      <c r="K861" s="5" t="s">
        <v>4</v>
      </c>
      <c r="L861" s="97">
        <f ca="1">_xll.meDateFromTenor(L860,"1D","FOLLOWING","TGT")</f>
        <v>43727</v>
      </c>
      <c r="M861" s="95">
        <f ca="1"/>
        <v>1.3336398624361283E-3</v>
      </c>
      <c r="N861" s="5" t="s">
        <v>4</v>
      </c>
      <c r="O861" s="97">
        <f ca="1">_xll.meDateFromTenor(O860,"1D","FOLLOWING","TGT")</f>
        <v>43727</v>
      </c>
      <c r="P861" s="95">
        <f ca="1"/>
        <v>3.3686491334469853E-3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-1.7392315750715196E-3</v>
      </c>
      <c r="H862" s="92" t="s">
        <v>4</v>
      </c>
      <c r="I862" s="97">
        <f ca="1">_xll.meDateFromTenor(I861,"1D","FOLLOWING","TGT")</f>
        <v>43728</v>
      </c>
      <c r="J862" s="95">
        <f ca="1"/>
        <v>-4.2725208588788684E-4</v>
      </c>
      <c r="K862" s="5" t="s">
        <v>4</v>
      </c>
      <c r="L862" s="97">
        <f ca="1">_xll.meDateFromTenor(L861,"1D","FOLLOWING","TGT")</f>
        <v>43728</v>
      </c>
      <c r="M862" s="95">
        <f ca="1"/>
        <v>1.3394888356476902E-3</v>
      </c>
      <c r="N862" s="5" t="s">
        <v>4</v>
      </c>
      <c r="O862" s="97">
        <f ca="1">_xll.meDateFromTenor(O861,"1D","FOLLOWING","TGT")</f>
        <v>43728</v>
      </c>
      <c r="P862" s="95">
        <f ca="1"/>
        <v>3.3741949562295947E-3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-1.7227866026969228E-3</v>
      </c>
      <c r="H863" s="92" t="s">
        <v>4</v>
      </c>
      <c r="I863" s="97">
        <f ca="1">_xll.meDateFromTenor(I862,"1D","FOLLOWING","TGT")</f>
        <v>43731</v>
      </c>
      <c r="J863" s="95">
        <f ca="1"/>
        <v>-4.1485395204752601E-4</v>
      </c>
      <c r="K863" s="5" t="s">
        <v>4</v>
      </c>
      <c r="L863" s="97">
        <f ca="1">_xll.meDateFromTenor(L862,"1D","FOLLOWING","TGT")</f>
        <v>43731</v>
      </c>
      <c r="M863" s="95">
        <f ca="1"/>
        <v>1.3570477921803711E-3</v>
      </c>
      <c r="N863" s="5" t="s">
        <v>4</v>
      </c>
      <c r="O863" s="97">
        <f ca="1">_xll.meDateFromTenor(O862,"1D","FOLLOWING","TGT")</f>
        <v>43731</v>
      </c>
      <c r="P863" s="95">
        <f ca="1"/>
        <v>3.3908406382020346E-3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-1.7173426486574094E-3</v>
      </c>
      <c r="H864" s="92" t="s">
        <v>4</v>
      </c>
      <c r="I864" s="97">
        <f ca="1">_xll.meDateFromTenor(I863,"1D","FOLLOWING","TGT")</f>
        <v>43732</v>
      </c>
      <c r="J864" s="95">
        <f ca="1"/>
        <v>-4.1069924728682556E-4</v>
      </c>
      <c r="K864" s="5" t="s">
        <v>4</v>
      </c>
      <c r="L864" s="97">
        <f ca="1">_xll.meDateFromTenor(L863,"1D","FOLLOWING","TGT")</f>
        <v>43732</v>
      </c>
      <c r="M864" s="95">
        <f ca="1"/>
        <v>1.3629047498416574E-3</v>
      </c>
      <c r="N864" s="5" t="s">
        <v>4</v>
      </c>
      <c r="O864" s="97">
        <f ca="1">_xll.meDateFromTenor(O863,"1D","FOLLOWING","TGT")</f>
        <v>43732</v>
      </c>
      <c r="P864" s="95">
        <f ca="1"/>
        <v>3.3963919906109846E-3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-1.7119223021522499E-3</v>
      </c>
      <c r="H865" s="92" t="s">
        <v>4</v>
      </c>
      <c r="I865" s="97">
        <f ca="1">_xll.meDateFromTenor(I864,"1D","FOLLOWING","TGT")</f>
        <v>43733</v>
      </c>
      <c r="J865" s="95">
        <f ca="1"/>
        <v>-4.0653353147876458E-4</v>
      </c>
      <c r="K865" s="5" t="s">
        <v>4</v>
      </c>
      <c r="L865" s="97">
        <f ca="1">_xll.meDateFromTenor(L864,"1D","FOLLOWING","TGT")</f>
        <v>43733</v>
      </c>
      <c r="M865" s="95">
        <f ca="1"/>
        <v>1.3687636735036719E-3</v>
      </c>
      <c r="N865" s="5" t="s">
        <v>4</v>
      </c>
      <c r="O865" s="97">
        <f ca="1">_xll.meDateFromTenor(O864,"1D","FOLLOWING","TGT")</f>
        <v>43733</v>
      </c>
      <c r="P865" s="95">
        <f ca="1"/>
        <v>3.4019447658339714E-3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-1.706528416676453E-3</v>
      </c>
      <c r="H866" s="92" t="s">
        <v>4</v>
      </c>
      <c r="I866" s="97">
        <f ca="1">_xll.meDateFromTenor(I865,"1D","FOLLOWING","TGT")</f>
        <v>43734</v>
      </c>
      <c r="J866" s="95">
        <f ca="1"/>
        <v>-4.0235679603910283E-4</v>
      </c>
      <c r="K866" s="5" t="s">
        <v>4</v>
      </c>
      <c r="L866" s="97">
        <f ca="1">_xll.meDateFromTenor(L865,"1D","FOLLOWING","TGT")</f>
        <v>43734</v>
      </c>
      <c r="M866" s="95">
        <f ca="1"/>
        <v>1.3746245511217325E-3</v>
      </c>
      <c r="N866" s="5" t="s">
        <v>4</v>
      </c>
      <c r="O866" s="97">
        <f ca="1">_xll.meDateFromTenor(O865,"1D","FOLLOWING","TGT")</f>
        <v>43734</v>
      </c>
      <c r="P866" s="95">
        <f ca="1"/>
        <v>3.4074989800339729E-3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-1.7011638457250238E-3</v>
      </c>
      <c r="H867" s="92" t="s">
        <v>4</v>
      </c>
      <c r="I867" s="97">
        <f ca="1">_xll.meDateFromTenor(I866,"1D","FOLLOWING","TGT")</f>
        <v>43735</v>
      </c>
      <c r="J867" s="95">
        <f ca="1"/>
        <v>-3.981690323835973E-4</v>
      </c>
      <c r="K867" s="5" t="s">
        <v>4</v>
      </c>
      <c r="L867" s="97">
        <f ca="1">_xll.meDateFromTenor(L866,"1D","FOLLOWING","TGT")</f>
        <v>43735</v>
      </c>
      <c r="M867" s="95">
        <f ca="1"/>
        <v>1.3804873706511583E-3</v>
      </c>
      <c r="N867" s="5" t="s">
        <v>4</v>
      </c>
      <c r="O867" s="97">
        <f ca="1">_xll.meDateFromTenor(O866,"1D","FOLLOWING","TGT")</f>
        <v>43735</v>
      </c>
      <c r="P867" s="95">
        <f ca="1"/>
        <v>3.4130546493739717E-3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-1.6852745549670207E-3</v>
      </c>
      <c r="H868" s="92" t="s">
        <v>4</v>
      </c>
      <c r="I868" s="97">
        <f ca="1">_xll.meDateFromTenor(I867,"1D","FOLLOWING","TGT")</f>
        <v>43738</v>
      </c>
      <c r="J868" s="95">
        <f ca="1"/>
        <v>-3.85539486279606E-4</v>
      </c>
      <c r="K868" s="5" t="s">
        <v>4</v>
      </c>
      <c r="L868" s="97">
        <f ca="1">_xll.meDateFromTenor(L867,"1D","FOLLOWING","TGT")</f>
        <v>43738</v>
      </c>
      <c r="M868" s="95">
        <f ca="1"/>
        <v>1.3980873602608111E-3</v>
      </c>
      <c r="N868" s="5" t="s">
        <v>4</v>
      </c>
      <c r="O868" s="97">
        <f ca="1">_xll.meDateFromTenor(O867,"1D","FOLLOWING","TGT")</f>
        <v>43738</v>
      </c>
      <c r="P868" s="95">
        <f ca="1"/>
        <v>3.4297305498637446E-3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-1.6800557770631384E-3</v>
      </c>
      <c r="H869" s="92" t="s">
        <v>4</v>
      </c>
      <c r="I869" s="97">
        <f ca="1">_xll.meDateFromTenor(I868,"1D","FOLLOWING","TGT")</f>
        <v>43739</v>
      </c>
      <c r="J869" s="95">
        <f ca="1"/>
        <v>-3.8130752391831178E-4</v>
      </c>
      <c r="K869" s="5" t="s">
        <v>4</v>
      </c>
      <c r="L869" s="97">
        <f ca="1">_xll.meDateFromTenor(L868,"1D","FOLLOWING","TGT")</f>
        <v>43739</v>
      </c>
      <c r="M869" s="95">
        <f ca="1"/>
        <v>1.4039578269888823E-3</v>
      </c>
      <c r="N869" s="5" t="s">
        <v>4</v>
      </c>
      <c r="O869" s="97">
        <f ca="1">_xll.meDateFromTenor(O868,"1D","FOLLOWING","TGT")</f>
        <v>43739</v>
      </c>
      <c r="P869" s="95">
        <f ca="1"/>
        <v>3.4352922013935272E-3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-1.674880581158661E-3</v>
      </c>
      <c r="H870" s="92" t="s">
        <v>4</v>
      </c>
      <c r="I870" s="97">
        <f ca="1">_xll.meDateFromTenor(I869,"1D","FOLLOWING","TGT")</f>
        <v>43740</v>
      </c>
      <c r="J870" s="95">
        <f ca="1"/>
        <v>-3.7706449041996634E-4</v>
      </c>
      <c r="K870" s="5" t="s">
        <v>4</v>
      </c>
      <c r="L870" s="97">
        <f ca="1">_xll.meDateFromTenor(L869,"1D","FOLLOWING","TGT")</f>
        <v>43740</v>
      </c>
      <c r="M870" s="95">
        <f ca="1"/>
        <v>1.4098301754049108E-3</v>
      </c>
      <c r="N870" s="5" t="s">
        <v>4</v>
      </c>
      <c r="O870" s="97">
        <f ca="1">_xll.meDateFromTenor(O869,"1D","FOLLOWING","TGT")</f>
        <v>43740</v>
      </c>
      <c r="P870" s="95">
        <f ca="1"/>
        <v>3.4408553888782083E-3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-1.6697508158384745E-3</v>
      </c>
      <c r="H871" s="92" t="s">
        <v>4</v>
      </c>
      <c r="I871" s="97">
        <f ca="1">_xll.meDateFromTenor(I870,"1D","FOLLOWING","TGT")</f>
        <v>43741</v>
      </c>
      <c r="J871" s="95">
        <f ca="1"/>
        <v>-3.7281037720032859E-4</v>
      </c>
      <c r="K871" s="5" t="s">
        <v>4</v>
      </c>
      <c r="L871" s="97">
        <f ca="1">_xll.meDateFromTenor(L870,"1D","FOLLOWING","TGT")</f>
        <v>43741</v>
      </c>
      <c r="M871" s="95">
        <f ca="1"/>
        <v>1.415704393464215E-3</v>
      </c>
      <c r="N871" s="5" t="s">
        <v>4</v>
      </c>
      <c r="O871" s="97">
        <f ca="1">_xll.meDateFromTenor(O870,"1D","FOLLOWING","TGT")</f>
        <v>43741</v>
      </c>
      <c r="P871" s="95">
        <f ca="1"/>
        <v>3.4464201284807642E-3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-1.6646643100469759E-3</v>
      </c>
      <c r="H872" s="92" t="s">
        <v>4</v>
      </c>
      <c r="I872" s="97">
        <f ca="1">_xll.meDateFromTenor(I871,"1D","FOLLOWING","TGT")</f>
        <v>43742</v>
      </c>
      <c r="J872" s="95">
        <f ca="1"/>
        <v>-3.6854517567515581E-4</v>
      </c>
      <c r="K872" s="5" t="s">
        <v>4</v>
      </c>
      <c r="L872" s="97">
        <f ca="1">_xll.meDateFromTenor(L871,"1D","FOLLOWING","TGT")</f>
        <v>43742</v>
      </c>
      <c r="M872" s="95">
        <f ca="1"/>
        <v>1.4215804691221146E-3</v>
      </c>
      <c r="N872" s="5" t="s">
        <v>4</v>
      </c>
      <c r="O872" s="97">
        <f ca="1">_xll.meDateFromTenor(O871,"1D","FOLLOWING","TGT")</f>
        <v>43742</v>
      </c>
      <c r="P872" s="95">
        <f ca="1"/>
        <v>3.4519864363641781E-3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-1.6496325901873847E-3</v>
      </c>
      <c r="H873" s="92" t="s">
        <v>4</v>
      </c>
      <c r="I873" s="97">
        <f ca="1">_xll.meDateFromTenor(I872,"1D","FOLLOWING","TGT")</f>
        <v>43745</v>
      </c>
      <c r="J873" s="95">
        <f ca="1"/>
        <v>-3.5568295542401433E-4</v>
      </c>
      <c r="K873" s="5" t="s">
        <v>4</v>
      </c>
      <c r="L873" s="97">
        <f ca="1">_xll.meDateFromTenor(L872,"1D","FOLLOWING","TGT")</f>
        <v>43745</v>
      </c>
      <c r="M873" s="95">
        <f ca="1"/>
        <v>1.4392197212405671E-3</v>
      </c>
      <c r="N873" s="5" t="s">
        <v>4</v>
      </c>
      <c r="O873" s="97">
        <f ca="1">_xll.meDateFromTenor(O872,"1D","FOLLOWING","TGT")</f>
        <v>43745</v>
      </c>
      <c r="P873" s="95">
        <f ca="1"/>
        <v>3.4686949313293622E-3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-1.6446873628534113E-3</v>
      </c>
      <c r="H874" s="92" t="s">
        <v>4</v>
      </c>
      <c r="I874" s="97">
        <f ca="1">_xll.meDateFromTenor(I873,"1D","FOLLOWING","TGT")</f>
        <v>43746</v>
      </c>
      <c r="J874" s="95">
        <f ca="1"/>
        <v>-3.5137331483428699E-4</v>
      </c>
      <c r="K874" s="5" t="s">
        <v>4</v>
      </c>
      <c r="L874" s="97">
        <f ca="1">_xll.meDateFromTenor(L873,"1D","FOLLOWING","TGT")</f>
        <v>43746</v>
      </c>
      <c r="M874" s="95">
        <f ca="1"/>
        <v>1.4451031068460317E-3</v>
      </c>
      <c r="N874" s="5" t="s">
        <v>4</v>
      </c>
      <c r="O874" s="97">
        <f ca="1">_xll.meDateFromTenor(O873,"1D","FOLLOWING","TGT")</f>
        <v>43746</v>
      </c>
      <c r="P874" s="95">
        <f ca="1"/>
        <v>3.474267673966005E-3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-1.6397695152195124E-3</v>
      </c>
      <c r="H875" s="92" t="s">
        <v>4</v>
      </c>
      <c r="I875" s="97">
        <f ca="1">_xll.meDateFromTenor(I874,"1D","FOLLOWING","TGT")</f>
        <v>43747</v>
      </c>
      <c r="J875" s="95">
        <f ca="1"/>
        <v>-3.4705254301781695E-4</v>
      </c>
      <c r="K875" s="5" t="s">
        <v>4</v>
      </c>
      <c r="L875" s="97">
        <f ca="1">_xll.meDateFromTenor(L874,"1D","FOLLOWING","TGT")</f>
        <v>43747</v>
      </c>
      <c r="M875" s="95">
        <f ca="1"/>
        <v>1.4509882898266838E-3</v>
      </c>
      <c r="N875" s="5" t="s">
        <v>4</v>
      </c>
      <c r="O875" s="97">
        <f ca="1">_xll.meDateFromTenor(O874,"1D","FOLLOWING","TGT")</f>
        <v>43747</v>
      </c>
      <c r="P875" s="95">
        <f ca="1"/>
        <v>3.479842065698405E-3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-1.6348758713199641E-3</v>
      </c>
      <c r="H876" s="92" t="s">
        <v>4</v>
      </c>
      <c r="I876" s="97">
        <f ca="1">_xll.meDateFromTenor(I875,"1D","FOLLOWING","TGT")</f>
        <v>43748</v>
      </c>
      <c r="J876" s="95">
        <f ca="1"/>
        <v>-3.427206313903626E-4</v>
      </c>
      <c r="K876" s="5" t="s">
        <v>4</v>
      </c>
      <c r="L876" s="97">
        <f ca="1">_xll.meDateFromTenor(L875,"1D","FOLLOWING","TGT")</f>
        <v>43748</v>
      </c>
      <c r="M876" s="95">
        <f ca="1"/>
        <v>1.4568752581378421E-3</v>
      </c>
      <c r="N876" s="5" t="s">
        <v>4</v>
      </c>
      <c r="O876" s="97">
        <f ca="1">_xll.meDateFromTenor(O875,"1D","FOLLOWING","TGT")</f>
        <v>43748</v>
      </c>
      <c r="P876" s="95">
        <f ca="1"/>
        <v>3.4854181226895435E-3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-1.6300032551890443E-3</v>
      </c>
      <c r="H877" s="92" t="s">
        <v>4</v>
      </c>
      <c r="I877" s="97">
        <f ca="1">_xll.meDateFromTenor(I876,"1D","FOLLOWING","TGT")</f>
        <v>43749</v>
      </c>
      <c r="J877" s="95">
        <f ca="1"/>
        <v>-3.3837757136768299E-4</v>
      </c>
      <c r="K877" s="5" t="s">
        <v>4</v>
      </c>
      <c r="L877" s="97">
        <f ca="1">_xll.meDateFromTenor(L876,"1D","FOLLOWING","TGT")</f>
        <v>43749</v>
      </c>
      <c r="M877" s="95">
        <f ca="1"/>
        <v>1.462763999734824E-3</v>
      </c>
      <c r="N877" s="5" t="s">
        <v>4</v>
      </c>
      <c r="O877" s="97">
        <f ca="1">_xll.meDateFromTenor(O876,"1D","FOLLOWING","TGT")</f>
        <v>43749</v>
      </c>
      <c r="P877" s="95">
        <f ca="1"/>
        <v>3.4909958611023984E-3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-1.6154798137508208E-3</v>
      </c>
      <c r="H878" s="92" t="s">
        <v>4</v>
      </c>
      <c r="I878" s="97">
        <f ca="1">_xll.meDateFromTenor(I877,"1D","FOLLOWING","TGT")</f>
        <v>43752</v>
      </c>
      <c r="J878" s="95">
        <f ca="1"/>
        <v>-3.2528141508587064E-4</v>
      </c>
      <c r="K878" s="5" t="s">
        <v>4</v>
      </c>
      <c r="L878" s="97">
        <f ca="1">_xll.meDateFromTenor(L877,"1D","FOLLOWING","TGT")</f>
        <v>43752</v>
      </c>
      <c r="M878" s="95">
        <f ca="1"/>
        <v>1.480440743793906E-3</v>
      </c>
      <c r="N878" s="5" t="s">
        <v>4</v>
      </c>
      <c r="O878" s="97">
        <f ca="1">_xll.meDateFromTenor(O877,"1D","FOLLOWING","TGT")</f>
        <v>43752</v>
      </c>
      <c r="P878" s="95">
        <f ca="1"/>
        <v>3.5077393265010742E-3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-1.6106595490371816E-3</v>
      </c>
      <c r="H879" s="92" t="s">
        <v>4</v>
      </c>
      <c r="I879" s="97">
        <f ca="1">_xll.meDateFromTenor(I878,"1D","FOLLOWING","TGT")</f>
        <v>43753</v>
      </c>
      <c r="J879" s="95">
        <f ca="1"/>
        <v>-3.2089367563987011E-4</v>
      </c>
      <c r="K879" s="5" t="s">
        <v>4</v>
      </c>
      <c r="L879" s="97">
        <f ca="1">_xll.meDateFromTenor(L878,"1D","FOLLOWING","TGT")</f>
        <v>43753</v>
      </c>
      <c r="M879" s="95">
        <f ca="1"/>
        <v>1.4863364580873736E-3</v>
      </c>
      <c r="N879" s="5" t="s">
        <v>4</v>
      </c>
      <c r="O879" s="97">
        <f ca="1">_xll.meDateFromTenor(O878,"1D","FOLLOWING","TGT")</f>
        <v>43753</v>
      </c>
      <c r="P879" s="95">
        <f ca="1"/>
        <v>3.5133239522306026E-3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-1.6058444322635552E-3</v>
      </c>
      <c r="H880" s="92" t="s">
        <v>4</v>
      </c>
      <c r="I880" s="97">
        <f ca="1">_xll.meDateFromTenor(I879,"1D","FOLLOWING","TGT")</f>
        <v>43754</v>
      </c>
      <c r="J880" s="95">
        <f ca="1"/>
        <v>-3.1649474487743546E-4</v>
      </c>
      <c r="K880" s="5" t="s">
        <v>4</v>
      </c>
      <c r="L880" s="97">
        <f ca="1">_xll.meDateFromTenor(L879,"1D","FOLLOWING","TGT")</f>
        <v>43754</v>
      </c>
      <c r="M880" s="95">
        <f ca="1"/>
        <v>1.4922338854432586E-3</v>
      </c>
      <c r="N880" s="5" t="s">
        <v>4</v>
      </c>
      <c r="O880" s="97">
        <f ca="1">_xll.meDateFromTenor(O879,"1D","FOLLOWING","TGT")</f>
        <v>43754</v>
      </c>
      <c r="P880" s="95">
        <f ca="1"/>
        <v>3.5189103401967498E-3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-1.6010312874642188E-3</v>
      </c>
      <c r="H881" s="92" t="s">
        <v>4</v>
      </c>
      <c r="I881" s="97">
        <f ca="1">_xll.meDateFromTenor(I880,"1D","FOLLOWING","TGT")</f>
        <v>43755</v>
      </c>
      <c r="J881" s="95">
        <f ca="1"/>
        <v>-3.1208461421432503E-4</v>
      </c>
      <c r="K881" s="5" t="s">
        <v>4</v>
      </c>
      <c r="L881" s="97">
        <f ca="1">_xll.meDateFromTenor(L880,"1D","FOLLOWING","TGT")</f>
        <v>43755</v>
      </c>
      <c r="M881" s="95">
        <f ca="1"/>
        <v>1.4981330138168799E-3</v>
      </c>
      <c r="N881" s="5" t="s">
        <v>4</v>
      </c>
      <c r="O881" s="97">
        <f ca="1">_xll.meDateFromTenor(O880,"1D","FOLLOWING","TGT")</f>
        <v>43755</v>
      </c>
      <c r="P881" s="95">
        <f ca="1"/>
        <v>3.5244985065624951E-3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-1.5962169386734494E-3</v>
      </c>
      <c r="H882" s="92" t="s">
        <v>4</v>
      </c>
      <c r="I882" s="97">
        <f ca="1">_xll.meDateFromTenor(I881,"1D","FOLLOWING","TGT")</f>
        <v>43756</v>
      </c>
      <c r="J882" s="95">
        <f ca="1"/>
        <v>-3.0766327506629712E-4</v>
      </c>
      <c r="K882" s="5" t="s">
        <v>4</v>
      </c>
      <c r="L882" s="97">
        <f ca="1">_xll.meDateFromTenor(L881,"1D","FOLLOWING","TGT")</f>
        <v>43756</v>
      </c>
      <c r="M882" s="95">
        <f ca="1"/>
        <v>1.5040338311635558E-3</v>
      </c>
      <c r="N882" s="5" t="s">
        <v>4</v>
      </c>
      <c r="O882" s="97">
        <f ca="1">_xll.meDateFromTenor(O881,"1D","FOLLOWING","TGT")</f>
        <v>43756</v>
      </c>
      <c r="P882" s="95">
        <f ca="1"/>
        <v>3.5300884674908202E-3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-1.5817349086953126E-3</v>
      </c>
      <c r="H883" s="92" t="s">
        <v>4</v>
      </c>
      <c r="I883" s="97">
        <f ca="1">_xll.meDateFromTenor(I882,"1D","FOLLOWING","TGT")</f>
        <v>43759</v>
      </c>
      <c r="J883" s="95">
        <f ca="1"/>
        <v>-2.9433192087029359E-4</v>
      </c>
      <c r="K883" s="5" t="s">
        <v>4</v>
      </c>
      <c r="L883" s="97">
        <f ca="1">_xll.meDateFromTenor(L882,"1D","FOLLOWING","TGT")</f>
        <v>43759</v>
      </c>
      <c r="M883" s="95">
        <f ca="1"/>
        <v>1.5217462965950964E-3</v>
      </c>
      <c r="N883" s="5" t="s">
        <v>4</v>
      </c>
      <c r="O883" s="97">
        <f ca="1">_xll.meDateFromTenor(O882,"1D","FOLLOWING","TGT")</f>
        <v>43759</v>
      </c>
      <c r="P883" s="95">
        <f ca="1"/>
        <v>3.546869279281066E-3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-1.5768839842815803E-3</v>
      </c>
      <c r="H884" s="92" t="s">
        <v>4</v>
      </c>
      <c r="I884" s="97">
        <f ca="1">_xll.meDateFromTenor(I883,"1D","FOLLOWING","TGT")</f>
        <v>43760</v>
      </c>
      <c r="J884" s="95">
        <f ca="1"/>
        <v>-2.898656619401798E-4</v>
      </c>
      <c r="K884" s="5" t="s">
        <v>4</v>
      </c>
      <c r="L884" s="97">
        <f ca="1">_xll.meDateFromTenor(L883,"1D","FOLLOWING","TGT")</f>
        <v>43760</v>
      </c>
      <c r="M884" s="95">
        <f ca="1"/>
        <v>1.5276537493871766E-3</v>
      </c>
      <c r="N884" s="5" t="s">
        <v>4</v>
      </c>
      <c r="O884" s="97">
        <f ca="1">_xll.meDateFromTenor(O883,"1D","FOLLOWING","TGT")</f>
        <v>43760</v>
      </c>
      <c r="P884" s="95">
        <f ca="1"/>
        <v>3.552466580089507E-3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-1.5720159760478005E-3</v>
      </c>
      <c r="H885" s="92" t="s">
        <v>4</v>
      </c>
      <c r="I885" s="97">
        <f ca="1">_xll.meDateFromTenor(I884,"1D","FOLLOWING","TGT")</f>
        <v>43761</v>
      </c>
      <c r="J885" s="95">
        <f ca="1"/>
        <v>-2.8538815160394112E-4</v>
      </c>
      <c r="K885" s="5" t="s">
        <v>4</v>
      </c>
      <c r="L885" s="97">
        <f ca="1">_xll.meDateFromTenor(L884,"1D","FOLLOWING","TGT")</f>
        <v>43761</v>
      </c>
      <c r="M885" s="95">
        <f ca="1"/>
        <v>1.5335628309289034E-3</v>
      </c>
      <c r="N885" s="5" t="s">
        <v>4</v>
      </c>
      <c r="O885" s="97">
        <f ca="1">_xll.meDateFromTenor(O884,"1D","FOLLOWING","TGT")</f>
        <v>43761</v>
      </c>
      <c r="P885" s="95">
        <f ca="1"/>
        <v>3.5580657562754264E-3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-1.5671277080282491E-3</v>
      </c>
      <c r="H886" s="92" t="s">
        <v>4</v>
      </c>
      <c r="I886" s="97">
        <f ca="1">_xll.meDateFromTenor(I885,"1D","FOLLOWING","TGT")</f>
        <v>43762</v>
      </c>
      <c r="J886" s="95">
        <f ca="1"/>
        <v>-2.8089938127733456E-4</v>
      </c>
      <c r="K886" s="5" t="s">
        <v>4</v>
      </c>
      <c r="L886" s="97">
        <f ca="1">_xll.meDateFromTenor(L885,"1D","FOLLOWING","TGT")</f>
        <v>43762</v>
      </c>
      <c r="M886" s="95">
        <f ca="1"/>
        <v>1.5394735291755972E-3</v>
      </c>
      <c r="N886" s="5" t="s">
        <v>4</v>
      </c>
      <c r="O886" s="97">
        <f ca="1">_xll.meDateFromTenor(O885,"1D","FOLLOWING","TGT")</f>
        <v>43762</v>
      </c>
      <c r="P886" s="95">
        <f ca="1"/>
        <v>3.5636668240018061E-3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-1.5622160042572033E-3</v>
      </c>
      <c r="H887" s="92" t="s">
        <v>4</v>
      </c>
      <c r="I887" s="97">
        <f ca="1">_xll.meDateFromTenor(I886,"1D","FOLLOWING","TGT")</f>
        <v>43763</v>
      </c>
      <c r="J887" s="95">
        <f ca="1"/>
        <v>-2.7639934237611914E-4</v>
      </c>
      <c r="K887" s="5" t="s">
        <v>4</v>
      </c>
      <c r="L887" s="97">
        <f ca="1">_xll.meDateFromTenor(L886,"1D","FOLLOWING","TGT")</f>
        <v>43763</v>
      </c>
      <c r="M887" s="95">
        <f ca="1"/>
        <v>1.5453858320825754E-3</v>
      </c>
      <c r="N887" s="5" t="s">
        <v>4</v>
      </c>
      <c r="O887" s="97">
        <f ca="1">_xll.meDateFromTenor(O886,"1D","FOLLOWING","TGT")</f>
        <v>43763</v>
      </c>
      <c r="P887" s="95">
        <f ca="1"/>
        <v>3.569269799431625E-3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-1.5473085187778712E-3</v>
      </c>
      <c r="H888" s="92" t="s">
        <v>4</v>
      </c>
      <c r="I888" s="97">
        <f ca="1">_xll.meDateFromTenor(I887,"1D","FOLLOWING","TGT")</f>
        <v>43766</v>
      </c>
      <c r="J888" s="95">
        <f ca="1"/>
        <v>-2.6283152838240341E-4</v>
      </c>
      <c r="K888" s="5" t="s">
        <v>4</v>
      </c>
      <c r="L888" s="97">
        <f ca="1">_xll.meDateFromTenor(L887,"1D","FOLLOWING","TGT")</f>
        <v>43766</v>
      </c>
      <c r="M888" s="95">
        <f ca="1"/>
        <v>1.5631322483184041E-3</v>
      </c>
      <c r="N888" s="5" t="s">
        <v>4</v>
      </c>
      <c r="O888" s="97">
        <f ca="1">_xll.meDateFromTenor(O887,"1D","FOLLOWING","TGT")</f>
        <v>43766</v>
      </c>
      <c r="P888" s="95">
        <f ca="1"/>
        <v>3.5860903335715229E-3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-1.5422713123436191E-3</v>
      </c>
      <c r="H889" s="92" t="s">
        <v>4</v>
      </c>
      <c r="I889" s="97">
        <f ca="1">_xll.meDateFromTenor(I888,"1D","FOLLOWING","TGT")</f>
        <v>43767</v>
      </c>
      <c r="J889" s="95">
        <f ca="1"/>
        <v>-2.58286329340337E-4</v>
      </c>
      <c r="K889" s="5" t="s">
        <v>4</v>
      </c>
      <c r="L889" s="97">
        <f ca="1">_xll.meDateFromTenor(L888,"1D","FOLLOWING","TGT")</f>
        <v>43767</v>
      </c>
      <c r="M889" s="95">
        <f ca="1"/>
        <v>1.5690508494197056E-3</v>
      </c>
      <c r="N889" s="5" t="s">
        <v>4</v>
      </c>
      <c r="O889" s="97">
        <f ca="1">_xll.meDateFromTenor(O888,"1D","FOLLOWING","TGT")</f>
        <v>43767</v>
      </c>
      <c r="P889" s="95">
        <f ca="1"/>
        <v>3.5917011014449012E-3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-1.5371947903292573E-3</v>
      </c>
      <c r="H890" s="92" t="s">
        <v>4</v>
      </c>
      <c r="I890" s="97">
        <f ca="1">_xll.meDateFromTenor(I889,"1D","FOLLOWING","TGT")</f>
        <v>43768</v>
      </c>
      <c r="J890" s="95">
        <f ca="1"/>
        <v>-2.5372981880245288E-4</v>
      </c>
      <c r="K890" s="5" t="s">
        <v>4</v>
      </c>
      <c r="L890" s="97">
        <f ca="1">_xll.meDateFromTenor(L889,"1D","FOLLOWING","TGT")</f>
        <v>43768</v>
      </c>
      <c r="M890" s="95">
        <f ca="1"/>
        <v>1.5749709949578856E-3</v>
      </c>
      <c r="N890" s="5" t="s">
        <v>4</v>
      </c>
      <c r="O890" s="97">
        <f ca="1">_xll.meDateFromTenor(O889,"1D","FOLLOWING","TGT")</f>
        <v>43768</v>
      </c>
      <c r="P890" s="95">
        <f ca="1"/>
        <v>3.5973138578366212E-3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-1.5320757767690646E-3</v>
      </c>
      <c r="H891" s="92" t="s">
        <v>4</v>
      </c>
      <c r="I891" s="97">
        <f ca="1">_xll.meDateFromTenor(I890,"1D","FOLLOWING","TGT")</f>
        <v>43769</v>
      </c>
      <c r="J891" s="95">
        <f ca="1"/>
        <v>-2.4916198818451086E-4</v>
      </c>
      <c r="K891" s="5" t="s">
        <v>4</v>
      </c>
      <c r="L891" s="97">
        <f ca="1">_xll.meDateFromTenor(L890,"1D","FOLLOWING","TGT")</f>
        <v>43769</v>
      </c>
      <c r="M891" s="95">
        <f ca="1"/>
        <v>1.5808926728882607E-3</v>
      </c>
      <c r="N891" s="5" t="s">
        <v>4</v>
      </c>
      <c r="O891" s="97">
        <f ca="1">_xll.meDateFromTenor(O890,"1D","FOLLOWING","TGT")</f>
        <v>43769</v>
      </c>
      <c r="P891" s="95">
        <f ca="1"/>
        <v>3.602928618909661E-3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-1.5269110956973152E-3</v>
      </c>
      <c r="H892" s="92" t="s">
        <v>4</v>
      </c>
      <c r="I892" s="97">
        <f ca="1">_xll.meDateFromTenor(I891,"1D","FOLLOWING","TGT")</f>
        <v>43770</v>
      </c>
      <c r="J892" s="95">
        <f ca="1"/>
        <v>-2.4458282890226776E-4</v>
      </c>
      <c r="K892" s="5" t="s">
        <v>4</v>
      </c>
      <c r="L892" s="97">
        <f ca="1">_xll.meDateFromTenor(L891,"1D","FOLLOWING","TGT")</f>
        <v>43770</v>
      </c>
      <c r="M892" s="95">
        <f ca="1"/>
        <v>1.5868158711661513E-3</v>
      </c>
      <c r="N892" s="5" t="s">
        <v>4</v>
      </c>
      <c r="O892" s="97">
        <f ca="1">_xll.meDateFromTenor(O891,"1D","FOLLOWING","TGT")</f>
        <v>43770</v>
      </c>
      <c r="P892" s="95">
        <f ca="1"/>
        <v>3.6085454008270013E-3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-1.5111112877555068E-3</v>
      </c>
      <c r="H893" s="92" t="s">
        <v>4</v>
      </c>
      <c r="I893" s="97">
        <f ca="1">_xll.meDateFromTenor(I892,"1D","FOLLOWING","TGT")</f>
        <v>43773</v>
      </c>
      <c r="J893" s="95">
        <f ca="1"/>
        <v>-2.3077729322732043E-4</v>
      </c>
      <c r="K893" s="5" t="s">
        <v>4</v>
      </c>
      <c r="L893" s="97">
        <f ca="1">_xll.meDateFromTenor(L892,"1D","FOLLOWING","TGT")</f>
        <v>43773</v>
      </c>
      <c r="M893" s="95">
        <f ca="1"/>
        <v>1.604594467638096E-3</v>
      </c>
      <c r="N893" s="5" t="s">
        <v>4</v>
      </c>
      <c r="O893" s="97">
        <f ca="1">_xll.meDateFromTenor(O892,"1D","FOLLOWING","TGT")</f>
        <v>43773</v>
      </c>
      <c r="P893" s="95">
        <f ca="1"/>
        <v>3.6254080332746288E-3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-1.5057330627390492E-3</v>
      </c>
      <c r="H894" s="92" t="s">
        <v>4</v>
      </c>
      <c r="I894" s="97">
        <f ca="1">_xll.meDateFromTenor(I893,"1D","FOLLOWING","TGT")</f>
        <v>43774</v>
      </c>
      <c r="J894" s="95">
        <f ca="1"/>
        <v>-2.2615273344545988E-4</v>
      </c>
      <c r="K894" s="5" t="s">
        <v>4</v>
      </c>
      <c r="L894" s="97">
        <f ca="1">_xll.meDateFromTenor(L893,"1D","FOLLOWING","TGT")</f>
        <v>43774</v>
      </c>
      <c r="M894" s="95">
        <f ca="1"/>
        <v>1.6105236268592307E-3</v>
      </c>
      <c r="N894" s="5" t="s">
        <v>4</v>
      </c>
      <c r="O894" s="97">
        <f ca="1">_xll.meDateFromTenor(O893,"1D","FOLLOWING","TGT")</f>
        <v>43774</v>
      </c>
      <c r="P894" s="95">
        <f ca="1"/>
        <v>3.6310330601989739E-3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-1.5002986049348738E-3</v>
      </c>
      <c r="H895" s="92" t="s">
        <v>4</v>
      </c>
      <c r="I895" s="97">
        <f ca="1">_xll.meDateFromTenor(I894,"1D","FOLLOWING","TGT")</f>
        <v>43775</v>
      </c>
      <c r="J895" s="95">
        <f ca="1"/>
        <v>-2.2151680207809085E-4</v>
      </c>
      <c r="K895" s="5" t="s">
        <v>4</v>
      </c>
      <c r="L895" s="97">
        <f ca="1">_xll.meDateFromTenor(L894,"1D","FOLLOWING","TGT")</f>
        <v>43775</v>
      </c>
      <c r="M895" s="95">
        <f ca="1"/>
        <v>1.6164542462044722E-3</v>
      </c>
      <c r="N895" s="5" t="s">
        <v>4</v>
      </c>
      <c r="O895" s="97">
        <f ca="1">_xll.meDateFromTenor(O894,"1D","FOLLOWING","TGT")</f>
        <v>43775</v>
      </c>
      <c r="P895" s="95">
        <f ca="1"/>
        <v>3.6366601887825195E-3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-1.4948100529297123E-3</v>
      </c>
      <c r="H896" s="92" t="s">
        <v>4</v>
      </c>
      <c r="I896" s="97">
        <f ca="1">_xll.meDateFromTenor(I895,"1D","FOLLOWING","TGT")</f>
        <v>43776</v>
      </c>
      <c r="J896" s="95">
        <f ca="1"/>
        <v>-2.1686949054097249E-4</v>
      </c>
      <c r="K896" s="5" t="s">
        <v>4</v>
      </c>
      <c r="L896" s="97">
        <f ca="1">_xll.meDateFromTenor(L895,"1D","FOLLOWING","TGT")</f>
        <v>43776</v>
      </c>
      <c r="M896" s="95">
        <f ca="1"/>
        <v>1.6223863136291391E-3</v>
      </c>
      <c r="N896" s="5" t="s">
        <v>4</v>
      </c>
      <c r="O896" s="97">
        <f ca="1">_xll.meDateFromTenor(O895,"1D","FOLLOWING","TGT")</f>
        <v>43776</v>
      </c>
      <c r="P896" s="95">
        <f ca="1"/>
        <v>3.6422894351882461E-3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-1.489269545310292E-3</v>
      </c>
      <c r="H897" s="92" t="s">
        <v>4</v>
      </c>
      <c r="I897" s="97">
        <f ca="1">_xll.meDateFromTenor(I896,"1D","FOLLOWING","TGT")</f>
        <v>43777</v>
      </c>
      <c r="J897" s="95">
        <f ca="1"/>
        <v>-2.122107902498617E-4</v>
      </c>
      <c r="K897" s="5" t="s">
        <v>4</v>
      </c>
      <c r="L897" s="97">
        <f ca="1">_xll.meDateFromTenor(L896,"1D","FOLLOWING","TGT")</f>
        <v>43777</v>
      </c>
      <c r="M897" s="95">
        <f ca="1"/>
        <v>1.6283198170885516E-3</v>
      </c>
      <c r="N897" s="5" t="s">
        <v>4</v>
      </c>
      <c r="O897" s="97">
        <f ca="1">_xll.meDateFromTenor(O896,"1D","FOLLOWING","TGT")</f>
        <v>43777</v>
      </c>
      <c r="P897" s="95">
        <f ca="1"/>
        <v>3.6479208155791349E-3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-1.472357674633786E-3</v>
      </c>
      <c r="H898" s="92" t="s">
        <v>4</v>
      </c>
      <c r="I898" s="97">
        <f ca="1">_xll.meDateFromTenor(I897,"1D","FOLLOWING","TGT")</f>
        <v>43780</v>
      </c>
      <c r="J898" s="95">
        <f ca="1"/>
        <v>-1.9816627101016329E-4</v>
      </c>
      <c r="K898" s="5" t="s">
        <v>4</v>
      </c>
      <c r="L898" s="97">
        <f ca="1">_xll.meDateFromTenor(L897,"1D","FOLLOWING","TGT")</f>
        <v>43780</v>
      </c>
      <c r="M898" s="95">
        <f ca="1"/>
        <v>1.64612882322844E-3</v>
      </c>
      <c r="N898" s="5" t="s">
        <v>4</v>
      </c>
      <c r="O898" s="97">
        <f ca="1">_xll.meDateFromTenor(O897,"1D","FOLLOWING","TGT")</f>
        <v>43780</v>
      </c>
      <c r="P898" s="95">
        <f ca="1"/>
        <v>3.6648279222925707E-3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-1.4666307304246344E-3</v>
      </c>
      <c r="H899" s="92" t="s">
        <v>4</v>
      </c>
      <c r="I899" s="97">
        <f ca="1">_xll.meDateFromTenor(I898,"1D","FOLLOWING","TGT")</f>
        <v>43781</v>
      </c>
      <c r="J899" s="95">
        <f ca="1"/>
        <v>-1.9346192986066925E-4</v>
      </c>
      <c r="K899" s="5" t="s">
        <v>4</v>
      </c>
      <c r="L899" s="97">
        <f ca="1">_xll.meDateFromTenor(L898,"1D","FOLLOWING","TGT")</f>
        <v>43781</v>
      </c>
      <c r="M899" s="95">
        <f ca="1"/>
        <v>1.6520679503800163E-3</v>
      </c>
      <c r="N899" s="5" t="s">
        <v>4</v>
      </c>
      <c r="O899" s="97">
        <f ca="1">_xll.meDateFromTenor(O898,"1D","FOLLOWING","TGT")</f>
        <v>43781</v>
      </c>
      <c r="P899" s="95">
        <f ca="1"/>
        <v>3.6704680002539068E-3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-1.4608625235348744E-3</v>
      </c>
      <c r="H900" s="92" t="s">
        <v>4</v>
      </c>
      <c r="I900" s="97">
        <f ca="1">_xll.meDateFromTenor(I899,"1D","FOLLOWING","TGT")</f>
        <v>43782</v>
      </c>
      <c r="J900" s="95">
        <f ca="1"/>
        <v>-1.8874615703597531E-4</v>
      </c>
      <c r="K900" s="5" t="s">
        <v>4</v>
      </c>
      <c r="L900" s="97">
        <f ca="1">_xll.meDateFromTenor(L899,"1D","FOLLOWING","TGT")</f>
        <v>43782</v>
      </c>
      <c r="M900" s="95">
        <f ca="1"/>
        <v>1.6580084533429293E-3</v>
      </c>
      <c r="N900" s="5" t="s">
        <v>4</v>
      </c>
      <c r="O900" s="97">
        <f ca="1">_xll.meDateFromTenor(O899,"1D","FOLLOWING","TGT")</f>
        <v>43782</v>
      </c>
      <c r="P900" s="95">
        <f ca="1"/>
        <v>3.6761102930153054E-3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-1.4550551925512363E-3</v>
      </c>
      <c r="H901" s="92" t="s">
        <v>4</v>
      </c>
      <c r="I901" s="97">
        <f ca="1">_xll.meDateFromTenor(I900,"1D","FOLLOWING","TGT")</f>
        <v>43783</v>
      </c>
      <c r="J901" s="95">
        <f ca="1"/>
        <v>-1.8401894395183983E-4</v>
      </c>
      <c r="K901" s="5" t="s">
        <v>4</v>
      </c>
      <c r="L901" s="97">
        <f ca="1">_xll.meDateFromTenor(L900,"1D","FOLLOWING","TGT")</f>
        <v>43783</v>
      </c>
      <c r="M901" s="95">
        <f ca="1"/>
        <v>1.6639503200724986E-3</v>
      </c>
      <c r="N901" s="5" t="s">
        <v>4</v>
      </c>
      <c r="O901" s="97">
        <f ca="1">_xll.meDateFromTenor(O900,"1D","FOLLOWING","TGT")</f>
        <v>43783</v>
      </c>
      <c r="P901" s="95">
        <f ca="1"/>
        <v>3.6817548167397463E-3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-1.4492108760604495E-3</v>
      </c>
      <c r="H902" s="92" t="s">
        <v>4</v>
      </c>
      <c r="I902" s="97">
        <f ca="1">_xll.meDateFromTenor(I901,"1D","FOLLOWING","TGT")</f>
        <v>43784</v>
      </c>
      <c r="J902" s="95">
        <f ca="1"/>
        <v>-1.7928028202402119E-4</v>
      </c>
      <c r="K902" s="5" t="s">
        <v>4</v>
      </c>
      <c r="L902" s="97">
        <f ca="1">_xll.meDateFromTenor(L901,"1D","FOLLOWING","TGT")</f>
        <v>43784</v>
      </c>
      <c r="M902" s="95">
        <f ca="1"/>
        <v>1.6698935385240424E-3</v>
      </c>
      <c r="N902" s="5" t="s">
        <v>4</v>
      </c>
      <c r="O902" s="97">
        <f ca="1">_xll.meDateFromTenor(O901,"1D","FOLLOWING","TGT")</f>
        <v>43784</v>
      </c>
      <c r="P902" s="95">
        <f ca="1"/>
        <v>3.6874015875902099E-3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-1.4314773994124994E-3</v>
      </c>
      <c r="H903" s="92" t="s">
        <v>4</v>
      </c>
      <c r="I903" s="97">
        <f ca="1">_xll.meDateFromTenor(I902,"1D","FOLLOWING","TGT")</f>
        <v>43787</v>
      </c>
      <c r="J903" s="95">
        <f ca="1"/>
        <v>-1.6499551733605158E-4</v>
      </c>
      <c r="K903" s="5" t="s">
        <v>4</v>
      </c>
      <c r="L903" s="97">
        <f ca="1">_xll.meDateFromTenor(L902,"1D","FOLLOWING","TGT")</f>
        <v>43787</v>
      </c>
      <c r="M903" s="95">
        <f ca="1"/>
        <v>1.6877311837637039E-3</v>
      </c>
      <c r="N903" s="5" t="s">
        <v>4</v>
      </c>
      <c r="O903" s="97">
        <f ca="1">_xll.meDateFromTenor(O902,"1D","FOLLOWING","TGT")</f>
        <v>43787</v>
      </c>
      <c r="P903" s="95">
        <f ca="1"/>
        <v>3.7043555445275332E-3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-1.4255065267604176E-3</v>
      </c>
      <c r="H904" s="92" t="s">
        <v>4</v>
      </c>
      <c r="I904" s="97">
        <f ca="1">_xll.meDateFromTenor(I903,"1D","FOLLOWING","TGT")</f>
        <v>43788</v>
      </c>
      <c r="J904" s="95">
        <f ca="1"/>
        <v>-1.6021097419108393E-4</v>
      </c>
      <c r="K904" s="5" t="s">
        <v>4</v>
      </c>
      <c r="L904" s="97">
        <f ca="1">_xll.meDateFromTenor(L903,"1D","FOLLOWING","TGT")</f>
        <v>43788</v>
      </c>
      <c r="M904" s="95">
        <f ca="1"/>
        <v>1.6936796886563308E-3</v>
      </c>
      <c r="N904" s="5" t="s">
        <v>4</v>
      </c>
      <c r="O904" s="97">
        <f ca="1">_xll.meDateFromTenor(O903,"1D","FOLLOWING","TGT")</f>
        <v>43788</v>
      </c>
      <c r="P904" s="95">
        <f ca="1"/>
        <v>3.7100114655118878E-3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-1.4195093615348368E-3</v>
      </c>
      <c r="H905" s="92" t="s">
        <v>4</v>
      </c>
      <c r="I905" s="97">
        <f ca="1">_xll.meDateFromTenor(I904,"1D","FOLLOWING","TGT")</f>
        <v>43789</v>
      </c>
      <c r="J905" s="95">
        <f ca="1"/>
        <v>-1.55414939281225E-4</v>
      </c>
      <c r="K905" s="5" t="s">
        <v>4</v>
      </c>
      <c r="L905" s="97">
        <f ca="1">_xll.meDateFromTenor(L904,"1D","FOLLOWING","TGT")</f>
        <v>43789</v>
      </c>
      <c r="M905" s="95">
        <f ca="1"/>
        <v>1.6996294850475254E-3</v>
      </c>
      <c r="N905" s="5" t="s">
        <v>4</v>
      </c>
      <c r="O905" s="97">
        <f ca="1">_xll.meDateFromTenor(O904,"1D","FOLLOWING","TGT")</f>
        <v>43789</v>
      </c>
      <c r="P905" s="95">
        <f ca="1"/>
        <v>3.7156697144371652E-3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-1.4134880423224867E-3</v>
      </c>
      <c r="H906" s="92" t="s">
        <v>4</v>
      </c>
      <c r="I906" s="97">
        <f ca="1">_xll.meDateFromTenor(I905,"1D","FOLLOWING","TGT")</f>
        <v>43790</v>
      </c>
      <c r="J906" s="95">
        <f ca="1"/>
        <v>-1.506074040222331E-4</v>
      </c>
      <c r="K906" s="5" t="s">
        <v>4</v>
      </c>
      <c r="L906" s="97">
        <f ca="1">_xll.meDateFromTenor(L905,"1D","FOLLOWING","TGT")</f>
        <v>43790</v>
      </c>
      <c r="M906" s="95">
        <f ca="1"/>
        <v>1.7055805608926057E-3</v>
      </c>
      <c r="N906" s="5" t="s">
        <v>4</v>
      </c>
      <c r="O906" s="97">
        <f ca="1">_xll.meDateFromTenor(O905,"1D","FOLLOWING","TGT")</f>
        <v>43790</v>
      </c>
      <c r="P906" s="95">
        <f ca="1"/>
        <v>3.7213303074663463E-3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-1.4074447077100974E-3</v>
      </c>
      <c r="H907" s="92" t="s">
        <v>4</v>
      </c>
      <c r="I907" s="97">
        <f ca="1">_xll.meDateFromTenor(I906,"1D","FOLLOWING","TGT")</f>
        <v>43791</v>
      </c>
      <c r="J907" s="95">
        <f ca="1"/>
        <v>-1.4578835982986661E-4</v>
      </c>
      <c r="K907" s="5" t="s">
        <v>4</v>
      </c>
      <c r="L907" s="97">
        <f ca="1">_xll.meDateFromTenor(L906,"1D","FOLLOWING","TGT")</f>
        <v>43791</v>
      </c>
      <c r="M907" s="95">
        <f ca="1"/>
        <v>1.7115329041468906E-3</v>
      </c>
      <c r="N907" s="5" t="s">
        <v>4</v>
      </c>
      <c r="O907" s="97">
        <f ca="1">_xll.meDateFromTenor(O906,"1D","FOLLOWING","TGT")</f>
        <v>43791</v>
      </c>
      <c r="P907" s="95">
        <f ca="1"/>
        <v>3.7269932607624109E-3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-1.389203997339993E-3</v>
      </c>
      <c r="H908" s="92" t="s">
        <v>4</v>
      </c>
      <c r="I908" s="97">
        <f ca="1">_xll.meDateFromTenor(I907,"1D","FOLLOWING","TGT")</f>
        <v>43794</v>
      </c>
      <c r="J908" s="95">
        <f ca="1"/>
        <v>-1.3126208781010396E-4</v>
      </c>
      <c r="K908" s="5" t="s">
        <v>4</v>
      </c>
      <c r="L908" s="97">
        <f ca="1">_xll.meDateFromTenor(L907,"1D","FOLLOWING","TGT")</f>
        <v>43794</v>
      </c>
      <c r="M908" s="95">
        <f ca="1"/>
        <v>1.7293974179181553E-3</v>
      </c>
      <c r="N908" s="5" t="s">
        <v>4</v>
      </c>
      <c r="O908" s="97">
        <f ca="1">_xll.meDateFromTenor(O907,"1D","FOLLOWING","TGT")</f>
        <v>43794</v>
      </c>
      <c r="P908" s="95">
        <f ca="1"/>
        <v>3.7439964438817043E-3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-1.3830939869947452E-3</v>
      </c>
      <c r="H909" s="92" t="s">
        <v>4</v>
      </c>
      <c r="I909" s="97">
        <f ca="1">_xll.meDateFromTenor(I908,"1D","FOLLOWING","TGT")</f>
        <v>43795</v>
      </c>
      <c r="J909" s="95">
        <f ca="1"/>
        <v>-1.2639692204182272E-4</v>
      </c>
      <c r="K909" s="5" t="s">
        <v>4</v>
      </c>
      <c r="L909" s="97">
        <f ca="1">_xll.meDateFromTenor(L908,"1D","FOLLOWING","TGT")</f>
        <v>43795</v>
      </c>
      <c r="M909" s="95">
        <f ca="1"/>
        <v>1.7353547103624433E-3</v>
      </c>
      <c r="N909" s="5" t="s">
        <v>4</v>
      </c>
      <c r="O909" s="97">
        <f ca="1">_xll.meDateFromTenor(O908,"1D","FOLLOWING","TGT")</f>
        <v>43795</v>
      </c>
      <c r="P909" s="95">
        <f ca="1"/>
        <v>3.7496689998751027E-3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-1.376972654183108E-3</v>
      </c>
      <c r="H910" s="92" t="s">
        <v>4</v>
      </c>
      <c r="I910" s="97">
        <f ca="1">_xll.meDateFromTenor(I909,"1D","FOLLOWING","TGT")</f>
        <v>43796</v>
      </c>
      <c r="J910" s="95">
        <f ca="1"/>
        <v>-1.2152020441895949E-4</v>
      </c>
      <c r="K910" s="5" t="s">
        <v>4</v>
      </c>
      <c r="L910" s="97">
        <f ca="1">_xll.meDateFromTenor(L909,"1D","FOLLOWING","TGT")</f>
        <v>43796</v>
      </c>
      <c r="M910" s="95">
        <f ca="1"/>
        <v>1.7413132099925275E-3</v>
      </c>
      <c r="N910" s="5" t="s">
        <v>4</v>
      </c>
      <c r="O910" s="97">
        <f ca="1">_xll.meDateFromTenor(O909,"1D","FOLLOWING","TGT")</f>
        <v>43796</v>
      </c>
      <c r="P910" s="95">
        <f ca="1"/>
        <v>3.7553439969502849E-3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-1.3708421374918102E-3</v>
      </c>
      <c r="H911" s="92" t="s">
        <v>4</v>
      </c>
      <c r="I911" s="97">
        <f ca="1">_xll.meDateFromTenor(I910,"1D","FOLLOWING","TGT")</f>
        <v>43797</v>
      </c>
      <c r="J911" s="95">
        <f ca="1"/>
        <v>-1.1663192635727107E-4</v>
      </c>
      <c r="K911" s="5" t="s">
        <v>4</v>
      </c>
      <c r="L911" s="97">
        <f ca="1">_xll.meDateFromTenor(L910,"1D","FOLLOWING","TGT")</f>
        <v>43797</v>
      </c>
      <c r="M911" s="95">
        <f ca="1"/>
        <v>1.7472729047637284E-3</v>
      </c>
      <c r="N911" s="5" t="s">
        <v>4</v>
      </c>
      <c r="O911" s="97">
        <f ca="1">_xll.meDateFromTenor(O910,"1D","FOLLOWING","TGT")</f>
        <v>43797</v>
      </c>
      <c r="P911" s="95">
        <f ca="1"/>
        <v>3.7610214512702324E-3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-1.3647045755075817E-3</v>
      </c>
      <c r="H912" s="92" t="s">
        <v>4</v>
      </c>
      <c r="I912" s="97">
        <f ca="1">_xll.meDateFromTenor(I911,"1D","FOLLOWING","TGT")</f>
        <v>43798</v>
      </c>
      <c r="J912" s="95">
        <f ca="1"/>
        <v>-1.1173207927251662E-4</v>
      </c>
      <c r="K912" s="5" t="s">
        <v>4</v>
      </c>
      <c r="L912" s="97">
        <f ca="1">_xll.meDateFromTenor(L911,"1D","FOLLOWING","TGT")</f>
        <v>43798</v>
      </c>
      <c r="M912" s="95">
        <f ca="1"/>
        <v>1.7532337826313637E-3</v>
      </c>
      <c r="N912" s="5" t="s">
        <v>4</v>
      </c>
      <c r="O912" s="97">
        <f ca="1">_xll.meDateFromTenor(O911,"1D","FOLLOWING","TGT")</f>
        <v>43798</v>
      </c>
      <c r="P912" s="95">
        <f ca="1"/>
        <v>3.7667013789979237E-3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-1.3462710036646148E-3</v>
      </c>
      <c r="H913" s="92" t="s">
        <v>4</v>
      </c>
      <c r="I913" s="97">
        <f ca="1">_xll.meDateFromTenor(I912,"1D","FOLLOWING","TGT")</f>
        <v>43801</v>
      </c>
      <c r="J913" s="95">
        <f ca="1"/>
        <v>-9.6963038037440696E-5</v>
      </c>
      <c r="K913" s="5" t="s">
        <v>4</v>
      </c>
      <c r="L913" s="97">
        <f ca="1">_xll.meDateFromTenor(L912,"1D","FOLLOWING","TGT")</f>
        <v>43801</v>
      </c>
      <c r="M913" s="95">
        <f ca="1"/>
        <v>1.7711233943660612E-3</v>
      </c>
      <c r="N913" s="5" t="s">
        <v>4</v>
      </c>
      <c r="O913" s="97">
        <f ca="1">_xll.meDateFromTenor(O912,"1D","FOLLOWING","TGT")</f>
        <v>43801</v>
      </c>
      <c r="P913" s="95">
        <f ca="1"/>
        <v>3.7837561642572659E-3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-1.3401264501848708E-3</v>
      </c>
      <c r="H914" s="92" t="s">
        <v>4</v>
      </c>
      <c r="I914" s="97">
        <f ca="1">_xll.meDateFromTenor(I913,"1D","FOLLOWING","TGT")</f>
        <v>43802</v>
      </c>
      <c r="J914" s="95">
        <f ca="1"/>
        <v>-9.2016832164932457E-5</v>
      </c>
      <c r="K914" s="5" t="s">
        <v>4</v>
      </c>
      <c r="L914" s="97">
        <f ca="1">_xll.meDateFromTenor(L913,"1D","FOLLOWING","TGT")</f>
        <v>43802</v>
      </c>
      <c r="M914" s="95">
        <f ca="1"/>
        <v>1.7770888882598134E-3</v>
      </c>
      <c r="N914" s="5" t="s">
        <v>4</v>
      </c>
      <c r="O914" s="97">
        <f ca="1">_xll.meDateFromTenor(O913,"1D","FOLLOWING","TGT")</f>
        <v>43802</v>
      </c>
      <c r="P914" s="95">
        <f ca="1"/>
        <v>3.7894461472457366E-3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-1.3339843671992828E-3</v>
      </c>
      <c r="H915" s="92" t="s">
        <v>4</v>
      </c>
      <c r="I915" s="97">
        <f ca="1">_xll.meDateFromTenor(I914,"1D","FOLLOWING","TGT")</f>
        <v>43803</v>
      </c>
      <c r="J915" s="95">
        <f ca="1"/>
        <v>-8.7059033229711078E-5</v>
      </c>
      <c r="K915" s="5" t="s">
        <v>4</v>
      </c>
      <c r="L915" s="97">
        <f ca="1">_xll.meDateFromTenor(L914,"1D","FOLLOWING","TGT")</f>
        <v>43803</v>
      </c>
      <c r="M915" s="95">
        <f ca="1"/>
        <v>1.7830555295497549E-3</v>
      </c>
      <c r="N915" s="5" t="s">
        <v>4</v>
      </c>
      <c r="O915" s="97">
        <f ca="1">_xll.meDateFromTenor(O914,"1D","FOLLOWING","TGT")</f>
        <v>43803</v>
      </c>
      <c r="P915" s="95">
        <f ca="1"/>
        <v>3.7951386844568506E-3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-1.3278457161480155E-3</v>
      </c>
      <c r="H916" s="92" t="s">
        <v>4</v>
      </c>
      <c r="I916" s="97">
        <f ca="1">_xll.meDateFromTenor(I915,"1D","FOLLOWING","TGT")</f>
        <v>43804</v>
      </c>
      <c r="J916" s="95">
        <f ca="1"/>
        <v>-8.2089651529093568E-5</v>
      </c>
      <c r="K916" s="5" t="s">
        <v>4</v>
      </c>
      <c r="L916" s="97">
        <f ca="1">_xll.meDateFromTenor(L915,"1D","FOLLOWING","TGT")</f>
        <v>43804</v>
      </c>
      <c r="M916" s="95">
        <f ca="1"/>
        <v>1.7890233307143693E-3</v>
      </c>
      <c r="N916" s="5" t="s">
        <v>4</v>
      </c>
      <c r="O916" s="97">
        <f ca="1">_xll.meDateFromTenor(O915,"1D","FOLLOWING","TGT")</f>
        <v>43804</v>
      </c>
      <c r="P916" s="95">
        <f ca="1"/>
        <v>3.8008337920535915E-3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-1.3217114584712373E-3</v>
      </c>
      <c r="H917" s="92" t="s">
        <v>4</v>
      </c>
      <c r="I917" s="97">
        <f ca="1">_xll.meDateFromTenor(I916,"1D","FOLLOWING","TGT")</f>
        <v>43805</v>
      </c>
      <c r="J917" s="95">
        <f ca="1"/>
        <v>-7.7108697360400174E-5</v>
      </c>
      <c r="K917" s="5" t="s">
        <v>4</v>
      </c>
      <c r="L917" s="97">
        <f ca="1">_xll.meDateFromTenor(L916,"1D","FOLLOWING","TGT")</f>
        <v>43805</v>
      </c>
      <c r="M917" s="95">
        <f ca="1"/>
        <v>1.7949923042321367E-3</v>
      </c>
      <c r="N917" s="5" t="s">
        <v>4</v>
      </c>
      <c r="O917" s="97">
        <f ca="1">_xll.meDateFromTenor(O916,"1D","FOLLOWING","TGT")</f>
        <v>43805</v>
      </c>
      <c r="P917" s="95">
        <f ca="1"/>
        <v>3.8065314861989354E-3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-1.3033446600894862E-3</v>
      </c>
      <c r="H918" s="92" t="s">
        <v>4</v>
      </c>
      <c r="I918" s="97">
        <f ca="1">_xll.meDateFromTenor(I917,"1D","FOLLOWING","TGT")</f>
        <v>43808</v>
      </c>
      <c r="J918" s="95">
        <f ca="1"/>
        <v>-6.2096503019043597E-5</v>
      </c>
      <c r="K918" s="5" t="s">
        <v>4</v>
      </c>
      <c r="L918" s="97">
        <f ca="1">_xll.meDateFromTenor(L917,"1D","FOLLOWING","TGT")</f>
        <v>43808</v>
      </c>
      <c r="M918" s="95">
        <f ca="1"/>
        <v>1.8129063836891824E-3</v>
      </c>
      <c r="N918" s="5" t="s">
        <v>4</v>
      </c>
      <c r="O918" s="97">
        <f ca="1">_xll.meDateFromTenor(O917,"1D","FOLLOWING","TGT")</f>
        <v>43808</v>
      </c>
      <c r="P918" s="95">
        <f ca="1"/>
        <v>3.8236402495564056E-3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-1.2972375903123191E-3</v>
      </c>
      <c r="H919" s="92" t="s">
        <v>4</v>
      </c>
      <c r="I919" s="97">
        <f ca="1">_xll.meDateFromTenor(I918,"1D","FOLLOWING","TGT")</f>
        <v>43809</v>
      </c>
      <c r="J919" s="95">
        <f ca="1"/>
        <v>-5.7069361951228821E-5</v>
      </c>
      <c r="K919" s="5" t="s">
        <v>4</v>
      </c>
      <c r="L919" s="97">
        <f ca="1">_xll.meDateFromTenor(L918,"1D","FOLLOWING","TGT")</f>
        <v>43809</v>
      </c>
      <c r="M919" s="95">
        <f ca="1"/>
        <v>1.8188801714043832E-3</v>
      </c>
      <c r="N919" s="5" t="s">
        <v>4</v>
      </c>
      <c r="O919" s="97">
        <f ca="1">_xll.meDateFromTenor(O918,"1D","FOLLOWING","TGT")</f>
        <v>43809</v>
      </c>
      <c r="P919" s="95">
        <f ca="1"/>
        <v>3.8293484515259726E-3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-1.2911397211104706E-3</v>
      </c>
      <c r="H920" s="92" t="s">
        <v>4</v>
      </c>
      <c r="I920" s="97">
        <f ca="1">_xll.meDateFromTenor(I919,"1D","FOLLOWING","TGT")</f>
        <v>43810</v>
      </c>
      <c r="J920" s="95">
        <f ca="1"/>
        <v>-5.2030699901930481E-5</v>
      </c>
      <c r="K920" s="5" t="s">
        <v>4</v>
      </c>
      <c r="L920" s="97">
        <f ca="1">_xll.meDateFromTenor(L919,"1D","FOLLOWING","TGT")</f>
        <v>43810</v>
      </c>
      <c r="M920" s="95">
        <f ca="1"/>
        <v>1.824855193865147E-3</v>
      </c>
      <c r="N920" s="5" t="s">
        <v>4</v>
      </c>
      <c r="O920" s="97">
        <f ca="1">_xll.meDateFromTenor(O919,"1D","FOLLOWING","TGT")</f>
        <v>43810</v>
      </c>
      <c r="P920" s="95">
        <f ca="1"/>
        <v>3.8350593208590468E-3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-1.2850520139241067E-3</v>
      </c>
      <c r="H921" s="92" t="s">
        <v>4</v>
      </c>
      <c r="I921" s="97">
        <f ca="1">_xll.meDateFromTenor(I920,"1D","FOLLOWING","TGT")</f>
        <v>43811</v>
      </c>
      <c r="J921" s="95">
        <f ca="1"/>
        <v>-4.6980527168467198E-5</v>
      </c>
      <c r="K921" s="5" t="s">
        <v>4</v>
      </c>
      <c r="L921" s="97">
        <f ca="1">_xll.meDateFromTenor(L920,"1D","FOLLOWING","TGT")</f>
        <v>43811</v>
      </c>
      <c r="M921" s="95">
        <f ca="1"/>
        <v>1.8308314635499549E-3</v>
      </c>
      <c r="N921" s="5" t="s">
        <v>4</v>
      </c>
      <c r="O921" s="97">
        <f ca="1">_xll.meDateFromTenor(O920,"1D","FOLLOWING","TGT")</f>
        <v>43811</v>
      </c>
      <c r="P921" s="95">
        <f ca="1"/>
        <v>3.8407728737186063E-3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-1.2789754301933943E-3</v>
      </c>
      <c r="H922" s="92" t="s">
        <v>4</v>
      </c>
      <c r="I922" s="97">
        <f ca="1">_xll.meDateFromTenor(I921,"1D","FOLLOWING","TGT")</f>
        <v>43812</v>
      </c>
      <c r="J922" s="95">
        <f ca="1"/>
        <v>-4.1918854048158401E-5</v>
      </c>
      <c r="K922" s="5" t="s">
        <v>4</v>
      </c>
      <c r="L922" s="97">
        <f ca="1">_xll.meDateFromTenor(L921,"1D","FOLLOWING","TGT")</f>
        <v>43812</v>
      </c>
      <c r="M922" s="95">
        <f ca="1"/>
        <v>1.8368089929372876E-3</v>
      </c>
      <c r="N922" s="5" t="s">
        <v>4</v>
      </c>
      <c r="O922" s="97">
        <f ca="1">_xll.meDateFromTenor(O921,"1D","FOLLOWING","TGT")</f>
        <v>43812</v>
      </c>
      <c r="P922" s="95">
        <f ca="1"/>
        <v>3.846489126267632E-3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-1.2608220341368212E-3</v>
      </c>
      <c r="H923" s="92" t="s">
        <v>4</v>
      </c>
      <c r="I923" s="97">
        <f ca="1">_xll.meDateFromTenor(I922,"1D","FOLLOWING","TGT")</f>
        <v>43815</v>
      </c>
      <c r="J923" s="95">
        <f ca="1"/>
        <v>-2.666493533933865E-5</v>
      </c>
      <c r="K923" s="5" t="s">
        <v>4</v>
      </c>
      <c r="L923" s="97">
        <f ca="1">_xll.meDateFromTenor(L922,"1D","FOLLOWING","TGT")</f>
        <v>43815</v>
      </c>
      <c r="M923" s="95">
        <f ca="1"/>
        <v>1.8547492640992613E-3</v>
      </c>
      <c r="N923" s="5" t="s">
        <v>4</v>
      </c>
      <c r="O923" s="97">
        <f ca="1">_xll.meDateFromTenor(O922,"1D","FOLLOWING","TGT")</f>
        <v>43815</v>
      </c>
      <c r="P923" s="95">
        <f ca="1"/>
        <v>3.8636542436813071E-3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-1.2547995586303724E-3</v>
      </c>
      <c r="H924" s="92" t="s">
        <v>4</v>
      </c>
      <c r="I924" s="97">
        <f ca="1">_xll.meDateFromTenor(I923,"1D","FOLLOWING","TGT")</f>
        <v>43816</v>
      </c>
      <c r="J924" s="95">
        <f ca="1"/>
        <v>-2.1557363644829981E-5</v>
      </c>
      <c r="K924" s="5" t="s">
        <v>4</v>
      </c>
      <c r="L924" s="97">
        <f ca="1">_xll.meDateFromTenor(L923,"1D","FOLLOWING","TGT")</f>
        <v>43816</v>
      </c>
      <c r="M924" s="95">
        <f ca="1"/>
        <v>1.8607319570815165E-3</v>
      </c>
      <c r="N924" s="5" t="s">
        <v>4</v>
      </c>
      <c r="O924" s="97">
        <f ca="1">_xll.meDateFromTenor(O923,"1D","FOLLOWING","TGT")</f>
        <v>43816</v>
      </c>
      <c r="P924" s="95">
        <f ca="1"/>
        <v>3.8693814566179993E-3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-1.248793013780405E-3</v>
      </c>
      <c r="H925" s="92" t="s">
        <v>4</v>
      </c>
      <c r="I925" s="97">
        <f ca="1">_xll.meDateFromTenor(I924,"1D","FOLLOWING","TGT")</f>
        <v>43817</v>
      </c>
      <c r="J925" s="95">
        <f ca="1"/>
        <v>-1.6438343050068086E-5</v>
      </c>
      <c r="K925" s="5" t="s">
        <v>4</v>
      </c>
      <c r="L925" s="97">
        <f ca="1">_xll.meDateFromTenor(L924,"1D","FOLLOWING","TGT")</f>
        <v>43817</v>
      </c>
      <c r="M925" s="95">
        <f ca="1"/>
        <v>1.8667159721587065E-3</v>
      </c>
      <c r="N925" s="5" t="s">
        <v>4</v>
      </c>
      <c r="O925" s="97">
        <f ca="1">_xll.meDateFromTenor(O924,"1D","FOLLOWING","TGT")</f>
        <v>43817</v>
      </c>
      <c r="P925" s="95">
        <f ca="1"/>
        <v>3.8751114500590574E-3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-1.2428033610270852E-3</v>
      </c>
      <c r="H926" s="92" t="s">
        <v>4</v>
      </c>
      <c r="I926" s="97">
        <f ca="1">_xll.meDateFromTenor(I925,"1D","FOLLOWING","TGT")</f>
        <v>43818</v>
      </c>
      <c r="J926" s="95">
        <f ca="1"/>
        <v>-1.1307883852371621E-5</v>
      </c>
      <c r="K926" s="5" t="s">
        <v>4</v>
      </c>
      <c r="L926" s="97">
        <f ca="1">_xll.meDateFromTenor(L925,"1D","FOLLOWING","TGT")</f>
        <v>43818</v>
      </c>
      <c r="M926" s="95">
        <f ca="1"/>
        <v>1.8727013218093125E-3</v>
      </c>
      <c r="N926" s="5" t="s">
        <v>4</v>
      </c>
      <c r="O926" s="97">
        <f ca="1">_xll.meDateFromTenor(O925,"1D","FOLLOWING","TGT")</f>
        <v>43818</v>
      </c>
      <c r="P926" s="95">
        <f ca="1"/>
        <v>3.8808442401674632E-3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-1.236831561810579E-3</v>
      </c>
      <c r="H927" s="92" t="s">
        <v>4</v>
      </c>
      <c r="I927" s="97">
        <f ca="1">_xll.meDateFromTenor(I926,"1D","FOLLOWING","TGT")</f>
        <v>43819</v>
      </c>
      <c r="J927" s="95">
        <f ca="1"/>
        <v>-6.1659963490592179E-6</v>
      </c>
      <c r="K927" s="5" t="s">
        <v>4</v>
      </c>
      <c r="L927" s="97">
        <f ca="1">_xll.meDateFromTenor(L926,"1D","FOLLOWING","TGT")</f>
        <v>43819</v>
      </c>
      <c r="M927" s="95">
        <f ca="1"/>
        <v>1.878688018511817E-3</v>
      </c>
      <c r="N927" s="5" t="s">
        <v>4</v>
      </c>
      <c r="O927" s="97">
        <f ca="1">_xll.meDateFromTenor(O926,"1D","FOLLOWING","TGT")</f>
        <v>43819</v>
      </c>
      <c r="P927" s="95">
        <f ca="1"/>
        <v>3.8865798431061962E-3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-1.2190328997836062E-3</v>
      </c>
      <c r="H928" s="92" t="s">
        <v>4</v>
      </c>
      <c r="I928" s="97">
        <f ca="1">_xll.meDateFromTenor(I927,"1D","FOLLOWING","TGT")</f>
        <v>43822</v>
      </c>
      <c r="J928" s="95">
        <f ca="1"/>
        <v>9.328133021386662E-6</v>
      </c>
      <c r="K928" s="5" t="s">
        <v>4</v>
      </c>
      <c r="L928" s="97">
        <f ca="1">_xll.meDateFromTenor(L927,"1D","FOLLOWING","TGT")</f>
        <v>43822</v>
      </c>
      <c r="M928" s="95">
        <f ca="1"/>
        <v>1.8966563157155358E-3</v>
      </c>
      <c r="N928" s="5" t="s">
        <v>4</v>
      </c>
      <c r="O928" s="97">
        <f ca="1">_xll.meDateFromTenor(O927,"1D","FOLLOWING","TGT")</f>
        <v>43822</v>
      </c>
      <c r="P928" s="95">
        <f ca="1"/>
        <v>3.903803690534158E-3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-1.2131421291160177E-3</v>
      </c>
      <c r="H929" s="92" t="s">
        <v>4</v>
      </c>
      <c r="I929" s="97">
        <f ca="1">_xll.meDateFromTenor(I928,"1D","FOLLOWING","TGT")</f>
        <v>43823</v>
      </c>
      <c r="J929" s="95">
        <f ca="1"/>
        <v>1.4515630773975806E-5</v>
      </c>
      <c r="K929" s="5" t="s">
        <v>4</v>
      </c>
      <c r="L929" s="97">
        <f ca="1">_xll.meDateFromTenor(L928,"1D","FOLLOWING","TGT")</f>
        <v>43823</v>
      </c>
      <c r="M929" s="95">
        <f ca="1"/>
        <v>1.9026485254104491E-3</v>
      </c>
      <c r="N929" s="5" t="s">
        <v>4</v>
      </c>
      <c r="O929" s="97">
        <f ca="1">_xll.meDateFromTenor(O928,"1D","FOLLOWING","TGT")</f>
        <v>43823</v>
      </c>
      <c r="P929" s="95">
        <f ca="1"/>
        <v>3.9095507064239995E-3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-1.195609627299781E-3</v>
      </c>
      <c r="H930" s="92" t="s">
        <v>4</v>
      </c>
      <c r="I930" s="97">
        <f ca="1">_xll.meDateFromTenor(I929,"1D","FOLLOWING","TGT")</f>
        <v>43826</v>
      </c>
      <c r="J930" s="95">
        <f ca="1"/>
        <v>3.014634375660824E-5</v>
      </c>
      <c r="K930" s="5" t="s">
        <v>4</v>
      </c>
      <c r="L930" s="97">
        <f ca="1">_xll.meDateFromTenor(L929,"1D","FOLLOWING","TGT")</f>
        <v>43826</v>
      </c>
      <c r="M930" s="95">
        <f ca="1"/>
        <v>1.9206336610749605E-3</v>
      </c>
      <c r="N930" s="5" t="s">
        <v>4</v>
      </c>
      <c r="O930" s="97">
        <f ca="1">_xll.meDateFromTenor(O929,"1D","FOLLOWING","TGT")</f>
        <v>43826</v>
      </c>
      <c r="P930" s="95">
        <f ca="1"/>
        <v>3.9268091806168139E-3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-1.1783070310068305E-3</v>
      </c>
      <c r="H931" s="92" t="s">
        <v>4</v>
      </c>
      <c r="I931" s="97">
        <f ca="1">_xll.meDateFromTenor(I930,"1D","FOLLOWING","TGT")</f>
        <v>43829</v>
      </c>
      <c r="J931" s="95">
        <f ca="1"/>
        <v>4.5879170082843262E-5</v>
      </c>
      <c r="K931" s="5" t="s">
        <v>4</v>
      </c>
      <c r="L931" s="97">
        <f ca="1">_xll.meDateFromTenor(L930,"1D","FOLLOWING","TGT")</f>
        <v>43829</v>
      </c>
      <c r="M931" s="95">
        <f ca="1"/>
        <v>1.9386318186572406E-3</v>
      </c>
      <c r="N931" s="5" t="s">
        <v>4</v>
      </c>
      <c r="O931" s="97">
        <f ca="1">_xll.meDateFromTenor(O930,"1D","FOLLOWING","TGT")</f>
        <v>43829</v>
      </c>
      <c r="P931" s="95">
        <f ca="1"/>
        <v>3.9440941340171433E-3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-1.1725950757462426E-3</v>
      </c>
      <c r="H932" s="92" t="s">
        <v>4</v>
      </c>
      <c r="I932" s="97">
        <f ca="1">_xll.meDateFromTenor(I931,"1D","FOLLOWING","TGT")</f>
        <v>43830</v>
      </c>
      <c r="J932" s="95">
        <f ca="1"/>
        <v>5.1146089324901074E-5</v>
      </c>
      <c r="K932" s="5" t="s">
        <v>4</v>
      </c>
      <c r="L932" s="97">
        <f ca="1">_xll.meDateFromTenor(L931,"1D","FOLLOWING","TGT")</f>
        <v>43830</v>
      </c>
      <c r="M932" s="95">
        <f ca="1"/>
        <v>1.9446341565104185E-3</v>
      </c>
      <c r="N932" s="5" t="s">
        <v>4</v>
      </c>
      <c r="O932" s="97">
        <f ca="1">_xll.meDateFromTenor(O931,"1D","FOLLOWING","TGT")</f>
        <v>43830</v>
      </c>
      <c r="P932" s="95">
        <f ca="1"/>
        <v>3.949861744846162E-3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-1.1612911013135943E-3</v>
      </c>
      <c r="H933" s="92" t="s">
        <v>4</v>
      </c>
      <c r="I933" s="97">
        <f ca="1">_xll.meDateFromTenor(I932,"1D","FOLLOWING","TGT")</f>
        <v>43832</v>
      </c>
      <c r="J933" s="95">
        <f ca="1"/>
        <v>6.1684896580939334E-5</v>
      </c>
      <c r="K933" s="5" t="s">
        <v>4</v>
      </c>
      <c r="L933" s="97">
        <f ca="1">_xll.meDateFromTenor(L932,"1D","FOLLOWING","TGT")</f>
        <v>43832</v>
      </c>
      <c r="M933" s="95">
        <f ca="1"/>
        <v>1.9566105148656012E-3</v>
      </c>
      <c r="N933" s="5" t="s">
        <v>4</v>
      </c>
      <c r="O933" s="97">
        <f ca="1">_xll.meDateFromTenor(O932,"1D","FOLLOWING","TGT")</f>
        <v>43832</v>
      </c>
      <c r="P933" s="95">
        <f ca="1"/>
        <v>3.9613744448335183E-3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-1.1556847298319914E-3</v>
      </c>
      <c r="H934" s="92" t="s">
        <v>4</v>
      </c>
      <c r="I934" s="97">
        <f ca="1">_xll.meDateFromTenor(I933,"1D","FOLLOWING","TGT")</f>
        <v>43833</v>
      </c>
      <c r="J934" s="95">
        <f ca="1"/>
        <v>6.6971139247587588E-5</v>
      </c>
      <c r="K934" s="5" t="s">
        <v>4</v>
      </c>
      <c r="L934" s="97">
        <f ca="1">_xll.meDateFromTenor(L933,"1D","FOLLOWING","TGT")</f>
        <v>43833</v>
      </c>
      <c r="M934" s="95">
        <f ca="1"/>
        <v>1.9626009579228674E-3</v>
      </c>
      <c r="N934" s="5" t="s">
        <v>4</v>
      </c>
      <c r="O934" s="97">
        <f ca="1">_xll.meDateFromTenor(O933,"1D","FOLLOWING","TGT")</f>
        <v>43833</v>
      </c>
      <c r="P934" s="95">
        <f ca="1"/>
        <v>3.9671353204713579E-3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-1.139025144757426E-3</v>
      </c>
      <c r="H935" s="92" t="s">
        <v>4</v>
      </c>
      <c r="I935" s="97">
        <f ca="1">_xll.meDateFromTenor(I934,"1D","FOLLOWING","TGT")</f>
        <v>43836</v>
      </c>
      <c r="J935" s="95">
        <f ca="1"/>
        <v>8.2897100844309821E-5</v>
      </c>
      <c r="K935" s="5" t="s">
        <v>4</v>
      </c>
      <c r="L935" s="97">
        <f ca="1">_xll.meDateFromTenor(L934,"1D","FOLLOWING","TGT")</f>
        <v>43836</v>
      </c>
      <c r="M935" s="95">
        <f ca="1"/>
        <v>1.9805814911311027E-3</v>
      </c>
      <c r="N935" s="5" t="s">
        <v>4</v>
      </c>
      <c r="O935" s="97">
        <f ca="1">_xll.meDateFromTenor(O934,"1D","FOLLOWING","TGT")</f>
        <v>43836</v>
      </c>
      <c r="P935" s="95">
        <f ca="1"/>
        <v>3.9844362423318161E-3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-1.1335160274566888E-3</v>
      </c>
      <c r="H936" s="92" t="s">
        <v>4</v>
      </c>
      <c r="I936" s="97">
        <f ca="1">_xll.meDateFromTenor(I935,"1D","FOLLOWING","TGT")</f>
        <v>43837</v>
      </c>
      <c r="J936" s="95">
        <f ca="1"/>
        <v>8.8228131864992934E-5</v>
      </c>
      <c r="K936" s="5" t="s">
        <v>4</v>
      </c>
      <c r="L936" s="97">
        <f ca="1">_xll.meDateFromTenor(L935,"1D","FOLLOWING","TGT")</f>
        <v>43837</v>
      </c>
      <c r="M936" s="95">
        <f ca="1"/>
        <v>1.986578111467587E-3</v>
      </c>
      <c r="N936" s="5" t="s">
        <v>4</v>
      </c>
      <c r="O936" s="97">
        <f ca="1">_xll.meDateFromTenor(O935,"1D","FOLLOWING","TGT")</f>
        <v>43837</v>
      </c>
      <c r="P936" s="95">
        <f ca="1"/>
        <v>3.9902093680371422E-3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-1.1280243996516935E-3</v>
      </c>
      <c r="H937" s="92" t="s">
        <v>4</v>
      </c>
      <c r="I937" s="97">
        <f ca="1">_xll.meDateFromTenor(I936,"1D","FOLLOWING","TGT")</f>
        <v>43838</v>
      </c>
      <c r="J937" s="95">
        <f ca="1"/>
        <v>9.3570334441323892E-5</v>
      </c>
      <c r="K937" s="5" t="s">
        <v>4</v>
      </c>
      <c r="L937" s="97">
        <f ca="1">_xll.meDateFromTenor(L936,"1D","FOLLOWING","TGT")</f>
        <v>43838</v>
      </c>
      <c r="M937" s="95">
        <f ca="1"/>
        <v>1.9925763070650728E-3</v>
      </c>
      <c r="N937" s="5" t="s">
        <v>4</v>
      </c>
      <c r="O937" s="97">
        <f ca="1">_xll.meDateFromTenor(O936,"1D","FOLLOWING","TGT")</f>
        <v>43838</v>
      </c>
      <c r="P937" s="95">
        <f ca="1"/>
        <v>3.9959855963364885E-3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-1.1225475317226522E-3</v>
      </c>
      <c r="H938" s="92" t="s">
        <v>4</v>
      </c>
      <c r="I938" s="97">
        <f ca="1">_xll.meDateFromTenor(I937,"1D","FOLLOWING","TGT")</f>
        <v>43839</v>
      </c>
      <c r="J938" s="95">
        <f ca="1"/>
        <v>9.8923698360157099E-5</v>
      </c>
      <c r="K938" s="5" t="s">
        <v>4</v>
      </c>
      <c r="L938" s="97">
        <f ca="1">_xll.meDateFromTenor(L937,"1D","FOLLOWING","TGT")</f>
        <v>43839</v>
      </c>
      <c r="M938" s="95">
        <f ca="1"/>
        <v>1.9985760903000372E-3</v>
      </c>
      <c r="N938" s="5" t="s">
        <v>4</v>
      </c>
      <c r="O938" s="97">
        <f ca="1">_xll.meDateFromTenor(O937,"1D","FOLLOWING","TGT")</f>
        <v>43839</v>
      </c>
      <c r="P938" s="95">
        <f ca="1"/>
        <v>4.0017649432607105E-3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-1.1170826940497761E-3</v>
      </c>
      <c r="H939" s="92" t="s">
        <v>4</v>
      </c>
      <c r="I939" s="97">
        <f ca="1">_xll.meDateFromTenor(I938,"1D","FOLLOWING","TGT")</f>
        <v>43840</v>
      </c>
      <c r="J939" s="95">
        <f ca="1"/>
        <v>1.0428821340834685E-4</v>
      </c>
      <c r="K939" s="5" t="s">
        <v>4</v>
      </c>
      <c r="L939" s="97">
        <f ca="1">_xll.meDateFromTenor(L938,"1D","FOLLOWING","TGT")</f>
        <v>43840</v>
      </c>
      <c r="M939" s="95">
        <f ca="1"/>
        <v>2.0045774735489574E-3</v>
      </c>
      <c r="N939" s="5" t="s">
        <v>4</v>
      </c>
      <c r="O939" s="97">
        <f ca="1">_xll.meDateFromTenor(O938,"1D","FOLLOWING","TGT")</f>
        <v>43840</v>
      </c>
      <c r="P939" s="95">
        <f ca="1"/>
        <v>4.0075474248406663E-3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-1.10073306637024E-3</v>
      </c>
      <c r="H940" s="92" t="s">
        <v>4</v>
      </c>
      <c r="I940" s="97">
        <f ca="1">_xll.meDateFromTenor(I939,"1D","FOLLOWING","TGT")</f>
        <v>43843</v>
      </c>
      <c r="J940" s="95">
        <f ca="1"/>
        <v>1.2044856319761562E-4</v>
      </c>
      <c r="K940" s="5" t="s">
        <v>4</v>
      </c>
      <c r="L940" s="97">
        <f ca="1">_xll.meDateFromTenor(L939,"1D","FOLLOWING","TGT")</f>
        <v>43843</v>
      </c>
      <c r="M940" s="95">
        <f ca="1"/>
        <v>2.0225913471442485E-3</v>
      </c>
      <c r="N940" s="5" t="s">
        <v>4</v>
      </c>
      <c r="O940" s="97">
        <f ca="1">_xll.meDateFromTenor(O939,"1D","FOLLOWING","TGT")</f>
        <v>43843</v>
      </c>
      <c r="P940" s="95">
        <f ca="1"/>
        <v>4.0249138378235291E-3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-1.0952890535241282E-3</v>
      </c>
      <c r="H941" s="92" t="s">
        <v>4</v>
      </c>
      <c r="I941" s="97">
        <f ca="1">_xll.meDateFromTenor(I940,"1D","FOLLOWING","TGT")</f>
        <v>43844</v>
      </c>
      <c r="J941" s="95">
        <f ca="1"/>
        <v>1.258575806317882E-4</v>
      </c>
      <c r="K941" s="5" t="s">
        <v>4</v>
      </c>
      <c r="L941" s="97">
        <f ca="1">_xll.meDateFromTenor(L940,"1D","FOLLOWING","TGT")</f>
        <v>43844</v>
      </c>
      <c r="M941" s="95">
        <f ca="1"/>
        <v>2.0285992542137818E-3</v>
      </c>
      <c r="N941" s="5" t="s">
        <v>4</v>
      </c>
      <c r="O941" s="97">
        <f ca="1">_xll.meDateFromTenor(O940,"1D","FOLLOWING","TGT")</f>
        <v>43844</v>
      </c>
      <c r="P941" s="95">
        <f ca="1"/>
        <v>4.0307090183350084E-3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-1.0898434228352361E-3</v>
      </c>
      <c r="H942" s="92" t="s">
        <v>4</v>
      </c>
      <c r="I942" s="97">
        <f ca="1">_xll.meDateFromTenor(I941,"1D","FOLLOWING","TGT")</f>
        <v>43845</v>
      </c>
      <c r="J942" s="95">
        <f ca="1"/>
        <v>1.3127769812959351E-4</v>
      </c>
      <c r="K942" s="5" t="s">
        <v>4</v>
      </c>
      <c r="L942" s="97">
        <f ca="1">_xll.meDateFromTenor(L941,"1D","FOLLOWING","TGT")</f>
        <v>43845</v>
      </c>
      <c r="M942" s="95">
        <f ca="1"/>
        <v>2.0346088231796627E-3</v>
      </c>
      <c r="N942" s="5" t="s">
        <v>4</v>
      </c>
      <c r="O942" s="97">
        <f ca="1">_xll.meDateFromTenor(O941,"1D","FOLLOWING","TGT")</f>
        <v>43845</v>
      </c>
      <c r="P942" s="95">
        <f ca="1"/>
        <v>4.0365074136565135E-3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-1.0843934446837715E-3</v>
      </c>
      <c r="H943" s="92" t="s">
        <v>4</v>
      </c>
      <c r="I943" s="97">
        <f ca="1">_xll.meDateFromTenor(I942,"1D","FOLLOWING","TGT")</f>
        <v>43846</v>
      </c>
      <c r="J943" s="95">
        <f ca="1"/>
        <v>1.3670890547788845E-4</v>
      </c>
      <c r="K943" s="5" t="s">
        <v>4</v>
      </c>
      <c r="L943" s="97">
        <f ca="1">_xll.meDateFromTenor(L942,"1D","FOLLOWING","TGT")</f>
        <v>43846</v>
      </c>
      <c r="M943" s="95">
        <f ca="1"/>
        <v>2.0406200664183712E-3</v>
      </c>
      <c r="N943" s="5" t="s">
        <v>4</v>
      </c>
      <c r="O943" s="97">
        <f ca="1">_xll.meDateFromTenor(O942,"1D","FOLLOWING","TGT")</f>
        <v>43846</v>
      </c>
      <c r="P943" s="95">
        <f ca="1"/>
        <v>4.0423090398189034E-3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-1.0789363894499466E-3</v>
      </c>
      <c r="H944" s="92" t="s">
        <v>4</v>
      </c>
      <c r="I944" s="97">
        <f ca="1">_xll.meDateFromTenor(I943,"1D","FOLLOWING","TGT")</f>
        <v>43847</v>
      </c>
      <c r="J944" s="95">
        <f ca="1"/>
        <v>1.421511924635274E-4</v>
      </c>
      <c r="K944" s="5" t="s">
        <v>4</v>
      </c>
      <c r="L944" s="97">
        <f ca="1">_xll.meDateFromTenor(L943,"1D","FOLLOWING","TGT")</f>
        <v>43847</v>
      </c>
      <c r="M944" s="95">
        <f ca="1"/>
        <v>2.0466329963063855E-3</v>
      </c>
      <c r="N944" s="5" t="s">
        <v>4</v>
      </c>
      <c r="O944" s="97">
        <f ca="1">_xll.meDateFromTenor(O943,"1D","FOLLOWING","TGT")</f>
        <v>43847</v>
      </c>
      <c r="P944" s="95">
        <f ca="1"/>
        <v>4.048113912853037E-3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-1.0624954650564184E-3</v>
      </c>
      <c r="H945" s="92" t="s">
        <v>4</v>
      </c>
      <c r="I945" s="97">
        <f ca="1">_xll.meDateFromTenor(I944,"1D","FOLLOWING","TGT")</f>
        <v>43850</v>
      </c>
      <c r="J945" s="95">
        <f ca="1"/>
        <v>1.5854442911305972E-4</v>
      </c>
      <c r="K945" s="5" t="s">
        <v>4</v>
      </c>
      <c r="L945" s="97">
        <f ca="1">_xll.meDateFromTenor(L944,"1D","FOLLOWING","TGT")</f>
        <v>43850</v>
      </c>
      <c r="M945" s="95">
        <f ca="1"/>
        <v>2.064682029631042E-3</v>
      </c>
      <c r="N945" s="5" t="s">
        <v>4</v>
      </c>
      <c r="O945" s="97">
        <f ca="1">_xll.meDateFromTenor(O944,"1D","FOLLOWING","TGT")</f>
        <v>43850</v>
      </c>
      <c r="P945" s="95">
        <f ca="1"/>
        <v>4.0655481734944779E-3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-1.0569828052952592E-3</v>
      </c>
      <c r="H946" s="92" t="s">
        <v>4</v>
      </c>
      <c r="I946" s="97">
        <f ca="1">_xll.meDateFromTenor(I945,"1D","FOLLOWING","TGT")</f>
        <v>43851</v>
      </c>
      <c r="J946" s="95">
        <f ca="1"/>
        <v>1.6403093251662692E-4</v>
      </c>
      <c r="K946" s="5" t="s">
        <v>4</v>
      </c>
      <c r="L946" s="97">
        <f ca="1">_xll.meDateFromTenor(L945,"1D","FOLLOWING","TGT")</f>
        <v>43851</v>
      </c>
      <c r="M946" s="95">
        <f ca="1"/>
        <v>2.0707018298810605E-3</v>
      </c>
      <c r="N946" s="5" t="s">
        <v>4</v>
      </c>
      <c r="O946" s="97">
        <f ca="1">_xll.meDateFromTenor(O945,"1D","FOLLOWING","TGT")</f>
        <v>43851</v>
      </c>
      <c r="P946" s="95">
        <f ca="1"/>
        <v>4.071366194324166E-3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-1.0514494203527939E-3</v>
      </c>
      <c r="H947" s="92" t="s">
        <v>4</v>
      </c>
      <c r="I947" s="97">
        <f ca="1">_xll.meDateFromTenor(I946,"1D","FOLLOWING","TGT")</f>
        <v>43852</v>
      </c>
      <c r="J947" s="95">
        <f ca="1"/>
        <v>1.6952846449181424E-4</v>
      </c>
      <c r="K947" s="5" t="s">
        <v>4</v>
      </c>
      <c r="L947" s="97">
        <f ca="1">_xll.meDateFromTenor(L946,"1D","FOLLOWING","TGT")</f>
        <v>43852</v>
      </c>
      <c r="M947" s="95">
        <f ca="1"/>
        <v>2.076723378662776E-3</v>
      </c>
      <c r="N947" s="5" t="s">
        <v>4</v>
      </c>
      <c r="O947" s="97">
        <f ca="1">_xll.meDateFromTenor(O946,"1D","FOLLOWING","TGT")</f>
        <v>43852</v>
      </c>
      <c r="P947" s="95">
        <f ca="1"/>
        <v>4.0771875421798899E-3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-1.0458925806092331E-3</v>
      </c>
      <c r="H948" s="92" t="s">
        <v>4</v>
      </c>
      <c r="I948" s="97">
        <f ca="1">_xll.meDateFromTenor(I947,"1D","FOLLOWING","TGT")</f>
        <v>43853</v>
      </c>
      <c r="J948" s="95">
        <f ca="1"/>
        <v>1.7503701482547604E-4</v>
      </c>
      <c r="K948" s="5" t="s">
        <v>4</v>
      </c>
      <c r="L948" s="97">
        <f ca="1">_xll.meDateFromTenor(L947,"1D","FOLLOWING","TGT")</f>
        <v>43853</v>
      </c>
      <c r="M948" s="95">
        <f ca="1"/>
        <v>2.0827466883526656E-3</v>
      </c>
      <c r="N948" s="5" t="s">
        <v>4</v>
      </c>
      <c r="O948" s="97">
        <f ca="1">_xll.meDateFromTenor(O947,"1D","FOLLOWING","TGT")</f>
        <v>43853</v>
      </c>
      <c r="P948" s="95">
        <f ca="1"/>
        <v>4.0830122330925067E-3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-1.0403095564447864E-3</v>
      </c>
      <c r="H949" s="92" t="s">
        <v>4</v>
      </c>
      <c r="I949" s="97">
        <f ca="1">_xll.meDateFromTenor(I948,"1D","FOLLOWING","TGT")</f>
        <v>43854</v>
      </c>
      <c r="J949" s="95">
        <f ca="1"/>
        <v>1.8055657330446928E-4</v>
      </c>
      <c r="K949" s="5" t="s">
        <v>4</v>
      </c>
      <c r="L949" s="97">
        <f ca="1">_xll.meDateFromTenor(L948,"1D","FOLLOWING","TGT")</f>
        <v>43854</v>
      </c>
      <c r="M949" s="95">
        <f ca="1"/>
        <v>2.0887717713272097E-3</v>
      </c>
      <c r="N949" s="5" t="s">
        <v>4</v>
      </c>
      <c r="O949" s="97">
        <f ca="1">_xll.meDateFromTenor(O948,"1D","FOLLOWING","TGT")</f>
        <v>43854</v>
      </c>
      <c r="P949" s="95">
        <f ca="1"/>
        <v>4.0888402830928736E-3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-1.0233760812282434E-3</v>
      </c>
      <c r="H950" s="92" t="s">
        <v>4</v>
      </c>
      <c r="I950" s="97">
        <f ca="1">_xll.meDateFromTenor(I949,"1D","FOLLOWING","TGT")</f>
        <v>43857</v>
      </c>
      <c r="J950" s="95">
        <f ca="1"/>
        <v>1.9718119548198378E-4</v>
      </c>
      <c r="K950" s="5" t="s">
        <v>4</v>
      </c>
      <c r="L950" s="97">
        <f ca="1">_xll.meDateFromTenor(L949,"1D","FOLLOWING","TGT")</f>
        <v>43857</v>
      </c>
      <c r="M950" s="95">
        <f ca="1"/>
        <v>2.1068577837235437E-3</v>
      </c>
      <c r="N950" s="5" t="s">
        <v>4</v>
      </c>
      <c r="O950" s="97">
        <f ca="1">_xll.meDateFromTenor(O949,"1D","FOLLOWING","TGT")</f>
        <v>43857</v>
      </c>
      <c r="P950" s="95">
        <f ca="1"/>
        <v>4.1063447479290699E-3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-1.0176610231823634E-3</v>
      </c>
      <c r="H951" s="92" t="s">
        <v>4</v>
      </c>
      <c r="I951" s="97">
        <f ca="1">_xll.meDateFromTenor(I950,"1D","FOLLOWING","TGT")</f>
        <v>43858</v>
      </c>
      <c r="J951" s="95">
        <f ca="1"/>
        <v>2.0274468441085157E-4</v>
      </c>
      <c r="K951" s="5" t="s">
        <v>4</v>
      </c>
      <c r="L951" s="97">
        <f ca="1">_xll.meDateFromTenor(L950,"1D","FOLLOWING","TGT")</f>
        <v>43858</v>
      </c>
      <c r="M951" s="95">
        <f ca="1"/>
        <v>2.1128900836014843E-3</v>
      </c>
      <c r="N951" s="5" t="s">
        <v>4</v>
      </c>
      <c r="O951" s="97">
        <f ca="1">_xll.meDateFromTenor(O950,"1D","FOLLOWING","TGT")</f>
        <v>43858</v>
      </c>
      <c r="P951" s="95">
        <f ca="1"/>
        <v>4.1121863945890267E-3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-1.0119061326166524E-3</v>
      </c>
      <c r="H952" s="92" t="s">
        <v>4</v>
      </c>
      <c r="I952" s="97">
        <f ca="1">_xll.meDateFromTenor(I951,"1D","FOLLOWING","TGT")</f>
        <v>43859</v>
      </c>
      <c r="J952" s="95">
        <f ca="1"/>
        <v>2.0831913041932507E-4</v>
      </c>
      <c r="K952" s="5" t="s">
        <v>4</v>
      </c>
      <c r="L952" s="97">
        <f ca="1">_xll.meDateFromTenor(L951,"1D","FOLLOWING","TGT")</f>
        <v>43859</v>
      </c>
      <c r="M952" s="95">
        <f ca="1"/>
        <v>2.1189242186464689E-3</v>
      </c>
      <c r="N952" s="5" t="s">
        <v>4</v>
      </c>
      <c r="O952" s="97">
        <f ca="1">_xll.meDateFromTenor(O951,"1D","FOLLOWING","TGT")</f>
        <v>43859</v>
      </c>
      <c r="P952" s="95">
        <f ca="1"/>
        <v>4.1180314804910266E-3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-1.0061086799113199E-3</v>
      </c>
      <c r="H953" s="92" t="s">
        <v>4</v>
      </c>
      <c r="I953" s="97">
        <f ca="1">_xll.meDateFromTenor(I952,"1D","FOLLOWING","TGT")</f>
        <v>43860</v>
      </c>
      <c r="J953" s="95">
        <f ca="1"/>
        <v>2.1390452329426147E-4</v>
      </c>
      <c r="K953" s="5" t="s">
        <v>4</v>
      </c>
      <c r="L953" s="97">
        <f ca="1">_xll.meDateFromTenor(L952,"1D","FOLLOWING","TGT")</f>
        <v>43860</v>
      </c>
      <c r="M953" s="95">
        <f ca="1"/>
        <v>2.1249602012349783E-3</v>
      </c>
      <c r="N953" s="5" t="s">
        <v>4</v>
      </c>
      <c r="O953" s="97">
        <f ca="1">_xll.meDateFromTenor(O952,"1D","FOLLOWING","TGT")</f>
        <v>43860</v>
      </c>
      <c r="P953" s="95">
        <f ca="1"/>
        <v>4.1238800216659268E-3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-1.0002659354465774E-3</v>
      </c>
      <c r="H954" s="92" t="s">
        <v>4</v>
      </c>
      <c r="I954" s="97">
        <f ca="1">_xll.meDateFromTenor(I953,"1D","FOLLOWING","TGT")</f>
        <v>43861</v>
      </c>
      <c r="J954" s="95">
        <f ca="1"/>
        <v>2.1950085282251494E-4</v>
      </c>
      <c r="K954" s="5" t="s">
        <v>4</v>
      </c>
      <c r="L954" s="97">
        <f ca="1">_xll.meDateFromTenor(L953,"1D","FOLLOWING","TGT")</f>
        <v>43861</v>
      </c>
      <c r="M954" s="95">
        <f ca="1"/>
        <v>2.1309980437434887E-3</v>
      </c>
      <c r="N954" s="5" t="s">
        <v>4</v>
      </c>
      <c r="O954" s="97">
        <f ca="1">_xll.meDateFromTenor(O953,"1D","FOLLOWING","TGT")</f>
        <v>43861</v>
      </c>
      <c r="P954" s="95">
        <f ca="1"/>
        <v>4.1297320341445887E-3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-9.8243865529799748E-4</v>
      </c>
      <c r="H955" s="92" t="s">
        <v>4</v>
      </c>
      <c r="I955" s="97">
        <f ca="1">_xll.meDateFromTenor(I954,"1D","FOLLOWING","TGT")</f>
        <v>43864</v>
      </c>
      <c r="J955" s="95">
        <f ca="1"/>
        <v>2.3635535919572955E-4</v>
      </c>
      <c r="K955" s="5" t="s">
        <v>4</v>
      </c>
      <c r="L955" s="97">
        <f ca="1">_xll.meDateFromTenor(L954,"1D","FOLLOWING","TGT")</f>
        <v>43864</v>
      </c>
      <c r="M955" s="95">
        <f ca="1"/>
        <v>2.1491228545538125E-3</v>
      </c>
      <c r="N955" s="5" t="s">
        <v>4</v>
      </c>
      <c r="O955" s="97">
        <f ca="1">_xll.meDateFromTenor(O954,"1D","FOLLOWING","TGT")</f>
        <v>43864</v>
      </c>
      <c r="P955" s="95">
        <f ca="1"/>
        <v>4.1473090597117139E-3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-9.7638829936499407E-4</v>
      </c>
      <c r="H956" s="92" t="s">
        <v>4</v>
      </c>
      <c r="I956" s="97">
        <f ca="1">_xll.meDateFromTenor(I955,"1D","FOLLOWING","TGT")</f>
        <v>43865</v>
      </c>
      <c r="J956" s="95">
        <f ca="1"/>
        <v>2.4199533320580383E-4</v>
      </c>
      <c r="K956" s="5" t="s">
        <v>4</v>
      </c>
      <c r="L956" s="97">
        <f ca="1">_xll.meDateFromTenor(L955,"1D","FOLLOWING","TGT")</f>
        <v>43865</v>
      </c>
      <c r="M956" s="95">
        <f ca="1"/>
        <v>2.1551682605071127E-3</v>
      </c>
      <c r="N956" s="5" t="s">
        <v>4</v>
      </c>
      <c r="O956" s="97">
        <f ca="1">_xll.meDateFromTenor(O955,"1D","FOLLOWING","TGT")</f>
        <v>43865</v>
      </c>
      <c r="P956" s="95">
        <f ca="1"/>
        <v>4.1531751177139977E-3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-9.7028411417726581E-4</v>
      </c>
      <c r="H957" s="92" t="s">
        <v>4</v>
      </c>
      <c r="I957" s="97">
        <f ca="1">_xll.meDateFromTenor(I956,"1D","FOLLOWING","TGT")</f>
        <v>43866</v>
      </c>
      <c r="J957" s="95">
        <f ca="1"/>
        <v>2.4764619280347145E-4</v>
      </c>
      <c r="K957" s="5" t="s">
        <v>4</v>
      </c>
      <c r="L957" s="97">
        <f ca="1">_xll.meDateFromTenor(L956,"1D","FOLLOWING","TGT")</f>
        <v>43866</v>
      </c>
      <c r="M957" s="95">
        <f ca="1"/>
        <v>2.1612155882628058E-3</v>
      </c>
      <c r="N957" s="5" t="s">
        <v>4</v>
      </c>
      <c r="O957" s="97">
        <f ca="1">_xll.meDateFromTenor(O956,"1D","FOLLOWING","TGT")</f>
        <v>43866</v>
      </c>
      <c r="P957" s="95">
        <f ca="1"/>
        <v>4.1590447271743327E-3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-9.6412848071865669E-4</v>
      </c>
      <c r="H958" s="92" t="s">
        <v>4</v>
      </c>
      <c r="I958" s="97">
        <f ca="1">_xll.meDateFromTenor(I957,"1D","FOLLOWING","TGT")</f>
        <v>43867</v>
      </c>
      <c r="J958" s="95">
        <f ca="1"/>
        <v>2.5330792777558648E-4</v>
      </c>
      <c r="K958" s="5" t="s">
        <v>4</v>
      </c>
      <c r="L958" s="97">
        <f ca="1">_xll.meDateFromTenor(L957,"1D","FOLLOWING","TGT")</f>
        <v>43867</v>
      </c>
      <c r="M958" s="95">
        <f ca="1"/>
        <v>2.1672648501973694E-3</v>
      </c>
      <c r="N958" s="5" t="s">
        <v>4</v>
      </c>
      <c r="O958" s="97">
        <f ca="1">_xll.meDateFromTenor(O957,"1D","FOLLOWING","TGT")</f>
        <v>43867</v>
      </c>
      <c r="P958" s="95">
        <f ca="1"/>
        <v>4.164917904123577E-3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-9.5792377997300704E-4</v>
      </c>
      <c r="H959" s="92" t="s">
        <v>4</v>
      </c>
      <c r="I959" s="97">
        <f ca="1">_xll.meDateFromTenor(I958,"1D","FOLLOWING","TGT")</f>
        <v>43868</v>
      </c>
      <c r="J959" s="95">
        <f ca="1"/>
        <v>2.5898052790900613E-4</v>
      </c>
      <c r="K959" s="5" t="s">
        <v>4</v>
      </c>
      <c r="L959" s="97">
        <f ca="1">_xll.meDateFromTenor(L958,"1D","FOLLOWING","TGT")</f>
        <v>43868</v>
      </c>
      <c r="M959" s="95">
        <f ca="1"/>
        <v>2.1733160586872836E-3</v>
      </c>
      <c r="N959" s="5" t="s">
        <v>4</v>
      </c>
      <c r="O959" s="97">
        <f ca="1">_xll.meDateFromTenor(O958,"1D","FOLLOWING","TGT")</f>
        <v>43868</v>
      </c>
      <c r="P959" s="95">
        <f ca="1"/>
        <v>4.1707946645925904E-3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-9.3903908385224591E-4</v>
      </c>
      <c r="H960" s="92" t="s">
        <v>4</v>
      </c>
      <c r="I960" s="97">
        <f ca="1">_xll.meDateFromTenor(I959,"1D","FOLLOWING","TGT")</f>
        <v>43871</v>
      </c>
      <c r="J960" s="95">
        <f ca="1"/>
        <v>2.7606341714563976E-4</v>
      </c>
      <c r="K960" s="5" t="s">
        <v>4</v>
      </c>
      <c r="L960" s="97">
        <f ca="1">_xll.meDateFromTenor(L959,"1D","FOLLOWING","TGT")</f>
        <v>43871</v>
      </c>
      <c r="M960" s="95">
        <f ca="1"/>
        <v>2.191481487253909E-3</v>
      </c>
      <c r="N960" s="5" t="s">
        <v>4</v>
      </c>
      <c r="O960" s="97">
        <f ca="1">_xll.meDateFromTenor(O959,"1D","FOLLOWING","TGT")</f>
        <v>43871</v>
      </c>
      <c r="P960" s="95">
        <f ca="1"/>
        <v>4.1884466074268217E-3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-9.3266192379686441E-4</v>
      </c>
      <c r="H961" s="92" t="s">
        <v>4</v>
      </c>
      <c r="I961" s="97">
        <f ca="1">_xll.meDateFromTenor(I960,"1D","FOLLOWING","TGT")</f>
        <v>43872</v>
      </c>
      <c r="J961" s="95">
        <f ca="1"/>
        <v>2.8177937579282547E-4</v>
      </c>
      <c r="K961" s="5" t="s">
        <v>4</v>
      </c>
      <c r="L961" s="97">
        <f ca="1">_xll.meDateFromTenor(L960,"1D","FOLLOWING","TGT")</f>
        <v>43872</v>
      </c>
      <c r="M961" s="95">
        <f ca="1"/>
        <v>2.1975406057300043E-3</v>
      </c>
      <c r="N961" s="5" t="s">
        <v>4</v>
      </c>
      <c r="O961" s="97">
        <f ca="1">_xll.meDateFromTenor(O960,"1D","FOLLOWING","TGT")</f>
        <v>43872</v>
      </c>
      <c r="P961" s="95">
        <f ca="1"/>
        <v>4.1943378622834896E-3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-9.2624760137365492E-4</v>
      </c>
      <c r="H962" s="92" t="s">
        <v>4</v>
      </c>
      <c r="I962" s="97">
        <f ca="1">_xll.meDateFromTenor(I961,"1D","FOLLOWING","TGT")</f>
        <v>43873</v>
      </c>
      <c r="J962" s="95">
        <f ca="1"/>
        <v>2.8750614853559201E-4</v>
      </c>
      <c r="K962" s="5" t="s">
        <v>4</v>
      </c>
      <c r="L962" s="97">
        <f ca="1">_xll.meDateFromTenor(L961,"1D","FOLLOWING","TGT")</f>
        <v>43873</v>
      </c>
      <c r="M962" s="95">
        <f ca="1"/>
        <v>2.2036017326438431E-3</v>
      </c>
      <c r="N962" s="5" t="s">
        <v>4</v>
      </c>
      <c r="O962" s="97">
        <f ca="1">_xll.meDateFromTenor(O961,"1D","FOLLOWING","TGT")</f>
        <v>43873</v>
      </c>
      <c r="P962" s="95">
        <f ca="1"/>
        <v>4.2002327808142188E-3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-9.1979849756646101E-4</v>
      </c>
      <c r="H963" s="92" t="s">
        <v>4</v>
      </c>
      <c r="I963" s="97">
        <f ca="1">_xll.meDateFromTenor(I962,"1D","FOLLOWING","TGT")</f>
        <v>43874</v>
      </c>
      <c r="J963" s="95">
        <f ca="1"/>
        <v>2.9324372516079366E-4</v>
      </c>
      <c r="K963" s="5" t="s">
        <v>4</v>
      </c>
      <c r="L963" s="97">
        <f ca="1">_xll.meDateFromTenor(L962,"1D","FOLLOWING","TGT")</f>
        <v>43874</v>
      </c>
      <c r="M963" s="95">
        <f ca="1"/>
        <v>2.2096648803719005E-3</v>
      </c>
      <c r="N963" s="5" t="s">
        <v>4</v>
      </c>
      <c r="O963" s="97">
        <f ca="1">_xll.meDateFromTenor(O962,"1D","FOLLOWING","TGT")</f>
        <v>43874</v>
      </c>
      <c r="P963" s="95">
        <f ca="1"/>
        <v>4.2061313790498654E-3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-9.1331699335912636E-4</v>
      </c>
      <c r="H964" s="92" t="s">
        <v>4</v>
      </c>
      <c r="I964" s="97">
        <f ca="1">_xll.meDateFromTenor(I963,"1D","FOLLOWING","TGT")</f>
        <v>43875</v>
      </c>
      <c r="J964" s="95">
        <f ca="1"/>
        <v>2.989920954552845E-4</v>
      </c>
      <c r="K964" s="5" t="s">
        <v>4</v>
      </c>
      <c r="L964" s="97">
        <f ca="1">_xll.meDateFromTenor(L963,"1D","FOLLOWING","TGT")</f>
        <v>43875</v>
      </c>
      <c r="M964" s="95">
        <f ca="1"/>
        <v>2.2157300612906544E-3</v>
      </c>
      <c r="N964" s="5" t="s">
        <v>4</v>
      </c>
      <c r="O964" s="97">
        <f ca="1">_xll.meDateFromTenor(O963,"1D","FOLLOWING","TGT")</f>
        <v>43875</v>
      </c>
      <c r="P964" s="95">
        <f ca="1"/>
        <v>4.2120336730212876E-3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-8.9370188817469351E-4</v>
      </c>
      <c r="H965" s="92" t="s">
        <v>4</v>
      </c>
      <c r="I965" s="97">
        <f ca="1">_xll.meDateFromTenor(I964,"1D","FOLLOWING","TGT")</f>
        <v>43878</v>
      </c>
      <c r="J965" s="95">
        <f ca="1"/>
        <v>3.1630186622305401E-4</v>
      </c>
      <c r="K965" s="5" t="s">
        <v>4</v>
      </c>
      <c r="L965" s="97">
        <f ca="1">_xll.meDateFromTenor(L964,"1D","FOLLOWING","TGT")</f>
        <v>43878</v>
      </c>
      <c r="M965" s="95">
        <f ca="1"/>
        <v>2.2339379269558915E-3</v>
      </c>
      <c r="N965" s="5" t="s">
        <v>4</v>
      </c>
      <c r="O965" s="97">
        <f ca="1">_xll.meDateFromTenor(O964,"1D","FOLLOWING","TGT")</f>
        <v>43878</v>
      </c>
      <c r="P965" s="95">
        <f ca="1"/>
        <v>4.2297628896587995E-3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-8.8711459220521547E-4</v>
      </c>
      <c r="H966" s="92" t="s">
        <v>4</v>
      </c>
      <c r="I966" s="97">
        <f ca="1">_xll.meDateFromTenor(I965,"1D","FOLLOWING","TGT")</f>
        <v>43879</v>
      </c>
      <c r="J966" s="95">
        <f ca="1"/>
        <v>3.2209330906325916E-4</v>
      </c>
      <c r="K966" s="5" t="s">
        <v>4</v>
      </c>
      <c r="L966" s="97">
        <f ca="1">_xll.meDateFromTenor(L965,"1D","FOLLOWING","TGT")</f>
        <v>43879</v>
      </c>
      <c r="M966" s="95">
        <f ca="1"/>
        <v>2.2400113644022216E-3</v>
      </c>
      <c r="N966" s="5" t="s">
        <v>4</v>
      </c>
      <c r="O966" s="97">
        <f ca="1">_xll.meDateFromTenor(O965,"1D","FOLLOWING","TGT")</f>
        <v>43879</v>
      </c>
      <c r="P966" s="95">
        <f ca="1"/>
        <v>4.2356801268819124E-3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-8.8050680075480966E-4</v>
      </c>
      <c r="H967" s="92" t="s">
        <v>4</v>
      </c>
      <c r="I967" s="97">
        <f ca="1">_xll.meDateFromTenor(I966,"1D","FOLLOWING","TGT")</f>
        <v>43880</v>
      </c>
      <c r="J967" s="95">
        <f ca="1"/>
        <v>3.2789549450702981E-4</v>
      </c>
      <c r="K967" s="5" t="s">
        <v>4</v>
      </c>
      <c r="L967" s="97">
        <f ca="1">_xll.meDateFromTenor(L966,"1D","FOLLOWING","TGT")</f>
        <v>43880</v>
      </c>
      <c r="M967" s="95">
        <f ca="1"/>
        <v>2.2460868969216403E-3</v>
      </c>
      <c r="N967" s="5" t="s">
        <v>4</v>
      </c>
      <c r="O967" s="97">
        <f ca="1">_xll.meDateFromTenor(O966,"1D","FOLLOWING","TGT")</f>
        <v>43880</v>
      </c>
      <c r="P967" s="95">
        <f ca="1"/>
        <v>4.2416011399950913E-3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-8.7388089480731597E-4</v>
      </c>
      <c r="H968" s="92" t="s">
        <v>4</v>
      </c>
      <c r="I968" s="97">
        <f ca="1">_xll.meDateFromTenor(I967,"1D","FOLLOWING","TGT")</f>
        <v>43881</v>
      </c>
      <c r="J968" s="95">
        <f ca="1"/>
        <v>3.337084123412229E-4</v>
      </c>
      <c r="K968" s="5" t="s">
        <v>4</v>
      </c>
      <c r="L968" s="97">
        <f ca="1">_xll.meDateFromTenor(L967,"1D","FOLLOWING","TGT")</f>
        <v>43881</v>
      </c>
      <c r="M968" s="95">
        <f ca="1"/>
        <v>2.2521645368906275E-3</v>
      </c>
      <c r="N968" s="5" t="s">
        <v>4</v>
      </c>
      <c r="O968" s="97">
        <f ca="1">_xll.meDateFromTenor(O967,"1D","FOLLOWING","TGT")</f>
        <v>43881</v>
      </c>
      <c r="P968" s="95">
        <f ca="1"/>
        <v>4.2475259450291993E-3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-8.6723925534657798E-4</v>
      </c>
      <c r="H969" s="92" t="s">
        <v>4</v>
      </c>
      <c r="I969" s="97">
        <f ca="1">_xll.meDateFromTenor(I968,"1D","FOLLOWING","TGT")</f>
        <v>43882</v>
      </c>
      <c r="J969" s="95">
        <f ca="1"/>
        <v>3.395320523526929E-4</v>
      </c>
      <c r="K969" s="5" t="s">
        <v>4</v>
      </c>
      <c r="L969" s="97">
        <f ca="1">_xll.meDateFromTenor(L968,"1D","FOLLOWING","TGT")</f>
        <v>43882</v>
      </c>
      <c r="M969" s="95">
        <f ca="1"/>
        <v>2.2582442966856612E-3</v>
      </c>
      <c r="N969" s="5" t="s">
        <v>4</v>
      </c>
      <c r="O969" s="97">
        <f ca="1">_xll.meDateFromTenor(O968,"1D","FOLLOWING","TGT")</f>
        <v>43882</v>
      </c>
      <c r="P969" s="95">
        <f ca="1"/>
        <v>4.253454558015091E-3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-8.4724374572332567E-4</v>
      </c>
      <c r="H970" s="92" t="s">
        <v>4</v>
      </c>
      <c r="I970" s="97">
        <f ca="1">_xll.meDateFromTenor(I969,"1D","FOLLOWING","TGT")</f>
        <v>43885</v>
      </c>
      <c r="J970" s="95">
        <f ca="1"/>
        <v>3.5706720331931508E-4</v>
      </c>
      <c r="K970" s="5" t="s">
        <v>4</v>
      </c>
      <c r="L970" s="97">
        <f ca="1">_xll.meDateFromTenor(L969,"1D","FOLLOWING","TGT")</f>
        <v>43885</v>
      </c>
      <c r="M970" s="95">
        <f ca="1"/>
        <v>2.2764964187918196E-3</v>
      </c>
      <c r="N970" s="5" t="s">
        <v>4</v>
      </c>
      <c r="O970" s="97">
        <f ca="1">_xll.meDateFromTenor(O969,"1D","FOLLOWING","TGT")</f>
        <v>43885</v>
      </c>
      <c r="P970" s="95">
        <f ca="1"/>
        <v>4.2712634049920572E-3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-8.4056298204803642E-4</v>
      </c>
      <c r="H971" s="92" t="s">
        <v>4</v>
      </c>
      <c r="I971" s="97">
        <f ca="1">_xll.meDateFromTenor(I970,"1D","FOLLOWING","TGT")</f>
        <v>43886</v>
      </c>
      <c r="J971" s="95">
        <f ca="1"/>
        <v>3.6293362990844454E-4</v>
      </c>
      <c r="K971" s="5" t="s">
        <v>4</v>
      </c>
      <c r="L971" s="97">
        <f ca="1">_xll.meDateFromTenor(L970,"1D","FOLLOWING","TGT")</f>
        <v>43886</v>
      </c>
      <c r="M971" s="95">
        <f ca="1"/>
        <v>2.2825847816558202E-3</v>
      </c>
      <c r="N971" s="5" t="s">
        <v>4</v>
      </c>
      <c r="O971" s="97">
        <f ca="1">_xll.meDateFromTenor(O970,"1D","FOLLOWING","TGT")</f>
        <v>43886</v>
      </c>
      <c r="P971" s="95">
        <f ca="1"/>
        <v>4.2772074100936724E-3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-8.3387838977871552E-4</v>
      </c>
      <c r="H972" s="92" t="s">
        <v>4</v>
      </c>
      <c r="I972" s="97">
        <f ca="1">_xll.meDateFromTenor(I971,"1D","FOLLOWING","TGT")</f>
        <v>43887</v>
      </c>
      <c r="J972" s="95">
        <f ca="1"/>
        <v>3.688107276091271E-4</v>
      </c>
      <c r="K972" s="5" t="s">
        <v>4</v>
      </c>
      <c r="L972" s="97">
        <f ca="1">_xll.meDateFromTenor(L971,"1D","FOLLOWING","TGT")</f>
        <v>43887</v>
      </c>
      <c r="M972" s="95">
        <f ca="1"/>
        <v>2.2886753262282588E-3</v>
      </c>
      <c r="N972" s="5" t="s">
        <v>4</v>
      </c>
      <c r="O972" s="97">
        <f ca="1">_xll.meDateFromTenor(O971,"1D","FOLLOWING","TGT")</f>
        <v>43887</v>
      </c>
      <c r="P972" s="95">
        <f ca="1"/>
        <v>4.2831553033013626E-3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-8.2719234989920686E-4</v>
      </c>
      <c r="H973" s="92" t="s">
        <v>4</v>
      </c>
      <c r="I973" s="97">
        <f ca="1">_xll.meDateFromTenor(I972,"1D","FOLLOWING","TGT")</f>
        <v>43888</v>
      </c>
      <c r="J973" s="95">
        <f ca="1"/>
        <v>3.7469848620821678E-4</v>
      </c>
      <c r="K973" s="5" t="s">
        <v>4</v>
      </c>
      <c r="L973" s="97">
        <f ca="1">_xll.meDateFromTenor(L972,"1D","FOLLOWING","TGT")</f>
        <v>43888</v>
      </c>
      <c r="M973" s="95">
        <f ca="1"/>
        <v>2.2947680648856121E-3</v>
      </c>
      <c r="N973" s="5" t="s">
        <v>4</v>
      </c>
      <c r="O973" s="97">
        <f ca="1">_xll.meDateFromTenor(O972,"1D","FOLLOWING","TGT")</f>
        <v>43888</v>
      </c>
      <c r="P973" s="95">
        <f ca="1"/>
        <v>4.2891071006459875E-3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-8.2050724339335056E-4</v>
      </c>
      <c r="H974" s="92" t="s">
        <v>4</v>
      </c>
      <c r="I974" s="97">
        <f ca="1">_xll.meDateFromTenor(I973,"1D","FOLLOWING","TGT")</f>
        <v>43889</v>
      </c>
      <c r="J974" s="95">
        <f ca="1"/>
        <v>3.8059689549257086E-4</v>
      </c>
      <c r="K974" s="5" t="s">
        <v>4</v>
      </c>
      <c r="L974" s="97">
        <f ca="1">_xll.meDateFromTenor(L973,"1D","FOLLOWING","TGT")</f>
        <v>43889</v>
      </c>
      <c r="M974" s="95">
        <f ca="1"/>
        <v>2.3008630100043608E-3</v>
      </c>
      <c r="N974" s="5" t="s">
        <v>4</v>
      </c>
      <c r="O974" s="97">
        <f ca="1">_xll.meDateFromTenor(O973,"1D","FOLLOWING","TGT")</f>
        <v>43889</v>
      </c>
      <c r="P974" s="95">
        <f ca="1"/>
        <v>4.2950628181584061E-3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-8.0048133395612927E-4</v>
      </c>
      <c r="H975" s="92" t="s">
        <v>4</v>
      </c>
      <c r="I975" s="97">
        <f ca="1">_xll.meDateFromTenor(I974,"1D","FOLLOWING","TGT")</f>
        <v>43892</v>
      </c>
      <c r="J975" s="95">
        <f ca="1"/>
        <v>3.9835592532576466E-4</v>
      </c>
      <c r="K975" s="5" t="s">
        <v>4</v>
      </c>
      <c r="L975" s="97">
        <f ca="1">_xll.meDateFromTenor(L974,"1D","FOLLOWING","TGT")</f>
        <v>43892</v>
      </c>
      <c r="M975" s="95">
        <f ca="1"/>
        <v>2.319161207893754E-3</v>
      </c>
      <c r="N975" s="5" t="s">
        <v>4</v>
      </c>
      <c r="O975" s="97">
        <f ca="1">_xll.meDateFromTenor(O974,"1D","FOLLOWING","TGT")</f>
        <v>43892</v>
      </c>
      <c r="P975" s="95">
        <f ca="1"/>
        <v>4.3129536520110055E-3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-7.9382339933770888E-4</v>
      </c>
      <c r="H976" s="92" t="s">
        <v>4</v>
      </c>
      <c r="I976" s="97">
        <f ca="1">_xll.meDateFromTenor(I975,"1D","FOLLOWING","TGT")</f>
        <v>43893</v>
      </c>
      <c r="J976" s="95">
        <f ca="1"/>
        <v>4.0429682214327534E-4</v>
      </c>
      <c r="K976" s="5" t="s">
        <v>4</v>
      </c>
      <c r="L976" s="97">
        <f ca="1">_xll.meDateFromTenor(L975,"1D","FOLLOWING","TGT")</f>
        <v>43893</v>
      </c>
      <c r="M976" s="95">
        <f ca="1"/>
        <v>2.325265102622862E-3</v>
      </c>
      <c r="N976" s="5" t="s">
        <v>4</v>
      </c>
      <c r="O976" s="97">
        <f ca="1">_xll.meDateFromTenor(O975,"1D","FOLLOWING","TGT")</f>
        <v>43893</v>
      </c>
      <c r="P976" s="95">
        <f ca="1"/>
        <v>4.3189252105031804E-3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-7.8717607433853457E-4</v>
      </c>
      <c r="H977" s="92" t="s">
        <v>4</v>
      </c>
      <c r="I977" s="97">
        <f ca="1">_xll.meDateFromTenor(I976,"1D","FOLLOWING","TGT")</f>
        <v>43894</v>
      </c>
      <c r="J977" s="95">
        <f ca="1"/>
        <v>4.1024824012162982E-4</v>
      </c>
      <c r="K977" s="5" t="s">
        <v>4</v>
      </c>
      <c r="L977" s="97">
        <f ca="1">_xll.meDateFromTenor(L976,"1D","FOLLOWING","TGT")</f>
        <v>43894</v>
      </c>
      <c r="M977" s="95">
        <f ca="1"/>
        <v>2.3313712656957558E-3</v>
      </c>
      <c r="N977" s="5" t="s">
        <v>4</v>
      </c>
      <c r="O977" s="97">
        <f ca="1">_xll.meDateFromTenor(O976,"1D","FOLLOWING","TGT")</f>
        <v>43894</v>
      </c>
      <c r="P977" s="95">
        <f ca="1"/>
        <v>4.3249007693174392E-3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-7.8053951126882579E-4</v>
      </c>
      <c r="H978" s="92" t="s">
        <v>4</v>
      </c>
      <c r="I978" s="97">
        <f ca="1">_xll.meDateFromTenor(I977,"1D","FOLLOWING","TGT")</f>
        <v>43895</v>
      </c>
      <c r="J978" s="95">
        <f ca="1"/>
        <v>4.1621009058899049E-4</v>
      </c>
      <c r="K978" s="5" t="s">
        <v>4</v>
      </c>
      <c r="L978" s="97">
        <f ca="1">_xll.meDateFromTenor(L977,"1D","FOLLOWING","TGT")</f>
        <v>43895</v>
      </c>
      <c r="M978" s="95">
        <f ca="1"/>
        <v>2.3374797094889142E-3</v>
      </c>
      <c r="N978" s="5" t="s">
        <v>4</v>
      </c>
      <c r="O978" s="97">
        <f ca="1">_xll.meDateFromTenor(O977,"1D","FOLLOWING","TGT")</f>
        <v>43895</v>
      </c>
      <c r="P978" s="95">
        <f ca="1"/>
        <v>4.3308803444846418E-3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-7.7391386243880482E-4</v>
      </c>
      <c r="H979" s="92" t="s">
        <v>4</v>
      </c>
      <c r="I979" s="97">
        <f ca="1">_xll.meDateFromTenor(I978,"1D","FOLLOWING","TGT")</f>
        <v>43896</v>
      </c>
      <c r="J979" s="95">
        <f ca="1"/>
        <v>4.2218228487351671E-4</v>
      </c>
      <c r="K979" s="5" t="s">
        <v>4</v>
      </c>
      <c r="L979" s="97">
        <f ca="1">_xll.meDateFromTenor(L978,"1D","FOLLOWING","TGT")</f>
        <v>43896</v>
      </c>
      <c r="M979" s="95">
        <f ca="1"/>
        <v>2.343590446378815E-3</v>
      </c>
      <c r="N979" s="5" t="s">
        <v>4</v>
      </c>
      <c r="O979" s="97">
        <f ca="1">_xll.meDateFromTenor(O978,"1D","FOLLOWING","TGT")</f>
        <v>43896</v>
      </c>
      <c r="P979" s="95">
        <f ca="1"/>
        <v>4.3368639520356463E-3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-7.5410392448908511E-4</v>
      </c>
      <c r="H980" s="92" t="s">
        <v>4</v>
      </c>
      <c r="I980" s="97">
        <f ca="1">_xll.meDateFromTenor(I979,"1D","FOLLOWING","TGT")</f>
        <v>43899</v>
      </c>
      <c r="J980" s="95">
        <f ca="1"/>
        <v>4.4016004391169236E-4</v>
      </c>
      <c r="K980" s="5" t="s">
        <v>4</v>
      </c>
      <c r="L980" s="97">
        <f ca="1">_xll.meDateFromTenor(L979,"1D","FOLLOWING","TGT")</f>
        <v>43899</v>
      </c>
      <c r="M980" s="95">
        <f ca="1"/>
        <v>2.3619365393937534E-3</v>
      </c>
      <c r="N980" s="5" t="s">
        <v>4</v>
      </c>
      <c r="O980" s="97">
        <f ca="1">_xll.meDateFromTenor(O979,"1D","FOLLOWING","TGT")</f>
        <v>43899</v>
      </c>
      <c r="P980" s="95">
        <f ca="1"/>
        <v>4.3548391293000517E-3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-7.4752345572003023E-4</v>
      </c>
      <c r="H981" s="92" t="s">
        <v>4</v>
      </c>
      <c r="I981" s="97">
        <f ca="1">_xll.meDateFromTenor(I980,"1D","FOLLOWING","TGT")</f>
        <v>43900</v>
      </c>
      <c r="J981" s="95">
        <f ca="1"/>
        <v>4.4617272674648536E-4</v>
      </c>
      <c r="K981" s="5" t="s">
        <v>4</v>
      </c>
      <c r="L981" s="97">
        <f ca="1">_xll.meDateFromTenor(L980,"1D","FOLLOWING","TGT")</f>
        <v>43900</v>
      </c>
      <c r="M981" s="95">
        <f ca="1"/>
        <v>2.3680565724354067E-3</v>
      </c>
      <c r="N981" s="5" t="s">
        <v>4</v>
      </c>
      <c r="O981" s="97">
        <f ca="1">_xll.meDateFromTenor(O980,"1D","FOLLOWING","TGT")</f>
        <v>43900</v>
      </c>
      <c r="P981" s="95">
        <f ca="1"/>
        <v>4.3608390266948452E-3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-7.4095466274177047E-4</v>
      </c>
      <c r="H982" s="92" t="s">
        <v>4</v>
      </c>
      <c r="I982" s="97">
        <f ca="1">_xll.meDateFromTenor(I981,"1D","FOLLOWING","TGT")</f>
        <v>43901</v>
      </c>
      <c r="J982" s="95">
        <f ca="1"/>
        <v>4.5219531003924608E-4</v>
      </c>
      <c r="K982" s="5" t="s">
        <v>4</v>
      </c>
      <c r="L982" s="97">
        <f ca="1">_xll.meDateFromTenor(L981,"1D","FOLLOWING","TGT")</f>
        <v>43901</v>
      </c>
      <c r="M982" s="95">
        <f ca="1"/>
        <v>2.374178960456194E-3</v>
      </c>
      <c r="N982" s="5" t="s">
        <v>4</v>
      </c>
      <c r="O982" s="97">
        <f ca="1">_xll.meDateFromTenor(O981,"1D","FOLLOWING","TGT")</f>
        <v>43901</v>
      </c>
      <c r="P982" s="95">
        <f ca="1"/>
        <v>4.3668430366277317E-3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-7.3439769786452845E-4</v>
      </c>
      <c r="H983" s="92" t="s">
        <v>4</v>
      </c>
      <c r="I983" s="97">
        <f ca="1">_xll.meDateFromTenor(I982,"1D","FOLLOWING","TGT")</f>
        <v>43902</v>
      </c>
      <c r="J983" s="95">
        <f ca="1"/>
        <v>4.5822770511813409E-4</v>
      </c>
      <c r="K983" s="5" t="s">
        <v>4</v>
      </c>
      <c r="L983" s="97">
        <f ca="1">_xll.meDateFromTenor(L982,"1D","FOLLOWING","TGT")</f>
        <v>43902</v>
      </c>
      <c r="M983" s="95">
        <f ca="1"/>
        <v>2.3803037158325923E-3</v>
      </c>
      <c r="N983" s="5" t="s">
        <v>4</v>
      </c>
      <c r="O983" s="97">
        <f ca="1">_xll.meDateFromTenor(O982,"1D","FOLLOWING","TGT")</f>
        <v>43902</v>
      </c>
      <c r="P983" s="95">
        <f ca="1"/>
        <v>4.3728511751295702E-3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-7.2785271339852317E-4</v>
      </c>
      <c r="H984" s="92" t="s">
        <v>4</v>
      </c>
      <c r="I984" s="97">
        <f ca="1">_xll.meDateFromTenor(I983,"1D","FOLLOWING","TGT")</f>
        <v>43903</v>
      </c>
      <c r="J984" s="95">
        <f ca="1"/>
        <v>4.6426982331131177E-4</v>
      </c>
      <c r="K984" s="5" t="s">
        <v>4</v>
      </c>
      <c r="L984" s="97">
        <f ca="1">_xll.meDateFromTenor(L983,"1D","FOLLOWING","TGT")</f>
        <v>43903</v>
      </c>
      <c r="M984" s="95">
        <f ca="1"/>
        <v>2.3864308509410829E-3</v>
      </c>
      <c r="N984" s="5" t="s">
        <v>4</v>
      </c>
      <c r="O984" s="97">
        <f ca="1">_xll.meDateFromTenor(O983,"1D","FOLLOWING","TGT")</f>
        <v>43903</v>
      </c>
      <c r="P984" s="95">
        <f ca="1"/>
        <v>4.3788634582312179E-3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-7.082911655701496E-4</v>
      </c>
      <c r="H985" s="92" t="s">
        <v>4</v>
      </c>
      <c r="I985" s="97">
        <f ca="1">_xll.meDateFromTenor(I984,"1D","FOLLOWING","TGT")</f>
        <v>43906</v>
      </c>
      <c r="J985" s="95">
        <f ca="1"/>
        <v>4.8245362985818089E-4</v>
      </c>
      <c r="K985" s="5" t="s">
        <v>4</v>
      </c>
      <c r="L985" s="97">
        <f ca="1">_xll.meDateFromTenor(L984,"1D","FOLLOWING","TGT")</f>
        <v>43906</v>
      </c>
      <c r="M985" s="95">
        <f ca="1"/>
        <v>2.4048266584238789E-3</v>
      </c>
      <c r="N985" s="5" t="s">
        <v>4</v>
      </c>
      <c r="O985" s="97">
        <f ca="1">_xll.meDateFromTenor(O984,"1D","FOLLOWING","TGT")</f>
        <v>43906</v>
      </c>
      <c r="P985" s="95">
        <f ca="1"/>
        <v>4.3969253354436064E-3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-7.0179562585131171E-4</v>
      </c>
      <c r="H986" s="92" t="s">
        <v>4</v>
      </c>
      <c r="I986" s="97">
        <f ca="1">_xll.meDateFromTenor(I985,"1D","FOLLOWING","TGT")</f>
        <v>43907</v>
      </c>
      <c r="J986" s="95">
        <f ca="1"/>
        <v>4.8853375379011657E-4</v>
      </c>
      <c r="K986" s="5" t="s">
        <v>4</v>
      </c>
      <c r="L986" s="97">
        <f ca="1">_xll.meDateFromTenor(L985,"1D","FOLLOWING","TGT")</f>
        <v>43907</v>
      </c>
      <c r="M986" s="95">
        <f ca="1"/>
        <v>2.4109634362255135E-3</v>
      </c>
      <c r="N986" s="5" t="s">
        <v>4</v>
      </c>
      <c r="O986" s="97">
        <f ca="1">_xll.meDateFromTenor(O985,"1D","FOLLOWING","TGT")</f>
        <v>43907</v>
      </c>
      <c r="P986" s="95">
        <f ca="1"/>
        <v>4.4029543572530758E-3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-6.9531282809481767E-4</v>
      </c>
      <c r="H987" s="92" t="s">
        <v>4</v>
      </c>
      <c r="I987" s="97">
        <f ca="1">_xll.meDateFromTenor(I986,"1D","FOLLOWING","TGT")</f>
        <v>43908</v>
      </c>
      <c r="J987" s="95">
        <f ca="1"/>
        <v>4.9462315747714398E-4</v>
      </c>
      <c r="K987" s="5" t="s">
        <v>4</v>
      </c>
      <c r="L987" s="97">
        <f ca="1">_xll.meDateFromTenor(L986,"1D","FOLLOWING","TGT")</f>
        <v>43908</v>
      </c>
      <c r="M987" s="95">
        <f ca="1"/>
        <v>2.4171026556416304E-3</v>
      </c>
      <c r="N987" s="5" t="s">
        <v>4</v>
      </c>
      <c r="O987" s="97">
        <f ca="1">_xll.meDateFromTenor(O986,"1D","FOLLOWING","TGT")</f>
        <v>43908</v>
      </c>
      <c r="P987" s="95">
        <f ca="1"/>
        <v>4.4089876038166491E-3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-6.888429246108904E-4</v>
      </c>
      <c r="H988" s="92" t="s">
        <v>4</v>
      </c>
      <c r="I988" s="97">
        <f ca="1">_xll.meDateFromTenor(I987,"1D","FOLLOWING","TGT")</f>
        <v>43909</v>
      </c>
      <c r="J988" s="95">
        <f ca="1"/>
        <v>5.0072175224742264E-4</v>
      </c>
      <c r="K988" s="5" t="s">
        <v>4</v>
      </c>
      <c r="L988" s="97">
        <f ca="1">_xll.meDateFromTenor(L987,"1D","FOLLOWING","TGT")</f>
        <v>43909</v>
      </c>
      <c r="M988" s="95">
        <f ca="1"/>
        <v>2.4232443290487077E-3</v>
      </c>
      <c r="N988" s="5" t="s">
        <v>4</v>
      </c>
      <c r="O988" s="97">
        <f ca="1">_xll.meDateFromTenor(O987,"1D","FOLLOWING","TGT")</f>
        <v>43909</v>
      </c>
      <c r="P988" s="95">
        <f ca="1"/>
        <v>4.4150250911651817E-3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-6.8238606770975208E-4</v>
      </c>
      <c r="H989" s="92" t="s">
        <v>4</v>
      </c>
      <c r="I989" s="97">
        <f ca="1">_xll.meDateFromTenor(I988,"1D","FOLLOWING","TGT")</f>
        <v>43910</v>
      </c>
      <c r="J989" s="95">
        <f ca="1"/>
        <v>5.0682944942911218E-4</v>
      </c>
      <c r="K989" s="5" t="s">
        <v>4</v>
      </c>
      <c r="L989" s="97">
        <f ca="1">_xll.meDateFromTenor(L988,"1D","FOLLOWING","TGT")</f>
        <v>43910</v>
      </c>
      <c r="M989" s="95">
        <f ca="1"/>
        <v>2.4293884688232231E-3</v>
      </c>
      <c r="N989" s="5" t="s">
        <v>4</v>
      </c>
      <c r="O989" s="97">
        <f ca="1">_xll.meDateFromTenor(O988,"1D","FOLLOWING","TGT")</f>
        <v>43910</v>
      </c>
      <c r="P989" s="95">
        <f ca="1"/>
        <v>4.4210668353295316E-3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-6.6309529960527651E-4</v>
      </c>
      <c r="H990" s="92" t="s">
        <v>4</v>
      </c>
      <c r="I990" s="97">
        <f ca="1">_xll.meDateFromTenor(I989,"1D","FOLLOWING","TGT")</f>
        <v>43913</v>
      </c>
      <c r="J990" s="95">
        <f ca="1"/>
        <v>5.2520626872425787E-4</v>
      </c>
      <c r="K990" s="5" t="s">
        <v>4</v>
      </c>
      <c r="L990" s="97">
        <f ca="1">_xll.meDateFromTenor(L989,"1D","FOLLOWING","TGT")</f>
        <v>43913</v>
      </c>
      <c r="M990" s="95">
        <f ca="1"/>
        <v>2.4478358101161874E-3</v>
      </c>
      <c r="N990" s="5" t="s">
        <v>4</v>
      </c>
      <c r="O990" s="97">
        <f ca="1">_xll.meDateFromTenor(O989,"1D","FOLLOWING","TGT")</f>
        <v>43913</v>
      </c>
      <c r="P990" s="95">
        <f ca="1"/>
        <v>4.4392177690260777E-3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-6.566921521375035E-4</v>
      </c>
      <c r="H991" s="92" t="s">
        <v>4</v>
      </c>
      <c r="I991" s="97">
        <f ca="1">_xll.meDateFromTenor(I990,"1D","FOLLOWING","TGT")</f>
        <v>43914</v>
      </c>
      <c r="J991" s="95">
        <f ca="1"/>
        <v>5.3134948883319958E-4</v>
      </c>
      <c r="K991" s="5" t="s">
        <v>4</v>
      </c>
      <c r="L991" s="97">
        <f ca="1">_xll.meDateFromTenor(L990,"1D","FOLLOWING","TGT")</f>
        <v>43914</v>
      </c>
      <c r="M991" s="95">
        <f ca="1"/>
        <v>2.4539899391252422E-3</v>
      </c>
      <c r="N991" s="5" t="s">
        <v>4</v>
      </c>
      <c r="O991" s="97">
        <f ca="1">_xll.meDateFromTenor(O990,"1D","FOLLOWING","TGT")</f>
        <v>43914</v>
      </c>
      <c r="P991" s="95">
        <f ca="1"/>
        <v>4.4452767007622839E-3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-6.5030281280362677E-4</v>
      </c>
      <c r="H992" s="92" t="s">
        <v>4</v>
      </c>
      <c r="I992" s="97">
        <f ca="1">_xll.meDateFromTenor(I991,"1D","FOLLOWING","TGT")</f>
        <v>43915</v>
      </c>
      <c r="J992" s="95">
        <f ca="1"/>
        <v>5.3750136799435408E-4</v>
      </c>
      <c r="K992" s="5" t="s">
        <v>4</v>
      </c>
      <c r="L992" s="97">
        <f ca="1">_xll.meDateFromTenor(L991,"1D","FOLLOWING","TGT")</f>
        <v>43915</v>
      </c>
      <c r="M992" s="95">
        <f ca="1"/>
        <v>2.4601465963841255E-3</v>
      </c>
      <c r="N992" s="5" t="s">
        <v>4</v>
      </c>
      <c r="O992" s="97">
        <f ca="1">_xll.meDateFromTenor(O991,"1D","FOLLOWING","TGT")</f>
        <v>43915</v>
      </c>
      <c r="P992" s="95">
        <f ca="1"/>
        <v>4.4513399694686004E-3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-6.4392743391386553E-4</v>
      </c>
      <c r="H993" s="92" t="s">
        <v>4</v>
      </c>
      <c r="I993" s="97">
        <f ca="1">_xll.meDateFromTenor(I992,"1D","FOLLOWING","TGT")</f>
        <v>43916</v>
      </c>
      <c r="J993" s="95">
        <f ca="1"/>
        <v>5.436618175358839E-4</v>
      </c>
      <c r="K993" s="5" t="s">
        <v>4</v>
      </c>
      <c r="L993" s="97">
        <f ca="1">_xll.meDateFromTenor(L992,"1D","FOLLOWING","TGT")</f>
        <v>43916</v>
      </c>
      <c r="M993" s="95">
        <f ca="1"/>
        <v>2.4663057942693185E-3</v>
      </c>
      <c r="N993" s="5" t="s">
        <v>4</v>
      </c>
      <c r="O993" s="97">
        <f ca="1">_xll.meDateFromTenor(O992,"1D","FOLLOWING","TGT")</f>
        <v>43916</v>
      </c>
      <c r="P993" s="95">
        <f ca="1"/>
        <v>4.4574075911758843E-3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-6.3756616777844229E-4</v>
      </c>
      <c r="H994" s="92" t="s">
        <v>4</v>
      </c>
      <c r="I994" s="97">
        <f ca="1">_xll.meDateFromTenor(I993,"1D","FOLLOWING","TGT")</f>
        <v>43917</v>
      </c>
      <c r="J994" s="95">
        <f ca="1"/>
        <v>5.4983074878594846E-4</v>
      </c>
      <c r="K994" s="5" t="s">
        <v>4</v>
      </c>
      <c r="L994" s="97">
        <f ca="1">_xll.meDateFromTenor(L993,"1D","FOLLOWING","TGT")</f>
        <v>43917</v>
      </c>
      <c r="M994" s="95">
        <f ca="1"/>
        <v>2.4724675451572981E-3</v>
      </c>
      <c r="N994" s="5" t="s">
        <v>4</v>
      </c>
      <c r="O994" s="97">
        <f ca="1">_xll.meDateFromTenor(O993,"1D","FOLLOWING","TGT")</f>
        <v>43917</v>
      </c>
      <c r="P994" s="95">
        <f ca="1"/>
        <v>4.4634795819149965E-3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-6.1856856900041612E-4</v>
      </c>
      <c r="H995" s="92" t="s">
        <v>4</v>
      </c>
      <c r="I995" s="97">
        <f ca="1">_xll.meDateFromTenor(I994,"1D","FOLLOWING","TGT")</f>
        <v>43920</v>
      </c>
      <c r="J995" s="95">
        <f ca="1"/>
        <v>5.6838754606895422E-4</v>
      </c>
      <c r="K995" s="5" t="s">
        <v>4</v>
      </c>
      <c r="L995" s="97">
        <f ca="1">_xll.meDateFromTenor(L994,"1D","FOLLOWING","TGT")</f>
        <v>43920</v>
      </c>
      <c r="M995" s="95">
        <f ca="1"/>
        <v>2.4909682396027405E-3</v>
      </c>
      <c r="N995" s="5" t="s">
        <v>4</v>
      </c>
      <c r="O995" s="97">
        <f ca="1">_xll.meDateFromTenor(O994,"1D","FOLLOWING","TGT")</f>
        <v>43920</v>
      </c>
      <c r="P995" s="95">
        <f ca="1"/>
        <v>4.4817219286318738E-3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-6.122652769845595E-4</v>
      </c>
      <c r="H996" s="92" t="s">
        <v>4</v>
      </c>
      <c r="I996" s="97">
        <f ca="1">_xll.meDateFromTenor(I995,"1D","FOLLOWING","TGT")</f>
        <v>43921</v>
      </c>
      <c r="J996" s="95">
        <f ca="1"/>
        <v>5.7458951743476216E-4</v>
      </c>
      <c r="K996" s="5" t="s">
        <v>4</v>
      </c>
      <c r="L996" s="97">
        <f ca="1">_xll.meDateFromTenor(L995,"1D","FOLLOWING","TGT")</f>
        <v>43921</v>
      </c>
      <c r="M996" s="95">
        <f ca="1"/>
        <v>2.497140326266651E-3</v>
      </c>
      <c r="N996" s="5" t="s">
        <v>4</v>
      </c>
      <c r="O996" s="97">
        <f ca="1">_xll.meDateFromTenor(O995,"1D","FOLLOWING","TGT")</f>
        <v>43921</v>
      </c>
      <c r="P996" s="95">
        <f ca="1"/>
        <v>4.4878115558068758E-3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-6.0597685927414797E-4</v>
      </c>
      <c r="H997" s="92" t="s">
        <v>4</v>
      </c>
      <c r="I997" s="97">
        <f ca="1">_xll.meDateFromTenor(I996,"1D","FOLLOWING","TGT")</f>
        <v>43922</v>
      </c>
      <c r="J997" s="95">
        <f ca="1"/>
        <v>5.8079952714990707E-4</v>
      </c>
      <c r="K997" s="5" t="s">
        <v>4</v>
      </c>
      <c r="L997" s="97">
        <f ca="1">_xll.meDateFromTenor(L996,"1D","FOLLOWING","TGT")</f>
        <v>43922</v>
      </c>
      <c r="M997" s="95">
        <f ca="1"/>
        <v>2.50331502781574E-3</v>
      </c>
      <c r="N997" s="5" t="s">
        <v>4</v>
      </c>
      <c r="O997" s="97">
        <f ca="1">_xll.meDateFromTenor(O996,"1D","FOLLOWING","TGT")</f>
        <v>43922</v>
      </c>
      <c r="P997" s="95">
        <f ca="1"/>
        <v>4.4939056321679945E-3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-5.9970346817940414E-4</v>
      </c>
      <c r="H998" s="92" t="s">
        <v>4</v>
      </c>
      <c r="I998" s="97">
        <f ca="1">_xll.meDateFromTenor(I997,"1D","FOLLOWING","TGT")</f>
        <v>43923</v>
      </c>
      <c r="J998" s="95">
        <f ca="1"/>
        <v>5.8701748654254845E-4</v>
      </c>
      <c r="K998" s="5" t="s">
        <v>4</v>
      </c>
      <c r="L998" s="97">
        <f ca="1">_xll.meDateFromTenor(L997,"1D","FOLLOWING","TGT")</f>
        <v>43923</v>
      </c>
      <c r="M998" s="95">
        <f ca="1"/>
        <v>2.5094923566264843E-3</v>
      </c>
      <c r="N998" s="5" t="s">
        <v>4</v>
      </c>
      <c r="O998" s="97">
        <f ca="1">_xll.meDateFromTenor(O997,"1D","FOLLOWING","TGT")</f>
        <v>43923</v>
      </c>
      <c r="P998" s="95">
        <f ca="1"/>
        <v>4.5000041737460889E-3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-5.9344498589493388E-4</v>
      </c>
      <c r="H999" s="92" t="s">
        <v>4</v>
      </c>
      <c r="I999" s="97">
        <f ca="1">_xll.meDateFromTenor(I998,"1D","FOLLOWING","TGT")</f>
        <v>43924</v>
      </c>
      <c r="J999" s="95">
        <f ca="1"/>
        <v>5.9324330694084852E-4</v>
      </c>
      <c r="K999" s="5" t="s">
        <v>4</v>
      </c>
      <c r="L999" s="97">
        <f ca="1">_xll.meDateFromTenor(L998,"1D","FOLLOWING","TGT")</f>
        <v>43924</v>
      </c>
      <c r="M999" s="95">
        <f ca="1"/>
        <v>2.5156723250753642E-3</v>
      </c>
      <c r="N999" s="5" t="s">
        <v>4</v>
      </c>
      <c r="O999" s="97">
        <f ca="1">_xll.meDateFromTenor(O998,"1D","FOLLOWING","TGT")</f>
        <v>43924</v>
      </c>
      <c r="P999" s="95">
        <f ca="1"/>
        <v>4.5061071965720205E-3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-5.7474592876226001E-4</v>
      </c>
      <c r="H1000" s="92" t="s">
        <v>4</v>
      </c>
      <c r="I1000" s="97">
        <f ca="1">_xll.meDateFromTenor(I999,"1D","FOLLOWING","TGT")</f>
        <v>43927</v>
      </c>
      <c r="J1000" s="95">
        <f ca="1"/>
        <v>6.1196704745129912E-4</v>
      </c>
      <c r="K1000" s="5" t="s">
        <v>4</v>
      </c>
      <c r="L1000" s="97">
        <f ca="1">_xll.meDateFromTenor(L999,"1D","FOLLOWING","TGT")</f>
        <v>43927</v>
      </c>
      <c r="M1000" s="95">
        <f ca="1"/>
        <v>2.5342281920155978E-3</v>
      </c>
      <c r="N1000" s="5" t="s">
        <v>4</v>
      </c>
      <c r="O1000" s="97">
        <f ca="1">_xll.meDateFromTenor(O999,"1D","FOLLOWING","TGT")</f>
        <v>43927</v>
      </c>
      <c r="P1000" s="95">
        <f ca="1"/>
        <v>4.5244433128454054E-3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-5.6853347834674966E-4</v>
      </c>
      <c r="H1001" s="92" t="s">
        <v>4</v>
      </c>
      <c r="I1001" s="97">
        <f ca="1">_xll.meDateFromTenor(I1000,"1D","FOLLOWING","TGT")</f>
        <v>43928</v>
      </c>
      <c r="J1001" s="95">
        <f ca="1"/>
        <v>6.1822342515383477E-4</v>
      </c>
      <c r="K1001" s="5" t="s">
        <v>4</v>
      </c>
      <c r="L1001" s="97">
        <f ca="1">_xll.meDateFromTenor(L1000,"1D","FOLLOWING","TGT")</f>
        <v>43928</v>
      </c>
      <c r="M1001" s="95">
        <f ca="1"/>
        <v>2.540418842781801E-3</v>
      </c>
      <c r="N1001" s="5" t="s">
        <v>4</v>
      </c>
      <c r="O1001" s="97">
        <f ca="1">_xll.meDateFromTenor(O1000,"1D","FOLLOWING","TGT")</f>
        <v>43928</v>
      </c>
      <c r="P1001" s="95">
        <f ca="1"/>
        <v>4.5305644209712595E-3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-5.6232886493983206E-4</v>
      </c>
      <c r="H1002" s="92" t="s">
        <v>4</v>
      </c>
      <c r="I1002" s="97">
        <f ca="1">_xll.meDateFromTenor(I1001,"1D","FOLLOWING","TGT")</f>
        <v>43929</v>
      </c>
      <c r="J1002" s="95">
        <f ca="1"/>
        <v>6.2448722050282971E-4</v>
      </c>
      <c r="K1002" s="5" t="s">
        <v>4</v>
      </c>
      <c r="L1002" s="97">
        <f ca="1">_xll.meDateFromTenor(L1001,"1D","FOLLOWING","TGT")</f>
        <v>43929</v>
      </c>
      <c r="M1002" s="95">
        <f ca="1"/>
        <v>2.5466121950685301E-3</v>
      </c>
      <c r="N1002" s="5" t="s">
        <v>4</v>
      </c>
      <c r="O1002" s="97">
        <f ca="1">_xll.meDateFromTenor(O1001,"1D","FOLLOWING","TGT")</f>
        <v>43929</v>
      </c>
      <c r="P1002" s="95">
        <f ca="1"/>
        <v>4.5366900904992404E-3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-5.5613062015804607E-4</v>
      </c>
      <c r="H1003" s="92" t="s">
        <v>4</v>
      </c>
      <c r="I1003" s="97">
        <f ca="1">_xll.meDateFromTenor(I1002,"1D","FOLLOWING","TGT")</f>
        <v>43930</v>
      </c>
      <c r="J1003" s="95">
        <f ca="1"/>
        <v>6.3075834482644586E-4</v>
      </c>
      <c r="K1003" s="5" t="s">
        <v>4</v>
      </c>
      <c r="L1003" s="97">
        <f ca="1">_xll.meDateFromTenor(L1002,"1D","FOLLOWING","TGT")</f>
        <v>43930</v>
      </c>
      <c r="M1003" s="95">
        <f ca="1"/>
        <v>2.5528082612522648E-3</v>
      </c>
      <c r="N1003" s="5" t="s">
        <v>4</v>
      </c>
      <c r="O1003" s="97">
        <f ca="1">_xll.meDateFromTenor(O1002,"1D","FOLLOWING","TGT")</f>
        <v>43930</v>
      </c>
      <c r="P1003" s="95">
        <f ca="1"/>
        <v>4.5428203374602042E-3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-5.2518353220503355E-4</v>
      </c>
      <c r="H1004" s="92" t="s">
        <v>4</v>
      </c>
      <c r="I1004" s="97">
        <f ca="1">_xll.meDateFromTenor(I1003,"1D","FOLLOWING","TGT")</f>
        <v>43935</v>
      </c>
      <c r="J1004" s="95">
        <f ca="1"/>
        <v>6.6222079754944731E-4</v>
      </c>
      <c r="K1004" s="5" t="s">
        <v>4</v>
      </c>
      <c r="L1004" s="97">
        <f ca="1">_xll.meDateFromTenor(L1003,"1D","FOLLOWING","TGT")</f>
        <v>43935</v>
      </c>
      <c r="M1004" s="95">
        <f ca="1"/>
        <v>2.5838297338027514E-3</v>
      </c>
      <c r="N1004" s="5" t="s">
        <v>4</v>
      </c>
      <c r="O1004" s="97">
        <f ca="1">_xll.meDateFromTenor(O1003,"1D","FOLLOWING","TGT")</f>
        <v>43935</v>
      </c>
      <c r="P1004" s="95">
        <f ca="1"/>
        <v>4.5735407948398477E-3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-5.1899266312139939E-4</v>
      </c>
      <c r="H1005" s="92" t="s">
        <v>4</v>
      </c>
      <c r="I1005" s="97">
        <f ca="1">_xll.meDateFromTenor(I1004,"1D","FOLLOWING","TGT")</f>
        <v>43936</v>
      </c>
      <c r="J1005" s="95">
        <f ca="1"/>
        <v>6.685340336121553E-4</v>
      </c>
      <c r="K1005" s="5" t="s">
        <v>4</v>
      </c>
      <c r="L1005" s="97">
        <f ca="1">_xll.meDateFromTenor(L1004,"1D","FOLLOWING","TGT")</f>
        <v>43936</v>
      </c>
      <c r="M1005" s="95">
        <f ca="1"/>
        <v>2.5900423432745597E-3</v>
      </c>
      <c r="N1005" s="5" t="s">
        <v>4</v>
      </c>
      <c r="O1005" s="97">
        <f ca="1">_xll.meDateFromTenor(O1004,"1D","FOLLOWING","TGT")</f>
        <v>43936</v>
      </c>
      <c r="P1005" s="95">
        <f ca="1"/>
        <v>4.5796988430467471E-3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-5.1279788397868404E-4</v>
      </c>
      <c r="H1006" s="92" t="s">
        <v>4</v>
      </c>
      <c r="I1006" s="97">
        <f ca="1">_xll.meDateFromTenor(I1005,"1D","FOLLOWING","TGT")</f>
        <v>43937</v>
      </c>
      <c r="J1006" s="95">
        <f ca="1"/>
        <v>6.7485397794660564E-4</v>
      </c>
      <c r="K1006" s="5" t="s">
        <v>4</v>
      </c>
      <c r="L1006" s="97">
        <f ca="1">_xll.meDateFromTenor(L1005,"1D","FOLLOWING","TGT")</f>
        <v>43937</v>
      </c>
      <c r="M1006" s="95">
        <f ca="1"/>
        <v>2.59625775327872E-3</v>
      </c>
      <c r="N1006" s="5" t="s">
        <v>4</v>
      </c>
      <c r="O1006" s="97">
        <f ca="1">_xll.meDateFromTenor(O1005,"1D","FOLLOWING","TGT")</f>
        <v>43937</v>
      </c>
      <c r="P1006" s="95">
        <f ca="1"/>
        <v>4.5858615809026403E-3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-5.0659772639342644E-4</v>
      </c>
      <c r="H1007" s="92" t="s">
        <v>4</v>
      </c>
      <c r="I1007" s="97">
        <f ca="1">_xll.meDateFromTenor(I1006,"1D","FOLLOWING","TGT")</f>
        <v>43938</v>
      </c>
      <c r="J1007" s="95">
        <f ca="1"/>
        <v>6.8118054188096098E-4</v>
      </c>
      <c r="K1007" s="5" t="s">
        <v>4</v>
      </c>
      <c r="L1007" s="97">
        <f ca="1">_xll.meDateFromTenor(L1006,"1D","FOLLOWING","TGT")</f>
        <v>43938</v>
      </c>
      <c r="M1007" s="95">
        <f ca="1"/>
        <v>2.6024759761917129E-3</v>
      </c>
      <c r="N1007" s="5" t="s">
        <v>4</v>
      </c>
      <c r="O1007" s="97">
        <f ca="1">_xll.meDateFromTenor(O1006,"1D","FOLLOWING","TGT")</f>
        <v>43938</v>
      </c>
      <c r="P1007" s="95">
        <f ca="1"/>
        <v>4.5920290244383854E-3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-4.8795029914781358E-4</v>
      </c>
      <c r="H1008" s="92" t="s">
        <v>4</v>
      </c>
      <c r="I1008" s="97">
        <f ca="1">_xll.meDateFromTenor(I1007,"1D","FOLLOWING","TGT")</f>
        <v>43941</v>
      </c>
      <c r="J1008" s="95">
        <f ca="1"/>
        <v>7.0019906456505489E-4</v>
      </c>
      <c r="K1008" s="5" t="s">
        <v>4</v>
      </c>
      <c r="L1008" s="97">
        <f ca="1">_xll.meDateFromTenor(L1007,"1D","FOLLOWING","TGT")</f>
        <v>43941</v>
      </c>
      <c r="M1008" s="95">
        <f ca="1"/>
        <v>2.6211476461484619E-3</v>
      </c>
      <c r="N1008" s="5" t="s">
        <v>4</v>
      </c>
      <c r="O1008" s="97">
        <f ca="1">_xll.meDateFromTenor(O1007,"1D","FOLLOWING","TGT")</f>
        <v>43941</v>
      </c>
      <c r="P1008" s="95">
        <f ca="1"/>
        <v>4.6105597494333125E-3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-4.8171394395779939E-4</v>
      </c>
      <c r="H1009" s="92" t="s">
        <v>4</v>
      </c>
      <c r="I1009" s="97">
        <f ca="1">_xll.meDateFromTenor(I1008,"1D","FOLLOWING","TGT")</f>
        <v>43942</v>
      </c>
      <c r="J1009" s="95">
        <f ca="1"/>
        <v>7.065512201806293E-4</v>
      </c>
      <c r="K1009" s="5" t="s">
        <v>4</v>
      </c>
      <c r="L1009" s="97">
        <f ca="1">_xll.meDateFromTenor(L1008,"1D","FOLLOWING","TGT")</f>
        <v>43942</v>
      </c>
      <c r="M1009" s="95">
        <f ca="1"/>
        <v>2.6273772444615623E-3</v>
      </c>
      <c r="N1009" s="5" t="s">
        <v>4</v>
      </c>
      <c r="O1009" s="97">
        <f ca="1">_xll.meDateFromTenor(O1008,"1D","FOLLOWING","TGT")</f>
        <v>43942</v>
      </c>
      <c r="P1009" s="95">
        <f ca="1"/>
        <v>4.6167461759970465E-3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-4.7546486840794672E-4</v>
      </c>
      <c r="H1010" s="92" t="s">
        <v>4</v>
      </c>
      <c r="I1010" s="97">
        <f ca="1">_xll.meDateFromTenor(I1009,"1D","FOLLOWING","TGT")</f>
        <v>43943</v>
      </c>
      <c r="J1010" s="95">
        <f ca="1"/>
        <v>7.1290955203691094E-4</v>
      </c>
      <c r="K1010" s="5" t="s">
        <v>4</v>
      </c>
      <c r="L1010" s="97">
        <f ca="1">_xll.meDateFromTenor(L1009,"1D","FOLLOWING","TGT")</f>
        <v>43943</v>
      </c>
      <c r="M1010" s="95">
        <f ca="1"/>
        <v>2.6336097175658863E-3</v>
      </c>
      <c r="N1010" s="5" t="s">
        <v>4</v>
      </c>
      <c r="O1010" s="97">
        <f ca="1">_xll.meDateFromTenor(O1009,"1D","FOLLOWING","TGT")</f>
        <v>43943</v>
      </c>
      <c r="P1010" s="95">
        <f ca="1"/>
        <v>4.6229373883949244E-3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-4.6920160411479734E-4</v>
      </c>
      <c r="H1011" s="92" t="s">
        <v>4</v>
      </c>
      <c r="I1011" s="97">
        <f ca="1">_xll.meDateFromTenor(I1010,"1D","FOLLOWING","TGT")</f>
        <v>43944</v>
      </c>
      <c r="J1011" s="95">
        <f ca="1"/>
        <v>7.1927397146205889E-4</v>
      </c>
      <c r="K1011" s="5" t="s">
        <v>4</v>
      </c>
      <c r="L1011" s="97">
        <f ca="1">_xll.meDateFromTenor(L1010,"1D","FOLLOWING","TGT")</f>
        <v>43944</v>
      </c>
      <c r="M1011" s="95">
        <f ca="1"/>
        <v>2.6398450778379111E-3</v>
      </c>
      <c r="N1011" s="5" t="s">
        <v>4</v>
      </c>
      <c r="O1011" s="97">
        <f ca="1">_xll.meDateFromTenor(O1010,"1D","FOLLOWING","TGT")</f>
        <v>43944</v>
      </c>
      <c r="P1011" s="95">
        <f ca="1"/>
        <v>4.6291334026578044E-3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-4.6292268269489291E-4</v>
      </c>
      <c r="H1012" s="92" t="s">
        <v>4</v>
      </c>
      <c r="I1012" s="97">
        <f ca="1">_xll.meDateFromTenor(I1011,"1D","FOLLOWING","TGT")</f>
        <v>43945</v>
      </c>
      <c r="J1012" s="95">
        <f ca="1"/>
        <v>7.2564438978423278E-4</v>
      </c>
      <c r="K1012" s="5" t="s">
        <v>4</v>
      </c>
      <c r="L1012" s="97">
        <f ca="1">_xll.meDateFromTenor(L1011,"1D","FOLLOWING","TGT")</f>
        <v>43945</v>
      </c>
      <c r="M1012" s="95">
        <f ca="1"/>
        <v>2.6460833376541143E-3</v>
      </c>
      <c r="N1012" s="5" t="s">
        <v>4</v>
      </c>
      <c r="O1012" s="97">
        <f ca="1">_xll.meDateFromTenor(O1011,"1D","FOLLOWING","TGT")</f>
        <v>43945</v>
      </c>
      <c r="P1012" s="95">
        <f ca="1"/>
        <v>4.6353342348165434E-3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-4.4397729184004857E-4</v>
      </c>
      <c r="H1013" s="92" t="s">
        <v>4</v>
      </c>
      <c r="I1013" s="97">
        <f ca="1">_xll.meDateFromTenor(I1012,"1D","FOLLOWING","TGT")</f>
        <v>43948</v>
      </c>
      <c r="J1013" s="95">
        <f ca="1"/>
        <v>7.4479075141452408E-4</v>
      </c>
      <c r="K1013" s="5" t="s">
        <v>4</v>
      </c>
      <c r="L1013" s="97">
        <f ca="1">_xll.meDateFromTenor(L1012,"1D","FOLLOWING","TGT")</f>
        <v>43948</v>
      </c>
      <c r="M1013" s="95">
        <f ca="1"/>
        <v>2.6648156381325876E-3</v>
      </c>
      <c r="N1013" s="5" t="s">
        <v>4</v>
      </c>
      <c r="O1013" s="97">
        <f ca="1">_xll.meDateFromTenor(O1012,"1D","FOLLOWING","TGT")</f>
        <v>43948</v>
      </c>
      <c r="P1013" s="95">
        <f ca="1"/>
        <v>4.653965798976506E-3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-4.3762105807852687E-4</v>
      </c>
      <c r="H1014" s="92" t="s">
        <v>4</v>
      </c>
      <c r="I1014" s="97">
        <f ca="1">_xll.meDateFromTenor(I1013,"1D","FOLLOWING","TGT")</f>
        <v>43949</v>
      </c>
      <c r="J1014" s="95">
        <f ca="1"/>
        <v>7.5118427860641139E-4</v>
      </c>
      <c r="K1014" s="5" t="s">
        <v>4</v>
      </c>
      <c r="L1014" s="97">
        <f ca="1">_xll.meDateFromTenor(L1013,"1D","FOLLOWING","TGT")</f>
        <v>43949</v>
      </c>
      <c r="M1014" s="95">
        <f ca="1"/>
        <v>2.6710656198902934E-3</v>
      </c>
      <c r="N1014" s="5" t="s">
        <v>4</v>
      </c>
      <c r="O1014" s="97">
        <f ca="1">_xll.meDateFromTenor(O1013,"1D","FOLLOWING","TGT")</f>
        <v>43949</v>
      </c>
      <c r="P1014" s="95">
        <f ca="1"/>
        <v>4.6601860630272685E-3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-4.312418252729541E-4</v>
      </c>
      <c r="H1015" s="92" t="s">
        <v>4</v>
      </c>
      <c r="I1015" s="97">
        <f ca="1">_xll.meDateFromTenor(I1014,"1D","FOLLOWING","TGT")</f>
        <v>43950</v>
      </c>
      <c r="J1015" s="95">
        <f ca="1"/>
        <v>7.5758336133612686E-4</v>
      </c>
      <c r="K1015" s="5" t="s">
        <v>4</v>
      </c>
      <c r="L1015" s="97">
        <f ca="1">_xll.meDateFromTenor(L1014,"1D","FOLLOWING","TGT")</f>
        <v>43950</v>
      </c>
      <c r="M1015" s="95">
        <f ca="1"/>
        <v>2.6773185630745689E-3</v>
      </c>
      <c r="N1015" s="5" t="s">
        <v>4</v>
      </c>
      <c r="O1015" s="97">
        <f ca="1">_xll.meDateFromTenor(O1014,"1D","FOLLOWING","TGT")</f>
        <v>43950</v>
      </c>
      <c r="P1015" s="95">
        <f ca="1"/>
        <v>4.6664112251281822E-3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-4.2483812503986873E-4</v>
      </c>
      <c r="H1016" s="92" t="s">
        <v>4</v>
      </c>
      <c r="I1016" s="97">
        <f ca="1">_xll.meDateFromTenor(I1015,"1D","FOLLOWING","TGT")</f>
        <v>43951</v>
      </c>
      <c r="J1016" s="95">
        <f ca="1"/>
        <v>7.6398791093183294E-4</v>
      </c>
      <c r="K1016" s="5" t="s">
        <v>4</v>
      </c>
      <c r="L1016" s="97">
        <f ca="1">_xll.meDateFromTenor(L1015,"1D","FOLLOWING","TGT")</f>
        <v>43951</v>
      </c>
      <c r="M1016" s="95">
        <f ca="1"/>
        <v>2.6835744800618941E-3</v>
      </c>
      <c r="N1016" s="5" t="s">
        <v>4</v>
      </c>
      <c r="O1016" s="97">
        <f ca="1">_xll.meDateFromTenor(O1015,"1D","FOLLOWING","TGT")</f>
        <v>43951</v>
      </c>
      <c r="P1016" s="95">
        <f ca="1"/>
        <v>4.672641301310107E-3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-3.9894928216322958E-4</v>
      </c>
      <c r="H1017" s="92" t="s">
        <v>4</v>
      </c>
      <c r="I1017" s="97">
        <f ca="1">_xll.meDateFromTenor(I1016,"1D","FOLLOWING","TGT")</f>
        <v>43955</v>
      </c>
      <c r="J1017" s="95">
        <f ca="1"/>
        <v>7.8965900453776075E-4</v>
      </c>
      <c r="K1017" s="5" t="s">
        <v>4</v>
      </c>
      <c r="L1017" s="97">
        <f ca="1">_xll.meDateFromTenor(L1016,"1D","FOLLOWING","TGT")</f>
        <v>43955</v>
      </c>
      <c r="M1017" s="95">
        <f ca="1"/>
        <v>2.708628133571255E-3</v>
      </c>
      <c r="N1017" s="5" t="s">
        <v>4</v>
      </c>
      <c r="O1017" s="97">
        <f ca="1">_xll.meDateFromTenor(O1016,"1D","FOLLOWING","TGT")</f>
        <v>43955</v>
      </c>
      <c r="P1017" s="95">
        <f ca="1"/>
        <v>4.6976110674650717E-3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-3.9240159751165052E-4</v>
      </c>
      <c r="H1018" s="92" t="s">
        <v>4</v>
      </c>
      <c r="I1018" s="97">
        <f ca="1">_xll.meDateFromTenor(I1017,"1D","FOLLOWING","TGT")</f>
        <v>43956</v>
      </c>
      <c r="J1018" s="95">
        <f ca="1"/>
        <v>7.9608955838582124E-4</v>
      </c>
      <c r="K1018" s="5" t="s">
        <v>4</v>
      </c>
      <c r="L1018" s="97">
        <f ca="1">_xll.meDateFromTenor(L1017,"1D","FOLLOWING","TGT")</f>
        <v>43956</v>
      </c>
      <c r="M1018" s="95">
        <f ca="1"/>
        <v>2.7148991052210027E-3</v>
      </c>
      <c r="N1018" s="5" t="s">
        <v>4</v>
      </c>
      <c r="O1018" s="97">
        <f ca="1">_xll.meDateFromTenor(O1017,"1D","FOLLOWING","TGT")</f>
        <v>43956</v>
      </c>
      <c r="P1018" s="95">
        <f ca="1"/>
        <v>4.70386595451492E-3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-3.8582290595751682E-4</v>
      </c>
      <c r="H1019" s="92" t="s">
        <v>4</v>
      </c>
      <c r="I1019" s="97">
        <f ca="1">_xll.meDateFromTenor(I1018,"1D","FOLLOWING","TGT")</f>
        <v>43957</v>
      </c>
      <c r="J1019" s="95">
        <f ca="1"/>
        <v>8.0252504706883397E-4</v>
      </c>
      <c r="K1019" s="5" t="s">
        <v>4</v>
      </c>
      <c r="L1019" s="97">
        <f ca="1">_xll.meDateFromTenor(L1018,"1D","FOLLOWING","TGT")</f>
        <v>43957</v>
      </c>
      <c r="M1019" s="95">
        <f ca="1"/>
        <v>2.7211731249326687E-3</v>
      </c>
      <c r="N1019" s="5" t="s">
        <v>4</v>
      </c>
      <c r="O1019" s="97">
        <f ca="1">_xll.meDateFromTenor(O1018,"1D","FOLLOWING","TGT")</f>
        <v>43957</v>
      </c>
      <c r="P1019" s="95">
        <f ca="1"/>
        <v>4.7101258518309303E-3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-3.7921400994308212E-4</v>
      </c>
      <c r="H1020" s="92" t="s">
        <v>4</v>
      </c>
      <c r="I1020" s="97">
        <f ca="1">_xll.meDateFromTenor(I1019,"1D","FOLLOWING","TGT")</f>
        <v>43958</v>
      </c>
      <c r="J1020" s="95">
        <f ca="1"/>
        <v>8.0896538191495835E-4</v>
      </c>
      <c r="K1020" s="5" t="s">
        <v>4</v>
      </c>
      <c r="L1020" s="97">
        <f ca="1">_xll.meDateFromTenor(L1019,"1D","FOLLOWING","TGT")</f>
        <v>43958</v>
      </c>
      <c r="M1020" s="95">
        <f ca="1"/>
        <v>2.7274502050827309E-3</v>
      </c>
      <c r="N1020" s="5" t="s">
        <v>4</v>
      </c>
      <c r="O1020" s="97">
        <f ca="1">_xll.meDateFromTenor(O1019,"1D","FOLLOWING","TGT")</f>
        <v>43958</v>
      </c>
      <c r="P1020" s="95">
        <f ca="1"/>
        <v>4.7163907754439564E-3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-3.7257571191059709E-4</v>
      </c>
      <c r="H1021" s="92" t="s">
        <v>4</v>
      </c>
      <c r="I1021" s="97">
        <f ca="1">_xll.meDateFromTenor(I1020,"1D","FOLLOWING","TGT")</f>
        <v>43959</v>
      </c>
      <c r="J1021" s="95">
        <f ca="1"/>
        <v>8.1541047425235703E-4</v>
      </c>
      <c r="K1021" s="5" t="s">
        <v>4</v>
      </c>
      <c r="L1021" s="97">
        <f ca="1">_xll.meDateFromTenor(L1020,"1D","FOLLOWING","TGT")</f>
        <v>43959</v>
      </c>
      <c r="M1021" s="95">
        <f ca="1"/>
        <v>2.7337303580476703E-3</v>
      </c>
      <c r="N1021" s="5" t="s">
        <v>4</v>
      </c>
      <c r="O1021" s="97">
        <f ca="1">_xll.meDateFromTenor(O1020,"1D","FOLLOWING","TGT")</f>
        <v>43959</v>
      </c>
      <c r="P1021" s="95">
        <f ca="1"/>
        <v>4.7226607413848607E-3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-3.5249243012737641E-4</v>
      </c>
      <c r="H1022" s="92" t="s">
        <v>4</v>
      </c>
      <c r="I1022" s="97">
        <f ca="1">_xll.meDateFromTenor(I1021,"1D","FOLLOWING","TGT")</f>
        <v>43962</v>
      </c>
      <c r="J1022" s="95">
        <f ca="1"/>
        <v>8.3477340949379426E-4</v>
      </c>
      <c r="K1022" s="5" t="s">
        <v>4</v>
      </c>
      <c r="L1022" s="97">
        <f ca="1">_xll.meDateFromTenor(L1021,"1D","FOLLOWING","TGT")</f>
        <v>43962</v>
      </c>
      <c r="M1022" s="95">
        <f ca="1"/>
        <v>2.752589377596525E-3</v>
      </c>
      <c r="N1022" s="5" t="s">
        <v>4</v>
      </c>
      <c r="O1022" s="97">
        <f ca="1">_xll.meDateFromTenor(O1021,"1D","FOLLOWING","TGT")</f>
        <v>43962</v>
      </c>
      <c r="P1022" s="95">
        <f ca="1"/>
        <v>4.7415010534834169E-3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-3.4574454844522282E-4</v>
      </c>
      <c r="H1023" s="92" t="s">
        <v>4</v>
      </c>
      <c r="I1023" s="97">
        <f ca="1">_xll.meDateFromTenor(I1022,"1D","FOLLOWING","TGT")</f>
        <v>43963</v>
      </c>
      <c r="J1023" s="95">
        <f ca="1"/>
        <v>8.4123664507788952E-4</v>
      </c>
      <c r="K1023" s="5" t="s">
        <v>4</v>
      </c>
      <c r="L1023" s="97">
        <f ca="1">_xll.meDateFromTenor(L1022,"1D","FOLLOWING","TGT")</f>
        <v>43963</v>
      </c>
      <c r="M1023" s="95">
        <f ca="1"/>
        <v>2.7588819455857507E-3</v>
      </c>
      <c r="N1023" s="5" t="s">
        <v>4</v>
      </c>
      <c r="O1023" s="97">
        <f ca="1">_xll.meDateFromTenor(O1022,"1D","FOLLOWING","TGT")</f>
        <v>43963</v>
      </c>
      <c r="P1023" s="95">
        <f ca="1"/>
        <v>4.7477913490444109E-3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-3.389712769562853E-4</v>
      </c>
      <c r="H1024" s="92" t="s">
        <v>4</v>
      </c>
      <c r="I1024" s="97">
        <f ca="1">_xll.meDateFromTenor(I1023,"1D","FOLLOWING","TGT")</f>
        <v>43964</v>
      </c>
      <c r="J1024" s="95">
        <f ca="1"/>
        <v>8.4770419479405894E-4</v>
      </c>
      <c r="K1024" s="5" t="s">
        <v>4</v>
      </c>
      <c r="L1024" s="97">
        <f ca="1">_xll.meDateFromTenor(L1023,"1D","FOLLOWING","TGT")</f>
        <v>43964</v>
      </c>
      <c r="M1024" s="95">
        <f ca="1"/>
        <v>2.7651776482722425E-3</v>
      </c>
      <c r="N1024" s="5" t="s">
        <v>4</v>
      </c>
      <c r="O1024" s="97">
        <f ca="1">_xll.meDateFromTenor(O1023,"1D","FOLLOWING","TGT")</f>
        <v>43964</v>
      </c>
      <c r="P1024" s="95">
        <f ca="1"/>
        <v>4.7540867670875717E-3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-3.3217341810281437E-4</v>
      </c>
      <c r="H1025" s="92" t="s">
        <v>4</v>
      </c>
      <c r="I1025" s="97">
        <f ca="1">_xll.meDateFromTenor(I1024,"1D","FOLLOWING","TGT")</f>
        <v>43965</v>
      </c>
      <c r="J1025" s="95">
        <f ca="1"/>
        <v>8.5417596997046505E-4</v>
      </c>
      <c r="K1025" s="5" t="s">
        <v>4</v>
      </c>
      <c r="L1025" s="97">
        <f ca="1">_xll.meDateFromTenor(L1024,"1D","FOLLOWING","TGT")</f>
        <v>43965</v>
      </c>
      <c r="M1025" s="95">
        <f ca="1"/>
        <v>2.7714764980324809E-3</v>
      </c>
      <c r="N1025" s="5" t="s">
        <v>4</v>
      </c>
      <c r="O1025" s="97">
        <f ca="1">_xll.meDateFromTenor(O1024,"1D","FOLLOWING","TGT")</f>
        <v>43965</v>
      </c>
      <c r="P1025" s="95">
        <f ca="1"/>
        <v>4.7603873236437616E-3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-3.2535177432706398E-4</v>
      </c>
      <c r="H1026" s="92" t="s">
        <v>4</v>
      </c>
      <c r="I1026" s="97">
        <f ca="1">_xll.meDateFromTenor(I1025,"1D","FOLLOWING","TGT")</f>
        <v>43966</v>
      </c>
      <c r="J1026" s="95">
        <f ca="1"/>
        <v>8.6065188193526737E-4</v>
      </c>
      <c r="K1026" s="5" t="s">
        <v>4</v>
      </c>
      <c r="L1026" s="97">
        <f ca="1">_xll.meDateFromTenor(L1025,"1D","FOLLOWING","TGT")</f>
        <v>43966</v>
      </c>
      <c r="M1026" s="95">
        <f ca="1"/>
        <v>2.7777785072429437E-3</v>
      </c>
      <c r="N1026" s="5" t="s">
        <v>4</v>
      </c>
      <c r="O1026" s="97">
        <f ca="1">_xll.meDateFromTenor(O1025,"1D","FOLLOWING","TGT")</f>
        <v>43966</v>
      </c>
      <c r="P1026" s="95">
        <f ca="1"/>
        <v>4.7666930347438361E-3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-3.0475215788866513E-4</v>
      </c>
      <c r="H1027" s="92" t="s">
        <v>4</v>
      </c>
      <c r="I1027" s="97">
        <f ca="1">_xll.meDateFromTenor(I1026,"1D","FOLLOWING","TGT")</f>
        <v>43969</v>
      </c>
      <c r="J1027" s="95">
        <f ca="1"/>
        <v>8.8010355184165443E-4</v>
      </c>
      <c r="K1027" s="5" t="s">
        <v>4</v>
      </c>
      <c r="L1027" s="97">
        <f ca="1">_xll.meDateFromTenor(L1026,"1D","FOLLOWING","TGT")</f>
        <v>43969</v>
      </c>
      <c r="M1027" s="95">
        <f ca="1"/>
        <v>2.7967036153404559E-3</v>
      </c>
      <c r="N1027" s="5" t="s">
        <v>4</v>
      </c>
      <c r="O1027" s="97">
        <f ca="1">_xll.meDateFromTenor(O1026,"1D","FOLLOWING","TGT")</f>
        <v>43969</v>
      </c>
      <c r="P1027" s="95">
        <f ca="1"/>
        <v>4.7856412556159522E-3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-2.9784339884632495E-4</v>
      </c>
      <c r="H1028" s="92" t="s">
        <v>4</v>
      </c>
      <c r="I1028" s="97">
        <f ca="1">_xll.meDateFromTenor(I1027,"1D","FOLLOWING","TGT")</f>
        <v>43970</v>
      </c>
      <c r="J1028" s="95">
        <f ca="1"/>
        <v>8.8659512424164573E-4</v>
      </c>
      <c r="K1028" s="5" t="s">
        <v>4</v>
      </c>
      <c r="L1028" s="97">
        <f ca="1">_xll.meDateFromTenor(L1027,"1D","FOLLOWING","TGT")</f>
        <v>43970</v>
      </c>
      <c r="M1028" s="95">
        <f ca="1"/>
        <v>2.8030183861165975E-3</v>
      </c>
      <c r="N1028" s="5" t="s">
        <v>4</v>
      </c>
      <c r="O1028" s="97">
        <f ca="1">_xll.meDateFromTenor(O1027,"1D","FOLLOWING","TGT")</f>
        <v>43970</v>
      </c>
      <c r="P1028" s="95">
        <f ca="1"/>
        <v>4.7919677452001493E-3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-2.9091486709296939E-4</v>
      </c>
      <c r="H1029" s="92" t="s">
        <v>4</v>
      </c>
      <c r="I1029" s="97">
        <f ca="1">_xll.meDateFromTenor(I1028,"1D","FOLLOWING","TGT")</f>
        <v>43971</v>
      </c>
      <c r="J1029" s="95">
        <f ca="1"/>
        <v>8.9309039007083515E-4</v>
      </c>
      <c r="K1029" s="5" t="s">
        <v>4</v>
      </c>
      <c r="L1029" s="97">
        <f ca="1">_xll.meDateFromTenor(L1028,"1D","FOLLOWING","TGT")</f>
        <v>43971</v>
      </c>
      <c r="M1029" s="95">
        <f ca="1"/>
        <v>2.8093363782253542E-3</v>
      </c>
      <c r="N1029" s="5" t="s">
        <v>4</v>
      </c>
      <c r="O1029" s="97">
        <f ca="1">_xll.meDateFromTenor(O1028,"1D","FOLLOWING","TGT")</f>
        <v>43971</v>
      </c>
      <c r="P1029" s="95">
        <f ca="1"/>
        <v>4.7982994694825247E-3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-2.8396736507085228E-4</v>
      </c>
      <c r="H1030" s="92" t="s">
        <v>4</v>
      </c>
      <c r="I1030" s="97">
        <f ca="1">_xll.meDateFromTenor(I1029,"1D","FOLLOWING","TGT")</f>
        <v>43972</v>
      </c>
      <c r="J1030" s="95">
        <f ca="1"/>
        <v>8.9958926065738251E-4</v>
      </c>
      <c r="K1030" s="5" t="s">
        <v>4</v>
      </c>
      <c r="L1030" s="97">
        <f ca="1">_xll.meDateFromTenor(L1029,"1D","FOLLOWING","TGT")</f>
        <v>43972</v>
      </c>
      <c r="M1030" s="95">
        <f ca="1"/>
        <v>2.8156576040432035E-3</v>
      </c>
      <c r="N1030" s="5" t="s">
        <v>4</v>
      </c>
      <c r="O1030" s="97">
        <f ca="1">_xll.meDateFromTenor(O1029,"1D","FOLLOWING","TGT")</f>
        <v>43972</v>
      </c>
      <c r="P1030" s="95">
        <f ca="1"/>
        <v>4.8046364444939323E-3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-2.7700169522222433E-4</v>
      </c>
      <c r="H1031" s="92" t="s">
        <v>4</v>
      </c>
      <c r="I1031" s="97">
        <f ca="1">_xll.meDateFromTenor(I1030,"1D","FOLLOWING","TGT")</f>
        <v>43973</v>
      </c>
      <c r="J1031" s="95">
        <f ca="1"/>
        <v>9.0609164732945006E-4</v>
      </c>
      <c r="K1031" s="5" t="s">
        <v>4</v>
      </c>
      <c r="L1031" s="97">
        <f ca="1">_xll.meDateFromTenor(L1030,"1D","FOLLOWING","TGT")</f>
        <v>43973</v>
      </c>
      <c r="M1031" s="95">
        <f ca="1"/>
        <v>2.8219820759466259E-3</v>
      </c>
      <c r="N1031" s="5" t="s">
        <v>4</v>
      </c>
      <c r="O1031" s="97">
        <f ca="1">_xll.meDateFromTenor(O1030,"1D","FOLLOWING","TGT")</f>
        <v>43973</v>
      </c>
      <c r="P1031" s="95">
        <f ca="1"/>
        <v>4.8109786862652361E-3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-2.5600370313980998E-4</v>
      </c>
      <c r="H1032" s="92" t="s">
        <v>4</v>
      </c>
      <c r="I1032" s="97">
        <f ca="1">_xll.meDateFromTenor(I1031,"1D","FOLLOWING","TGT")</f>
        <v>43976</v>
      </c>
      <c r="J1032" s="95">
        <f ca="1"/>
        <v>9.2561901714037205E-4</v>
      </c>
      <c r="K1032" s="5" t="s">
        <v>4</v>
      </c>
      <c r="L1032" s="97">
        <f ca="1">_xll.meDateFromTenor(L1031,"1D","FOLLOWING","TGT")</f>
        <v>43976</v>
      </c>
      <c r="M1032" s="95">
        <f ca="1"/>
        <v>2.8409750919351088E-3</v>
      </c>
      <c r="N1032" s="5" t="s">
        <v>4</v>
      </c>
      <c r="O1032" s="97">
        <f ca="1">_xll.meDateFromTenor(O1031,"1D","FOLLOWING","TGT")</f>
        <v>43976</v>
      </c>
      <c r="P1032" s="95">
        <f ca="1"/>
        <v>4.8300371724470884E-3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-2.4897338640767218E-4</v>
      </c>
      <c r="H1033" s="92" t="s">
        <v>4</v>
      </c>
      <c r="I1033" s="97">
        <f ca="1">_xll.meDateFromTenor(I1032,"1D","FOLLOWING","TGT")</f>
        <v>43977</v>
      </c>
      <c r="J1033" s="95">
        <f ca="1"/>
        <v>9.3213458143611967E-4</v>
      </c>
      <c r="K1033" s="5" t="s">
        <v>4</v>
      </c>
      <c r="L1033" s="97">
        <f ca="1">_xll.meDateFromTenor(L1032,"1D","FOLLOWING","TGT")</f>
        <v>43977</v>
      </c>
      <c r="M1033" s="95">
        <f ca="1"/>
        <v>2.8473126719456019E-3</v>
      </c>
      <c r="N1033" s="5" t="s">
        <v>4</v>
      </c>
      <c r="O1033" s="97">
        <f ca="1">_xll.meDateFromTenor(O1032,"1D","FOLLOWING","TGT")</f>
        <v>43977</v>
      </c>
      <c r="P1033" s="95">
        <f ca="1"/>
        <v>4.8364006415665467E-3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-2.4192891406028756E-4</v>
      </c>
      <c r="H1034" s="92" t="s">
        <v>4</v>
      </c>
      <c r="I1034" s="97">
        <f ca="1">_xll.meDateFromTenor(I1033,"1D","FOLLOWING","TGT")</f>
        <v>43978</v>
      </c>
      <c r="J1034" s="95">
        <f ca="1"/>
        <v>9.3865321845818959E-4</v>
      </c>
      <c r="K1034" s="5" t="s">
        <v>4</v>
      </c>
      <c r="L1034" s="97">
        <f ca="1">_xll.meDateFromTenor(L1033,"1D","FOLLOWING","TGT")</f>
        <v>43978</v>
      </c>
      <c r="M1034" s="95">
        <f ca="1"/>
        <v>2.8536535599240596E-3</v>
      </c>
      <c r="N1034" s="5" t="s">
        <v>4</v>
      </c>
      <c r="O1034" s="97">
        <f ca="1">_xll.meDateFromTenor(O1033,"1D","FOLLOWING","TGT")</f>
        <v>43978</v>
      </c>
      <c r="P1034" s="95">
        <f ca="1"/>
        <v>4.8427694576001915E-3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-2.3487108853991007E-4</v>
      </c>
      <c r="H1035" s="92" t="s">
        <v>4</v>
      </c>
      <c r="I1035" s="97">
        <f ca="1">_xll.meDateFromTenor(I1034,"1D","FOLLOWING","TGT")</f>
        <v>43979</v>
      </c>
      <c r="J1035" s="95">
        <f ca="1"/>
        <v>9.4517483953474133E-4</v>
      </c>
      <c r="K1035" s="5" t="s">
        <v>4</v>
      </c>
      <c r="L1035" s="97">
        <f ca="1">_xll.meDateFromTenor(L1034,"1D","FOLLOWING","TGT")</f>
        <v>43979</v>
      </c>
      <c r="M1035" s="95">
        <f ca="1"/>
        <v>2.8599977682469586E-3</v>
      </c>
      <c r="N1035" s="5" t="s">
        <v>4</v>
      </c>
      <c r="O1035" s="97">
        <f ca="1">_xll.meDateFromTenor(O1034,"1D","FOLLOWING","TGT")</f>
        <v>43979</v>
      </c>
      <c r="P1035" s="95">
        <f ca="1"/>
        <v>4.8491436365788801E-3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-2.278007122887936E-4</v>
      </c>
      <c r="H1036" s="92" t="s">
        <v>4</v>
      </c>
      <c r="I1036" s="97">
        <f ca="1">_xll.meDateFromTenor(I1035,"1D","FOLLOWING","TGT")</f>
        <v>43980</v>
      </c>
      <c r="J1036" s="95">
        <f ca="1"/>
        <v>9.516993559939345E-4</v>
      </c>
      <c r="K1036" s="5" t="s">
        <v>4</v>
      </c>
      <c r="L1036" s="97">
        <f ca="1">_xll.meDateFromTenor(L1035,"1D","FOLLOWING","TGT")</f>
        <v>43980</v>
      </c>
      <c r="M1036" s="95">
        <f ca="1"/>
        <v>2.8663453092907776E-3</v>
      </c>
      <c r="N1036" s="5" t="s">
        <v>4</v>
      </c>
      <c r="O1036" s="97">
        <f ca="1">_xll.meDateFromTenor(O1035,"1D","FOLLOWING","TGT")</f>
        <v>43980</v>
      </c>
      <c r="P1036" s="95">
        <f ca="1"/>
        <v>4.8555231945334697E-3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-2.0652230357352968E-4</v>
      </c>
      <c r="H1037" s="92" t="s">
        <v>4</v>
      </c>
      <c r="I1037" s="97">
        <f ca="1">_xll.meDateFromTenor(I1036,"1D","FOLLOWING","TGT")</f>
        <v>43983</v>
      </c>
      <c r="J1037" s="95">
        <f ca="1"/>
        <v>9.7128939094897335E-4</v>
      </c>
      <c r="K1037" s="5" t="s">
        <v>4</v>
      </c>
      <c r="L1037" s="97">
        <f ca="1">_xll.meDateFromTenor(L1036,"1D","FOLLOWING","TGT")</f>
        <v>43983</v>
      </c>
      <c r="M1037" s="95">
        <f ca="1"/>
        <v>2.8854080525125407E-3</v>
      </c>
      <c r="N1037" s="5" t="s">
        <v>4</v>
      </c>
      <c r="O1037" s="97">
        <f ca="1">_xll.meDateFromTenor(O1036,"1D","FOLLOWING","TGT")</f>
        <v>43983</v>
      </c>
      <c r="P1037" s="95">
        <f ca="1"/>
        <v>4.8746943025612319E-3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-1.9940974882197874E-4</v>
      </c>
      <c r="H1038" s="92" t="s">
        <v>4</v>
      </c>
      <c r="I1038" s="97">
        <f ca="1">_xll.meDateFromTenor(I1037,"1D","FOLLOWING","TGT")</f>
        <v>43984</v>
      </c>
      <c r="J1038" s="95">
        <f ca="1"/>
        <v>9.7782460222034192E-4</v>
      </c>
      <c r="K1038" s="5" t="s">
        <v>4</v>
      </c>
      <c r="L1038" s="97">
        <f ca="1">_xll.meDateFromTenor(L1037,"1D","FOLLOWING","TGT")</f>
        <v>43984</v>
      </c>
      <c r="M1038" s="95">
        <f ca="1"/>
        <v>2.8917690482048253E-3</v>
      </c>
      <c r="N1038" s="5" t="s">
        <v>4</v>
      </c>
      <c r="O1038" s="97">
        <f ca="1">_xll.meDateFromTenor(O1037,"1D","FOLLOWING","TGT")</f>
        <v>43984</v>
      </c>
      <c r="P1038" s="95">
        <f ca="1"/>
        <v>4.8810955367280121E-3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-1.9228870837120502E-4</v>
      </c>
      <c r="H1039" s="92" t="s">
        <v>4</v>
      </c>
      <c r="I1039" s="97">
        <f ca="1">_xll.meDateFromTenor(I1038,"1D","FOLLOWING","TGT")</f>
        <v>43985</v>
      </c>
      <c r="J1039" s="95">
        <f ca="1"/>
        <v>9.8436228200873854E-4</v>
      </c>
      <c r="K1039" s="5" t="s">
        <v>4</v>
      </c>
      <c r="L1039" s="97">
        <f ca="1">_xll.meDateFromTenor(L1038,"1D","FOLLOWING","TGT")</f>
        <v>43985</v>
      </c>
      <c r="M1039" s="95">
        <f ca="1"/>
        <v>2.8981334361115104E-3</v>
      </c>
      <c r="N1039" s="5" t="s">
        <v>4</v>
      </c>
      <c r="O1039" s="97">
        <f ca="1">_xll.meDateFromTenor(O1038,"1D","FOLLOWING","TGT")</f>
        <v>43985</v>
      </c>
      <c r="P1039" s="95">
        <f ca="1"/>
        <v>4.8875022248507484E-3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-1.85160248764711E-4</v>
      </c>
      <c r="H1040" s="92" t="s">
        <v>4</v>
      </c>
      <c r="I1040" s="97">
        <f ca="1">_xll.meDateFromTenor(I1039,"1D","FOLLOWING","TGT")</f>
        <v>43986</v>
      </c>
      <c r="J1040" s="95">
        <f ca="1"/>
        <v>9.9090242411025635E-4</v>
      </c>
      <c r="K1040" s="5" t="s">
        <v>4</v>
      </c>
      <c r="L1040" s="97">
        <f ca="1">_xll.meDateFromTenor(L1039,"1D","FOLLOWING","TGT")</f>
        <v>43986</v>
      </c>
      <c r="M1040" s="95">
        <f ca="1"/>
        <v>2.904501216664533E-3</v>
      </c>
      <c r="N1040" s="5" t="s">
        <v>4</v>
      </c>
      <c r="O1040" s="97">
        <f ca="1">_xll.meDateFromTenor(O1039,"1D","FOLLOWING","TGT")</f>
        <v>43986</v>
      </c>
      <c r="P1040" s="95">
        <f ca="1"/>
        <v>4.8939143570891188E-3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-1.7802548936625949E-4</v>
      </c>
      <c r="H1041" s="92" t="s">
        <v>4</v>
      </c>
      <c r="I1041" s="97">
        <f ca="1">_xll.meDateFromTenor(I1040,"1D","FOLLOWING","TGT")</f>
        <v>43987</v>
      </c>
      <c r="J1041" s="95">
        <f ca="1"/>
        <v>9.9744503881456616E-4</v>
      </c>
      <c r="K1041" s="5" t="s">
        <v>4</v>
      </c>
      <c r="L1041" s="97">
        <f ca="1">_xll.meDateFromTenor(L1040,"1D","FOLLOWING","TGT")</f>
        <v>43987</v>
      </c>
      <c r="M1041" s="95">
        <f ca="1"/>
        <v>2.910872387906912E-3</v>
      </c>
      <c r="N1041" s="5" t="s">
        <v>4</v>
      </c>
      <c r="O1041" s="97">
        <f ca="1">_xll.meDateFromTenor(O1040,"1D","FOLLOWING","TGT")</f>
        <v>43987</v>
      </c>
      <c r="P1041" s="95">
        <f ca="1"/>
        <v>4.900331918428558E-3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-1.5659460605672415E-4</v>
      </c>
      <c r="H1042" s="92" t="s">
        <v>4</v>
      </c>
      <c r="I1042" s="97">
        <f ca="1">_xll.meDateFromTenor(I1041,"1D","FOLLOWING","TGT")</f>
        <v>43990</v>
      </c>
      <c r="J1042" s="95">
        <f ca="1"/>
        <v>1.0170878214410088E-3</v>
      </c>
      <c r="K1042" s="5" t="s">
        <v>4</v>
      </c>
      <c r="L1042" s="97">
        <f ca="1">_xll.meDateFromTenor(L1041,"1D","FOLLOWING","TGT")</f>
        <v>43990</v>
      </c>
      <c r="M1042" s="95">
        <f ca="1"/>
        <v>2.9300062262004353E-3</v>
      </c>
      <c r="N1042" s="5" t="s">
        <v>4</v>
      </c>
      <c r="O1042" s="97">
        <f ca="1">_xll.meDateFromTenor(O1041,"1D","FOLLOWING","TGT")</f>
        <v>43990</v>
      </c>
      <c r="P1042" s="95">
        <f ca="1"/>
        <v>4.9196170269077003E-3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-1.4944584112801387E-4</v>
      </c>
      <c r="H1043" s="92" t="s">
        <v>4</v>
      </c>
      <c r="I1043" s="97">
        <f ca="1">_xll.meDateFromTenor(I1042,"1D","FOLLOWING","TGT")</f>
        <v>43991</v>
      </c>
      <c r="J1043" s="95">
        <f ca="1"/>
        <v>1.0236404294532424E-3</v>
      </c>
      <c r="K1043" s="5" t="s">
        <v>4</v>
      </c>
      <c r="L1043" s="97">
        <f ca="1">_xll.meDateFromTenor(L1042,"1D","FOLLOWING","TGT")</f>
        <v>43991</v>
      </c>
      <c r="M1043" s="95">
        <f ca="1"/>
        <v>2.9363909406304812E-3</v>
      </c>
      <c r="N1043" s="5" t="s">
        <v>4</v>
      </c>
      <c r="O1043" s="97">
        <f ca="1">_xll.meDateFromTenor(O1042,"1D","FOLLOWING","TGT")</f>
        <v>43991</v>
      </c>
      <c r="P1043" s="95">
        <f ca="1"/>
        <v>4.926056154505816E-3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-1.4229637322613181E-4</v>
      </c>
      <c r="H1044" s="92" t="s">
        <v>4</v>
      </c>
      <c r="I1044" s="97">
        <f ca="1">_xll.meDateFromTenor(I1043,"1D","FOLLOWING","TGT")</f>
        <v>43992</v>
      </c>
      <c r="J1044" s="95">
        <f ca="1"/>
        <v>1.0301955615166459E-3</v>
      </c>
      <c r="K1044" s="5" t="s">
        <v>4</v>
      </c>
      <c r="L1044" s="97">
        <f ca="1">_xll.meDateFromTenor(L1043,"1D","FOLLOWING","TGT")</f>
        <v>43992</v>
      </c>
      <c r="M1044" s="95">
        <f ca="1"/>
        <v>2.9427790359650048E-3</v>
      </c>
      <c r="N1044" s="5" t="s">
        <v>4</v>
      </c>
      <c r="O1044" s="97">
        <f ca="1">_xll.meDateFromTenor(O1043,"1D","FOLLOWING","TGT")</f>
        <v>43992</v>
      </c>
      <c r="P1044" s="95">
        <f ca="1"/>
        <v>4.9325006361322019E-3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-1.3514732171484063E-4</v>
      </c>
      <c r="H1045" s="92" t="s">
        <v>4</v>
      </c>
      <c r="I1045" s="97">
        <f ca="1">_xll.meDateFromTenor(I1044,"1D","FOLLOWING","TGT")</f>
        <v>43993</v>
      </c>
      <c r="J1045" s="95">
        <f ca="1"/>
        <v>1.0367532279208899E-3</v>
      </c>
      <c r="K1045" s="5" t="s">
        <v>4</v>
      </c>
      <c r="L1045" s="97">
        <f ca="1">_xll.meDateFromTenor(L1044,"1D","FOLLOWING","TGT")</f>
        <v>43993</v>
      </c>
      <c r="M1045" s="95">
        <f ca="1"/>
        <v>2.9491705102470244E-3</v>
      </c>
      <c r="N1045" s="5" t="s">
        <v>4</v>
      </c>
      <c r="O1045" s="97">
        <f ca="1">_xll.meDateFromTenor(O1044,"1D","FOLLOWING","TGT")</f>
        <v>43993</v>
      </c>
      <c r="P1045" s="95">
        <f ca="1"/>
        <v>4.9389504567722911E-3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-1.2799980595789608E-4</v>
      </c>
      <c r="H1046" s="92" t="s">
        <v>4</v>
      </c>
      <c r="I1046" s="97">
        <f ca="1">_xll.meDateFromTenor(I1045,"1D","FOLLOWING","TGT")</f>
        <v>43994</v>
      </c>
      <c r="J1046" s="95">
        <f ca="1"/>
        <v>1.0433134389556513E-3</v>
      </c>
      <c r="K1046" s="5" t="s">
        <v>4</v>
      </c>
      <c r="L1046" s="97">
        <f ca="1">_xll.meDateFromTenor(L1045,"1D","FOLLOWING","TGT")</f>
        <v>43994</v>
      </c>
      <c r="M1046" s="95">
        <f ca="1"/>
        <v>2.9555653615195659E-3</v>
      </c>
      <c r="N1046" s="5" t="s">
        <v>4</v>
      </c>
      <c r="O1046" s="97">
        <f ca="1">_xll.meDateFromTenor(O1045,"1D","FOLLOWING","TGT")</f>
        <v>43994</v>
      </c>
      <c r="P1046" s="95">
        <f ca="1"/>
        <v>4.9454056014115256E-3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-1.0657766685071836E-4</v>
      </c>
      <c r="H1047" s="92" t="s">
        <v>4</v>
      </c>
      <c r="I1047" s="97">
        <f ca="1">_xll.meDateFromTenor(I1046,"1D","FOLLOWING","TGT")</f>
        <v>43997</v>
      </c>
      <c r="J1047" s="95">
        <f ca="1"/>
        <v>1.0630094427397925E-3</v>
      </c>
      <c r="K1047" s="5" t="s">
        <v>4</v>
      </c>
      <c r="L1047" s="97">
        <f ca="1">_xll.meDateFromTenor(L1046,"1D","FOLLOWING","TGT")</f>
        <v>43997</v>
      </c>
      <c r="M1047" s="95">
        <f ca="1"/>
        <v>2.9747701577105589E-3</v>
      </c>
      <c r="N1047" s="5" t="s">
        <v>4</v>
      </c>
      <c r="O1047" s="97">
        <f ca="1">_xll.meDateFromTenor(O1046,"1D","FOLLOWING","TGT")</f>
        <v>43997</v>
      </c>
      <c r="P1047" s="95">
        <f ca="1"/>
        <v>4.964802829178494E-3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-9.944748774874112E-5</v>
      </c>
      <c r="H1048" s="92" t="s">
        <v>4</v>
      </c>
      <c r="I1048" s="97">
        <f ca="1">_xll.meDateFromTenor(I1047,"1D","FOLLOWING","TGT")</f>
        <v>43998</v>
      </c>
      <c r="J1048" s="95">
        <f ca="1"/>
        <v>1.0695799351933717E-3</v>
      </c>
      <c r="K1048" s="5" t="s">
        <v>4</v>
      </c>
      <c r="L1048" s="97">
        <f ca="1">_xll.meDateFromTenor(L1047,"1D","FOLLOWING","TGT")</f>
        <v>43998</v>
      </c>
      <c r="M1048" s="95">
        <f ca="1"/>
        <v>2.9811784973754214E-3</v>
      </c>
      <c r="N1048" s="5" t="s">
        <v>4</v>
      </c>
      <c r="O1048" s="97">
        <f ca="1">_xll.meDateFromTenor(O1047,"1D","FOLLOWING","TGT")</f>
        <v>43998</v>
      </c>
      <c r="P1048" s="95">
        <f ca="1"/>
        <v>4.9712791196686989E-3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-9.2324441219900845E-5</v>
      </c>
      <c r="H1049" s="92" t="s">
        <v>4</v>
      </c>
      <c r="I1049" s="97">
        <f ca="1">_xll.meDateFromTenor(I1048,"1D","FOLLOWING","TGT")</f>
        <v>43999</v>
      </c>
      <c r="J1049" s="95">
        <f ca="1"/>
        <v>1.0761530237258423E-3</v>
      </c>
      <c r="K1049" s="5" t="s">
        <v>4</v>
      </c>
      <c r="L1049" s="97">
        <f ca="1">_xll.meDateFromTenor(L1048,"1D","FOLLOWING","TGT")</f>
        <v>43999</v>
      </c>
      <c r="M1049" s="95">
        <f ca="1"/>
        <v>2.9875902042459219E-3</v>
      </c>
      <c r="N1049" s="5" t="s">
        <v>4</v>
      </c>
      <c r="O1049" s="97">
        <f ca="1">_xll.meDateFromTenor(O1048,"1D","FOLLOWING","TGT")</f>
        <v>43999</v>
      </c>
      <c r="P1049" s="95">
        <f ca="1"/>
        <v>4.9777606590852451E-3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-8.5209646627953334E-5</v>
      </c>
      <c r="H1050" s="92" t="s">
        <v>4</v>
      </c>
      <c r="I1050" s="97">
        <f ca="1">_xll.meDateFromTenor(I1049,"1D","FOLLOWING","TGT")</f>
        <v>44000</v>
      </c>
      <c r="J1050" s="95">
        <f ca="1"/>
        <v>1.0827287186268809E-3</v>
      </c>
      <c r="K1050" s="5" t="s">
        <v>4</v>
      </c>
      <c r="L1050" s="97">
        <f ca="1">_xll.meDateFromTenor(L1049,"1D","FOLLOWING","TGT")</f>
        <v>44000</v>
      </c>
      <c r="M1050" s="95">
        <f ca="1"/>
        <v>2.9940052763650867E-3</v>
      </c>
      <c r="N1050" s="5" t="s">
        <v>4</v>
      </c>
      <c r="O1050" s="97">
        <f ca="1">_xll.meDateFromTenor(O1049,"1D","FOLLOWING","TGT")</f>
        <v>44000</v>
      </c>
      <c r="P1050" s="95">
        <f ca="1"/>
        <v>4.9842474324135709E-3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-7.8104223336661308E-5</v>
      </c>
      <c r="H1051" s="92" t="s">
        <v>4</v>
      </c>
      <c r="I1051" s="97">
        <f ca="1">_xll.meDateFromTenor(I1050,"1D","FOLLOWING","TGT")</f>
        <v>44001</v>
      </c>
      <c r="J1051" s="95">
        <f ca="1"/>
        <v>1.0893070301861581E-3</v>
      </c>
      <c r="K1051" s="5" t="s">
        <v>4</v>
      </c>
      <c r="L1051" s="97">
        <f ca="1">_xll.meDateFromTenor(L1050,"1D","FOLLOWING","TGT")</f>
        <v>44001</v>
      </c>
      <c r="M1051" s="95">
        <f ca="1"/>
        <v>3.0004237117759341E-3</v>
      </c>
      <c r="N1051" s="5" t="s">
        <v>4</v>
      </c>
      <c r="O1051" s="97">
        <f ca="1">_xll.meDateFromTenor(O1050,"1D","FOLLOWING","TGT")</f>
        <v>44001</v>
      </c>
      <c r="P1051" s="95">
        <f ca="1"/>
        <v>4.9907394246391148E-3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-5.6855374904282454E-5</v>
      </c>
      <c r="H1052" s="92" t="s">
        <v>4</v>
      </c>
      <c r="I1052" s="97">
        <f ca="1">_xll.meDateFromTenor(I1051,"1D","FOLLOWING","TGT")</f>
        <v>44004</v>
      </c>
      <c r="J1052" s="95">
        <f ca="1"/>
        <v>1.1090577677101861E-3</v>
      </c>
      <c r="K1052" s="5" t="s">
        <v>4</v>
      </c>
      <c r="L1052" s="97">
        <f ca="1">_xll.meDateFromTenor(L1051,"1D","FOLLOWING","TGT")</f>
        <v>44004</v>
      </c>
      <c r="M1052" s="95">
        <f ca="1"/>
        <v>3.0196991781888233E-3</v>
      </c>
      <c r="N1052" s="5" t="s">
        <v>4</v>
      </c>
      <c r="O1052" s="97">
        <f ca="1">_xll.meDateFromTenor(O1051,"1D","FOLLOWING","TGT")</f>
        <v>44004</v>
      </c>
      <c r="P1052" s="95">
        <f ca="1"/>
        <v>5.0102465645534486E-3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-4.9798630453183711E-5</v>
      </c>
      <c r="H1053" s="92" t="s">
        <v>4</v>
      </c>
      <c r="I1053" s="97">
        <f ca="1">_xll.meDateFromTenor(I1052,"1D","FOLLOWING","TGT")</f>
        <v>44005</v>
      </c>
      <c r="J1053" s="95">
        <f ca="1"/>
        <v>1.1156466487991751E-3</v>
      </c>
      <c r="K1053" s="5" t="s">
        <v>4</v>
      </c>
      <c r="L1053" s="97">
        <f ca="1">_xll.meDateFromTenor(L1052,"1D","FOLLOWING","TGT")</f>
        <v>44005</v>
      </c>
      <c r="M1053" s="95">
        <f ca="1"/>
        <v>3.0261310471966455E-3</v>
      </c>
      <c r="N1053" s="5" t="s">
        <v>4</v>
      </c>
      <c r="O1053" s="97">
        <f ca="1">_xll.meDateFromTenor(O1052,"1D","FOLLOWING","TGT")</f>
        <v>44005</v>
      </c>
      <c r="P1053" s="95">
        <f ca="1"/>
        <v>5.016759282222256E-3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-4.275685412152618E-5</v>
      </c>
      <c r="H1054" s="92" t="s">
        <v>4</v>
      </c>
      <c r="I1054" s="97">
        <f ca="1">_xll.meDateFromTenor(I1053,"1D","FOLLOWING","TGT")</f>
        <v>44006</v>
      </c>
      <c r="J1054" s="95">
        <f ca="1"/>
        <v>1.122238197994781E-3</v>
      </c>
      <c r="K1054" s="5" t="s">
        <v>4</v>
      </c>
      <c r="L1054" s="97">
        <f ca="1">_xll.meDateFromTenor(L1053,"1D","FOLLOWING","TGT")</f>
        <v>44006</v>
      </c>
      <c r="M1054" s="95">
        <f ca="1"/>
        <v>3.0325662697112711E-3</v>
      </c>
      <c r="N1054" s="5" t="s">
        <v>4</v>
      </c>
      <c r="O1054" s="97">
        <f ca="1">_xll.meDateFromTenor(O1053,"1D","FOLLOWING","TGT")</f>
        <v>44006</v>
      </c>
      <c r="P1054" s="95">
        <f ca="1"/>
        <v>5.023277143715481E-3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-3.5731165273072504E-5</v>
      </c>
      <c r="H1055" s="92" t="s">
        <v>4</v>
      </c>
      <c r="I1055" s="97">
        <f ca="1">_xll.meDateFromTenor(I1054,"1D","FOLLOWING","TGT")</f>
        <v>44007</v>
      </c>
      <c r="J1055" s="95">
        <f ca="1"/>
        <v>1.1288324255866744E-3</v>
      </c>
      <c r="K1055" s="5" t="s">
        <v>4</v>
      </c>
      <c r="L1055" s="97">
        <f ca="1">_xll.meDateFromTenor(L1054,"1D","FOLLOWING","TGT")</f>
        <v>44007</v>
      </c>
      <c r="M1055" s="95">
        <f ca="1"/>
        <v>3.03900484377572E-3</v>
      </c>
      <c r="N1055" s="5" t="s">
        <v>4</v>
      </c>
      <c r="O1055" s="97">
        <f ca="1">_xll.meDateFromTenor(O1054,"1D","FOLLOWING","TGT")</f>
        <v>44007</v>
      </c>
      <c r="P1055" s="95">
        <f ca="1"/>
        <v>5.029800134018555E-3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-2.8722683271576204E-5</v>
      </c>
      <c r="H1056" s="92" t="s">
        <v>4</v>
      </c>
      <c r="I1056" s="97">
        <f ca="1">_xll.meDateFromTenor(I1055,"1D","FOLLOWING","TGT")</f>
        <v>44008</v>
      </c>
      <c r="J1056" s="95">
        <f ca="1"/>
        <v>1.1354293418645344E-3</v>
      </c>
      <c r="K1056" s="5" t="s">
        <v>4</v>
      </c>
      <c r="L1056" s="97">
        <f ca="1">_xll.meDateFromTenor(L1055,"1D","FOLLOWING","TGT")</f>
        <v>44008</v>
      </c>
      <c r="M1056" s="95">
        <f ca="1"/>
        <v>3.0454467674330189E-3</v>
      </c>
      <c r="N1056" s="5" t="s">
        <v>4</v>
      </c>
      <c r="O1056" s="97">
        <f ca="1">_xll.meDateFromTenor(O1055,"1D","FOLLOWING","TGT")</f>
        <v>44008</v>
      </c>
      <c r="P1056" s="95">
        <f ca="1"/>
        <v>5.0363282381169243E-3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-7.8116719864304697E-6</v>
      </c>
      <c r="H1057" s="92" t="s">
        <v>4</v>
      </c>
      <c r="I1057" s="97">
        <f ca="1">_xll.meDateFromTenor(I1056,"1D","FOLLOWING","TGT")</f>
        <v>44011</v>
      </c>
      <c r="J1057" s="95">
        <f ca="1"/>
        <v>1.1552363257106436E-3</v>
      </c>
      <c r="K1057" s="5" t="s">
        <v>4</v>
      </c>
      <c r="L1057" s="97">
        <f ca="1">_xll.meDateFromTenor(L1056,"1D","FOLLOWING","TGT")</f>
        <v>44011</v>
      </c>
      <c r="M1057" s="95">
        <f ca="1"/>
        <v>3.0647926163922378E-3</v>
      </c>
      <c r="N1057" s="5" t="s">
        <v>4</v>
      </c>
      <c r="O1057" s="97">
        <f ca="1">_xll.meDateFromTenor(O1056,"1D","FOLLOWING","TGT")</f>
        <v>44011</v>
      </c>
      <c r="P1057" s="95">
        <f ca="1"/>
        <v>5.0559430830381686E-3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-8.8321101035574832E-7</v>
      </c>
      <c r="H1058" s="92" t="s">
        <v>4</v>
      </c>
      <c r="I1058" s="97">
        <f ca="1">_xll.meDateFromTenor(I1057,"1D","FOLLOWING","TGT")</f>
        <v>44012</v>
      </c>
      <c r="J1058" s="95">
        <f ca="1"/>
        <v>1.1618440996291068E-3</v>
      </c>
      <c r="K1058" s="5" t="s">
        <v>4</v>
      </c>
      <c r="L1058" s="97">
        <f ca="1">_xll.meDateFromTenor(L1057,"1D","FOLLOWING","TGT")</f>
        <v>44012</v>
      </c>
      <c r="M1058" s="95">
        <f ca="1"/>
        <v>3.0712479188511623E-3</v>
      </c>
      <c r="N1058" s="5" t="s">
        <v>4</v>
      </c>
      <c r="O1058" s="97">
        <f ca="1">_xll.meDateFromTenor(O1057,"1D","FOLLOWING","TGT")</f>
        <v>44012</v>
      </c>
      <c r="P1058" s="95">
        <f ca="1"/>
        <v>5.0624914921720927E-3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6.0224462999712085E-6</v>
      </c>
      <c r="H1059" s="92" t="s">
        <v>4</v>
      </c>
      <c r="I1059" s="97">
        <f ca="1">_xll.meDateFromTenor(I1058,"1D","FOLLOWING","TGT")</f>
        <v>44013</v>
      </c>
      <c r="J1059" s="95">
        <f ca="1"/>
        <v>1.1684546136819104E-3</v>
      </c>
      <c r="K1059" s="5" t="s">
        <v>4</v>
      </c>
      <c r="L1059" s="97">
        <f ca="1">_xll.meDateFromTenor(L1058,"1D","FOLLOWING","TGT")</f>
        <v>44013</v>
      </c>
      <c r="M1059" s="95">
        <f ca="1"/>
        <v>3.0777065611180543E-3</v>
      </c>
      <c r="N1059" s="5" t="s">
        <v>4</v>
      </c>
      <c r="O1059" s="97">
        <f ca="1">_xll.meDateFromTenor(O1058,"1D","FOLLOWING","TGT")</f>
        <v>44013</v>
      </c>
      <c r="P1059" s="95">
        <f ca="1"/>
        <v>5.0690449400285081E-3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1.2904180580787842E-5</v>
      </c>
      <c r="H1060" s="92" t="s">
        <v>4</v>
      </c>
      <c r="I1060" s="97">
        <f ca="1">_xll.meDateFromTenor(I1059,"1D","FOLLOWING","TGT")</f>
        <v>44014</v>
      </c>
      <c r="J1060" s="95">
        <f ca="1"/>
        <v>1.1750678781587245E-3</v>
      </c>
      <c r="K1060" s="5" t="s">
        <v>4</v>
      </c>
      <c r="L1060" s="97">
        <f ca="1">_xll.meDateFromTenor(L1059,"1D","FOLLOWING","TGT")</f>
        <v>44014</v>
      </c>
      <c r="M1060" s="95">
        <f ca="1"/>
        <v>3.0841685412359332E-3</v>
      </c>
      <c r="N1060" s="5" t="s">
        <v>4</v>
      </c>
      <c r="O1060" s="97">
        <f ca="1">_xll.meDateFromTenor(O1059,"1D","FOLLOWING","TGT")</f>
        <v>44014</v>
      </c>
      <c r="P1060" s="95">
        <f ca="1"/>
        <v>5.0756034115928455E-3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1.9761280796850574E-5</v>
      </c>
      <c r="H1061" s="92" t="s">
        <v>4</v>
      </c>
      <c r="I1061" s="97">
        <f ca="1">_xll.meDateFromTenor(I1060,"1D","FOLLOWING","TGT")</f>
        <v>44015</v>
      </c>
      <c r="J1061" s="95">
        <f ca="1"/>
        <v>1.1816839033492266E-3</v>
      </c>
      <c r="K1061" s="5" t="s">
        <v>4</v>
      </c>
      <c r="L1061" s="97">
        <f ca="1">_xll.meDateFromTenor(L1060,"1D","FOLLOWING","TGT")</f>
        <v>44015</v>
      </c>
      <c r="M1061" s="95">
        <f ca="1"/>
        <v>3.0906338572478233E-3</v>
      </c>
      <c r="N1061" s="5" t="s">
        <v>4</v>
      </c>
      <c r="O1061" s="97">
        <f ca="1">_xll.meDateFromTenor(O1060,"1D","FOLLOWING","TGT")</f>
        <v>44015</v>
      </c>
      <c r="P1061" s="95">
        <f ca="1"/>
        <v>5.0821668918505508E-3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4.019563315860022E-5</v>
      </c>
      <c r="H1062" s="92" t="s">
        <v>4</v>
      </c>
      <c r="I1062" s="97">
        <f ca="1">_xll.meDateFromTenor(I1061,"1D","FOLLOWING","TGT")</f>
        <v>44018</v>
      </c>
      <c r="J1062" s="95">
        <f ca="1"/>
        <v>1.2015486460996124E-3</v>
      </c>
      <c r="K1062" s="5" t="s">
        <v>4</v>
      </c>
      <c r="L1062" s="97">
        <f ca="1">_xll.meDateFromTenor(L1061,"1D","FOLLOWING","TGT")</f>
        <v>44018</v>
      </c>
      <c r="M1062" s="95">
        <f ca="1"/>
        <v>3.1100498010778036E-3</v>
      </c>
      <c r="N1062" s="5" t="s">
        <v>4</v>
      </c>
      <c r="O1062" s="97">
        <f ca="1">_xll.meDateFromTenor(O1061,"1D","FOLLOWING","TGT")</f>
        <v>44018</v>
      </c>
      <c r="P1062" s="95">
        <f ca="1"/>
        <v>5.1018872346382501E-3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4.6965869874752269E-5</v>
      </c>
      <c r="H1063" s="92" t="s">
        <v>4</v>
      </c>
      <c r="I1063" s="97">
        <f ca="1">_xll.meDateFromTenor(I1062,"1D","FOLLOWING","TGT")</f>
        <v>44019</v>
      </c>
      <c r="J1063" s="95">
        <f ca="1"/>
        <v>1.2081758170416138E-3</v>
      </c>
      <c r="K1063" s="5" t="s">
        <v>4</v>
      </c>
      <c r="L1063" s="97">
        <f ca="1">_xll.meDateFromTenor(L1062,"1D","FOLLOWING","TGT")</f>
        <v>44019</v>
      </c>
      <c r="M1063" s="95">
        <f ca="1"/>
        <v>3.1165284410959748E-3</v>
      </c>
      <c r="N1063" s="5" t="s">
        <v>4</v>
      </c>
      <c r="O1063" s="97">
        <f ca="1">_xll.meDateFromTenor(O1062,"1D","FOLLOWING","TGT")</f>
        <v>44019</v>
      </c>
      <c r="P1063" s="95">
        <f ca="1"/>
        <v>5.1084705995238068E-3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5.3717717234215142E-5</v>
      </c>
      <c r="H1064" s="92" t="s">
        <v>4</v>
      </c>
      <c r="I1064" s="97">
        <f ca="1">_xll.meDateFromTenor(I1063,"1D","FOLLOWING","TGT")</f>
        <v>44020</v>
      </c>
      <c r="J1064" s="95">
        <f ca="1"/>
        <v>1.2148058001456769E-3</v>
      </c>
      <c r="K1064" s="5" t="s">
        <v>4</v>
      </c>
      <c r="L1064" s="97">
        <f ca="1">_xll.meDateFromTenor(L1063,"1D","FOLLOWING","TGT")</f>
        <v>44020</v>
      </c>
      <c r="M1064" s="95">
        <f ca="1"/>
        <v>3.1230104072232745E-3</v>
      </c>
      <c r="N1064" s="5" t="s">
        <v>4</v>
      </c>
      <c r="O1064" s="97">
        <f ca="1">_xll.meDateFromTenor(O1063,"1D","FOLLOWING","TGT")</f>
        <v>44020</v>
      </c>
      <c r="P1064" s="95">
        <f ca="1"/>
        <v>5.1150588980299234E-3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6.0452505844304205E-5</v>
      </c>
      <c r="H1065" s="92" t="s">
        <v>4</v>
      </c>
      <c r="I1065" s="97">
        <f ca="1">_xll.meDateFromTenor(I1064,"1D","FOLLOWING","TGT")</f>
        <v>44021</v>
      </c>
      <c r="J1065" s="95">
        <f ca="1"/>
        <v>1.2214386057014766E-3</v>
      </c>
      <c r="K1065" s="5" t="s">
        <v>4</v>
      </c>
      <c r="L1065" s="97">
        <f ca="1">_xll.meDateFromTenor(L1064,"1D","FOLLOWING","TGT")</f>
        <v>44021</v>
      </c>
      <c r="M1065" s="95">
        <f ca="1"/>
        <v>3.1294956975027261E-3</v>
      </c>
      <c r="N1065" s="5" t="s">
        <v>4</v>
      </c>
      <c r="O1065" s="97">
        <f ca="1">_xll.meDateFromTenor(O1064,"1D","FOLLOWING","TGT")</f>
        <v>44021</v>
      </c>
      <c r="P1065" s="95">
        <f ca="1"/>
        <v>5.1216521151420408E-3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6.7171566312337056E-5</v>
      </c>
      <c r="H1066" s="92" t="s">
        <v>4</v>
      </c>
      <c r="I1066" s="97">
        <f ca="1">_xll.meDateFromTenor(I1065,"1D","FOLLOWING","TGT")</f>
        <v>44022</v>
      </c>
      <c r="J1066" s="95">
        <f ca="1"/>
        <v>1.2280742439986897E-3</v>
      </c>
      <c r="K1066" s="5" t="s">
        <v>4</v>
      </c>
      <c r="L1066" s="97">
        <f ca="1">_xll.meDateFromTenor(L1065,"1D","FOLLOWING","TGT")</f>
        <v>44022</v>
      </c>
      <c r="M1066" s="95">
        <f ca="1"/>
        <v>3.1359843099773555E-3</v>
      </c>
      <c r="N1066" s="5" t="s">
        <v>4</v>
      </c>
      <c r="O1066" s="97">
        <f ca="1">_xll.meDateFromTenor(O1065,"1D","FOLLOWING","TGT")</f>
        <v>44022</v>
      </c>
      <c r="P1066" s="95">
        <f ca="1"/>
        <v>5.1282502358455991E-3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8.7247684937234737E-5</v>
      </c>
      <c r="H1067" s="92" t="s">
        <v>4</v>
      </c>
      <c r="I1067" s="97">
        <f ca="1">_xll.meDateFromTenor(I1066,"1D","FOLLOWING","TGT")</f>
        <v>44025</v>
      </c>
      <c r="J1067" s="95">
        <f ca="1"/>
        <v>1.2479982582355403E-3</v>
      </c>
      <c r="K1067" s="5" t="s">
        <v>4</v>
      </c>
      <c r="L1067" s="97">
        <f ca="1">_xll.meDateFromTenor(L1066,"1D","FOLLOWING","TGT")</f>
        <v>44025</v>
      </c>
      <c r="M1067" s="95">
        <f ca="1"/>
        <v>3.1554700610025238E-3</v>
      </c>
      <c r="N1067" s="5" t="s">
        <v>4</v>
      </c>
      <c r="O1067" s="97">
        <f ca="1">_xll.meDateFromTenor(O1066,"1D","FOLLOWING","TGT")</f>
        <v>44025</v>
      </c>
      <c r="P1067" s="95">
        <f ca="1"/>
        <v>5.1480738693592933E-3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9.3917138910185724E-5</v>
      </c>
      <c r="H1068" s="92" t="s">
        <v>4</v>
      </c>
      <c r="I1068" s="97">
        <f ca="1">_xll.meDateFromTenor(I1067,"1D","FOLLOWING","TGT")</f>
        <v>44026</v>
      </c>
      <c r="J1068" s="95">
        <f ca="1"/>
        <v>1.2546453303951442E-3</v>
      </c>
      <c r="K1068" s="5" t="s">
        <v>4</v>
      </c>
      <c r="L1068" s="97">
        <f ca="1">_xll.meDateFromTenor(L1067,"1D","FOLLOWING","TGT")</f>
        <v>44026</v>
      </c>
      <c r="M1068" s="95">
        <f ca="1"/>
        <v>3.1619719426880851E-3</v>
      </c>
      <c r="N1068" s="5" t="s">
        <v>4</v>
      </c>
      <c r="O1068" s="97">
        <f ca="1">_xll.meDateFromTenor(O1067,"1D","FOLLOWING","TGT")</f>
        <v>44026</v>
      </c>
      <c r="P1068" s="95">
        <f ca="1"/>
        <v>5.1546914542829961E-3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1.0057751777765742E-4</v>
      </c>
      <c r="H1069" s="92" t="s">
        <v>4</v>
      </c>
      <c r="I1069" s="97">
        <f ca="1">_xll.meDateFromTenor(I1068,"1D","FOLLOWING","TGT")</f>
        <v>44027</v>
      </c>
      <c r="J1069" s="95">
        <f ca="1"/>
        <v>1.2612952867445356E-3</v>
      </c>
      <c r="K1069" s="5" t="s">
        <v>4</v>
      </c>
      <c r="L1069" s="97">
        <f ca="1">_xll.meDateFromTenor(L1068,"1D","FOLLOWING","TGT")</f>
        <v>44027</v>
      </c>
      <c r="M1069" s="95">
        <f ca="1"/>
        <v>3.1684771367839403E-3</v>
      </c>
      <c r="N1069" s="5" t="s">
        <v>4</v>
      </c>
      <c r="O1069" s="97">
        <f ca="1">_xll.meDateFromTenor(O1068,"1D","FOLLOWING","TGT")</f>
        <v>44027</v>
      </c>
      <c r="P1069" s="95">
        <f ca="1"/>
        <v>5.1613138677253341E-3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1.0723015214696088E-4</v>
      </c>
      <c r="H1070" s="92" t="s">
        <v>4</v>
      </c>
      <c r="I1070" s="97">
        <f ca="1">_xll.meDateFromTenor(I1069,"1D","FOLLOWING","TGT")</f>
        <v>44028</v>
      </c>
      <c r="J1070" s="95">
        <f ca="1"/>
        <v>1.2679481375733844E-3</v>
      </c>
      <c r="K1070" s="5" t="s">
        <v>4</v>
      </c>
      <c r="L1070" s="97">
        <f ca="1">_xll.meDateFromTenor(L1069,"1D","FOLLOWING","TGT")</f>
        <v>44028</v>
      </c>
      <c r="M1070" s="95">
        <f ca="1"/>
        <v>3.174985641333109E-3</v>
      </c>
      <c r="N1070" s="5" t="s">
        <v>4</v>
      </c>
      <c r="O1070" s="97">
        <f ca="1">_xll.meDateFromTenor(O1069,"1D","FOLLOWING","TGT")</f>
        <v>44028</v>
      </c>
      <c r="P1070" s="95">
        <f ca="1"/>
        <v>5.1679410946717441E-3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1.1387637262541588E-4</v>
      </c>
      <c r="H1071" s="92" t="s">
        <v>4</v>
      </c>
      <c r="I1071" s="97">
        <f ca="1">_xll.meDateFromTenor(I1070,"1D","FOLLOWING","TGT")</f>
        <v>44029</v>
      </c>
      <c r="J1071" s="95">
        <f ca="1"/>
        <v>1.2746038931713707E-3</v>
      </c>
      <c r="K1071" s="5" t="s">
        <v>4</v>
      </c>
      <c r="L1071" s="97">
        <f ca="1">_xll.meDateFromTenor(L1070,"1D","FOLLOWING","TGT")</f>
        <v>44029</v>
      </c>
      <c r="M1071" s="95">
        <f ca="1"/>
        <v>3.1814974543786186E-3</v>
      </c>
      <c r="N1071" s="5" t="s">
        <v>4</v>
      </c>
      <c r="O1071" s="97">
        <f ca="1">_xll.meDateFromTenor(O1070,"1D","FOLLOWING","TGT")</f>
        <v>44029</v>
      </c>
      <c r="P1071" s="95">
        <f ca="1"/>
        <v>5.1745731201076695E-3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1.3378985678882431E-4</v>
      </c>
      <c r="H1072" s="92" t="s">
        <v>4</v>
      </c>
      <c r="I1072" s="97">
        <f ca="1">_xll.meDateFromTenor(I1071,"1D","FOLLOWING","TGT")</f>
        <v>44032</v>
      </c>
      <c r="J1072" s="95">
        <f ca="1"/>
        <v>1.2945886914768787E-3</v>
      </c>
      <c r="K1072" s="5" t="s">
        <v>4</v>
      </c>
      <c r="L1072" s="97">
        <f ca="1">_xll.meDateFromTenor(L1071,"1D","FOLLOWING","TGT")</f>
        <v>44032</v>
      </c>
      <c r="M1072" s="95">
        <f ca="1"/>
        <v>3.201052724923405E-3</v>
      </c>
      <c r="N1072" s="5" t="s">
        <v>4</v>
      </c>
      <c r="O1072" s="97">
        <f ca="1">_xll.meDateFromTenor(O1071,"1D","FOLLOWING","TGT")</f>
        <v>44032</v>
      </c>
      <c r="P1072" s="95">
        <f ca="1"/>
        <v>5.1944978372069012E-3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1.4042372777703057E-4</v>
      </c>
      <c r="H1073" s="92" t="s">
        <v>4</v>
      </c>
      <c r="I1073" s="97">
        <f ca="1">_xll.meDateFromTenor(I1072,"1D","FOLLOWING","TGT")</f>
        <v>44033</v>
      </c>
      <c r="J1073" s="95">
        <f ca="1"/>
        <v>1.3012561690481513E-3</v>
      </c>
      <c r="K1073" s="5" t="s">
        <v>4</v>
      </c>
      <c r="L1073" s="97">
        <f ca="1">_xll.meDateFromTenor(L1072,"1D","FOLLOWING","TGT")</f>
        <v>44033</v>
      </c>
      <c r="M1073" s="95">
        <f ca="1"/>
        <v>3.207577752384502E-3</v>
      </c>
      <c r="N1073" s="5" t="s">
        <v>4</v>
      </c>
      <c r="O1073" s="97">
        <f ca="1">_xll.meDateFromTenor(O1072,"1D","FOLLOWING","TGT")</f>
        <v>44033</v>
      </c>
      <c r="P1073" s="95">
        <f ca="1"/>
        <v>5.2011489064552642E-3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1.4705783791096099E-4</v>
      </c>
      <c r="H1074" s="92" t="s">
        <v>4</v>
      </c>
      <c r="I1074" s="97">
        <f ca="1">_xll.meDateFromTenor(I1073,"1D","FOLLOWING","TGT")</f>
        <v>44034</v>
      </c>
      <c r="J1074" s="95">
        <f ca="1"/>
        <v>1.3079266028369308E-3</v>
      </c>
      <c r="K1074" s="5" t="s">
        <v>4</v>
      </c>
      <c r="L1074" s="97">
        <f ca="1">_xll.meDateFromTenor(L1073,"1D","FOLLOWING","TGT")</f>
        <v>44034</v>
      </c>
      <c r="M1074" s="95">
        <f ca="1"/>
        <v>3.2141060785570519E-3</v>
      </c>
      <c r="N1074" s="5" t="s">
        <v>4</v>
      </c>
      <c r="O1074" s="97">
        <f ca="1">_xll.meDateFromTenor(O1073,"1D","FOLLOWING","TGT")</f>
        <v>44034</v>
      </c>
      <c r="P1074" s="95">
        <f ca="1"/>
        <v>5.2078046991203353E-3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1.5369351779793525E-4</v>
      </c>
      <c r="H1075" s="92" t="s">
        <v>4</v>
      </c>
      <c r="I1075" s="97">
        <f ca="1">_xll.meDateFromTenor(I1074,"1D","FOLLOWING","TGT")</f>
        <v>44035</v>
      </c>
      <c r="J1075" s="95">
        <f ca="1"/>
        <v>1.314600003132896E-3</v>
      </c>
      <c r="K1075" s="5" t="s">
        <v>4</v>
      </c>
      <c r="L1075" s="97">
        <f ca="1">_xll.meDateFromTenor(L1074,"1D","FOLLOWING","TGT")</f>
        <v>44035</v>
      </c>
      <c r="M1075" s="95">
        <f ca="1"/>
        <v>3.2206377014840832E-3</v>
      </c>
      <c r="N1075" s="5" t="s">
        <v>4</v>
      </c>
      <c r="O1075" s="97">
        <f ca="1">_xll.meDateFromTenor(O1074,"1D","FOLLOWING","TGT")</f>
        <v>44035</v>
      </c>
      <c r="P1075" s="95">
        <f ca="1"/>
        <v>5.2144652001875538E-3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1.6033209804526443E-4</v>
      </c>
      <c r="H1076" s="92" t="s">
        <v>4</v>
      </c>
      <c r="I1076" s="97">
        <f ca="1">_xll.meDateFromTenor(I1075,"1D","FOLLOWING","TGT")</f>
        <v>44036</v>
      </c>
      <c r="J1076" s="95">
        <f ca="1"/>
        <v>1.3212763802257169E-3</v>
      </c>
      <c r="K1076" s="5" t="s">
        <v>4</v>
      </c>
      <c r="L1076" s="97">
        <f ca="1">_xll.meDateFromTenor(L1075,"1D","FOLLOWING","TGT")</f>
        <v>44036</v>
      </c>
      <c r="M1076" s="95">
        <f ca="1"/>
        <v>3.227172619208614E-3</v>
      </c>
      <c r="N1076" s="5" t="s">
        <v>4</v>
      </c>
      <c r="O1076" s="97">
        <f ca="1">_xll.meDateFromTenor(O1075,"1D","FOLLOWING","TGT")</f>
        <v>44036</v>
      </c>
      <c r="P1076" s="95">
        <f ca="1"/>
        <v>5.221130394642357E-3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1.8027854702255063E-4</v>
      </c>
      <c r="H1077" s="92" t="s">
        <v>4</v>
      </c>
      <c r="I1077" s="97">
        <f ca="1">_xll.meDateFromTenor(I1076,"1D","FOLLOWING","TGT")</f>
        <v>44039</v>
      </c>
      <c r="J1077" s="95">
        <f ca="1"/>
        <v>1.3413234751820796E-3</v>
      </c>
      <c r="K1077" s="5" t="s">
        <v>4</v>
      </c>
      <c r="L1077" s="97">
        <f ca="1">_xll.meDateFromTenor(L1076,"1D","FOLLOWING","TGT")</f>
        <v>44039</v>
      </c>
      <c r="M1077" s="95">
        <f ca="1"/>
        <v>3.2467971215974535E-3</v>
      </c>
      <c r="N1077" s="5" t="s">
        <v>4</v>
      </c>
      <c r="O1077" s="97">
        <f ca="1">_xll.meDateFromTenor(O1076,"1D","FOLLOWING","TGT")</f>
        <v>44039</v>
      </c>
      <c r="P1077" s="95">
        <f ca="1"/>
        <v>5.2411539881866724E-3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1.8694203478446426E-4</v>
      </c>
      <c r="H1078" s="92" t="s">
        <v>4</v>
      </c>
      <c r="I1078" s="97">
        <f ca="1">_xll.meDateFromTenor(I1077,"1D","FOLLOWING","TGT")</f>
        <v>44040</v>
      </c>
      <c r="J1078" s="95">
        <f ca="1"/>
        <v>1.3480118623590835E-3</v>
      </c>
      <c r="K1078" s="5" t="s">
        <v>4</v>
      </c>
      <c r="L1078" s="97">
        <f ca="1">_xll.meDateFromTenor(L1077,"1D","FOLLOWING","TGT")</f>
        <v>44040</v>
      </c>
      <c r="M1078" s="95">
        <f ca="1"/>
        <v>3.2533451989422281E-3</v>
      </c>
      <c r="N1078" s="5" t="s">
        <v>4</v>
      </c>
      <c r="O1078" s="97">
        <f ca="1">_xll.meDateFromTenor(O1077,"1D","FOLLOWING","TGT")</f>
        <v>44040</v>
      </c>
      <c r="P1078" s="95">
        <f ca="1"/>
        <v>5.2478378060462115E-3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1.9361507594330976E-4</v>
      </c>
      <c r="H1079" s="92" t="s">
        <v>4</v>
      </c>
      <c r="I1079" s="97">
        <f ca="1">_xll.meDateFromTenor(I1078,"1D","FOLLOWING","TGT")</f>
        <v>44041</v>
      </c>
      <c r="J1079" s="95">
        <f ca="1"/>
        <v>1.3547032777813173E-3</v>
      </c>
      <c r="K1079" s="5" t="s">
        <v>4</v>
      </c>
      <c r="L1079" s="97">
        <f ca="1">_xll.meDateFromTenor(L1078,"1D","FOLLOWING","TGT")</f>
        <v>44041</v>
      </c>
      <c r="M1079" s="95">
        <f ca="1"/>
        <v>3.2598965612996187E-3</v>
      </c>
      <c r="N1079" s="5" t="s">
        <v>4</v>
      </c>
      <c r="O1079" s="97">
        <f ca="1">_xll.meDateFromTenor(O1078,"1D","FOLLOWING","TGT")</f>
        <v>44041</v>
      </c>
      <c r="P1079" s="95">
        <f ca="1"/>
        <v>5.2545262422205299E-3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2.0029900110640468E-4</v>
      </c>
      <c r="H1080" s="92" t="s">
        <v>4</v>
      </c>
      <c r="I1080" s="97">
        <f ca="1">_xll.meDateFromTenor(I1079,"1D","FOLLOWING","TGT")</f>
        <v>44042</v>
      </c>
      <c r="J1080" s="95">
        <f ca="1"/>
        <v>1.3613977317384583E-3</v>
      </c>
      <c r="K1080" s="5" t="s">
        <v>4</v>
      </c>
      <c r="L1080" s="97">
        <f ca="1">_xll.meDateFromTenor(L1079,"1D","FOLLOWING","TGT")</f>
        <v>44042</v>
      </c>
      <c r="M1080" s="95">
        <f ca="1"/>
        <v>3.266451206712651E-3</v>
      </c>
      <c r="N1080" s="5" t="s">
        <v>4</v>
      </c>
      <c r="O1080" s="97">
        <f ca="1">_xll.meDateFromTenor(O1079,"1D","FOLLOWING","TGT")</f>
        <v>44042</v>
      </c>
      <c r="P1080" s="95">
        <f ca="1"/>
        <v>5.2612192816950676E-3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2.0699514088106665E-4</v>
      </c>
      <c r="H1081" s="92" t="s">
        <v>4</v>
      </c>
      <c r="I1081" s="97">
        <f ca="1">_xll.meDateFromTenor(I1080,"1D","FOLLOWING","TGT")</f>
        <v>44043</v>
      </c>
      <c r="J1081" s="95">
        <f ca="1"/>
        <v>1.3680952345201829E-3</v>
      </c>
      <c r="K1081" s="5" t="s">
        <v>4</v>
      </c>
      <c r="L1081" s="97">
        <f ca="1">_xll.meDateFromTenor(L1080,"1D","FOLLOWING","TGT")</f>
        <v>44043</v>
      </c>
      <c r="M1081" s="95">
        <f ca="1"/>
        <v>3.2730091332243516E-3</v>
      </c>
      <c r="N1081" s="5" t="s">
        <v>4</v>
      </c>
      <c r="O1081" s="97">
        <f ca="1">_xll.meDateFromTenor(O1080,"1D","FOLLOWING","TGT")</f>
        <v>44043</v>
      </c>
      <c r="P1081" s="95">
        <f ca="1"/>
        <v>5.2679169094552681E-3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2.2717015394759109E-4</v>
      </c>
      <c r="H1082" s="92" t="s">
        <v>4</v>
      </c>
      <c r="I1082" s="97">
        <f ca="1">_xll.meDateFromTenor(I1081,"1D","FOLLOWING","TGT")</f>
        <v>44046</v>
      </c>
      <c r="J1082" s="95">
        <f ca="1"/>
        <v>1.3882061387095908E-3</v>
      </c>
      <c r="K1082" s="5" t="s">
        <v>4</v>
      </c>
      <c r="L1082" s="97">
        <f ca="1">_xll.meDateFromTenor(L1081,"1D","FOLLOWING","TGT")</f>
        <v>44046</v>
      </c>
      <c r="M1082" s="95">
        <f ca="1"/>
        <v>3.292702579781673E-3</v>
      </c>
      <c r="N1082" s="5" t="s">
        <v>4</v>
      </c>
      <c r="O1082" s="97">
        <f ca="1">_xll.meDateFromTenor(O1081,"1D","FOLLOWING","TGT")</f>
        <v>44046</v>
      </c>
      <c r="P1082" s="95">
        <f ca="1"/>
        <v>5.2880371723042097E-3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2.3392819470324599E-4</v>
      </c>
      <c r="H1083" s="92" t="s">
        <v>4</v>
      </c>
      <c r="I1083" s="97">
        <f ca="1">_xll.meDateFromTenor(I1082,"1D","FOLLOWING","TGT")</f>
        <v>44047</v>
      </c>
      <c r="J1083" s="95">
        <f ca="1"/>
        <v>1.3949159396863876E-3</v>
      </c>
      <c r="K1083" s="5" t="s">
        <v>4</v>
      </c>
      <c r="L1083" s="97">
        <f ca="1">_xll.meDateFromTenor(L1082,"1D","FOLLOWING","TGT")</f>
        <v>44047</v>
      </c>
      <c r="M1083" s="95">
        <f ca="1"/>
        <v>3.2992736111182651E-3</v>
      </c>
      <c r="N1083" s="5" t="s">
        <v>4</v>
      </c>
      <c r="O1083" s="97">
        <f ca="1">_xll.meDateFromTenor(O1082,"1D","FOLLOWING","TGT")</f>
        <v>44047</v>
      </c>
      <c r="P1083" s="95">
        <f ca="1"/>
        <v>5.2947530030614358E-3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2.4070352187653378E-4</v>
      </c>
      <c r="H1084" s="92" t="s">
        <v>4</v>
      </c>
      <c r="I1084" s="97">
        <f ca="1">_xll.meDateFromTenor(I1083,"1D","FOLLOWING","TGT")</f>
        <v>44048</v>
      </c>
      <c r="J1084" s="95">
        <f ca="1"/>
        <v>1.40162884093614E-3</v>
      </c>
      <c r="K1084" s="5" t="s">
        <v>4</v>
      </c>
      <c r="L1084" s="97">
        <f ca="1">_xll.meDateFromTenor(L1083,"1D","FOLLOWING","TGT")</f>
        <v>44048</v>
      </c>
      <c r="M1084" s="95">
        <f ca="1"/>
        <v>3.30584791376864E-3</v>
      </c>
      <c r="N1084" s="5" t="s">
        <v>4</v>
      </c>
      <c r="O1084" s="97">
        <f ca="1">_xll.meDateFromTenor(O1083,"1D","FOLLOWING","TGT")</f>
        <v>44048</v>
      </c>
      <c r="P1084" s="95">
        <f ca="1"/>
        <v>5.3014733470315156E-3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2.4749588484426326E-4</v>
      </c>
      <c r="H1085" s="92" t="s">
        <v>4</v>
      </c>
      <c r="I1085" s="97">
        <f ca="1">_xll.meDateFromTenor(I1084,"1D","FOLLOWING","TGT")</f>
        <v>44049</v>
      </c>
      <c r="J1085" s="95">
        <f ca="1"/>
        <v>1.4083448527485254E-3</v>
      </c>
      <c r="K1085" s="5" t="s">
        <v>4</v>
      </c>
      <c r="L1085" s="97">
        <f ca="1">_xll.meDateFromTenor(L1084,"1D","FOLLOWING","TGT")</f>
        <v>44049</v>
      </c>
      <c r="M1085" s="95">
        <f ca="1"/>
        <v>3.3124254857758218E-3</v>
      </c>
      <c r="N1085" s="5" t="s">
        <v>4</v>
      </c>
      <c r="O1085" s="97">
        <f ca="1">_xll.meDateFromTenor(O1084,"1D","FOLLOWING","TGT")</f>
        <v>44049</v>
      </c>
      <c r="P1085" s="95">
        <f ca="1"/>
        <v>5.3081981891998911E-3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2.543050329832365E-4</v>
      </c>
      <c r="H1086" s="92" t="s">
        <v>4</v>
      </c>
      <c r="I1086" s="97">
        <f ca="1">_xll.meDateFromTenor(I1085,"1D","FOLLOWING","TGT")</f>
        <v>44050</v>
      </c>
      <c r="J1086" s="95">
        <f ca="1"/>
        <v>1.4150639854132135E-3</v>
      </c>
      <c r="K1086" s="5" t="s">
        <v>4</v>
      </c>
      <c r="L1086" s="97">
        <f ca="1">_xll.meDateFromTenor(L1085,"1D","FOLLOWING","TGT")</f>
        <v>44050</v>
      </c>
      <c r="M1086" s="95">
        <f ca="1"/>
        <v>3.3190063251828305E-3</v>
      </c>
      <c r="N1086" s="5" t="s">
        <v>4</v>
      </c>
      <c r="O1086" s="97">
        <f ca="1">_xll.meDateFromTenor(O1085,"1D","FOLLOWING","TGT")</f>
        <v>44050</v>
      </c>
      <c r="P1086" s="95">
        <f ca="1"/>
        <v>5.3149275145519988E-3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2.7483068219569956E-4</v>
      </c>
      <c r="H1087" s="92" t="s">
        <v>4</v>
      </c>
      <c r="I1087" s="97">
        <f ca="1">_xll.meDateFromTenor(I1086,"1D","FOLLOWING","TGT")</f>
        <v>44053</v>
      </c>
      <c r="J1087" s="95">
        <f ca="1"/>
        <v>1.4352402114178589E-3</v>
      </c>
      <c r="K1087" s="5" t="s">
        <v>4</v>
      </c>
      <c r="L1087" s="97">
        <f ca="1">_xll.meDateFromTenor(L1086,"1D","FOLLOWING","TGT")</f>
        <v>44053</v>
      </c>
      <c r="M1087" s="95">
        <f ca="1"/>
        <v>3.3387684282330642E-3</v>
      </c>
      <c r="N1087" s="5" t="s">
        <v>4</v>
      </c>
      <c r="O1087" s="97">
        <f ca="1">_xll.meDateFromTenor(O1086,"1D","FOLLOWING","TGT")</f>
        <v>44053</v>
      </c>
      <c r="P1087" s="95">
        <f ca="1"/>
        <v>5.3351422395651084E-3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2.8170446478772418E-4</v>
      </c>
      <c r="H1088" s="92" t="s">
        <v>4</v>
      </c>
      <c r="I1088" s="97">
        <f ca="1">_xll.meDateFromTenor(I1087,"1D","FOLLOWING","TGT")</f>
        <v>44054</v>
      </c>
      <c r="J1088" s="95">
        <f ca="1"/>
        <v>1.4419719303885178E-3</v>
      </c>
      <c r="K1088" s="5" t="s">
        <v>4</v>
      </c>
      <c r="L1088" s="97">
        <f ca="1">_xll.meDateFromTenor(L1087,"1D","FOLLOWING","TGT")</f>
        <v>44054</v>
      </c>
      <c r="M1088" s="95">
        <f ca="1"/>
        <v>3.345362317669623E-3</v>
      </c>
      <c r="N1088" s="5" t="s">
        <v>4</v>
      </c>
      <c r="O1088" s="97">
        <f ca="1">_xll.meDateFromTenor(O1087,"1D","FOLLOWING","TGT")</f>
        <v>44054</v>
      </c>
      <c r="P1088" s="95">
        <f ca="1"/>
        <v>5.3418893475065399E-3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2.8859377943502528E-4</v>
      </c>
      <c r="H1089" s="92" t="s">
        <v>4</v>
      </c>
      <c r="I1089" s="97">
        <f ca="1">_xll.meDateFromTenor(I1088,"1D","FOLLOWING","TGT")</f>
        <v>44055</v>
      </c>
      <c r="J1089" s="95">
        <f ca="1"/>
        <v>1.4487068216598533E-3</v>
      </c>
      <c r="K1089" s="5" t="s">
        <v>4</v>
      </c>
      <c r="L1089" s="97">
        <f ca="1">_xll.meDateFromTenor(L1088,"1D","FOLLOWING","TGT")</f>
        <v>44055</v>
      </c>
      <c r="M1089" s="95">
        <f ca="1"/>
        <v>3.3519594647211247E-3</v>
      </c>
      <c r="N1089" s="5" t="s">
        <v>4</v>
      </c>
      <c r="O1089" s="97">
        <f ca="1">_xll.meDateFromTenor(O1088,"1D","FOLLOWING","TGT")</f>
        <v>44055</v>
      </c>
      <c r="P1089" s="95">
        <f ca="1"/>
        <v>5.3486408635588954E-3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2.9549837551441361E-4</v>
      </c>
      <c r="H1090" s="92" t="s">
        <v>4</v>
      </c>
      <c r="I1090" s="97">
        <f ca="1">_xll.meDateFromTenor(I1089,"1D","FOLLOWING","TGT")</f>
        <v>44056</v>
      </c>
      <c r="J1090" s="95">
        <f ca="1"/>
        <v>1.4554448955215449E-3</v>
      </c>
      <c r="K1090" s="5" t="s">
        <v>4</v>
      </c>
      <c r="L1090" s="97">
        <f ca="1">_xll.meDateFromTenor(L1089,"1D","FOLLOWING","TGT")</f>
        <v>44056</v>
      </c>
      <c r="M1090" s="95">
        <f ca="1"/>
        <v>3.3585598674305979E-3</v>
      </c>
      <c r="N1090" s="5" t="s">
        <v>4</v>
      </c>
      <c r="O1090" s="97">
        <f ca="1">_xll.meDateFromTenor(O1089,"1D","FOLLOWING","TGT")</f>
        <v>44056</v>
      </c>
      <c r="P1090" s="95">
        <f ca="1"/>
        <v>5.355396772707622E-3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3.0241800240269143E-4</v>
      </c>
      <c r="H1091" s="92" t="s">
        <v>4</v>
      </c>
      <c r="I1091" s="97">
        <f ca="1">_xll.meDateFromTenor(I1090,"1D","FOLLOWING","TGT")</f>
        <v>44057</v>
      </c>
      <c r="J1091" s="95">
        <f ca="1"/>
        <v>1.462186162263263E-3</v>
      </c>
      <c r="K1091" s="5" t="s">
        <v>4</v>
      </c>
      <c r="L1091" s="97">
        <f ca="1">_xll.meDateFromTenor(L1090,"1D","FOLLOWING","TGT")</f>
        <v>44057</v>
      </c>
      <c r="M1091" s="95">
        <f ca="1"/>
        <v>3.3651635238410604E-3</v>
      </c>
      <c r="N1091" s="5" t="s">
        <v>4</v>
      </c>
      <c r="O1091" s="97">
        <f ca="1">_xll.meDateFromTenor(O1090,"1D","FOLLOWING","TGT")</f>
        <v>44057</v>
      </c>
      <c r="P1091" s="95">
        <f ca="1"/>
        <v>5.3621570599381527E-3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3.2326456168894235E-4</v>
      </c>
      <c r="H1092" s="92" t="s">
        <v>4</v>
      </c>
      <c r="I1092" s="97">
        <f ca="1">_xll.meDateFromTenor(I1091,"1D","FOLLOWING","TGT")</f>
        <v>44060</v>
      </c>
      <c r="J1092" s="95">
        <f ca="1"/>
        <v>1.4824292226653388E-3</v>
      </c>
      <c r="K1092" s="5" t="s">
        <v>4</v>
      </c>
      <c r="L1092" s="97">
        <f ca="1">_xll.meDateFromTenor(L1091,"1D","FOLLOWING","TGT")</f>
        <v>44060</v>
      </c>
      <c r="M1092" s="95">
        <f ca="1"/>
        <v>3.384993995708636E-3</v>
      </c>
      <c r="N1092" s="5" t="s">
        <v>4</v>
      </c>
      <c r="O1092" s="97">
        <f ca="1">_xll.meDateFromTenor(O1091,"1D","FOLLOWING","TGT")</f>
        <v>44060</v>
      </c>
      <c r="P1092" s="95">
        <f ca="1"/>
        <v>5.3824640399749747E-3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3.3024180558085197E-4</v>
      </c>
      <c r="H1093" s="92" t="s">
        <v>4</v>
      </c>
      <c r="I1093" s="97">
        <f ca="1">_xll.meDateFromTenor(I1092,"1D","FOLLOWING","TGT")</f>
        <v>44061</v>
      </c>
      <c r="J1093" s="95">
        <f ca="1"/>
        <v>1.4891833638239192E-3</v>
      </c>
      <c r="K1093" s="5" t="s">
        <v>4</v>
      </c>
      <c r="L1093" s="97">
        <f ca="1">_xll.meDateFromTenor(L1092,"1D","FOLLOWING","TGT")</f>
        <v>44061</v>
      </c>
      <c r="M1093" s="95">
        <f ca="1"/>
        <v>3.3916106473533009E-3</v>
      </c>
      <c r="N1093" s="5" t="s">
        <v>4</v>
      </c>
      <c r="O1093" s="97">
        <f ca="1">_xll.meDateFromTenor(O1092,"1D","FOLLOWING","TGT")</f>
        <v>44061</v>
      </c>
      <c r="P1093" s="95">
        <f ca="1"/>
        <v>5.3892416893871198E-3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3.3723282716568824E-4</v>
      </c>
      <c r="H1094" s="92" t="s">
        <v>4</v>
      </c>
      <c r="I1094" s="97">
        <f ca="1">_xll.meDateFromTenor(I1093,"1D","FOLLOWING","TGT")</f>
        <v>44062</v>
      </c>
      <c r="J1094" s="95">
        <f ca="1"/>
        <v>1.4959407493109046E-3</v>
      </c>
      <c r="K1094" s="5" t="s">
        <v>4</v>
      </c>
      <c r="L1094" s="97">
        <f ca="1">_xll.meDateFromTenor(L1093,"1D","FOLLOWING","TGT")</f>
        <v>44062</v>
      </c>
      <c r="M1094" s="95">
        <f ca="1"/>
        <v>3.398230542914076E-3</v>
      </c>
      <c r="N1094" s="5" t="s">
        <v>4</v>
      </c>
      <c r="O1094" s="97">
        <f ca="1">_xll.meDateFromTenor(O1093,"1D","FOLLOWING","TGT")</f>
        <v>44062</v>
      </c>
      <c r="P1094" s="95">
        <f ca="1"/>
        <v>5.3960236418082695E-3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3.4423737582025301E-4</v>
      </c>
      <c r="H1095" s="92" t="s">
        <v>4</v>
      </c>
      <c r="I1095" s="97">
        <f ca="1">_xll.meDateFromTenor(I1094,"1D","FOLLOWING","TGT")</f>
        <v>44063</v>
      </c>
      <c r="J1095" s="95">
        <f ca="1"/>
        <v>1.5027013894159645E-3</v>
      </c>
      <c r="K1095" s="5" t="s">
        <v>4</v>
      </c>
      <c r="L1095" s="97">
        <f ca="1">_xll.meDateFromTenor(L1094,"1D","FOLLOWING","TGT")</f>
        <v>44063</v>
      </c>
      <c r="M1095" s="95">
        <f ca="1"/>
        <v>3.4048536804339811E-3</v>
      </c>
      <c r="N1095" s="5" t="s">
        <v>4</v>
      </c>
      <c r="O1095" s="97">
        <f ca="1">_xll.meDateFromTenor(O1094,"1D","FOLLOWING","TGT")</f>
        <v>44063</v>
      </c>
      <c r="P1095" s="95">
        <f ca="1"/>
        <v>5.4028098822238588E-3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3.5125520092135515E-4</v>
      </c>
      <c r="H1096" s="92" t="s">
        <v>4</v>
      </c>
      <c r="I1096" s="97">
        <f ca="1">_xll.meDateFromTenor(I1095,"1D","FOLLOWING","TGT")</f>
        <v>44064</v>
      </c>
      <c r="J1096" s="95">
        <f ca="1"/>
        <v>1.5094652944287765E-3</v>
      </c>
      <c r="K1096" s="5" t="s">
        <v>4</v>
      </c>
      <c r="L1096" s="97">
        <f ca="1">_xll.meDateFromTenor(L1095,"1D","FOLLOWING","TGT")</f>
        <v>44064</v>
      </c>
      <c r="M1096" s="95">
        <f ca="1"/>
        <v>3.4114800579560412E-3</v>
      </c>
      <c r="N1096" s="5" t="s">
        <v>4</v>
      </c>
      <c r="O1096" s="97">
        <f ca="1">_xll.meDateFromTenor(O1095,"1D","FOLLOWING","TGT")</f>
        <v>44064</v>
      </c>
      <c r="P1096" s="95">
        <f ca="1"/>
        <v>5.409600395619326E-3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3.7238582867195542E-4</v>
      </c>
      <c r="H1097" s="92" t="s">
        <v>4</v>
      </c>
      <c r="I1097" s="97">
        <f ca="1">_xll.meDateFromTenor(I1096,"1D","FOLLOWING","TGT")</f>
        <v>44067</v>
      </c>
      <c r="J1097" s="95">
        <f ca="1"/>
        <v>1.5297767018104778E-3</v>
      </c>
      <c r="K1097" s="5" t="s">
        <v>4</v>
      </c>
      <c r="L1097" s="97">
        <f ca="1">_xll.meDateFromTenor(L1096,"1D","FOLLOWING","TGT")</f>
        <v>44067</v>
      </c>
      <c r="M1097" s="95">
        <f ca="1"/>
        <v>3.4313786109653925E-3</v>
      </c>
      <c r="N1097" s="5" t="s">
        <v>4</v>
      </c>
      <c r="O1097" s="97">
        <f ca="1">_xll.meDateFromTenor(O1096,"1D","FOLLOWING","TGT")</f>
        <v>44067</v>
      </c>
      <c r="P1097" s="95">
        <f ca="1"/>
        <v>5.4299974235394047E-3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3.7945425332727218E-4</v>
      </c>
      <c r="H1098" s="92" t="s">
        <v>4</v>
      </c>
      <c r="I1098" s="97">
        <f ca="1">_xll.meDateFromTenor(I1097,"1D","FOLLOWING","TGT")</f>
        <v>44068</v>
      </c>
      <c r="J1098" s="95">
        <f ca="1"/>
        <v>1.5365537693510462E-3</v>
      </c>
      <c r="K1098" s="5" t="s">
        <v>4</v>
      </c>
      <c r="L1098" s="97">
        <f ca="1">_xll.meDateFromTenor(L1097,"1D","FOLLOWING","TGT")</f>
        <v>44068</v>
      </c>
      <c r="M1098" s="95">
        <f ca="1"/>
        <v>3.4380179289263076E-3</v>
      </c>
      <c r="N1098" s="5" t="s">
        <v>4</v>
      </c>
      <c r="O1098" s="97">
        <f ca="1">_xll.meDateFromTenor(O1097,"1D","FOLLOWING","TGT")</f>
        <v>44068</v>
      </c>
      <c r="P1098" s="95">
        <f ca="1"/>
        <v>5.4368048787087819E-3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3.8653470131315887E-4</v>
      </c>
      <c r="H1099" s="92" t="s">
        <v>4</v>
      </c>
      <c r="I1099" s="97">
        <f ca="1">_xll.meDateFromTenor(I1098,"1D","FOLLOWING","TGT")</f>
        <v>44069</v>
      </c>
      <c r="J1099" s="95">
        <f ca="1"/>
        <v>1.5433341532477406E-3</v>
      </c>
      <c r="K1099" s="5" t="s">
        <v>4</v>
      </c>
      <c r="L1099" s="97">
        <f ca="1">_xll.meDateFromTenor(L1098,"1D","FOLLOWING","TGT")</f>
        <v>44069</v>
      </c>
      <c r="M1099" s="95">
        <f ca="1"/>
        <v>3.4446604771044961E-3</v>
      </c>
      <c r="N1099" s="5" t="s">
        <v>4</v>
      </c>
      <c r="O1099" s="97">
        <f ca="1">_xll.meDateFromTenor(O1098,"1D","FOLLOWING","TGT")</f>
        <v>44069</v>
      </c>
      <c r="P1099" s="95">
        <f ca="1"/>
        <v>5.4436165317852349E-3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3.9362692200642434E-4</v>
      </c>
      <c r="H1100" s="92" t="s">
        <v>4</v>
      </c>
      <c r="I1100" s="97">
        <f ca="1">_xll.meDateFromTenor(I1099,"1D","FOLLOWING","TGT")</f>
        <v>44070</v>
      </c>
      <c r="J1100" s="95">
        <f ca="1"/>
        <v>1.5501178637902378E-3</v>
      </c>
      <c r="K1100" s="5" t="s">
        <v>4</v>
      </c>
      <c r="L1100" s="97">
        <f ca="1">_xll.meDateFromTenor(L1099,"1D","FOLLOWING","TGT")</f>
        <v>44070</v>
      </c>
      <c r="M1100" s="95">
        <f ca="1"/>
        <v>3.4513062535429808E-3</v>
      </c>
      <c r="N1100" s="5" t="s">
        <v>4</v>
      </c>
      <c r="O1100" s="97">
        <f ca="1">_xll.meDateFromTenor(O1099,"1D","FOLLOWING","TGT")</f>
        <v>44070</v>
      </c>
      <c r="P1100" s="95">
        <f ca="1"/>
        <v>5.4504323677542045E-3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4.0073066478387061E-4</v>
      </c>
      <c r="H1101" s="92" t="s">
        <v>4</v>
      </c>
      <c r="I1101" s="97">
        <f ca="1">_xll.meDateFromTenor(I1100,"1D","FOLLOWING","TGT")</f>
        <v>44071</v>
      </c>
      <c r="J1101" s="95">
        <f ca="1"/>
        <v>1.5569049112682085E-3</v>
      </c>
      <c r="K1101" s="5" t="s">
        <v>4</v>
      </c>
      <c r="L1101" s="97">
        <f ca="1">_xll.meDateFromTenor(L1100,"1D","FOLLOWING","TGT")</f>
        <v>44071</v>
      </c>
      <c r="M1101" s="95">
        <f ca="1"/>
        <v>3.4579552562847824E-3</v>
      </c>
      <c r="N1101" s="5" t="s">
        <v>4</v>
      </c>
      <c r="O1101" s="97">
        <f ca="1">_xll.meDateFromTenor(O1100,"1D","FOLLOWING","TGT")</f>
        <v>44071</v>
      </c>
      <c r="P1101" s="95">
        <f ca="1"/>
        <v>5.457252371601125E-3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4.2210851938937502E-4</v>
      </c>
      <c r="H1102" s="92" t="s">
        <v>4</v>
      </c>
      <c r="I1102" s="97">
        <f ca="1">_xll.meDateFromTenor(I1101,"1D","FOLLOWING","TGT")</f>
        <v>44074</v>
      </c>
      <c r="J1102" s="95">
        <f ca="1"/>
        <v>1.5772861782117234E-3</v>
      </c>
      <c r="K1102" s="5" t="s">
        <v>4</v>
      </c>
      <c r="L1102" s="97">
        <f ca="1">_xll.meDateFromTenor(L1101,"1D","FOLLOWING","TGT")</f>
        <v>44074</v>
      </c>
      <c r="M1102" s="95">
        <f ca="1"/>
        <v>3.4779216027603348E-3</v>
      </c>
      <c r="N1102" s="5" t="s">
        <v>4</v>
      </c>
      <c r="O1102" s="97">
        <f ca="1">_xll.meDateFromTenor(O1101,"1D","FOLLOWING","TGT")</f>
        <v>44074</v>
      </c>
      <c r="P1102" s="95">
        <f ca="1"/>
        <v>5.4777372402639978E-3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4.2925584427161851E-4</v>
      </c>
      <c r="H1103" s="92" t="s">
        <v>4</v>
      </c>
      <c r="I1103" s="97">
        <f ca="1">_xll.meDateFromTenor(I1102,"1D","FOLLOWING","TGT")</f>
        <v>44075</v>
      </c>
      <c r="J1103" s="95">
        <f ca="1"/>
        <v>1.5840866763283438E-3</v>
      </c>
      <c r="K1103" s="5" t="s">
        <v>4</v>
      </c>
      <c r="L1103" s="97">
        <f ca="1">_xll.meDateFromTenor(L1102,"1D","FOLLOWING","TGT")</f>
        <v>44075</v>
      </c>
      <c r="M1103" s="95">
        <f ca="1"/>
        <v>3.4845834911456444E-3</v>
      </c>
      <c r="N1103" s="5" t="s">
        <v>4</v>
      </c>
      <c r="O1103" s="97">
        <f ca="1">_xll.meDateFromTenor(O1102,"1D","FOLLOWING","TGT")</f>
        <v>44075</v>
      </c>
      <c r="P1103" s="95">
        <f ca="1"/>
        <v>5.4845737654771222E-3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4.3641343812208004E-4</v>
      </c>
      <c r="H1104" s="92" t="s">
        <v>4</v>
      </c>
      <c r="I1104" s="97">
        <f ca="1">_xll.meDateFromTenor(I1103,"1D","FOLLOWING","TGT")</f>
        <v>44076</v>
      </c>
      <c r="J1104" s="95">
        <f ca="1"/>
        <v>1.5908905628288161E-3</v>
      </c>
      <c r="K1104" s="5" t="s">
        <v>4</v>
      </c>
      <c r="L1104" s="97">
        <f ca="1">_xll.meDateFromTenor(L1103,"1D","FOLLOWING","TGT")</f>
        <v>44076</v>
      </c>
      <c r="M1104" s="95">
        <f ca="1"/>
        <v>3.4912485960493923E-3</v>
      </c>
      <c r="N1104" s="5" t="s">
        <v>4</v>
      </c>
      <c r="O1104" s="97">
        <f ca="1">_xll.meDateFromTenor(O1103,"1D","FOLLOWING","TGT")</f>
        <v>44076</v>
      </c>
      <c r="P1104" s="95">
        <f ca="1"/>
        <v>5.491414383495396E-3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4.4358091592135136E-4</v>
      </c>
      <c r="H1105" s="92" t="s">
        <v>4</v>
      </c>
      <c r="I1105" s="97">
        <f ca="1">_xll.meDateFromTenor(I1104,"1D","FOLLOWING","TGT")</f>
        <v>44077</v>
      </c>
      <c r="J1105" s="95">
        <f ca="1"/>
        <v>1.5976978500136223E-3</v>
      </c>
      <c r="K1105" s="5" t="s">
        <v>4</v>
      </c>
      <c r="L1105" s="97">
        <f ca="1">_xll.meDateFromTenor(L1104,"1D","FOLLOWING","TGT")</f>
        <v>44077</v>
      </c>
      <c r="M1105" s="95">
        <f ca="1"/>
        <v>3.4979169155145962E-3</v>
      </c>
      <c r="N1105" s="5" t="s">
        <v>4</v>
      </c>
      <c r="O1105" s="97">
        <f ca="1">_xll.meDateFromTenor(O1104,"1D","FOLLOWING","TGT")</f>
        <v>44077</v>
      </c>
      <c r="P1105" s="95">
        <f ca="1"/>
        <v>5.498259079304256E-3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4.5075735506519294E-4</v>
      </c>
      <c r="H1106" s="92" t="s">
        <v>4</v>
      </c>
      <c r="I1106" s="97">
        <f ca="1">_xll.meDateFromTenor(I1105,"1D","FOLLOWING","TGT")</f>
        <v>44078</v>
      </c>
      <c r="J1106" s="95">
        <f ca="1"/>
        <v>1.6045085582265027E-3</v>
      </c>
      <c r="K1106" s="5" t="s">
        <v>4</v>
      </c>
      <c r="L1106" s="97">
        <f ca="1">_xll.meDateFromTenor(L1105,"1D","FOLLOWING","TGT")</f>
        <v>44078</v>
      </c>
      <c r="M1106" s="95">
        <f ca="1"/>
        <v>3.5045884475842851E-3</v>
      </c>
      <c r="N1106" s="5" t="s">
        <v>4</v>
      </c>
      <c r="O1106" s="97">
        <f ca="1">_xll.meDateFromTenor(O1105,"1D","FOLLOWING","TGT")</f>
        <v>44078</v>
      </c>
      <c r="P1106" s="95">
        <f ca="1"/>
        <v>5.5051078378891456E-3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4.7232987055958022E-4</v>
      </c>
      <c r="H1107" s="92" t="s">
        <v>4</v>
      </c>
      <c r="I1107" s="97">
        <f ca="1">_xll.meDateFromTenor(I1106,"1D","FOLLOWING","TGT")</f>
        <v>44081</v>
      </c>
      <c r="J1107" s="95">
        <f ca="1"/>
        <v>1.6249614325790462E-3</v>
      </c>
      <c r="K1107" s="5" t="s">
        <v>4</v>
      </c>
      <c r="L1107" s="97">
        <f ca="1">_xll.meDateFromTenor(L1106,"1D","FOLLOWING","TGT")</f>
        <v>44081</v>
      </c>
      <c r="M1107" s="95">
        <f ca="1"/>
        <v>3.5246222998504724E-3</v>
      </c>
      <c r="N1107" s="5" t="s">
        <v>4</v>
      </c>
      <c r="O1107" s="97">
        <f ca="1">_xll.meDateFromTenor(O1106,"1D","FOLLOWING","TGT")</f>
        <v>44081</v>
      </c>
      <c r="P1107" s="95">
        <f ca="1"/>
        <v>5.5256783401543578E-3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4.7953158507715047E-4</v>
      </c>
      <c r="H1108" s="92" t="s">
        <v>4</v>
      </c>
      <c r="I1108" s="97">
        <f ca="1">_xll.meDateFromTenor(I1107,"1D","FOLLOWING","TGT")</f>
        <v>44082</v>
      </c>
      <c r="J1108" s="95">
        <f ca="1"/>
        <v>1.6317860484496875E-3</v>
      </c>
      <c r="K1108" s="5" t="s">
        <v>4</v>
      </c>
      <c r="L1108" s="97">
        <f ca="1">_xll.meDateFromTenor(L1107,"1D","FOLLOWING","TGT")</f>
        <v>44082</v>
      </c>
      <c r="M1108" s="95">
        <f ca="1"/>
        <v>3.5313066627683204E-3</v>
      </c>
      <c r="N1108" s="5" t="s">
        <v>4</v>
      </c>
      <c r="O1108" s="97">
        <f ca="1">_xll.meDateFromTenor(O1107,"1D","FOLLOWING","TGT")</f>
        <v>44082</v>
      </c>
      <c r="P1108" s="95">
        <f ca="1"/>
        <v>5.5325431996977436E-3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4.8673697593702053E-4</v>
      </c>
      <c r="H1109" s="92" t="s">
        <v>4</v>
      </c>
      <c r="I1109" s="97">
        <f ca="1">_xll.meDateFromTenor(I1108,"1D","FOLLOWING","TGT")</f>
        <v>44083</v>
      </c>
      <c r="J1109" s="95">
        <f ca="1"/>
        <v>1.6386141971211409E-3</v>
      </c>
      <c r="K1109" s="5" t="s">
        <v>4</v>
      </c>
      <c r="L1109" s="97">
        <f ca="1">_xll.meDateFromTenor(L1108,"1D","FOLLOWING","TGT")</f>
        <v>44083</v>
      </c>
      <c r="M1109" s="95">
        <f ca="1"/>
        <v>3.5379942285057695E-3</v>
      </c>
      <c r="N1109" s="5" t="s">
        <v>4</v>
      </c>
      <c r="O1109" s="97">
        <f ca="1">_xll.meDateFromTenor(O1108,"1D","FOLLOWING","TGT")</f>
        <v>44083</v>
      </c>
      <c r="P1109" s="95">
        <f ca="1"/>
        <v>5.5394120469443508E-3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4.939449861387315E-4</v>
      </c>
      <c r="H1110" s="92" t="s">
        <v>4</v>
      </c>
      <c r="I1110" s="97">
        <f ca="1">_xll.meDateFromTenor(I1109,"1D","FOLLOWING","TGT")</f>
        <v>44084</v>
      </c>
      <c r="J1110" s="95">
        <f ca="1"/>
        <v>1.6454459009479492E-3</v>
      </c>
      <c r="K1110" s="5" t="s">
        <v>4</v>
      </c>
      <c r="L1110" s="97">
        <f ca="1">_xll.meDateFromTenor(L1109,"1D","FOLLOWING","TGT")</f>
        <v>44084</v>
      </c>
      <c r="M1110" s="95">
        <f ca="1"/>
        <v>3.5446849951058382E-3</v>
      </c>
      <c r="N1110" s="5" t="s">
        <v>4</v>
      </c>
      <c r="O1110" s="97">
        <f ca="1">_xll.meDateFromTenor(O1109,"1D","FOLLOWING","TGT")</f>
        <v>44084</v>
      </c>
      <c r="P1110" s="95">
        <f ca="1"/>
        <v>5.5462848668796196E-3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5.0115455868183167E-4</v>
      </c>
      <c r="H1111" s="92" t="s">
        <v>4</v>
      </c>
      <c r="I1111" s="97">
        <f ca="1">_xll.meDateFromTenor(I1110,"1D","FOLLOWING","TGT")</f>
        <v>44085</v>
      </c>
      <c r="J1111" s="95">
        <f ca="1"/>
        <v>1.6522811822846626E-3</v>
      </c>
      <c r="K1111" s="5" t="s">
        <v>4</v>
      </c>
      <c r="L1111" s="97">
        <f ca="1">_xll.meDateFromTenor(L1110,"1D","FOLLOWING","TGT")</f>
        <v>44085</v>
      </c>
      <c r="M1111" s="95">
        <f ca="1"/>
        <v>3.5513789606115525E-3</v>
      </c>
      <c r="N1111" s="5" t="s">
        <v>4</v>
      </c>
      <c r="O1111" s="97">
        <f ca="1">_xll.meDateFromTenor(O1110,"1D","FOLLOWING","TGT")</f>
        <v>44085</v>
      </c>
      <c r="P1111" s="95">
        <f ca="1"/>
        <v>5.5531616444889865E-3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5.2278208035493056E-4</v>
      </c>
      <c r="H1112" s="92" t="s">
        <v>4</v>
      </c>
      <c r="I1112" s="97">
        <f ca="1">_xll.meDateFromTenor(I1111,"1D","FOLLOWING","TGT")</f>
        <v>44088</v>
      </c>
      <c r="J1112" s="95">
        <f ca="1"/>
        <v>1.6728087148997126E-3</v>
      </c>
      <c r="K1112" s="5" t="s">
        <v>4</v>
      </c>
      <c r="L1112" s="97">
        <f ca="1">_xll.meDateFromTenor(L1111,"1D","FOLLOWING","TGT")</f>
        <v>44088</v>
      </c>
      <c r="M1112" s="95">
        <f ca="1"/>
        <v>3.5714800309928066E-3</v>
      </c>
      <c r="N1112" s="5" t="s">
        <v>4</v>
      </c>
      <c r="O1112" s="97">
        <f ca="1">_xll.meDateFromTenor(O1111,"1D","FOLLOWING","TGT")</f>
        <v>44088</v>
      </c>
      <c r="P1112" s="95">
        <f ca="1"/>
        <v>5.5738155732160859E-3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5.2998733225904622E-4</v>
      </c>
      <c r="H1113" s="92" t="s">
        <v>4</v>
      </c>
      <c r="I1113" s="97">
        <f ca="1">_xll.meDateFromTenor(I1112,"1D","FOLLOWING","TGT")</f>
        <v>44089</v>
      </c>
      <c r="J1113" s="95">
        <f ca="1"/>
        <v>1.679658529821522E-3</v>
      </c>
      <c r="K1113" s="5" t="s">
        <v>4</v>
      </c>
      <c r="L1113" s="97">
        <f ca="1">_xll.meDateFromTenor(L1112,"1D","FOLLOWING","TGT")</f>
        <v>44089</v>
      </c>
      <c r="M1113" s="95">
        <f ca="1"/>
        <v>3.5781867725513368E-3</v>
      </c>
      <c r="N1113" s="5" t="s">
        <v>4</v>
      </c>
      <c r="O1113" s="97">
        <f ca="1">_xll.meDateFromTenor(O1112,"1D","FOLLOWING","TGT")</f>
        <v>44089</v>
      </c>
      <c r="P1113" s="95">
        <f ca="1"/>
        <v>5.5807080313762438E-3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5.3718886150228029E-4</v>
      </c>
      <c r="H1114" s="92" t="s">
        <v>4</v>
      </c>
      <c r="I1114" s="97">
        <f ca="1">_xll.meDateFromTenor(I1113,"1D","FOLLOWING","TGT")</f>
        <v>44090</v>
      </c>
      <c r="J1114" s="95">
        <f ca="1"/>
        <v>1.6865120340259739E-3</v>
      </c>
      <c r="K1114" s="5" t="s">
        <v>4</v>
      </c>
      <c r="L1114" s="97">
        <f ca="1">_xll.meDateFromTenor(L1113,"1D","FOLLOWING","TGT")</f>
        <v>44090</v>
      </c>
      <c r="M1114" s="95">
        <f ca="1"/>
        <v>3.584896703230628E-3</v>
      </c>
      <c r="N1114" s="5" t="s">
        <v>4</v>
      </c>
      <c r="O1114" s="97">
        <f ca="1">_xll.meDateFromTenor(O1113,"1D","FOLLOWING","TGT")</f>
        <v>44090</v>
      </c>
      <c r="P1114" s="95">
        <f ca="1"/>
        <v>5.5876043721376995E-3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5.443856110841789E-4</v>
      </c>
      <c r="H1115" s="92" t="s">
        <v>4</v>
      </c>
      <c r="I1115" s="97">
        <f ca="1">_xll.meDateFromTenor(I1114,"1D","FOLLOWING","TGT")</f>
        <v>44091</v>
      </c>
      <c r="J1115" s="95">
        <f ca="1"/>
        <v>1.6933692498676161E-3</v>
      </c>
      <c r="K1115" s="5" t="s">
        <v>4</v>
      </c>
      <c r="L1115" s="97">
        <f ca="1">_xll.meDateFromTenor(L1114,"1D","FOLLOWING","TGT")</f>
        <v>44091</v>
      </c>
      <c r="M1115" s="95">
        <f ca="1"/>
        <v>3.5916098210737051E-3</v>
      </c>
      <c r="N1115" s="5" t="s">
        <v>4</v>
      </c>
      <c r="O1115" s="97">
        <f ca="1">_xll.meDateFromTenor(O1114,"1D","FOLLOWING","TGT")</f>
        <v>44091</v>
      </c>
      <c r="P1115" s="95">
        <f ca="1"/>
        <v>5.5945045804858878E-3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5.5157652400429017E-4</v>
      </c>
      <c r="H1116" s="92" t="s">
        <v>4</v>
      </c>
      <c r="I1116" s="97">
        <f ca="1">_xll.meDateFromTenor(I1115,"1D","FOLLOWING","TGT")</f>
        <v>44092</v>
      </c>
      <c r="J1116" s="95">
        <f ca="1"/>
        <v>1.7002301997009991E-3</v>
      </c>
      <c r="K1116" s="5" t="s">
        <v>4</v>
      </c>
      <c r="L1116" s="97">
        <f ca="1">_xll.meDateFromTenor(L1115,"1D","FOLLOWING","TGT")</f>
        <v>44092</v>
      </c>
      <c r="M1116" s="95">
        <f ca="1"/>
        <v>3.5983261241235936E-3</v>
      </c>
      <c r="N1116" s="5" t="s">
        <v>4</v>
      </c>
      <c r="O1116" s="97">
        <f ca="1">_xll.meDateFromTenor(O1115,"1D","FOLLOWING","TGT")</f>
        <v>44092</v>
      </c>
      <c r="P1116" s="95">
        <f ca="1"/>
        <v>5.6014086414062532E-3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5.7310367278933958E-4</v>
      </c>
      <c r="H1117" s="92" t="s">
        <v>4</v>
      </c>
      <c r="I1117" s="97">
        <f ca="1">_xll.meDateFromTenor(I1116,"1D","FOLLOWING","TGT")</f>
        <v>44095</v>
      </c>
      <c r="J1117" s="95">
        <f ca="1"/>
        <v>1.7208356766970476E-3</v>
      </c>
      <c r="K1117" s="5" t="s">
        <v>4</v>
      </c>
      <c r="L1117" s="97">
        <f ca="1">_xll.meDateFromTenor(L1116,"1D","FOLLOWING","TGT")</f>
        <v>44095</v>
      </c>
      <c r="M1117" s="95">
        <f ca="1"/>
        <v>3.6184941249443403E-3</v>
      </c>
      <c r="N1117" s="5" t="s">
        <v>4</v>
      </c>
      <c r="O1117" s="97">
        <f ca="1">_xll.meDateFromTenor(O1116,"1D","FOLLOWING","TGT")</f>
        <v>44095</v>
      </c>
      <c r="P1117" s="95">
        <f ca="1"/>
        <v>5.6221437894547754E-3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5.8026066905774842E-4</v>
      </c>
      <c r="H1118" s="92" t="s">
        <v>4</v>
      </c>
      <c r="I1118" s="97">
        <f ca="1">_xll.meDateFromTenor(I1117,"1D","FOLLOWING","TGT")</f>
        <v>44096</v>
      </c>
      <c r="J1118" s="95">
        <f ca="1"/>
        <v>1.7277117860428561E-3</v>
      </c>
      <c r="K1118" s="5" t="s">
        <v>4</v>
      </c>
      <c r="L1118" s="97">
        <f ca="1">_xll.meDateFromTenor(L1117,"1D","FOLLOWING","TGT")</f>
        <v>44096</v>
      </c>
      <c r="M1118" s="95">
        <f ca="1"/>
        <v>3.6252231492516955E-3</v>
      </c>
      <c r="N1118" s="5" t="s">
        <v>4</v>
      </c>
      <c r="O1118" s="97">
        <f ca="1">_xll.meDateFromTenor(O1117,"1D","FOLLOWING","TGT")</f>
        <v>44096</v>
      </c>
      <c r="P1118" s="95">
        <f ca="1"/>
        <v>5.629063110518224E-3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5.8740654366209912E-4</v>
      </c>
      <c r="H1119" s="92" t="s">
        <v>4</v>
      </c>
      <c r="I1119" s="97">
        <f ca="1">_xll.meDateFromTenor(I1118,"1D","FOLLOWING","TGT")</f>
        <v>44097</v>
      </c>
      <c r="J1119" s="95">
        <f ca="1"/>
        <v>1.7345917411531434E-3</v>
      </c>
      <c r="K1119" s="5" t="s">
        <v>4</v>
      </c>
      <c r="L1119" s="97">
        <f ca="1">_xll.meDateFromTenor(L1118,"1D","FOLLOWING","TGT")</f>
        <v>44097</v>
      </c>
      <c r="M1119" s="95">
        <f ca="1"/>
        <v>3.6319553489809779E-3</v>
      </c>
      <c r="N1119" s="5" t="s">
        <v>4</v>
      </c>
      <c r="O1119" s="97">
        <f ca="1">_xll.meDateFromTenor(O1118,"1D","FOLLOWING","TGT")</f>
        <v>44097</v>
      </c>
      <c r="P1119" s="95">
        <f ca="1"/>
        <v>5.6359862090810441E-3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5.9454023960193319E-4</v>
      </c>
      <c r="H1120" s="92" t="s">
        <v>4</v>
      </c>
      <c r="I1120" s="97">
        <f ca="1">_xll.meDateFromTenor(I1119,"1D","FOLLOWING","TGT")</f>
        <v>44098</v>
      </c>
      <c r="J1120" s="95">
        <f ca="1"/>
        <v>1.7414755643824517E-3</v>
      </c>
      <c r="K1120" s="5" t="s">
        <v>4</v>
      </c>
      <c r="L1120" s="97">
        <f ca="1">_xll.meDateFromTenor(L1119,"1D","FOLLOWING","TGT")</f>
        <v>44098</v>
      </c>
      <c r="M1120" s="95">
        <f ca="1"/>
        <v>3.6386907221752072E-3</v>
      </c>
      <c r="N1120" s="5" t="s">
        <v>4</v>
      </c>
      <c r="O1120" s="97">
        <f ca="1">_xll.meDateFromTenor(O1119,"1D","FOLLOWING","TGT")</f>
        <v>44098</v>
      </c>
      <c r="P1120" s="95">
        <f ca="1"/>
        <v>5.6429130701286679E-3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6.0166069987680089E-4</v>
      </c>
      <c r="H1121" s="92" t="s">
        <v>4</v>
      </c>
      <c r="I1121" s="97">
        <f ca="1">_xll.meDateFromTenor(I1120,"1D","FOLLOWING","TGT")</f>
        <v>44099</v>
      </c>
      <c r="J1121" s="95">
        <f ca="1"/>
        <v>1.7483632780853336E-3</v>
      </c>
      <c r="K1121" s="5" t="s">
        <v>4</v>
      </c>
      <c r="L1121" s="97">
        <f ca="1">_xll.meDateFromTenor(L1120,"1D","FOLLOWING","TGT")</f>
        <v>44099</v>
      </c>
      <c r="M1121" s="95">
        <f ca="1"/>
        <v>3.6454292668774103E-3</v>
      </c>
      <c r="N1121" s="5" t="s">
        <v>4</v>
      </c>
      <c r="O1121" s="97">
        <f ca="1">_xll.meDateFromTenor(O1120,"1D","FOLLOWING","TGT")</f>
        <v>44099</v>
      </c>
      <c r="P1121" s="95">
        <f ca="1"/>
        <v>5.6498436786465425E-3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6.2293209670704469E-4</v>
      </c>
      <c r="H1122" s="92" t="s">
        <v>4</v>
      </c>
      <c r="I1122" s="97">
        <f ca="1">_xll.meDateFromTenor(I1121,"1D","FOLLOWING","TGT")</f>
        <v>44102</v>
      </c>
      <c r="J1122" s="95">
        <f ca="1"/>
        <v>1.769049985580876E-3</v>
      </c>
      <c r="K1122" s="5" t="s">
        <v>4</v>
      </c>
      <c r="L1122" s="97">
        <f ca="1">_xll.meDateFromTenor(L1121,"1D","FOLLOWING","TGT")</f>
        <v>44102</v>
      </c>
      <c r="M1122" s="95">
        <f ca="1"/>
        <v>3.6656639104620807E-3</v>
      </c>
      <c r="N1122" s="5" t="s">
        <v>4</v>
      </c>
      <c r="O1122" s="97">
        <f ca="1">_xll.meDateFromTenor(O1121,"1D","FOLLOWING","TGT")</f>
        <v>44102</v>
      </c>
      <c r="P1122" s="95">
        <f ca="1"/>
        <v>5.6706578388760328E-3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6.299890443174969E-4</v>
      </c>
      <c r="H1123" s="92" t="s">
        <v>4</v>
      </c>
      <c r="I1123" s="97">
        <f ca="1">_xll.meDateFromTenor(I1122,"1D","FOLLOWING","TGT")</f>
        <v>44103</v>
      </c>
      <c r="J1123" s="95">
        <f ca="1"/>
        <v>1.7759534847235187E-3</v>
      </c>
      <c r="K1123" s="5" t="s">
        <v>4</v>
      </c>
      <c r="L1123" s="97">
        <f ca="1">_xll.meDateFromTenor(L1122,"1D","FOLLOWING","TGT")</f>
        <v>44103</v>
      </c>
      <c r="M1123" s="95">
        <f ca="1"/>
        <v>3.6724151216264065E-3</v>
      </c>
      <c r="N1123" s="5" t="s">
        <v>4</v>
      </c>
      <c r="O1123" s="97">
        <f ca="1">_xll.meDateFromTenor(O1122,"1D","FOLLOWING","TGT")</f>
        <v>44103</v>
      </c>
      <c r="P1123" s="95">
        <f ca="1"/>
        <v>5.6776032871292872E-3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6.3702747126070751E-4</v>
      </c>
      <c r="H1124" s="92" t="s">
        <v>4</v>
      </c>
      <c r="I1124" s="97">
        <f ca="1">_xll.meDateFromTenor(I1123,"1D","FOLLOWING","TGT")</f>
        <v>44104</v>
      </c>
      <c r="J1124" s="95">
        <f ca="1"/>
        <v>1.7828609861124684E-3</v>
      </c>
      <c r="K1124" s="5" t="s">
        <v>4</v>
      </c>
      <c r="L1124" s="97">
        <f ca="1">_xll.meDateFromTenor(L1123,"1D","FOLLOWING","TGT")</f>
        <v>44104</v>
      </c>
      <c r="M1124" s="95">
        <f ca="1"/>
        <v>3.6791694945138191E-3</v>
      </c>
      <c r="N1124" s="5" t="s">
        <v>4</v>
      </c>
      <c r="O1124" s="97">
        <f ca="1">_xll.meDateFromTenor(O1123,"1D","FOLLOWING","TGT")</f>
        <v>44104</v>
      </c>
      <c r="P1124" s="95">
        <f ca="1"/>
        <v>5.6845524077799798E-3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6.4404632053622723E-4</v>
      </c>
      <c r="H1125" s="92" t="s">
        <v>4</v>
      </c>
      <c r="I1125" s="97">
        <f ca="1">_xll.meDateFromTenor(I1124,"1D","FOLLOWING","TGT")</f>
        <v>44105</v>
      </c>
      <c r="J1125" s="95">
        <f ca="1"/>
        <v>1.7897725121022773E-3</v>
      </c>
      <c r="K1125" s="5" t="s">
        <v>4</v>
      </c>
      <c r="L1125" s="97">
        <f ca="1">_xll.meDateFromTenor(L1124,"1D","FOLLOWING","TGT")</f>
        <v>44105</v>
      </c>
      <c r="M1125" s="95">
        <f ca="1"/>
        <v>3.6859270271673455E-3</v>
      </c>
      <c r="N1125" s="5" t="s">
        <v>4</v>
      </c>
      <c r="O1125" s="97">
        <f ca="1">_xll.meDateFromTenor(O1124,"1D","FOLLOWING","TGT")</f>
        <v>44105</v>
      </c>
      <c r="P1125" s="95">
        <f ca="1"/>
        <v>5.6915051858135576E-3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6.5104453514359712E-4</v>
      </c>
      <c r="H1126" s="92" t="s">
        <v>4</v>
      </c>
      <c r="I1126" s="97">
        <f ca="1">_xll.meDateFromTenor(I1125,"1D","FOLLOWING","TGT")</f>
        <v>44106</v>
      </c>
      <c r="J1126" s="95">
        <f ca="1"/>
        <v>1.7966880850474882E-3</v>
      </c>
      <c r="K1126" s="5" t="s">
        <v>4</v>
      </c>
      <c r="L1126" s="97">
        <f ca="1">_xll.meDateFromTenor(L1125,"1D","FOLLOWING","TGT")</f>
        <v>44106</v>
      </c>
      <c r="M1126" s="95">
        <f ca="1"/>
        <v>3.6926877176300054E-3</v>
      </c>
      <c r="N1126" s="5" t="s">
        <v>4</v>
      </c>
      <c r="O1126" s="97">
        <f ca="1">_xll.meDateFromTenor(O1125,"1D","FOLLOWING","TGT")</f>
        <v>44106</v>
      </c>
      <c r="P1126" s="95">
        <f ca="1"/>
        <v>5.6984616062154547E-3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6.7191892769153121E-4</v>
      </c>
      <c r="H1127" s="92" t="s">
        <v>4</v>
      </c>
      <c r="I1127" s="97">
        <f ca="1">_xll.meDateFromTenor(I1126,"1D","FOLLOWING","TGT")</f>
        <v>44109</v>
      </c>
      <c r="J1127" s="95">
        <f ca="1"/>
        <v>1.8174593091610249E-3</v>
      </c>
      <c r="K1127" s="5" t="s">
        <v>4</v>
      </c>
      <c r="L1127" s="97">
        <f ca="1">_xll.meDateFromTenor(L1126,"1D","FOLLOWING","TGT")</f>
        <v>44109</v>
      </c>
      <c r="M1127" s="95">
        <f ca="1"/>
        <v>3.7129887163030342E-3</v>
      </c>
      <c r="N1127" s="5" t="s">
        <v>4</v>
      </c>
      <c r="O1127" s="97">
        <f ca="1">_xll.meDateFromTenor(O1126,"1D","FOLLOWING","TGT")</f>
        <v>44109</v>
      </c>
      <c r="P1127" s="95">
        <f ca="1"/>
        <v>5.7193525714854584E-3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6.78843392486668E-4</v>
      </c>
      <c r="H1128" s="92" t="s">
        <v>4</v>
      </c>
      <c r="I1128" s="97">
        <f ca="1">_xll.meDateFromTenor(I1127,"1D","FOLLOWING","TGT")</f>
        <v>44110</v>
      </c>
      <c r="J1128" s="95">
        <f ca="1"/>
        <v>1.8243912934733314E-3</v>
      </c>
      <c r="K1128" s="5" t="s">
        <v>4</v>
      </c>
      <c r="L1128" s="97">
        <f ca="1">_xll.meDateFromTenor(L1127,"1D","FOLLOWING","TGT")</f>
        <v>44110</v>
      </c>
      <c r="M1128" s="95">
        <f ca="1"/>
        <v>3.7197620184324718E-3</v>
      </c>
      <c r="N1128" s="5" t="s">
        <v>4</v>
      </c>
      <c r="O1128" s="97">
        <f ca="1">_xll.meDateFromTenor(O1127,"1D","FOLLOWING","TGT")</f>
        <v>44110</v>
      </c>
      <c r="P1128" s="95">
        <f ca="1"/>
        <v>5.7263234112150284E-3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6.8575449471293837E-4</v>
      </c>
      <c r="H1129" s="92" t="s">
        <v>4</v>
      </c>
      <c r="I1129" s="97">
        <f ca="1">_xll.meDateFromTenor(I1128,"1D","FOLLOWING","TGT")</f>
        <v>44111</v>
      </c>
      <c r="J1129" s="95">
        <f ca="1"/>
        <v>1.8313274365137778E-3</v>
      </c>
      <c r="K1129" s="5" t="s">
        <v>4</v>
      </c>
      <c r="L1129" s="97">
        <f ca="1">_xll.meDateFromTenor(L1128,"1D","FOLLOWING","TGT")</f>
        <v>44111</v>
      </c>
      <c r="M1129" s="95">
        <f ca="1"/>
        <v>3.7265384685861596E-3</v>
      </c>
      <c r="N1129" s="5" t="s">
        <v>4</v>
      </c>
      <c r="O1129" s="97">
        <f ca="1">_xll.meDateFromTenor(O1128,"1D","FOLLOWING","TGT")</f>
        <v>44111</v>
      </c>
      <c r="P1129" s="95">
        <f ca="1"/>
        <v>5.7332978182401146E-3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6.9265431664527859E-4</v>
      </c>
      <c r="H1130" s="92" t="s">
        <v>4</v>
      </c>
      <c r="I1130" s="97">
        <f ca="1">_xll.meDateFromTenor(I1129,"1D","FOLLOWING","TGT")</f>
        <v>44112</v>
      </c>
      <c r="J1130" s="95">
        <f ca="1"/>
        <v>1.8382677606369143E-3</v>
      </c>
      <c r="K1130" s="5" t="s">
        <v>4</v>
      </c>
      <c r="L1130" s="97">
        <f ca="1">_xll.meDateFromTenor(L1129,"1D","FOLLOWING","TGT")</f>
        <v>44112</v>
      </c>
      <c r="M1130" s="95">
        <f ca="1"/>
        <v>3.733318064807123E-3</v>
      </c>
      <c r="N1130" s="5" t="s">
        <v>4</v>
      </c>
      <c r="O1130" s="97">
        <f ca="1">_xll.meDateFromTenor(O1129,"1D","FOLLOWING","TGT")</f>
        <v>44112</v>
      </c>
      <c r="P1130" s="95">
        <f ca="1"/>
        <v>5.7402757775461555E-3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6.9954494055862585E-4</v>
      </c>
      <c r="H1131" s="92" t="s">
        <v>4</v>
      </c>
      <c r="I1131" s="97">
        <f ca="1">_xll.meDateFromTenor(I1130,"1D","FOLLOWING","TGT")</f>
        <v>44113</v>
      </c>
      <c r="J1131" s="95">
        <f ca="1"/>
        <v>1.8452122881972904E-3</v>
      </c>
      <c r="K1131" s="5" t="s">
        <v>4</v>
      </c>
      <c r="L1131" s="97">
        <f ca="1">_xll.meDateFromTenor(L1130,"1D","FOLLOWING","TGT")</f>
        <v>44113</v>
      </c>
      <c r="M1131" s="95">
        <f ca="1"/>
        <v>3.7401008051383875E-3</v>
      </c>
      <c r="N1131" s="5" t="s">
        <v>4</v>
      </c>
      <c r="O1131" s="97">
        <f ca="1">_xll.meDateFromTenor(O1130,"1D","FOLLOWING","TGT")</f>
        <v>44113</v>
      </c>
      <c r="P1131" s="95">
        <f ca="1"/>
        <v>5.7472572741185911E-3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7.2018244693403295E-4</v>
      </c>
      <c r="H1132" s="92" t="s">
        <v>4</v>
      </c>
      <c r="I1132" s="97">
        <f ca="1">_xll.meDateFromTenor(I1131,"1D","FOLLOWING","TGT")</f>
        <v>44116</v>
      </c>
      <c r="J1132" s="95">
        <f ca="1"/>
        <v>1.8660713150473155E-3</v>
      </c>
      <c r="K1132" s="5" t="s">
        <v>4</v>
      </c>
      <c r="L1132" s="97">
        <f ca="1">_xll.meDateFromTenor(L1131,"1D","FOLLOWING","TGT")</f>
        <v>44116</v>
      </c>
      <c r="M1132" s="95">
        <f ca="1"/>
        <v>3.760467871224203E-3</v>
      </c>
      <c r="N1132" s="5" t="s">
        <v>4</v>
      </c>
      <c r="O1132" s="97">
        <f ca="1">_xll.meDateFromTenor(O1131,"1D","FOLLOWING","TGT")</f>
        <v>44116</v>
      </c>
      <c r="P1132" s="95">
        <f ca="1"/>
        <v>5.7682228372886507E-3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7.2705710152073922E-4</v>
      </c>
      <c r="H1133" s="92" t="s">
        <v>4</v>
      </c>
      <c r="I1133" s="97">
        <f ca="1">_xll.meDateFromTenor(I1132,"1D","FOLLOWING","TGT")</f>
        <v>44117</v>
      </c>
      <c r="J1133" s="95">
        <f ca="1"/>
        <v>1.8730328799021151E-3</v>
      </c>
      <c r="K1133" s="5" t="s">
        <v>4</v>
      </c>
      <c r="L1133" s="97">
        <f ca="1">_xll.meDateFromTenor(L1132,"1D","FOLLOWING","TGT")</f>
        <v>44117</v>
      </c>
      <c r="M1133" s="95">
        <f ca="1"/>
        <v>3.7672631684268943E-3</v>
      </c>
      <c r="N1133" s="5" t="s">
        <v>4</v>
      </c>
      <c r="O1133" s="97">
        <f ca="1">_xll.meDateFromTenor(O1132,"1D","FOLLOWING","TGT")</f>
        <v>44117</v>
      </c>
      <c r="P1133" s="95">
        <f ca="1"/>
        <v>5.7752183327810513E-3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7.3393296946312162E-4</v>
      </c>
      <c r="H1134" s="92" t="s">
        <v>4</v>
      </c>
      <c r="I1134" s="97">
        <f ca="1">_xll.meDateFromTenor(I1133,"1D","FOLLOWING","TGT")</f>
        <v>44118</v>
      </c>
      <c r="J1134" s="95">
        <f ca="1"/>
        <v>1.8799987599668903E-3</v>
      </c>
      <c r="K1134" s="5" t="s">
        <v>4</v>
      </c>
      <c r="L1134" s="97">
        <f ca="1">_xll.meDateFromTenor(L1133,"1D","FOLLOWING","TGT")</f>
        <v>44118</v>
      </c>
      <c r="M1134" s="95">
        <f ca="1"/>
        <v>3.774061599955001E-3</v>
      </c>
      <c r="N1134" s="5" t="s">
        <v>4</v>
      </c>
      <c r="O1134" s="97">
        <f ca="1">_xll.meDateFromTenor(O1133,"1D","FOLLOWING","TGT")</f>
        <v>44118</v>
      </c>
      <c r="P1134" s="95">
        <f ca="1"/>
        <v>5.782217290467042E-3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7.4081213303611693E-4</v>
      </c>
      <c r="H1135" s="92" t="s">
        <v>4</v>
      </c>
      <c r="I1135" s="97">
        <f ca="1">_xll.meDateFromTenor(I1134,"1D","FOLLOWING","TGT")</f>
        <v>44119</v>
      </c>
      <c r="J1135" s="95">
        <f ca="1"/>
        <v>1.886968977596191E-3</v>
      </c>
      <c r="K1135" s="5" t="s">
        <v>4</v>
      </c>
      <c r="L1135" s="97">
        <f ca="1">_xll.meDateFromTenor(L1134,"1D","FOLLOWING","TGT")</f>
        <v>44119</v>
      </c>
      <c r="M1135" s="95">
        <f ca="1"/>
        <v>3.7808631638515488E-3</v>
      </c>
      <c r="N1135" s="5" t="s">
        <v>4</v>
      </c>
      <c r="O1135" s="97">
        <f ca="1">_xll.meDateFromTenor(O1134,"1D","FOLLOWING","TGT")</f>
        <v>44119</v>
      </c>
      <c r="P1135" s="95">
        <f ca="1"/>
        <v>5.7892196953320645E-3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7.4769667451465469E-4</v>
      </c>
      <c r="H1136" s="92" t="s">
        <v>4</v>
      </c>
      <c r="I1136" s="97">
        <f ca="1">_xll.meDateFromTenor(I1135,"1D","FOLLOWING","TGT")</f>
        <v>44120</v>
      </c>
      <c r="J1136" s="95">
        <f ca="1"/>
        <v>1.89394355514456E-3</v>
      </c>
      <c r="K1136" s="5" t="s">
        <v>4</v>
      </c>
      <c r="L1136" s="97">
        <f ca="1">_xll.meDateFromTenor(L1135,"1D","FOLLOWING","TGT")</f>
        <v>44120</v>
      </c>
      <c r="M1136" s="95">
        <f ca="1"/>
        <v>3.7876678581595566E-3</v>
      </c>
      <c r="N1136" s="5" t="s">
        <v>4</v>
      </c>
      <c r="O1136" s="97">
        <f ca="1">_xll.meDateFromTenor(O1135,"1D","FOLLOWING","TGT")</f>
        <v>44120</v>
      </c>
      <c r="P1136" s="95">
        <f ca="1"/>
        <v>5.7962255323615501E-3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7.6840338913288344E-4</v>
      </c>
      <c r="H1137" s="92" t="s">
        <v>4</v>
      </c>
      <c r="I1137" s="97">
        <f ca="1">_xll.meDateFromTenor(I1136,"1D","FOLLOWING","TGT")</f>
        <v>44123</v>
      </c>
      <c r="J1137" s="95">
        <f ca="1"/>
        <v>1.9148936708495686E-3</v>
      </c>
      <c r="K1137" s="5" t="s">
        <v>4</v>
      </c>
      <c r="L1137" s="97">
        <f ca="1">_xll.meDateFromTenor(L1136,"1D","FOLLOWING","TGT")</f>
        <v>44123</v>
      </c>
      <c r="M1137" s="95">
        <f ca="1"/>
        <v>3.8081007039825897E-3</v>
      </c>
      <c r="N1137" s="5" t="s">
        <v>4</v>
      </c>
      <c r="O1137" s="97">
        <f ca="1">_xll.meDateFromTenor(O1136,"1D","FOLLOWING","TGT")</f>
        <v>44123</v>
      </c>
      <c r="P1137" s="95">
        <f ca="1"/>
        <v>5.8172634862912074E-3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7.7533026498294668E-4</v>
      </c>
      <c r="H1138" s="92" t="s">
        <v>4</v>
      </c>
      <c r="I1138" s="97">
        <f ca="1">_xll.meDateFromTenor(I1137,"1D","FOLLOWING","TGT")</f>
        <v>44124</v>
      </c>
      <c r="J1138" s="95">
        <f ca="1"/>
        <v>1.9218859116196985E-3</v>
      </c>
      <c r="K1138" s="5" t="s">
        <v>4</v>
      </c>
      <c r="L1138" s="97">
        <f ca="1">_xll.meDateFromTenor(L1137,"1D","FOLLOWING","TGT")</f>
        <v>44124</v>
      </c>
      <c r="M1138" s="95">
        <f ca="1"/>
        <v>3.8149179003666824E-3</v>
      </c>
      <c r="N1138" s="5" t="s">
        <v>4</v>
      </c>
      <c r="O1138" s="97">
        <f ca="1">_xll.meDateFromTenor(O1137,"1D","FOLLOWING","TGT")</f>
        <v>44124</v>
      </c>
      <c r="P1138" s="95">
        <f ca="1"/>
        <v>5.8242829018329573E-3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7.8227293011322416E-4</v>
      </c>
      <c r="H1139" s="92" t="s">
        <v>4</v>
      </c>
      <c r="I1139" s="97">
        <f ca="1">_xll.meDateFromTenor(I1138,"1D","FOLLOWING","TGT")</f>
        <v>44125</v>
      </c>
      <c r="J1139" s="95">
        <f ca="1"/>
        <v>1.9288826240816345E-3</v>
      </c>
      <c r="K1139" s="5" t="s">
        <v>4</v>
      </c>
      <c r="L1139" s="97">
        <f ca="1">_xll.meDateFromTenor(L1138,"1D","FOLLOWING","TGT")</f>
        <v>44125</v>
      </c>
      <c r="M1139" s="95">
        <f ca="1"/>
        <v>3.8217382173773512E-3</v>
      </c>
      <c r="N1139" s="5" t="s">
        <v>4</v>
      </c>
      <c r="O1139" s="97">
        <f ca="1">_xll.meDateFromTenor(O1138,"1D","FOLLOWING","TGT")</f>
        <v>44125</v>
      </c>
      <c r="P1139" s="95">
        <f ca="1"/>
        <v>5.8313056744663675E-3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7.8923346679865493E-4</v>
      </c>
      <c r="H1140" s="92" t="s">
        <v>4</v>
      </c>
      <c r="I1140" s="97">
        <f ca="1">_xll.meDateFromTenor(I1139,"1D","FOLLOWING","TGT")</f>
        <v>44126</v>
      </c>
      <c r="J1140" s="95">
        <f ca="1"/>
        <v>1.9358838305899291E-3</v>
      </c>
      <c r="K1140" s="5" t="s">
        <v>4</v>
      </c>
      <c r="L1140" s="97">
        <f ca="1">_xll.meDateFromTenor(L1139,"1D","FOLLOWING","TGT")</f>
        <v>44126</v>
      </c>
      <c r="M1140" s="95">
        <f ca="1"/>
        <v>3.8285616530576252E-3</v>
      </c>
      <c r="N1140" s="5" t="s">
        <v>4</v>
      </c>
      <c r="O1140" s="97">
        <f ca="1">_xll.meDateFromTenor(O1139,"1D","FOLLOWING","TGT")</f>
        <v>44126</v>
      </c>
      <c r="P1140" s="95">
        <f ca="1"/>
        <v>5.8383317891768814E-3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7.9621395731416863E-4</v>
      </c>
      <c r="H1141" s="92" t="s">
        <v>4</v>
      </c>
      <c r="I1141" s="97">
        <f ca="1">_xll.meDateFromTenor(I1140,"1D","FOLLOWING","TGT")</f>
        <v>44127</v>
      </c>
      <c r="J1141" s="95">
        <f ca="1"/>
        <v>1.9428895534991249E-3</v>
      </c>
      <c r="K1141" s="5" t="s">
        <v>4</v>
      </c>
      <c r="L1141" s="97">
        <f ca="1">_xll.meDateFromTenor(L1140,"1D","FOLLOWING","TGT")</f>
        <v>44127</v>
      </c>
      <c r="M1141" s="95">
        <f ca="1"/>
        <v>3.835388205450522E-3</v>
      </c>
      <c r="N1141" s="5" t="s">
        <v>4</v>
      </c>
      <c r="O1141" s="97">
        <f ca="1">_xll.meDateFromTenor(O1140,"1D","FOLLOWING","TGT")</f>
        <v>44127</v>
      </c>
      <c r="P1141" s="95">
        <f ca="1"/>
        <v>5.8453612309499357E-3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8.1729597459056754E-4</v>
      </c>
      <c r="H1142" s="92" t="s">
        <v>4</v>
      </c>
      <c r="I1142" s="97">
        <f ca="1">_xll.meDateFromTenor(I1141,"1D","FOLLOWING","TGT")</f>
        <v>44130</v>
      </c>
      <c r="J1142" s="95">
        <f ca="1"/>
        <v>1.9639340441776135E-3</v>
      </c>
      <c r="K1142" s="5" t="s">
        <v>4</v>
      </c>
      <c r="L1142" s="97">
        <f ca="1">_xll.meDateFromTenor(L1141,"1D","FOLLOWING","TGT")</f>
        <v>44130</v>
      </c>
      <c r="M1142" s="95">
        <f ca="1"/>
        <v>3.855886543335203E-3</v>
      </c>
      <c r="N1142" s="5" t="s">
        <v>4</v>
      </c>
      <c r="O1142" s="97">
        <f ca="1">_xll.meDateFromTenor(O1141,"1D","FOLLOWING","TGT")</f>
        <v>44130</v>
      </c>
      <c r="P1142" s="95">
        <f ca="1"/>
        <v>5.866469368498735E-3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8.2437710317576573E-4</v>
      </c>
      <c r="H1143" s="92" t="s">
        <v>4</v>
      </c>
      <c r="I1143" s="97">
        <f ca="1">_xll.meDateFromTenor(I1142,"1D","FOLLOWING","TGT")</f>
        <v>44131</v>
      </c>
      <c r="J1143" s="95">
        <f ca="1"/>
        <v>1.970958056235901E-3</v>
      </c>
      <c r="K1143" s="5" t="s">
        <v>4</v>
      </c>
      <c r="L1143" s="97">
        <f ca="1">_xll.meDateFromTenor(L1142,"1D","FOLLOWING","TGT")</f>
        <v>44131</v>
      </c>
      <c r="M1143" s="95">
        <f ca="1"/>
        <v>3.8627255430088358E-3</v>
      </c>
      <c r="N1143" s="5" t="s">
        <v>4</v>
      </c>
      <c r="O1143" s="97">
        <f ca="1">_xll.meDateFromTenor(O1142,"1D","FOLLOWING","TGT")</f>
        <v>44131</v>
      </c>
      <c r="P1143" s="95">
        <f ca="1"/>
        <v>5.8735119683763423E-3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8.3148859696572362E-4</v>
      </c>
      <c r="H1144" s="92" t="s">
        <v>4</v>
      </c>
      <c r="I1144" s="97">
        <f ca="1">_xll.meDateFromTenor(I1143,"1D","FOLLOWING","TGT")</f>
        <v>44132</v>
      </c>
      <c r="J1144" s="95">
        <f ca="1"/>
        <v>1.9779866964678315E-3</v>
      </c>
      <c r="K1144" s="5" t="s">
        <v>4</v>
      </c>
      <c r="L1144" s="97">
        <f ca="1">_xll.meDateFromTenor(L1143,"1D","FOLLOWING","TGT")</f>
        <v>44132</v>
      </c>
      <c r="M1144" s="95">
        <f ca="1"/>
        <v>3.8695676496102132E-3</v>
      </c>
      <c r="N1144" s="5" t="s">
        <v>4</v>
      </c>
      <c r="O1144" s="97">
        <f ca="1">_xll.meDateFromTenor(O1143,"1D","FOLLOWING","TGT")</f>
        <v>44132</v>
      </c>
      <c r="P1144" s="95">
        <f ca="1"/>
        <v>5.8805578202436887E-3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8.386325382353703E-4</v>
      </c>
      <c r="H1145" s="92" t="s">
        <v>4</v>
      </c>
      <c r="I1145" s="97">
        <f ca="1">_xll.meDateFromTenor(I1144,"1D","FOLLOWING","TGT")</f>
        <v>44133</v>
      </c>
      <c r="J1145" s="95">
        <f ca="1"/>
        <v>1.9850199872279498E-3</v>
      </c>
      <c r="K1145" s="5" t="s">
        <v>4</v>
      </c>
      <c r="L1145" s="97">
        <f ca="1">_xll.meDateFromTenor(L1144,"1D","FOLLOWING","TGT")</f>
        <v>44133</v>
      </c>
      <c r="M1145" s="95">
        <f ca="1"/>
        <v>3.8764128611823542E-3</v>
      </c>
      <c r="N1145" s="5" t="s">
        <v>4</v>
      </c>
      <c r="O1145" s="97">
        <f ca="1">_xll.meDateFromTenor(O1144,"1D","FOLLOWING","TGT")</f>
        <v>44133</v>
      </c>
      <c r="P1145" s="95">
        <f ca="1"/>
        <v>5.8876069090862092E-3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8.4581100925964266E-4</v>
      </c>
      <c r="H1146" s="92" t="s">
        <v>4</v>
      </c>
      <c r="I1146" s="97">
        <f ca="1">_xll.meDateFromTenor(I1145,"1D","FOLLOWING","TGT")</f>
        <v>44134</v>
      </c>
      <c r="J1146" s="95">
        <f ca="1"/>
        <v>1.9920579508708046E-3</v>
      </c>
      <c r="K1146" s="5" t="s">
        <v>4</v>
      </c>
      <c r="L1146" s="97">
        <f ca="1">_xll.meDateFromTenor(L1145,"1D","FOLLOWING","TGT")</f>
        <v>44134</v>
      </c>
      <c r="M1146" s="95">
        <f ca="1"/>
        <v>3.8832611757682843E-3</v>
      </c>
      <c r="N1146" s="5" t="s">
        <v>4</v>
      </c>
      <c r="O1146" s="97">
        <f ca="1">_xll.meDateFromTenor(O1145,"1D","FOLLOWING","TGT")</f>
        <v>44134</v>
      </c>
      <c r="P1146" s="95">
        <f ca="1"/>
        <v>5.8946592198893437E-3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8.6757442360956244E-4</v>
      </c>
      <c r="H1147" s="92" t="s">
        <v>4</v>
      </c>
      <c r="I1147" s="97">
        <f ca="1">_xll.meDateFromTenor(I1146,"1D","FOLLOWING","TGT")</f>
        <v>44137</v>
      </c>
      <c r="J1147" s="95">
        <f ca="1"/>
        <v>2.0132001026412711E-3</v>
      </c>
      <c r="K1147" s="5" t="s">
        <v>4</v>
      </c>
      <c r="L1147" s="97">
        <f ca="1">_xll.meDateFromTenor(L1146,"1D","FOLLOWING","TGT")</f>
        <v>44137</v>
      </c>
      <c r="M1147" s="95">
        <f ca="1"/>
        <v>3.9038247180390446E-3</v>
      </c>
      <c r="N1147" s="5" t="s">
        <v>4</v>
      </c>
      <c r="O1147" s="97">
        <f ca="1">_xll.meDateFromTenor(O1146,"1D","FOLLOWING","TGT")</f>
        <v>44137</v>
      </c>
      <c r="P1147" s="95">
        <f ca="1"/>
        <v>5.9158353339168286E-3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8.7491101931182918E-4</v>
      </c>
      <c r="H1148" s="92" t="s">
        <v>4</v>
      </c>
      <c r="I1148" s="97">
        <f ca="1">_xll.meDateFromTenor(I1147,"1D","FOLLOWING","TGT")</f>
        <v>44138</v>
      </c>
      <c r="J1148" s="95">
        <f ca="1"/>
        <v>2.0202569813605499E-3</v>
      </c>
      <c r="K1148" s="5" t="s">
        <v>4</v>
      </c>
      <c r="L1148" s="97">
        <f ca="1">_xll.meDateFromTenor(L1147,"1D","FOLLOWING","TGT")</f>
        <v>44138</v>
      </c>
      <c r="M1148" s="95">
        <f ca="1"/>
        <v>3.9106854251103641E-3</v>
      </c>
      <c r="N1148" s="5" t="s">
        <v>4</v>
      </c>
      <c r="O1148" s="97">
        <f ca="1">_xll.meDateFromTenor(O1147,"1D","FOLLOWING","TGT")</f>
        <v>44138</v>
      </c>
      <c r="P1148" s="95">
        <f ca="1"/>
        <v>5.9229003824168118E-3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8.8228765360428142E-4</v>
      </c>
      <c r="H1149" s="92" t="s">
        <v>4</v>
      </c>
      <c r="I1149" s="97">
        <f ca="1">_xll.meDateFromTenor(I1148,"1D","FOLLOWING","TGT")</f>
        <v>44139</v>
      </c>
      <c r="J1149" s="95">
        <f ca="1"/>
        <v>2.0273186447353031E-3</v>
      </c>
      <c r="K1149" s="5" t="s">
        <v>4</v>
      </c>
      <c r="L1149" s="97">
        <f ca="1">_xll.meDateFromTenor(L1148,"1D","FOLLOWING","TGT")</f>
        <v>44139</v>
      </c>
      <c r="M1149" s="95">
        <f ca="1"/>
        <v>3.9175492254105888E-3</v>
      </c>
      <c r="N1149" s="5" t="s">
        <v>4</v>
      </c>
      <c r="O1149" s="97">
        <f ca="1">_xll.meDateFromTenor(O1148,"1D","FOLLOWING","TGT")</f>
        <v>44139</v>
      </c>
      <c r="P1149" s="95">
        <f ca="1"/>
        <v>5.9299685778046052E-3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8.8970150622274418E-4</v>
      </c>
      <c r="H1150" s="92" t="s">
        <v>4</v>
      </c>
      <c r="I1150" s="97">
        <f ca="1">_xll.meDateFromTenor(I1149,"1D","FOLLOWING","TGT")</f>
        <v>44140</v>
      </c>
      <c r="J1150" s="95">
        <f ca="1"/>
        <v>2.0343851151200811E-3</v>
      </c>
      <c r="K1150" s="5" t="s">
        <v>4</v>
      </c>
      <c r="L1150" s="97">
        <f ca="1">_xll.meDateFromTenor(L1149,"1D","FOLLOWING","TGT")</f>
        <v>44140</v>
      </c>
      <c r="M1150" s="95">
        <f ca="1"/>
        <v>3.9244161169827447E-3</v>
      </c>
      <c r="N1150" s="5" t="s">
        <v>4</v>
      </c>
      <c r="O1150" s="97">
        <f ca="1">_xll.meDateFromTenor(O1149,"1D","FOLLOWING","TGT")</f>
        <v>44140</v>
      </c>
      <c r="P1150" s="95">
        <f ca="1"/>
        <v>5.9370399050656499E-3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8.971497569030349E-4</v>
      </c>
      <c r="H1151" s="92" t="s">
        <v>4</v>
      </c>
      <c r="I1151" s="97">
        <f ca="1">_xll.meDateFromTenor(I1150,"1D","FOLLOWING","TGT")</f>
        <v>44141</v>
      </c>
      <c r="J1151" s="95">
        <f ca="1"/>
        <v>2.0414564148694271E-3</v>
      </c>
      <c r="K1151" s="5" t="s">
        <v>4</v>
      </c>
      <c r="L1151" s="97">
        <f ca="1">_xll.meDateFromTenor(L1150,"1D","FOLLOWING","TGT")</f>
        <v>44141</v>
      </c>
      <c r="M1151" s="95">
        <f ca="1"/>
        <v>3.9312860978698511E-3</v>
      </c>
      <c r="N1151" s="5" t="s">
        <v>4</v>
      </c>
      <c r="O1151" s="97">
        <f ca="1">_xll.meDateFromTenor(O1150,"1D","FOLLOWING","TGT")</f>
        <v>44141</v>
      </c>
      <c r="P1151" s="95">
        <f ca="1"/>
        <v>5.9441143491853789E-3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9.1967269467311771E-4</v>
      </c>
      <c r="H1152" s="92" t="s">
        <v>4</v>
      </c>
      <c r="I1152" s="97">
        <f ca="1">_xll.meDateFromTenor(I1151,"1D","FOLLOWING","TGT")</f>
        <v>44144</v>
      </c>
      <c r="J1152" s="95">
        <f ca="1"/>
        <v>2.0626995138503636E-3</v>
      </c>
      <c r="K1152" s="5" t="s">
        <v>4</v>
      </c>
      <c r="L1152" s="97">
        <f ca="1">_xll.meDateFromTenor(L1151,"1D","FOLLOWING","TGT")</f>
        <v>44144</v>
      </c>
      <c r="M1152" s="95">
        <f ca="1"/>
        <v>3.951914556851119E-3</v>
      </c>
      <c r="N1152" s="5" t="s">
        <v>4</v>
      </c>
      <c r="O1152" s="97">
        <f ca="1">_xll.meDateFromTenor(O1151,"1D","FOLLOWING","TGT")</f>
        <v>44144</v>
      </c>
      <c r="P1152" s="95">
        <f ca="1"/>
        <v>5.9653562325510884E-3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9.2723033495895535E-4</v>
      </c>
      <c r="H1153" s="92" t="s">
        <v>4</v>
      </c>
      <c r="I1153" s="97">
        <f ca="1">_xll.meDateFromTenor(I1152,"1D","FOLLOWING","TGT")</f>
        <v>44145</v>
      </c>
      <c r="J1153" s="95">
        <f ca="1"/>
        <v>2.0697903546034653E-3</v>
      </c>
      <c r="K1153" s="5" t="s">
        <v>4</v>
      </c>
      <c r="L1153" s="97">
        <f ca="1">_xll.meDateFromTenor(L1152,"1D","FOLLOWING","TGT")</f>
        <v>44145</v>
      </c>
      <c r="M1153" s="95">
        <f ca="1"/>
        <v>3.9587968754282677E-3</v>
      </c>
      <c r="N1153" s="5" t="s">
        <v>4</v>
      </c>
      <c r="O1153" s="97">
        <f ca="1">_xll.meDateFromTenor(O1152,"1D","FOLLOWING","TGT")</f>
        <v>44145</v>
      </c>
      <c r="P1153" s="95">
        <f ca="1"/>
        <v>5.9724429939599618E-3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9.3480827198573826E-4</v>
      </c>
      <c r="H1154" s="92" t="s">
        <v>4</v>
      </c>
      <c r="I1154" s="97">
        <f ca="1">_xll.meDateFromTenor(I1153,"1D","FOLLOWING","TGT")</f>
        <v>44146</v>
      </c>
      <c r="J1154" s="95">
        <f ca="1"/>
        <v>2.0768861364938774E-3</v>
      </c>
      <c r="K1154" s="5" t="s">
        <v>4</v>
      </c>
      <c r="L1154" s="97">
        <f ca="1">_xll.meDateFromTenor(L1153,"1D","FOLLOWING","TGT")</f>
        <v>44146</v>
      </c>
      <c r="M1154" s="95">
        <f ca="1"/>
        <v>3.9656822735354876E-3</v>
      </c>
      <c r="N1154" s="5" t="s">
        <v>4</v>
      </c>
      <c r="O1154" s="97">
        <f ca="1">_xll.meDateFromTenor(O1153,"1D","FOLLOWING","TGT")</f>
        <v>44146</v>
      </c>
      <c r="P1154" s="95">
        <f ca="1"/>
        <v>5.9795327971547199E-3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9.424036854892839E-4</v>
      </c>
      <c r="H1155" s="92" t="s">
        <v>4</v>
      </c>
      <c r="I1155" s="97">
        <f ca="1">_xll.meDateFromTenor(I1154,"1D","FOLLOWING","TGT")</f>
        <v>44147</v>
      </c>
      <c r="J1155" s="95">
        <f ca="1"/>
        <v>2.0839868818761432E-3</v>
      </c>
      <c r="K1155" s="5" t="s">
        <v>4</v>
      </c>
      <c r="L1155" s="97">
        <f ca="1">_xll.meDateFromTenor(L1154,"1D","FOLLOWING","TGT")</f>
        <v>44147</v>
      </c>
      <c r="M1155" s="95">
        <f ca="1"/>
        <v>3.9725707492157978E-3</v>
      </c>
      <c r="N1155" s="5" t="s">
        <v>4</v>
      </c>
      <c r="O1155" s="97">
        <f ca="1">_xll.meDateFromTenor(O1154,"1D","FOLLOWING","TGT")</f>
        <v>44147</v>
      </c>
      <c r="P1155" s="95">
        <f ca="1"/>
        <v>5.9866256271207969E-3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9.5001375520542032E-4</v>
      </c>
      <c r="H1156" s="92" t="s">
        <v>4</v>
      </c>
      <c r="I1156" s="97">
        <f ca="1">_xll.meDateFromTenor(I1155,"1D","FOLLOWING","TGT")</f>
        <v>44148</v>
      </c>
      <c r="J1156" s="95">
        <f ca="1"/>
        <v>2.0910926131048144E-3</v>
      </c>
      <c r="K1156" s="5" t="s">
        <v>4</v>
      </c>
      <c r="L1156" s="97">
        <f ca="1">_xll.meDateFromTenor(L1155,"1D","FOLLOWING","TGT")</f>
        <v>44148</v>
      </c>
      <c r="M1156" s="95">
        <f ca="1"/>
        <v>3.9794623005122258E-3</v>
      </c>
      <c r="N1156" s="5" t="s">
        <v>4</v>
      </c>
      <c r="O1156" s="97">
        <f ca="1">_xll.meDateFromTenor(O1155,"1D","FOLLOWING","TGT")</f>
        <v>44148</v>
      </c>
      <c r="P1156" s="95">
        <f ca="1"/>
        <v>5.9937214688436389E-3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9.7290369898757551E-4</v>
      </c>
      <c r="H1157" s="92" t="s">
        <v>4</v>
      </c>
      <c r="I1157" s="97">
        <f ca="1">_xll.meDateFromTenor(I1156,"1D","FOLLOWING","TGT")</f>
        <v>44151</v>
      </c>
      <c r="J1157" s="95">
        <f ca="1"/>
        <v>2.1124399454147177E-3</v>
      </c>
      <c r="K1157" s="5" t="s">
        <v>4</v>
      </c>
      <c r="L1157" s="97">
        <f ca="1">_xll.meDateFromTenor(L1156,"1D","FOLLOWING","TGT")</f>
        <v>44151</v>
      </c>
      <c r="M1157" s="95">
        <f ca="1"/>
        <v>4.0001553885284325E-3</v>
      </c>
      <c r="N1157" s="5" t="s">
        <v>4</v>
      </c>
      <c r="O1157" s="97">
        <f ca="1">_xll.meDateFromTenor(O1156,"1D","FOLLOWING","TGT")</f>
        <v>44151</v>
      </c>
      <c r="P1157" s="95">
        <f ca="1"/>
        <v>6.0150269144071192E-3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9.8054419091228519E-4</v>
      </c>
      <c r="H1158" s="92" t="s">
        <v>4</v>
      </c>
      <c r="I1158" s="97">
        <f ca="1">_xll.meDateFromTenor(I1157,"1D","FOLLOWING","TGT")</f>
        <v>44152</v>
      </c>
      <c r="J1158" s="95">
        <f ca="1"/>
        <v>2.1195658435744754E-3</v>
      </c>
      <c r="K1158" s="5" t="s">
        <v>4</v>
      </c>
      <c r="L1158" s="97">
        <f ca="1">_xll.meDateFromTenor(L1157,"1D","FOLLOWING","TGT")</f>
        <v>44152</v>
      </c>
      <c r="M1158" s="95">
        <f ca="1"/>
        <v>4.0070592227195541E-3</v>
      </c>
      <c r="N1158" s="5" t="s">
        <v>4</v>
      </c>
      <c r="O1158" s="97">
        <f ca="1">_xll.meDateFromTenor(O1157,"1D","FOLLOWING","TGT")</f>
        <v>44152</v>
      </c>
      <c r="P1158" s="95">
        <f ca="1"/>
        <v>6.022134653011396E-3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9.8818523772869755E-4</v>
      </c>
      <c r="H1159" s="92" t="s">
        <v>4</v>
      </c>
      <c r="I1159" s="97">
        <f ca="1">_xll.meDateFromTenor(I1158,"1D","FOLLOWING","TGT")</f>
        <v>44153</v>
      </c>
      <c r="J1159" s="95">
        <f ca="1"/>
        <v>2.1266968393533767E-3</v>
      </c>
      <c r="K1159" s="5" t="s">
        <v>4</v>
      </c>
      <c r="L1159" s="97">
        <f ca="1">_xll.meDateFromTenor(L1158,"1D","FOLLOWING","TGT")</f>
        <v>44153</v>
      </c>
      <c r="M1159" s="95">
        <f ca="1"/>
        <v>4.0139661227419111E-3</v>
      </c>
      <c r="N1159" s="5" t="s">
        <v>4</v>
      </c>
      <c r="O1159" s="97">
        <f ca="1">_xll.meDateFromTenor(O1158,"1D","FOLLOWING","TGT")</f>
        <v>44153</v>
      </c>
      <c r="P1159" s="95">
        <f ca="1"/>
        <v>6.0292453282996313E-3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9.9582401917263025E-4</v>
      </c>
      <c r="H1160" s="92" t="s">
        <v>4</v>
      </c>
      <c r="I1160" s="97">
        <f ca="1">_xll.meDateFromTenor(I1159,"1D","FOLLOWING","TGT")</f>
        <v>44154</v>
      </c>
      <c r="J1160" s="95">
        <f ca="1"/>
        <v>2.1338329551059635E-3</v>
      </c>
      <c r="K1160" s="5" t="s">
        <v>4</v>
      </c>
      <c r="L1160" s="97">
        <f ca="1">_xll.meDateFromTenor(L1159,"1D","FOLLOWING","TGT")</f>
        <v>44154</v>
      </c>
      <c r="M1160" s="95">
        <f ca="1"/>
        <v>4.0208760866385206E-3</v>
      </c>
      <c r="N1160" s="5" t="s">
        <v>4</v>
      </c>
      <c r="O1160" s="97">
        <f ca="1">_xll.meDateFromTenor(O1159,"1D","FOLLOWING","TGT")</f>
        <v>44154</v>
      </c>
      <c r="P1160" s="95">
        <f ca="1"/>
        <v>6.0363589252572592E-3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1.0034577149799083E-3</v>
      </c>
      <c r="H1161" s="92" t="s">
        <v>4</v>
      </c>
      <c r="I1161" s="97">
        <f ca="1">_xll.meDateFromTenor(I1160,"1D","FOLLOWING","TGT")</f>
        <v>44155</v>
      </c>
      <c r="J1161" s="95">
        <f ca="1"/>
        <v>2.1409742131867867E-3</v>
      </c>
      <c r="K1161" s="5" t="s">
        <v>4</v>
      </c>
      <c r="L1161" s="97">
        <f ca="1">_xll.meDateFromTenor(L1160,"1D","FOLLOWING","TGT")</f>
        <v>44155</v>
      </c>
      <c r="M1161" s="95">
        <f ca="1"/>
        <v>4.0277891124524097E-3</v>
      </c>
      <c r="N1161" s="5" t="s">
        <v>4</v>
      </c>
      <c r="O1161" s="97">
        <f ca="1">_xll.meDateFromTenor(O1160,"1D","FOLLOWING","TGT")</f>
        <v>44155</v>
      </c>
      <c r="P1161" s="95">
        <f ca="1"/>
        <v>6.043475428869724E-3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1.0263000859400424E-3</v>
      </c>
      <c r="H1162" s="92" t="s">
        <v>4</v>
      </c>
      <c r="I1162" s="97">
        <f ca="1">_xll.meDateFromTenor(I1161,"1D","FOLLOWING","TGT")</f>
        <v>44158</v>
      </c>
      <c r="J1162" s="95">
        <f ca="1"/>
        <v>2.1624290649441564E-3</v>
      </c>
      <c r="K1162" s="5" t="s">
        <v>4</v>
      </c>
      <c r="L1162" s="97">
        <f ca="1">_xll.meDateFromTenor(L1161,"1D","FOLLOWING","TGT")</f>
        <v>44158</v>
      </c>
      <c r="M1162" s="95">
        <f ca="1"/>
        <v>4.0485465418279897E-3</v>
      </c>
      <c r="N1162" s="5" t="s">
        <v>4</v>
      </c>
      <c r="O1162" s="97">
        <f ca="1">_xll.meDateFromTenor(O1161,"1D","FOLLOWING","TGT")</f>
        <v>44158</v>
      </c>
      <c r="P1162" s="95">
        <f ca="1"/>
        <v>6.0648422294905186E-3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1.0338852365589257E-3</v>
      </c>
      <c r="H1163" s="92" t="s">
        <v>4</v>
      </c>
      <c r="I1163" s="97">
        <f ca="1">_xll.meDateFromTenor(I1162,"1D","FOLLOWING","TGT")</f>
        <v>44159</v>
      </c>
      <c r="J1163" s="95">
        <f ca="1"/>
        <v>2.1695911158834012E-3</v>
      </c>
      <c r="K1163" s="5" t="s">
        <v>4</v>
      </c>
      <c r="L1163" s="97">
        <f ca="1">_xll.meDateFromTenor(L1162,"1D","FOLLOWING","TGT")</f>
        <v>44159</v>
      </c>
      <c r="M1163" s="95">
        <f ca="1"/>
        <v>4.0554717957412278E-3</v>
      </c>
      <c r="N1163" s="5" t="s">
        <v>4</v>
      </c>
      <c r="O1163" s="97">
        <f ca="1">_xll.meDateFromTenor(O1162,"1D","FOLLOWING","TGT")</f>
        <v>44159</v>
      </c>
      <c r="P1163" s="95">
        <f ca="1"/>
        <v>6.0719702095767122E-3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1.0414512002202662E-3</v>
      </c>
      <c r="H1164" s="92" t="s">
        <v>4</v>
      </c>
      <c r="I1164" s="97">
        <f ca="1">_xll.meDateFromTenor(I1163,"1D","FOLLOWING","TGT")</f>
        <v>44160</v>
      </c>
      <c r="J1164" s="95">
        <f ca="1"/>
        <v>2.1767584209236206E-3</v>
      </c>
      <c r="K1164" s="5" t="s">
        <v>4</v>
      </c>
      <c r="L1164" s="97">
        <f ca="1">_xll.meDateFromTenor(L1163,"1D","FOLLOWING","TGT")</f>
        <v>44160</v>
      </c>
      <c r="M1164" s="95">
        <f ca="1"/>
        <v>4.0624001017868618E-3</v>
      </c>
      <c r="N1164" s="5" t="s">
        <v>4</v>
      </c>
      <c r="O1164" s="97">
        <f ca="1">_xll.meDateFromTenor(O1163,"1D","FOLLOWING","TGT")</f>
        <v>44160</v>
      </c>
      <c r="P1164" s="95">
        <f ca="1"/>
        <v>6.0791010212449372E-3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1.0489951566598874E-3</v>
      </c>
      <c r="H1165" s="92" t="s">
        <v>4</v>
      </c>
      <c r="I1165" s="97">
        <f ca="1">_xll.meDateFromTenor(I1164,"1D","FOLLOWING","TGT")</f>
        <v>44161</v>
      </c>
      <c r="J1165" s="95">
        <f ca="1"/>
        <v>2.1839310024193617E-3</v>
      </c>
      <c r="K1165" s="5" t="s">
        <v>4</v>
      </c>
      <c r="L1165" s="97">
        <f ca="1">_xll.meDateFromTenor(L1164,"1D","FOLLOWING","TGT")</f>
        <v>44161</v>
      </c>
      <c r="M1165" s="95">
        <f ca="1"/>
        <v>4.0693314580079153E-3</v>
      </c>
      <c r="N1165" s="5" t="s">
        <v>4</v>
      </c>
      <c r="O1165" s="97">
        <f ca="1">_xll.meDateFromTenor(O1164,"1D","FOLLOWING","TGT")</f>
        <v>44161</v>
      </c>
      <c r="P1165" s="95">
        <f ca="1"/>
        <v>6.0862346494806293E-3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1.056514285613613E-3</v>
      </c>
      <c r="H1166" s="92" t="s">
        <v>4</v>
      </c>
      <c r="I1166" s="97">
        <f ca="1">_xll.meDateFromTenor(I1165,"1D","FOLLOWING","TGT")</f>
        <v>44162</v>
      </c>
      <c r="J1166" s="95">
        <f ca="1"/>
        <v>2.1911088827251744E-3</v>
      </c>
      <c r="K1166" s="5" t="s">
        <v>4</v>
      </c>
      <c r="L1166" s="97">
        <f ca="1">_xll.meDateFromTenor(L1165,"1D","FOLLOWING","TGT")</f>
        <v>44162</v>
      </c>
      <c r="M1166" s="95">
        <f ca="1"/>
        <v>4.0762658624474138E-3</v>
      </c>
      <c r="N1166" s="5" t="s">
        <v>4</v>
      </c>
      <c r="O1166" s="97">
        <f ca="1">_xll.meDateFromTenor(O1165,"1D","FOLLOWING","TGT")</f>
        <v>44162</v>
      </c>
      <c r="P1166" s="95">
        <f ca="1"/>
        <v>6.0933710792692346E-3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1.0788945049176252E-3</v>
      </c>
      <c r="H1167" s="92" t="s">
        <v>4</v>
      </c>
      <c r="I1167" s="97">
        <f ca="1">_xll.meDateFromTenor(I1166,"1D","FOLLOWING","TGT")</f>
        <v>44165</v>
      </c>
      <c r="J1167" s="95">
        <f ca="1"/>
        <v>2.2126745400485003E-3</v>
      </c>
      <c r="K1167" s="5" t="s">
        <v>4</v>
      </c>
      <c r="L1167" s="97">
        <f ca="1">_xll.meDateFromTenor(L1166,"1D","FOLLOWING","TGT")</f>
        <v>44165</v>
      </c>
      <c r="M1167" s="95">
        <f ca="1"/>
        <v>4.0970873455067908E-3</v>
      </c>
      <c r="N1167" s="5" t="s">
        <v>4</v>
      </c>
      <c r="O1167" s="97">
        <f ca="1">_xll.meDateFromTenor(O1166,"1D","FOLLOWING","TGT")</f>
        <v>44165</v>
      </c>
      <c r="P1167" s="95">
        <f ca="1"/>
        <v>6.1147970278068835E-3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1.0862861212859831E-3</v>
      </c>
      <c r="H1168" s="92" t="s">
        <v>4</v>
      </c>
      <c r="I1168" s="97">
        <f ca="1">_xll.meDateFromTenor(I1167,"1D","FOLLOWING","TGT")</f>
        <v>44166</v>
      </c>
      <c r="J1168" s="95">
        <f ca="1"/>
        <v>2.219873839140065E-3</v>
      </c>
      <c r="K1168" s="5" t="s">
        <v>4</v>
      </c>
      <c r="L1168" s="97">
        <f ca="1">_xll.meDateFromTenor(L1167,"1D","FOLLOWING","TGT")</f>
        <v>44166</v>
      </c>
      <c r="M1168" s="95">
        <f ca="1"/>
        <v>4.1040339232502896E-3</v>
      </c>
      <c r="N1168" s="5" t="s">
        <v>4</v>
      </c>
      <c r="O1168" s="97">
        <f ca="1">_xll.meDateFromTenor(O1167,"1D","FOLLOWING","TGT")</f>
        <v>44166</v>
      </c>
      <c r="P1168" s="95">
        <f ca="1"/>
        <v>6.1219445136615107E-3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1.0936388088475585E-3</v>
      </c>
      <c r="H1169" s="92" t="s">
        <v>4</v>
      </c>
      <c r="I1169" s="97">
        <f ca="1">_xll.meDateFromTenor(I1168,"1D","FOLLOWING","TGT")</f>
        <v>44167</v>
      </c>
      <c r="J1169" s="95">
        <f ca="1"/>
        <v>2.2270785488144387E-3</v>
      </c>
      <c r="K1169" s="5" t="s">
        <v>4</v>
      </c>
      <c r="L1169" s="97">
        <f ca="1">_xll.meDateFromTenor(L1168,"1D","FOLLOWING","TGT")</f>
        <v>44167</v>
      </c>
      <c r="M1169" s="95">
        <f ca="1"/>
        <v>4.1109835394273495E-3</v>
      </c>
      <c r="N1169" s="5" t="s">
        <v>4</v>
      </c>
      <c r="O1169" s="97">
        <f ca="1">_xll.meDateFromTenor(O1168,"1D","FOLLOWING","TGT")</f>
        <v>44167</v>
      </c>
      <c r="P1169" s="95">
        <f ca="1"/>
        <v>6.129094725996243E-3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1.1009504480522776E-3</v>
      </c>
      <c r="H1170" s="92" t="s">
        <v>4</v>
      </c>
      <c r="I1170" s="97">
        <f ca="1">_xll.meDateFromTenor(I1169,"1D","FOLLOWING","TGT")</f>
        <v>44168</v>
      </c>
      <c r="J1170" s="95">
        <f ca="1"/>
        <v>2.2342886789972565E-3</v>
      </c>
      <c r="K1170" s="5" t="s">
        <v>4</v>
      </c>
      <c r="L1170" s="97">
        <f ca="1">_xll.meDateFromTenor(L1169,"1D","FOLLOWING","TGT")</f>
        <v>44168</v>
      </c>
      <c r="M1170" s="95">
        <f ca="1"/>
        <v>4.1179361920454698E-3</v>
      </c>
      <c r="N1170" s="5" t="s">
        <v>4</v>
      </c>
      <c r="O1170" s="97">
        <f ca="1">_xll.meDateFromTenor(O1169,"1D","FOLLOWING","TGT")</f>
        <v>44168</v>
      </c>
      <c r="P1170" s="95">
        <f ca="1"/>
        <v>6.1362476497965153E-3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1.1082217222065109E-3</v>
      </c>
      <c r="H1171" s="92" t="s">
        <v>4</v>
      </c>
      <c r="I1171" s="97">
        <f ca="1">_xll.meDateFromTenor(I1170,"1D","FOLLOWING","TGT")</f>
        <v>44169</v>
      </c>
      <c r="J1171" s="95">
        <f ca="1"/>
        <v>2.2415041898985245E-3</v>
      </c>
      <c r="K1171" s="5" t="s">
        <v>4</v>
      </c>
      <c r="L1171" s="97">
        <f ca="1">_xll.meDateFromTenor(L1170,"1D","FOLLOWING","TGT")</f>
        <v>44169</v>
      </c>
      <c r="M1171" s="95">
        <f ca="1"/>
        <v>4.1248918789700793E-3</v>
      </c>
      <c r="N1171" s="5" t="s">
        <v>4</v>
      </c>
      <c r="O1171" s="97">
        <f ca="1">_xll.meDateFromTenor(O1170,"1D","FOLLOWING","TGT")</f>
        <v>44169</v>
      </c>
      <c r="P1171" s="95">
        <f ca="1"/>
        <v>6.1434032700477719E-3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1.1298071945710253E-3</v>
      </c>
      <c r="H1172" s="92" t="s">
        <v>4</v>
      </c>
      <c r="I1172" s="97">
        <f ca="1">_xll.meDateFromTenor(I1171,"1D","FOLLOWING","TGT")</f>
        <v>44172</v>
      </c>
      <c r="J1172" s="95">
        <f ca="1"/>
        <v>2.2631824847239466E-3</v>
      </c>
      <c r="K1172" s="5" t="s">
        <v>4</v>
      </c>
      <c r="L1172" s="97">
        <f ca="1">_xll.meDateFromTenor(L1171,"1D","FOLLOWING","TGT")</f>
        <v>44172</v>
      </c>
      <c r="M1172" s="95">
        <f ca="1"/>
        <v>4.1457771238818638E-3</v>
      </c>
      <c r="N1172" s="5" t="s">
        <v>4</v>
      </c>
      <c r="O1172" s="97">
        <f ca="1">_xll.meDateFromTenor(O1171,"1D","FOLLOWING","TGT")</f>
        <v>44172</v>
      </c>
      <c r="P1172" s="95">
        <f ca="1"/>
        <v>6.1648861593618185E-3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1.1369308487280555E-3</v>
      </c>
      <c r="H1173" s="92" t="s">
        <v>4</v>
      </c>
      <c r="I1173" s="97">
        <f ca="1">_xll.meDateFromTenor(I1172,"1D","FOLLOWING","TGT")</f>
        <v>44173</v>
      </c>
      <c r="J1173" s="95">
        <f ca="1"/>
        <v>2.2704189963099423E-3</v>
      </c>
      <c r="K1173" s="5" t="s">
        <v>4</v>
      </c>
      <c r="L1173" s="97">
        <f ca="1">_xll.meDateFromTenor(L1172,"1D","FOLLOWING","TGT")</f>
        <v>44173</v>
      </c>
      <c r="M1173" s="95">
        <f ca="1"/>
        <v>4.1527449263314619E-3</v>
      </c>
      <c r="N1173" s="5" t="s">
        <v>4</v>
      </c>
      <c r="O1173" s="97">
        <f ca="1">_xll.meDateFromTenor(O1172,"1D","FOLLOWING","TGT")</f>
        <v>44173</v>
      </c>
      <c r="P1173" s="95">
        <f ca="1"/>
        <v>6.1720524152713944E-3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1.1440210579369697E-3</v>
      </c>
      <c r="H1174" s="92" t="s">
        <v>4</v>
      </c>
      <c r="I1174" s="97">
        <f ca="1">_xll.meDateFromTenor(I1173,"1D","FOLLOWING","TGT")</f>
        <v>44174</v>
      </c>
      <c r="J1174" s="95">
        <f ca="1"/>
        <v>2.2776606275198511E-3</v>
      </c>
      <c r="K1174" s="5" t="s">
        <v>4</v>
      </c>
      <c r="L1174" s="97">
        <f ca="1">_xll.meDateFromTenor(L1173,"1D","FOLLOWING","TGT")</f>
        <v>44174</v>
      </c>
      <c r="M1174" s="95">
        <f ca="1"/>
        <v>4.1597157522370656E-3</v>
      </c>
      <c r="N1174" s="5" t="s">
        <v>4</v>
      </c>
      <c r="O1174" s="97">
        <f ca="1">_xll.meDateFromTenor(O1173,"1D","FOLLOWING","TGT")</f>
        <v>44174</v>
      </c>
      <c r="P1174" s="95">
        <f ca="1"/>
        <v>6.1792212925591439E-3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1.1510792062182471E-3</v>
      </c>
      <c r="H1175" s="92" t="s">
        <v>4</v>
      </c>
      <c r="I1175" s="97">
        <f ca="1">_xll.meDateFromTenor(I1174,"1D","FOLLOWING","TGT")</f>
        <v>44175</v>
      </c>
      <c r="J1175" s="95">
        <f ca="1"/>
        <v>2.2849073261347707E-3</v>
      </c>
      <c r="K1175" s="5" t="s">
        <v>4</v>
      </c>
      <c r="L1175" s="97">
        <f ca="1">_xll.meDateFromTenor(L1174,"1D","FOLLOWING","TGT")</f>
        <v>44175</v>
      </c>
      <c r="M1175" s="95">
        <f ca="1"/>
        <v>4.1666895994285852E-3</v>
      </c>
      <c r="N1175" s="5" t="s">
        <v>4</v>
      </c>
      <c r="O1175" s="97">
        <f ca="1">_xll.meDateFromTenor(O1174,"1D","FOLLOWING","TGT")</f>
        <v>44175</v>
      </c>
      <c r="P1175" s="95">
        <f ca="1"/>
        <v>6.1863927762105123E-3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1.1581066775923578E-3</v>
      </c>
      <c r="H1176" s="92" t="s">
        <v>4</v>
      </c>
      <c r="I1176" s="97">
        <f ca="1">_xll.meDateFromTenor(I1175,"1D","FOLLOWING","TGT")</f>
        <v>44176</v>
      </c>
      <c r="J1176" s="95">
        <f ca="1"/>
        <v>2.2921590399357897E-3</v>
      </c>
      <c r="K1176" s="5" t="s">
        <v>4</v>
      </c>
      <c r="L1176" s="97">
        <f ca="1">_xll.meDateFromTenor(L1175,"1D","FOLLOWING","TGT")</f>
        <v>44176</v>
      </c>
      <c r="M1176" s="95">
        <f ca="1"/>
        <v>4.1736664657359181E-3</v>
      </c>
      <c r="N1176" s="5" t="s">
        <v>4</v>
      </c>
      <c r="O1176" s="97">
        <f ca="1">_xll.meDateFromTenor(O1175,"1D","FOLLOWING","TGT")</f>
        <v>44176</v>
      </c>
      <c r="P1176" s="95">
        <f ca="1"/>
        <v>6.1935668512109344E-3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1.1790188704764557E-3</v>
      </c>
      <c r="H1177" s="92" t="s">
        <v>4</v>
      </c>
      <c r="I1177" s="97">
        <f ca="1">_xll.meDateFromTenor(I1176,"1D","FOLLOWING","TGT")</f>
        <v>44179</v>
      </c>
      <c r="J1177" s="95">
        <f ca="1"/>
        <v>2.313943750266396E-3</v>
      </c>
      <c r="K1177" s="5" t="s">
        <v>4</v>
      </c>
      <c r="L1177" s="97">
        <f ca="1">_xll.meDateFromTenor(L1176,"1D","FOLLOWING","TGT")</f>
        <v>44179</v>
      </c>
      <c r="M1177" s="95">
        <f ca="1"/>
        <v>4.1946151576518608E-3</v>
      </c>
      <c r="N1177" s="5" t="s">
        <v>4</v>
      </c>
      <c r="O1177" s="97">
        <f ca="1">_xll.meDateFromTenor(O1176,"1D","FOLLOWING","TGT")</f>
        <v>44179</v>
      </c>
      <c r="P1177" s="95">
        <f ca="1"/>
        <v>6.2151044741609249E-3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1.18593747442666E-3</v>
      </c>
      <c r="H1178" s="92" t="s">
        <v>4</v>
      </c>
      <c r="I1178" s="97">
        <f ca="1">_xll.meDateFromTenor(I1177,"1D","FOLLOWING","TGT")</f>
        <v>44180</v>
      </c>
      <c r="J1178" s="95">
        <f ca="1"/>
        <v>2.3212150026227594E-3</v>
      </c>
      <c r="K1178" s="5" t="s">
        <v>4</v>
      </c>
      <c r="L1178" s="97">
        <f ca="1">_xll.meDateFromTenor(L1177,"1D","FOLLOWING","TGT")</f>
        <v>44180</v>
      </c>
      <c r="M1178" s="95">
        <f ca="1"/>
        <v>4.2016040787215053E-3</v>
      </c>
      <c r="N1178" s="5" t="s">
        <v>4</v>
      </c>
      <c r="O1178" s="97">
        <f ca="1">_xll.meDateFromTenor(O1177,"1D","FOLLOWING","TGT")</f>
        <v>44180</v>
      </c>
      <c r="P1178" s="95">
        <f ca="1"/>
        <v>6.2222887644119602E-3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1.1928323215720721E-3</v>
      </c>
      <c r="H1179" s="92" t="s">
        <v>4</v>
      </c>
      <c r="I1179" s="97">
        <f ca="1">_xll.meDateFromTenor(I1178,"1D","FOLLOWING","TGT")</f>
        <v>44181</v>
      </c>
      <c r="J1179" s="95">
        <f ca="1"/>
        <v>2.3284910090706898E-3</v>
      </c>
      <c r="K1179" s="5" t="s">
        <v>4</v>
      </c>
      <c r="L1179" s="97">
        <f ca="1">_xll.meDateFromTenor(L1178,"1D","FOLLOWING","TGT")</f>
        <v>44181</v>
      </c>
      <c r="M1179" s="95">
        <f ca="1"/>
        <v>4.2085960080564845E-3</v>
      </c>
      <c r="N1179" s="5" t="s">
        <v>4</v>
      </c>
      <c r="O1179" s="97">
        <f ca="1">_xll.meDateFromTenor(O1178,"1D","FOLLOWING","TGT")</f>
        <v>44181</v>
      </c>
      <c r="P1179" s="95">
        <f ca="1"/>
        <v>6.2294755709392472E-3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1.1997047959331688E-3</v>
      </c>
      <c r="H1180" s="92" t="s">
        <v>4</v>
      </c>
      <c r="I1180" s="97">
        <f ca="1">_xll.meDateFromTenor(I1179,"1D","FOLLOWING","TGT")</f>
        <v>44182</v>
      </c>
      <c r="J1180" s="95">
        <f ca="1"/>
        <v>2.3357717173912817E-3</v>
      </c>
      <c r="K1180" s="5" t="s">
        <v>4</v>
      </c>
      <c r="L1180" s="97">
        <f ca="1">_xll.meDateFromTenor(L1179,"1D","FOLLOWING","TGT")</f>
        <v>44182</v>
      </c>
      <c r="M1180" s="95">
        <f ca="1"/>
        <v>4.2155909434867063E-3</v>
      </c>
      <c r="N1180" s="5" t="s">
        <v>4</v>
      </c>
      <c r="O1180" s="97">
        <f ca="1">_xll.meDateFromTenor(O1179,"1D","FOLLOWING","TGT")</f>
        <v>44182</v>
      </c>
      <c r="P1180" s="95">
        <f ca="1"/>
        <v>6.2366648787282198E-3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1.2065562815304273E-3</v>
      </c>
      <c r="H1181" s="92" t="s">
        <v>4</v>
      </c>
      <c r="I1181" s="97">
        <f ca="1">_xll.meDateFromTenor(I1180,"1D","FOLLOWING","TGT")</f>
        <v>44183</v>
      </c>
      <c r="J1181" s="95">
        <f ca="1"/>
        <v>2.3430570753656321E-3</v>
      </c>
      <c r="K1181" s="5" t="s">
        <v>4</v>
      </c>
      <c r="L1181" s="97">
        <f ca="1">_xll.meDateFromTenor(L1180,"1D","FOLLOWING","TGT")</f>
        <v>44183</v>
      </c>
      <c r="M1181" s="95">
        <f ca="1"/>
        <v>4.2225888828420766E-3</v>
      </c>
      <c r="N1181" s="5" t="s">
        <v>4</v>
      </c>
      <c r="O1181" s="97">
        <f ca="1">_xll.meDateFromTenor(O1180,"1D","FOLLOWING","TGT")</f>
        <v>44183</v>
      </c>
      <c r="P1181" s="95">
        <f ca="1"/>
        <v>6.2438566727643259E-3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1.2269986459439025E-3</v>
      </c>
      <c r="H1182" s="92" t="s">
        <v>4</v>
      </c>
      <c r="I1182" s="97">
        <f ca="1">_xll.meDateFromTenor(I1181,"1D","FOLLOWING","TGT")</f>
        <v>44186</v>
      </c>
      <c r="J1182" s="95">
        <f ca="1"/>
        <v>2.3649405250221463E-3</v>
      </c>
      <c r="K1182" s="5" t="s">
        <v>4</v>
      </c>
      <c r="L1182" s="97">
        <f ca="1">_xll.meDateFromTenor(L1181,"1D","FOLLOWING","TGT")</f>
        <v>44186</v>
      </c>
      <c r="M1182" s="95">
        <f ca="1"/>
        <v>4.2436007027581027E-3</v>
      </c>
      <c r="N1182" s="5" t="s">
        <v>4</v>
      </c>
      <c r="O1182" s="97">
        <f ca="1">_xll.meDateFromTenor(O1181,"1D","FOLLOWING","TGT")</f>
        <v>44186</v>
      </c>
      <c r="P1182" s="95">
        <f ca="1"/>
        <v>6.2654468222098011E-3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1.2337800166905446E-3</v>
      </c>
      <c r="H1183" s="92" t="s">
        <v>4</v>
      </c>
      <c r="I1183" s="97">
        <f ca="1">_xll.meDateFromTenor(I1182,"1D","FOLLOWING","TGT")</f>
        <v>44187</v>
      </c>
      <c r="J1183" s="95">
        <f ca="1"/>
        <v>2.3722439594224512E-3</v>
      </c>
      <c r="K1183" s="5" t="s">
        <v>4</v>
      </c>
      <c r="L1183" s="97">
        <f ca="1">_xll.meDateFromTenor(L1182,"1D","FOLLOWING","TGT")</f>
        <v>44187</v>
      </c>
      <c r="M1183" s="95">
        <f ca="1"/>
        <v>4.2506106361130972E-3</v>
      </c>
      <c r="N1183" s="5" t="s">
        <v>4</v>
      </c>
      <c r="O1183" s="97">
        <f ca="1">_xll.meDateFromTenor(O1182,"1D","FOLLOWING","TGT")</f>
        <v>44187</v>
      </c>
      <c r="P1183" s="95">
        <f ca="1"/>
        <v>6.2726484110888093E-3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1.2405473187757203E-3</v>
      </c>
      <c r="H1184" s="92" t="s">
        <v>4</v>
      </c>
      <c r="I1184" s="97">
        <f ca="1">_xll.meDateFromTenor(I1183,"1D","FOLLOWING","TGT")</f>
        <v>44188</v>
      </c>
      <c r="J1184" s="95">
        <f ca="1"/>
        <v>2.3795517823819779E-3</v>
      </c>
      <c r="K1184" s="5" t="s">
        <v>4</v>
      </c>
      <c r="L1184" s="97">
        <f ca="1">_xll.meDateFromTenor(L1183,"1D","FOLLOWING","TGT")</f>
        <v>44188</v>
      </c>
      <c r="M1184" s="95">
        <f ca="1"/>
        <v>4.2576235625427609E-3</v>
      </c>
      <c r="N1184" s="5" t="s">
        <v>4</v>
      </c>
      <c r="O1184" s="97">
        <f ca="1">_xll.meDateFromTenor(O1183,"1D","FOLLOWING","TGT")</f>
        <v>44188</v>
      </c>
      <c r="P1184" s="95">
        <f ca="1"/>
        <v>6.2798524111421436E-3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1.2473019362199062E-3</v>
      </c>
      <c r="H1185" s="92" t="s">
        <v>4</v>
      </c>
      <c r="I1185" s="97">
        <f ca="1">_xll.meDateFromTenor(I1184,"1D","FOLLOWING","TGT")</f>
        <v>44189</v>
      </c>
      <c r="J1185" s="95">
        <f ca="1"/>
        <v>2.3868639416818227E-3</v>
      </c>
      <c r="K1185" s="5" t="s">
        <v>4</v>
      </c>
      <c r="L1185" s="97">
        <f ca="1">_xll.meDateFromTenor(L1184,"1D","FOLLOWING","TGT")</f>
        <v>44189</v>
      </c>
      <c r="M1185" s="95">
        <f ca="1"/>
        <v>4.2646394798769981E-3</v>
      </c>
      <c r="N1185" s="5" t="s">
        <v>4</v>
      </c>
      <c r="O1185" s="97">
        <f ca="1">_xll.meDateFromTenor(O1184,"1D","FOLLOWING","TGT")</f>
        <v>44189</v>
      </c>
      <c r="P1185" s="95">
        <f ca="1"/>
        <v>6.2870588073552424E-3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1.2742212399962233E-3</v>
      </c>
      <c r="H1186" s="92" t="s">
        <v>4</v>
      </c>
      <c r="I1186" s="97">
        <f ca="1">_xll.meDateFromTenor(I1185,"1D","FOLLOWING","TGT")</f>
        <v>44193</v>
      </c>
      <c r="J1186" s="95">
        <f ca="1"/>
        <v>2.416154897906224E-3</v>
      </c>
      <c r="K1186" s="5" t="s">
        <v>4</v>
      </c>
      <c r="L1186" s="97">
        <f ca="1">_xll.meDateFromTenor(L1185,"1D","FOLLOWING","TGT")</f>
        <v>44193</v>
      </c>
      <c r="M1186" s="95">
        <f ca="1"/>
        <v>4.2927330148577452E-3</v>
      </c>
      <c r="N1186" s="5" t="s">
        <v>4</v>
      </c>
      <c r="O1186" s="97">
        <f ca="1">_xll.meDateFromTenor(O1185,"1D","FOLLOWING","TGT")</f>
        <v>44193</v>
      </c>
      <c r="P1186" s="95">
        <f ca="1"/>
        <v>6.3159080535140442E-3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1.2809331945425732E-3</v>
      </c>
      <c r="H1187" s="92" t="s">
        <v>4</v>
      </c>
      <c r="I1187" s="97">
        <f ca="1">_xll.meDateFromTenor(I1186,"1D","FOLLOWING","TGT")</f>
        <v>44194</v>
      </c>
      <c r="J1187" s="95">
        <f ca="1"/>
        <v>2.4234879556240493E-3</v>
      </c>
      <c r="K1187" s="5" t="s">
        <v>4</v>
      </c>
      <c r="L1187" s="97">
        <f ca="1">_xll.meDateFromTenor(L1186,"1D","FOLLOWING","TGT")</f>
        <v>44194</v>
      </c>
      <c r="M1187" s="95">
        <f ca="1"/>
        <v>4.2997638541634057E-3</v>
      </c>
      <c r="N1187" s="5" t="s">
        <v>4</v>
      </c>
      <c r="O1187" s="97">
        <f ca="1">_xll.meDateFromTenor(O1186,"1D","FOLLOWING","TGT")</f>
        <v>44194</v>
      </c>
      <c r="P1187" s="95">
        <f ca="1"/>
        <v>6.3231262053075454E-3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1.2876407685707778E-3</v>
      </c>
      <c r="H1188" s="92" t="s">
        <v>4</v>
      </c>
      <c r="I1188" s="97">
        <f ca="1">_xll.meDateFromTenor(I1187,"1D","FOLLOWING","TGT")</f>
        <v>44195</v>
      </c>
      <c r="J1188" s="95">
        <f ca="1"/>
        <v>2.4308250363687485E-3</v>
      </c>
      <c r="K1188" s="5" t="s">
        <v>4</v>
      </c>
      <c r="L1188" s="97">
        <f ca="1">_xll.meDateFromTenor(L1187,"1D","FOLLOWING","TGT")</f>
        <v>44195</v>
      </c>
      <c r="M1188" s="95">
        <f ca="1"/>
        <v>4.3067976713530619E-3</v>
      </c>
      <c r="N1188" s="5" t="s">
        <v>4</v>
      </c>
      <c r="O1188" s="97">
        <f ca="1">_xll.meDateFromTenor(O1187,"1D","FOLLOWING","TGT")</f>
        <v>44195</v>
      </c>
      <c r="P1188" s="95">
        <f ca="1"/>
        <v>6.3303466631734412E-3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1.2943453461013168E-3</v>
      </c>
      <c r="H1189" s="92" t="s">
        <v>4</v>
      </c>
      <c r="I1189" s="97">
        <f ca="1">_xll.meDateFromTenor(I1188,"1D","FOLLOWING","TGT")</f>
        <v>44196</v>
      </c>
      <c r="J1189" s="95">
        <f ca="1"/>
        <v>2.4381660879214204E-3</v>
      </c>
      <c r="K1189" s="5" t="s">
        <v>4</v>
      </c>
      <c r="L1189" s="97">
        <f ca="1">_xll.meDateFromTenor(L1188,"1D","FOLLOWING","TGT")</f>
        <v>44196</v>
      </c>
      <c r="M1189" s="95">
        <f ca="1"/>
        <v>4.3138344642566209E-3</v>
      </c>
      <c r="N1189" s="5" t="s">
        <v>4</v>
      </c>
      <c r="O1189" s="97">
        <f ca="1">_xll.meDateFromTenor(O1188,"1D","FOLLOWING","TGT")</f>
        <v>44196</v>
      </c>
      <c r="P1189" s="95">
        <f ca="1"/>
        <v>6.3375694120971779E-3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1.3212348860059118E-3</v>
      </c>
      <c r="H1190" s="92" t="s">
        <v>4</v>
      </c>
      <c r="I1190" s="97">
        <f ca="1">_xll.meDateFromTenor(I1189,"1D","FOLLOWING","TGT")</f>
        <v>44200</v>
      </c>
      <c r="J1190" s="95">
        <f ca="1"/>
        <v>2.4676495966992119E-3</v>
      </c>
      <c r="K1190" s="5" t="s">
        <v>4</v>
      </c>
      <c r="L1190" s="97">
        <f ca="1">_xll.meDateFromTenor(L1189,"1D","FOLLOWING","TGT")</f>
        <v>44200</v>
      </c>
      <c r="M1190" s="95">
        <f ca="1"/>
        <v>4.3420886117788854E-3</v>
      </c>
      <c r="N1190" s="5" t="s">
        <v>4</v>
      </c>
      <c r="O1190" s="97">
        <f ca="1">_xll.meDateFromTenor(O1189,"1D","FOLLOWING","TGT")</f>
        <v>44200</v>
      </c>
      <c r="P1190" s="95">
        <f ca="1"/>
        <v>6.3665622825794963E-3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1.3279639478158195E-3</v>
      </c>
      <c r="H1191" s="92" t="s">
        <v>4</v>
      </c>
      <c r="I1191" s="97">
        <f ca="1">_xll.meDateFromTenor(I1190,"1D","FOLLOWING","TGT")</f>
        <v>44201</v>
      </c>
      <c r="J1191" s="95">
        <f ca="1"/>
        <v>2.4750299292495529E-3</v>
      </c>
      <c r="K1191" s="5" t="s">
        <v>4</v>
      </c>
      <c r="L1191" s="97">
        <f ca="1">_xll.meDateFromTenor(L1190,"1D","FOLLOWING","TGT")</f>
        <v>44201</v>
      </c>
      <c r="M1191" s="95">
        <f ca="1"/>
        <v>4.3491596068983857E-3</v>
      </c>
      <c r="N1191" s="5" t="s">
        <v>4</v>
      </c>
      <c r="O1191" s="97">
        <f ca="1">_xll.meDateFromTenor(O1190,"1D","FOLLOWING","TGT")</f>
        <v>44201</v>
      </c>
      <c r="P1191" s="95">
        <f ca="1"/>
        <v>6.3738161079923503E-3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1.334699952088119E-3</v>
      </c>
      <c r="H1192" s="92" t="s">
        <v>4</v>
      </c>
      <c r="I1192" s="97">
        <f ca="1">_xll.meDateFromTenor(I1191,"1D","FOLLOWING","TGT")</f>
        <v>44202</v>
      </c>
      <c r="J1192" s="95">
        <f ca="1"/>
        <v>2.4824139386436907E-3</v>
      </c>
      <c r="K1192" s="5" t="s">
        <v>4</v>
      </c>
      <c r="L1192" s="97">
        <f ca="1">_xll.meDateFromTenor(L1191,"1D","FOLLOWING","TGT")</f>
        <v>44202</v>
      </c>
      <c r="M1192" s="95">
        <f ca="1"/>
        <v>4.3562335809374953E-3</v>
      </c>
      <c r="N1192" s="5" t="s">
        <v>4</v>
      </c>
      <c r="O1192" s="97">
        <f ca="1">_xll.meDateFromTenor(O1191,"1D","FOLLOWING","TGT")</f>
        <v>44202</v>
      </c>
      <c r="P1192" s="95">
        <f ca="1"/>
        <v>6.3810721462455007E-3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1.3414458809012716E-3</v>
      </c>
      <c r="H1193" s="92" t="s">
        <v>4</v>
      </c>
      <c r="I1193" s="97">
        <f ca="1">_xll.meDateFromTenor(I1192,"1D","FOLLOWING","TGT")</f>
        <v>44203</v>
      </c>
      <c r="J1193" s="95">
        <f ca="1"/>
        <v>2.4898015722323451E-3</v>
      </c>
      <c r="K1193" s="5" t="s">
        <v>4</v>
      </c>
      <c r="L1193" s="97">
        <f ca="1">_xll.meDateFromTenor(L1192,"1D","FOLLOWING","TGT")</f>
        <v>44203</v>
      </c>
      <c r="M1193" s="95">
        <f ca="1"/>
        <v>4.3633105317082361E-3</v>
      </c>
      <c r="N1193" s="5" t="s">
        <v>4</v>
      </c>
      <c r="O1193" s="97">
        <f ca="1">_xll.meDateFromTenor(O1192,"1D","FOLLOWING","TGT")</f>
        <v>44203</v>
      </c>
      <c r="P1193" s="95">
        <f ca="1"/>
        <v>6.3883303822006438E-3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1.3482047163337369E-3</v>
      </c>
      <c r="H1194" s="92" t="s">
        <v>4</v>
      </c>
      <c r="I1194" s="97">
        <f ca="1">_xll.meDateFromTenor(I1193,"1D","FOLLOWING","TGT")</f>
        <v>44204</v>
      </c>
      <c r="J1194" s="95">
        <f ca="1"/>
        <v>2.4971927773662366E-3</v>
      </c>
      <c r="K1194" s="5" t="s">
        <v>4</v>
      </c>
      <c r="L1194" s="97">
        <f ca="1">_xll.meDateFromTenor(L1193,"1D","FOLLOWING","TGT")</f>
        <v>44204</v>
      </c>
      <c r="M1194" s="95">
        <f ca="1"/>
        <v>4.3703904570226264E-3</v>
      </c>
      <c r="N1194" s="5" t="s">
        <v>4</v>
      </c>
      <c r="O1194" s="97">
        <f ca="1">_xll.meDateFromTenor(O1193,"1D","FOLLOWING","TGT")</f>
        <v>44204</v>
      </c>
      <c r="P1194" s="95">
        <f ca="1"/>
        <v>6.3955908007194678E-3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1.3685884831316189E-3</v>
      </c>
      <c r="H1195" s="92" t="s">
        <v>4</v>
      </c>
      <c r="I1195" s="97">
        <f ca="1">_xll.meDateFromTenor(I1194,"1D","FOLLOWING","TGT")</f>
        <v>44207</v>
      </c>
      <c r="J1195" s="95">
        <f ca="1"/>
        <v>2.519387295546527E-3</v>
      </c>
      <c r="K1195" s="5" t="s">
        <v>4</v>
      </c>
      <c r="L1195" s="97">
        <f ca="1">_xll.meDateFromTenor(L1194,"1D","FOLLOWING","TGT")</f>
        <v>44207</v>
      </c>
      <c r="M1195" s="95">
        <f ca="1"/>
        <v>4.3916480583478766E-3</v>
      </c>
      <c r="N1195" s="5" t="s">
        <v>4</v>
      </c>
      <c r="O1195" s="97">
        <f ca="1">_xll.meDateFromTenor(O1194,"1D","FOLLOWING","TGT")</f>
        <v>44207</v>
      </c>
      <c r="P1195" s="95">
        <f ca="1"/>
        <v>6.4173850002749696E-3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1.3754287658259451E-3</v>
      </c>
      <c r="H1196" s="92" t="s">
        <v>4</v>
      </c>
      <c r="I1196" s="97">
        <f ca="1">_xll.meDateFromTenor(I1195,"1D","FOLLOWING","TGT")</f>
        <v>44208</v>
      </c>
      <c r="J1196" s="95">
        <f ca="1"/>
        <v>2.5267922603685639E-3</v>
      </c>
      <c r="K1196" s="5" t="s">
        <v>4</v>
      </c>
      <c r="L1196" s="97">
        <f ca="1">_xll.meDateFromTenor(L1195,"1D","FOLLOWING","TGT")</f>
        <v>44208</v>
      </c>
      <c r="M1196" s="95">
        <f ca="1"/>
        <v>4.3987398599570505E-3</v>
      </c>
      <c r="N1196" s="5" t="s">
        <v>4</v>
      </c>
      <c r="O1196" s="97">
        <f ca="1">_xll.meDateFromTenor(O1195,"1D","FOLLOWING","TGT")</f>
        <v>44208</v>
      </c>
      <c r="P1196" s="95">
        <f ca="1"/>
        <v>6.4246539976654613E-3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1.3822968655318889E-3</v>
      </c>
      <c r="H1197" s="92" t="s">
        <v>4</v>
      </c>
      <c r="I1197" s="97">
        <f ca="1">_xll.meDateFromTenor(I1196,"1D","FOLLOWING","TGT")</f>
        <v>44209</v>
      </c>
      <c r="J1197" s="95">
        <f ca="1"/>
        <v>2.5342005334894374E-3</v>
      </c>
      <c r="K1197" s="5" t="s">
        <v>4</v>
      </c>
      <c r="L1197" s="97">
        <f ca="1">_xll.meDateFromTenor(L1196,"1D","FOLLOWING","TGT")</f>
        <v>44209</v>
      </c>
      <c r="M1197" s="95">
        <f ca="1"/>
        <v>4.4058346251699696E-3</v>
      </c>
      <c r="N1197" s="5" t="s">
        <v>4</v>
      </c>
      <c r="O1197" s="97">
        <f ca="1">_xll.meDateFromTenor(O1196,"1D","FOLLOWING","TGT")</f>
        <v>44209</v>
      </c>
      <c r="P1197" s="95">
        <f ca="1"/>
        <v>6.4319251019280994E-3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1.3891957643279104E-3</v>
      </c>
      <c r="H1198" s="92" t="s">
        <v>4</v>
      </c>
      <c r="I1198" s="97">
        <f ca="1">_xll.meDateFromTenor(I1197,"1D","FOLLOWING","TGT")</f>
        <v>44210</v>
      </c>
      <c r="J1198" s="95">
        <f ca="1"/>
        <v>2.5416120622598674E-3</v>
      </c>
      <c r="K1198" s="5" t="s">
        <v>4</v>
      </c>
      <c r="L1198" s="97">
        <f ca="1">_xll.meDateFromTenor(L1197,"1D","FOLLOWING","TGT")</f>
        <v>44210</v>
      </c>
      <c r="M1198" s="95">
        <f ca="1"/>
        <v>4.4129323517986515E-3</v>
      </c>
      <c r="N1198" s="5" t="s">
        <v>4</v>
      </c>
      <c r="O1198" s="97">
        <f ca="1">_xll.meDateFromTenor(O1197,"1D","FOLLOWING","TGT")</f>
        <v>44210</v>
      </c>
      <c r="P1198" s="95">
        <f ca="1"/>
        <v>6.4391982979245836E-3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1.3961284442924702E-3</v>
      </c>
      <c r="H1199" s="92" t="s">
        <v>4</v>
      </c>
      <c r="I1199" s="97">
        <f ca="1">_xll.meDateFromTenor(I1198,"1D","FOLLOWING","TGT")</f>
        <v>44211</v>
      </c>
      <c r="J1199" s="95">
        <f ca="1"/>
        <v>2.5490267940305729E-3</v>
      </c>
      <c r="K1199" s="5" t="s">
        <v>4</v>
      </c>
      <c r="L1199" s="97">
        <f ca="1">_xll.meDateFromTenor(L1198,"1D","FOLLOWING","TGT")</f>
        <v>44211</v>
      </c>
      <c r="M1199" s="95">
        <f ca="1"/>
        <v>4.4200330376551146E-3</v>
      </c>
      <c r="N1199" s="5" t="s">
        <v>4</v>
      </c>
      <c r="O1199" s="97">
        <f ca="1">_xll.meDateFromTenor(O1198,"1D","FOLLOWING","TGT")</f>
        <v>44211</v>
      </c>
      <c r="P1199" s="95">
        <f ca="1"/>
        <v>6.4464735705166022E-3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1.4171589919819891E-3</v>
      </c>
      <c r="H1200" s="92" t="s">
        <v>4</v>
      </c>
      <c r="I1200" s="97">
        <f ca="1">_xll.meDateFromTenor(I1199,"1D","FOLLOWING","TGT")</f>
        <v>44214</v>
      </c>
      <c r="J1200" s="95">
        <f ca="1"/>
        <v>2.5712896808515466E-3</v>
      </c>
      <c r="K1200" s="5" t="s">
        <v>4</v>
      </c>
      <c r="L1200" s="97">
        <f ca="1">_xll.meDateFromTenor(L1199,"1D","FOLLOWING","TGT")</f>
        <v>44214</v>
      </c>
      <c r="M1200" s="95">
        <f ca="1"/>
        <v>4.4413528287113816E-3</v>
      </c>
      <c r="N1200" s="5" t="s">
        <v>4</v>
      </c>
      <c r="O1200" s="97">
        <f ca="1">_xll.meDateFromTenor(O1199,"1D","FOLLOWING","TGT")</f>
        <v>44214</v>
      </c>
      <c r="P1200" s="95">
        <f ca="1"/>
        <v>6.468311696482809E-3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1.4242566174053088E-3</v>
      </c>
      <c r="H1201" s="92" t="s">
        <v>4</v>
      </c>
      <c r="I1201" s="97">
        <f ca="1">_xll.meDateFromTenor(I1200,"1D","FOLLOWING","TGT")</f>
        <v>44215</v>
      </c>
      <c r="J1201" s="95">
        <f ca="1"/>
        <v>2.5787166981305542E-3</v>
      </c>
      <c r="K1201" s="5" t="s">
        <v>4</v>
      </c>
      <c r="L1201" s="97">
        <f ca="1">_xll.meDateFromTenor(L1200,"1D","FOLLOWING","TGT")</f>
        <v>44215</v>
      </c>
      <c r="M1201" s="95">
        <f ca="1"/>
        <v>4.4484653295991591E-3</v>
      </c>
      <c r="N1201" s="5" t="s">
        <v>4</v>
      </c>
      <c r="O1201" s="97">
        <f ca="1">_xll.meDateFromTenor(O1200,"1D","FOLLOWING","TGT")</f>
        <v>44215</v>
      </c>
      <c r="P1201" s="95">
        <f ca="1"/>
        <v>6.4755951240739046E-3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1.4314029343894725E-3</v>
      </c>
      <c r="H1202" s="92" t="s">
        <v>4</v>
      </c>
      <c r="I1202" s="97">
        <f ca="1">_xll.meDateFromTenor(I1201,"1D","FOLLOWING","TGT")</f>
        <v>44216</v>
      </c>
      <c r="J1202" s="95">
        <f ca="1"/>
        <v>2.5861466551634401E-3</v>
      </c>
      <c r="K1202" s="5" t="s">
        <v>4</v>
      </c>
      <c r="L1202" s="97">
        <f ca="1">_xll.meDateFromTenor(L1201,"1D","FOLLOWING","TGT")</f>
        <v>44216</v>
      </c>
      <c r="M1202" s="95">
        <f ca="1"/>
        <v>4.4555807787748144E-3</v>
      </c>
      <c r="N1202" s="5" t="s">
        <v>4</v>
      </c>
      <c r="O1202" s="97">
        <f ca="1">_xll.meDateFromTenor(O1201,"1D","FOLLOWING","TGT")</f>
        <v>44216</v>
      </c>
      <c r="P1202" s="95">
        <f ca="1"/>
        <v>6.4828805525690043E-3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1.4386009250129401E-3</v>
      </c>
      <c r="H1203" s="92" t="s">
        <v>4</v>
      </c>
      <c r="I1203" s="97">
        <f ca="1">_xll.meDateFromTenor(I1202,"1D","FOLLOWING","TGT")</f>
        <v>44217</v>
      </c>
      <c r="J1203" s="95">
        <f ca="1"/>
        <v>2.5935794993009213E-3</v>
      </c>
      <c r="K1203" s="5" t="s">
        <v>4</v>
      </c>
      <c r="L1203" s="97">
        <f ca="1">_xll.meDateFromTenor(L1202,"1D","FOLLOWING","TGT")</f>
        <v>44217</v>
      </c>
      <c r="M1203" s="95">
        <f ca="1"/>
        <v>4.4626991740503641E-3</v>
      </c>
      <c r="N1203" s="5" t="s">
        <v>4</v>
      </c>
      <c r="O1203" s="97">
        <f ca="1">_xll.meDateFromTenor(O1202,"1D","FOLLOWING","TGT")</f>
        <v>44217</v>
      </c>
      <c r="P1203" s="95">
        <f ca="1"/>
        <v>6.4901679668298009E-3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1.4458535713541712E-3</v>
      </c>
      <c r="H1204" s="92" t="s">
        <v>4</v>
      </c>
      <c r="I1204" s="97">
        <f ca="1">_xll.meDateFromTenor(I1203,"1D","FOLLOWING","TGT")</f>
        <v>44218</v>
      </c>
      <c r="J1204" s="95">
        <f ca="1"/>
        <v>2.6010151778937183E-3</v>
      </c>
      <c r="K1204" s="5" t="s">
        <v>4</v>
      </c>
      <c r="L1204" s="97">
        <f ca="1">_xll.meDateFromTenor(L1203,"1D","FOLLOWING","TGT")</f>
        <v>44218</v>
      </c>
      <c r="M1204" s="95">
        <f ca="1"/>
        <v>4.4698205132378283E-3</v>
      </c>
      <c r="N1204" s="5" t="s">
        <v>4</v>
      </c>
      <c r="O1204" s="97">
        <f ca="1">_xll.meDateFromTenor(O1203,"1D","FOLLOWING","TGT")</f>
        <v>44218</v>
      </c>
      <c r="P1204" s="95">
        <f ca="1"/>
        <v>6.4974573517179862E-3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1.4679692654690549E-3</v>
      </c>
      <c r="H1205" s="92" t="s">
        <v>4</v>
      </c>
      <c r="I1205" s="97">
        <f ca="1">_xll.meDateFromTenor(I1204,"1D","FOLLOWING","TGT")</f>
        <v>44221</v>
      </c>
      <c r="J1205" s="95">
        <f ca="1"/>
        <v>2.623338693911203E-3</v>
      </c>
      <c r="K1205" s="5" t="s">
        <v>4</v>
      </c>
      <c r="L1205" s="97">
        <f ca="1">_xll.meDateFromTenor(L1204,"1D","FOLLOWING","TGT")</f>
        <v>44221</v>
      </c>
      <c r="M1205" s="95">
        <f ca="1"/>
        <v>4.4912021723918965E-3</v>
      </c>
      <c r="N1205" s="5" t="s">
        <v>4</v>
      </c>
      <c r="O1205" s="97">
        <f ca="1">_xll.meDateFromTenor(O1204,"1D","FOLLOWING","TGT")</f>
        <v>44221</v>
      </c>
      <c r="P1205" s="95">
        <f ca="1"/>
        <v>6.519337178763812E-3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1.4754703554659488E-3</v>
      </c>
      <c r="H1206" s="92" t="s">
        <v>4</v>
      </c>
      <c r="I1206" s="97">
        <f ca="1">_xll.meDateFromTenor(I1205,"1D","FOLLOWING","TGT")</f>
        <v>44222</v>
      </c>
      <c r="J1206" s="95">
        <f ca="1"/>
        <v>2.6307851838324619E-3</v>
      </c>
      <c r="K1206" s="5" t="s">
        <v>4</v>
      </c>
      <c r="L1206" s="97">
        <f ca="1">_xll.meDateFromTenor(L1205,"1D","FOLLOWING","TGT")</f>
        <v>44222</v>
      </c>
      <c r="M1206" s="95">
        <f ca="1"/>
        <v>4.4983352653472078E-3</v>
      </c>
      <c r="N1206" s="5" t="s">
        <v>4</v>
      </c>
      <c r="O1206" s="97">
        <f ca="1">_xll.meDateFromTenor(O1205,"1D","FOLLOWING","TGT")</f>
        <v>44222</v>
      </c>
      <c r="P1206" s="95">
        <f ca="1"/>
        <v>6.5266342947784889E-3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1.4830410115729102E-3</v>
      </c>
      <c r="H1207" s="92" t="s">
        <v>4</v>
      </c>
      <c r="I1207" s="97">
        <f ca="1">_xll.meDateFromTenor(I1206,"1D","FOLLOWING","TGT")</f>
        <v>44223</v>
      </c>
      <c r="J1207" s="95">
        <f ca="1"/>
        <v>2.6382342449626363E-3</v>
      </c>
      <c r="K1207" s="5" t="s">
        <v>4</v>
      </c>
      <c r="L1207" s="97">
        <f ca="1">_xll.meDateFromTenor(L1206,"1D","FOLLOWING","TGT")</f>
        <v>44223</v>
      </c>
      <c r="M1207" s="95">
        <f ca="1"/>
        <v>4.5054712912745275E-3</v>
      </c>
      <c r="N1207" s="5" t="s">
        <v>4</v>
      </c>
      <c r="O1207" s="97">
        <f ca="1">_xll.meDateFromTenor(O1206,"1D","FOLLOWING","TGT")</f>
        <v>44223</v>
      </c>
      <c r="P1207" s="95">
        <f ca="1"/>
        <v>6.5339333057290207E-3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1.4906842158683977E-3</v>
      </c>
      <c r="H1208" s="92" t="s">
        <v>4</v>
      </c>
      <c r="I1208" s="97">
        <f ca="1">_xll.meDateFromTenor(I1207,"1D","FOLLOWING","TGT")</f>
        <v>44224</v>
      </c>
      <c r="J1208" s="95">
        <f ca="1"/>
        <v>2.645685824652444E-3</v>
      </c>
      <c r="K1208" s="5" t="s">
        <v>4</v>
      </c>
      <c r="L1208" s="97">
        <f ca="1">_xll.meDateFromTenor(L1207,"1D","FOLLOWING","TGT")</f>
        <v>44224</v>
      </c>
      <c r="M1208" s="95">
        <f ca="1"/>
        <v>4.5126102479858725E-3</v>
      </c>
      <c r="N1208" s="5" t="s">
        <v>4</v>
      </c>
      <c r="O1208" s="97">
        <f ca="1">_xll.meDateFromTenor(O1207,"1D","FOLLOWING","TGT")</f>
        <v>44224</v>
      </c>
      <c r="P1208" s="95">
        <f ca="1"/>
        <v>6.5412341964771002E-3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1.4984029504308766E-3</v>
      </c>
      <c r="H1209" s="92" t="s">
        <v>4</v>
      </c>
      <c r="I1209" s="97">
        <f ca="1">_xll.meDateFromTenor(I1208,"1D","FOLLOWING","TGT")</f>
        <v>44225</v>
      </c>
      <c r="J1209" s="95">
        <f ca="1"/>
        <v>2.6531398702526088E-3</v>
      </c>
      <c r="K1209" s="5" t="s">
        <v>4</v>
      </c>
      <c r="L1209" s="97">
        <f ca="1">_xll.meDateFromTenor(L1208,"1D","FOLLOWING","TGT")</f>
        <v>44225</v>
      </c>
      <c r="M1209" s="95">
        <f ca="1"/>
        <v>4.5197521332932672E-3</v>
      </c>
      <c r="N1209" s="5" t="s">
        <v>4</v>
      </c>
      <c r="O1209" s="97">
        <f ca="1">_xll.meDateFromTenor(O1208,"1D","FOLLOWING","TGT")</f>
        <v>44225</v>
      </c>
      <c r="P1209" s="95">
        <f ca="1"/>
        <v>6.5485369518844235E-3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1.522042156504855E-3</v>
      </c>
      <c r="H1210" s="92" t="s">
        <v>4</v>
      </c>
      <c r="I1210" s="97">
        <f ca="1">_xll.meDateFromTenor(I1209,"1D","FOLLOWING","TGT")</f>
        <v>44228</v>
      </c>
      <c r="J1210" s="95">
        <f ca="1"/>
        <v>2.6755162760224334E-3</v>
      </c>
      <c r="K1210" s="5" t="s">
        <v>4</v>
      </c>
      <c r="L1210" s="97">
        <f ca="1">_xll.meDateFromTenor(L1209,"1D","FOLLOWING","TGT")</f>
        <v>44228</v>
      </c>
      <c r="M1210" s="95">
        <f ca="1"/>
        <v>4.5411953389119198E-3</v>
      </c>
      <c r="N1210" s="5" t="s">
        <v>4</v>
      </c>
      <c r="O1210" s="97">
        <f ca="1">_xll.meDateFromTenor(O1209,"1D","FOLLOWING","TGT")</f>
        <v>44228</v>
      </c>
      <c r="P1210" s="95">
        <f ca="1"/>
        <v>6.5704562546787847E-3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1.5300928329198976E-3</v>
      </c>
      <c r="H1211" s="92" t="s">
        <v>4</v>
      </c>
      <c r="I1211" s="97">
        <f ca="1">_xll.meDateFromTenor(I1210,"1D","FOLLOWING","TGT")</f>
        <v>44229</v>
      </c>
      <c r="J1211" s="95">
        <f ca="1"/>
        <v>2.682979658771218E-3</v>
      </c>
      <c r="K1211" s="5" t="s">
        <v>4</v>
      </c>
      <c r="L1211" s="97">
        <f ca="1">_xll.meDateFromTenor(L1210,"1D","FOLLOWING","TGT")</f>
        <v>44229</v>
      </c>
      <c r="M1211" s="95">
        <f ca="1"/>
        <v>4.5483489167236907E-3</v>
      </c>
      <c r="N1211" s="5" t="s">
        <v>4</v>
      </c>
      <c r="O1211" s="97">
        <f ca="1">_xll.meDateFromTenor(O1210,"1D","FOLLOWING","TGT")</f>
        <v>44229</v>
      </c>
      <c r="P1211" s="95">
        <f ca="1"/>
        <v>6.5777663173400133E-3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1.5382321206273556E-3</v>
      </c>
      <c r="H1212" s="92" t="s">
        <v>4</v>
      </c>
      <c r="I1212" s="97">
        <f ca="1">_xll.meDateFromTenor(I1211,"1D","FOLLOWING","TGT")</f>
        <v>44230</v>
      </c>
      <c r="J1212" s="95">
        <f ca="1"/>
        <v>2.6904452441839583E-3</v>
      </c>
      <c r="K1212" s="5" t="s">
        <v>4</v>
      </c>
      <c r="L1212" s="97">
        <f ca="1">_xll.meDateFromTenor(L1211,"1D","FOLLOWING","TGT")</f>
        <v>44230</v>
      </c>
      <c r="M1212" s="95">
        <f ca="1"/>
        <v>4.5555054121916034E-3</v>
      </c>
      <c r="N1212" s="5" t="s">
        <v>4</v>
      </c>
      <c r="O1212" s="97">
        <f ca="1">_xll.meDateFromTenor(O1211,"1D","FOLLOWING","TGT")</f>
        <v>44230</v>
      </c>
      <c r="P1212" s="95">
        <f ca="1"/>
        <v>6.5850781689689494E-3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1.5464538548713015E-3</v>
      </c>
      <c r="H1213" s="92" t="s">
        <v>4</v>
      </c>
      <c r="I1213" s="97">
        <f ca="1">_xll.meDateFromTenor(I1212,"1D","FOLLOWING","TGT")</f>
        <v>44231</v>
      </c>
      <c r="J1213" s="95">
        <f ca="1"/>
        <v>2.6979129796113727E-3</v>
      </c>
      <c r="K1213" s="5" t="s">
        <v>4</v>
      </c>
      <c r="L1213" s="97">
        <f ca="1">_xll.meDateFromTenor(L1212,"1D","FOLLOWING","TGT")</f>
        <v>44231</v>
      </c>
      <c r="M1213" s="95">
        <f ca="1"/>
        <v>4.5626648231276773E-3</v>
      </c>
      <c r="N1213" s="5" t="s">
        <v>4</v>
      </c>
      <c r="O1213" s="97">
        <f ca="1">_xll.meDateFromTenor(O1212,"1D","FOLLOWING","TGT")</f>
        <v>44231</v>
      </c>
      <c r="P1213" s="95">
        <f ca="1"/>
        <v>6.5923917944272891E-3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1.554750041528931E-3</v>
      </c>
      <c r="H1214" s="92" t="s">
        <v>4</v>
      </c>
      <c r="I1214" s="97">
        <f ca="1">_xll.meDateFromTenor(I1213,"1D","FOLLOWING","TGT")</f>
        <v>44232</v>
      </c>
      <c r="J1214" s="95">
        <f ca="1"/>
        <v>2.7053828124041814E-3</v>
      </c>
      <c r="K1214" s="5" t="s">
        <v>4</v>
      </c>
      <c r="L1214" s="97">
        <f ca="1">_xll.meDateFromTenor(L1213,"1D","FOLLOWING","TGT")</f>
        <v>44232</v>
      </c>
      <c r="M1214" s="95">
        <f ca="1"/>
        <v>4.569827147343929E-3</v>
      </c>
      <c r="N1214" s="5" t="s">
        <v>4</v>
      </c>
      <c r="O1214" s="97">
        <f ca="1">_xll.meDateFromTenor(O1213,"1D","FOLLOWING","TGT")</f>
        <v>44232</v>
      </c>
      <c r="P1214" s="95">
        <f ca="1"/>
        <v>6.5997071785767226E-3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1.58000537475587E-3</v>
      </c>
      <c r="H1215" s="92" t="s">
        <v>4</v>
      </c>
      <c r="I1215" s="97">
        <f ca="1">_xll.meDateFromTenor(I1214,"1D","FOLLOWING","TGT")</f>
        <v>44235</v>
      </c>
      <c r="J1215" s="95">
        <f ca="1"/>
        <v>2.7278043684821744E-3</v>
      </c>
      <c r="K1215" s="5" t="s">
        <v>4</v>
      </c>
      <c r="L1215" s="97">
        <f ca="1">_xll.meDateFromTenor(L1214,"1D","FOLLOWING","TGT")</f>
        <v>44235</v>
      </c>
      <c r="M1215" s="95">
        <f ca="1"/>
        <v>4.5913315777939504E-3</v>
      </c>
      <c r="N1215" s="5" t="s">
        <v>4</v>
      </c>
      <c r="O1215" s="97">
        <f ca="1">_xll.meDateFromTenor(O1214,"1D","FOLLOWING","TGT")</f>
        <v>44235</v>
      </c>
      <c r="P1215" s="95">
        <f ca="1"/>
        <v>6.6216637317885324E-3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1.5885194298401858E-3</v>
      </c>
      <c r="H1216" s="92" t="s">
        <v>4</v>
      </c>
      <c r="I1216" s="97">
        <f ca="1">_xll.meDateFromTenor(I1215,"1D","FOLLOWING","TGT")</f>
        <v>44236</v>
      </c>
      <c r="J1216" s="95">
        <f ca="1"/>
        <v>2.7352820642437617E-3</v>
      </c>
      <c r="K1216" s="5" t="s">
        <v>4</v>
      </c>
      <c r="L1216" s="97">
        <f ca="1">_xll.meDateFromTenor(L1215,"1D","FOLLOWING","TGT")</f>
        <v>44236</v>
      </c>
      <c r="M1216" s="95">
        <f ca="1"/>
        <v>4.5985055332511101E-3</v>
      </c>
      <c r="N1216" s="5" t="s">
        <v>4</v>
      </c>
      <c r="O1216" s="97">
        <f ca="1">_xll.meDateFromTenor(O1215,"1D","FOLLOWING","TGT")</f>
        <v>44236</v>
      </c>
      <c r="P1216" s="95">
        <f ca="1"/>
        <v>6.6289859993192831E-3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1.5970679667241621E-3</v>
      </c>
      <c r="H1217" s="92" t="s">
        <v>4</v>
      </c>
      <c r="I1217" s="97">
        <f ca="1">_xll.meDateFromTenor(I1216,"1D","FOLLOWING","TGT")</f>
        <v>44237</v>
      </c>
      <c r="J1217" s="95">
        <f ca="1"/>
        <v>2.7427615941243433E-3</v>
      </c>
      <c r="K1217" s="5" t="s">
        <v>4</v>
      </c>
      <c r="L1217" s="97">
        <f ca="1">_xll.meDateFromTenor(L1216,"1D","FOLLOWING","TGT")</f>
        <v>44237</v>
      </c>
      <c r="M1217" s="95">
        <f ca="1"/>
        <v>4.6056823910485441E-3</v>
      </c>
      <c r="N1217" s="5" t="s">
        <v>4</v>
      </c>
      <c r="O1217" s="97">
        <f ca="1">_xll.meDateFromTenor(O1216,"1D","FOLLOWING","TGT")</f>
        <v>44237</v>
      </c>
      <c r="P1217" s="95">
        <f ca="1"/>
        <v>6.6363099498495956E-3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1.6056429912849935E-3</v>
      </c>
      <c r="H1218" s="92" t="s">
        <v>4</v>
      </c>
      <c r="I1218" s="97">
        <f ca="1">_xll.meDateFromTenor(I1217,"1D","FOLLOWING","TGT")</f>
        <v>44238</v>
      </c>
      <c r="J1218" s="95">
        <f ca="1"/>
        <v>2.7502429054746392E-3</v>
      </c>
      <c r="K1218" s="5" t="s">
        <v>4</v>
      </c>
      <c r="L1218" s="97">
        <f ca="1">_xll.meDateFromTenor(L1217,"1D","FOLLOWING","TGT")</f>
        <v>44238</v>
      </c>
      <c r="M1218" s="95">
        <f ca="1"/>
        <v>4.6128621489982709E-3</v>
      </c>
      <c r="N1218" s="5" t="s">
        <v>4</v>
      </c>
      <c r="O1218" s="97">
        <f ca="1">_xll.meDateFromTenor(O1217,"1D","FOLLOWING","TGT")</f>
        <v>44238</v>
      </c>
      <c r="P1218" s="95">
        <f ca="1"/>
        <v>6.6436355682411635E-3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1.6142365093998752E-3</v>
      </c>
      <c r="H1219" s="92" t="s">
        <v>4</v>
      </c>
      <c r="I1219" s="97">
        <f ca="1">_xll.meDateFromTenor(I1218,"1D","FOLLOWING","TGT")</f>
        <v>44239</v>
      </c>
      <c r="J1219" s="95">
        <f ca="1"/>
        <v>2.7577259456453697E-3</v>
      </c>
      <c r="K1219" s="5" t="s">
        <v>4</v>
      </c>
      <c r="L1219" s="97">
        <f ca="1">_xll.meDateFromTenor(L1218,"1D","FOLLOWING","TGT")</f>
        <v>44239</v>
      </c>
      <c r="M1219" s="95">
        <f ca="1"/>
        <v>4.6200448049123098E-3</v>
      </c>
      <c r="N1219" s="5" t="s">
        <v>4</v>
      </c>
      <c r="O1219" s="97">
        <f ca="1">_xll.meDateFromTenor(O1218,"1D","FOLLOWING","TGT")</f>
        <v>44239</v>
      </c>
      <c r="P1219" s="95">
        <f ca="1"/>
        <v>6.650962839355682E-3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1.640048083840774E-3</v>
      </c>
      <c r="H1220" s="92" t="s">
        <v>4</v>
      </c>
      <c r="I1220" s="97">
        <f ca="1">_xll.meDateFromTenor(I1219,"1D","FOLLOWING","TGT")</f>
        <v>44242</v>
      </c>
      <c r="J1220" s="95">
        <f ca="1"/>
        <v>2.7801849125873614E-3</v>
      </c>
      <c r="K1220" s="5" t="s">
        <v>4</v>
      </c>
      <c r="L1220" s="97">
        <f ca="1">_xll.meDateFromTenor(L1219,"1D","FOLLOWING","TGT")</f>
        <v>44242</v>
      </c>
      <c r="M1220" s="95">
        <f ca="1"/>
        <v>4.6416101385604851E-3</v>
      </c>
      <c r="N1220" s="5" t="s">
        <v>4</v>
      </c>
      <c r="O1220" s="97">
        <f ca="1">_xll.meDateFromTenor(O1219,"1D","FOLLOWING","TGT")</f>
        <v>44242</v>
      </c>
      <c r="P1220" s="95">
        <f ca="1"/>
        <v>6.6729544176538568E-3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1.6486356349438109E-3</v>
      </c>
      <c r="H1221" s="92" t="s">
        <v>4</v>
      </c>
      <c r="I1221" s="97">
        <f ca="1">_xll.meDateFromTenor(I1220,"1D","FOLLOWING","TGT")</f>
        <v>44243</v>
      </c>
      <c r="J1221" s="95">
        <f ca="1"/>
        <v>2.787674341547028E-3</v>
      </c>
      <c r="K1221" s="5" t="s">
        <v>4</v>
      </c>
      <c r="L1221" s="97">
        <f ca="1">_xll.meDateFromTenor(L1220,"1D","FOLLOWING","TGT")</f>
        <v>44243</v>
      </c>
      <c r="M1221" s="95">
        <f ca="1"/>
        <v>4.6488043644519611E-3</v>
      </c>
      <c r="N1221" s="5" t="s">
        <v>4</v>
      </c>
      <c r="O1221" s="97">
        <f ca="1">_xll.meDateFromTenor(O1220,"1D","FOLLOWING","TGT")</f>
        <v>44243</v>
      </c>
      <c r="P1221" s="95">
        <f ca="1"/>
        <v>6.6802881482771036E-3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1.6572017089868751E-3</v>
      </c>
      <c r="H1222" s="92" t="s">
        <v>4</v>
      </c>
      <c r="I1222" s="97">
        <f ca="1">_xll.meDateFromTenor(I1221,"1D","FOLLOWING","TGT")</f>
        <v>44244</v>
      </c>
      <c r="J1222" s="95">
        <f ca="1"/>
        <v>2.7951652360807279E-3</v>
      </c>
      <c r="K1222" s="5" t="s">
        <v>4</v>
      </c>
      <c r="L1222" s="97">
        <f ca="1">_xll.meDateFromTenor(L1221,"1D","FOLLOWING","TGT")</f>
        <v>44244</v>
      </c>
      <c r="M1222" s="95">
        <f ca="1"/>
        <v>4.6560014773678448E-3</v>
      </c>
      <c r="N1222" s="5" t="s">
        <v>4</v>
      </c>
      <c r="O1222" s="97">
        <f ca="1">_xll.meDateFromTenor(O1221,"1D","FOLLOWING","TGT")</f>
        <v>44244</v>
      </c>
      <c r="P1222" s="95">
        <f ca="1"/>
        <v>6.6876234559317647E-3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1.6657383118471613E-3</v>
      </c>
      <c r="H1223" s="92" t="s">
        <v>4</v>
      </c>
      <c r="I1223" s="97">
        <f ca="1">_xll.meDateFromTenor(I1222,"1D","FOLLOWING","TGT")</f>
        <v>44245</v>
      </c>
      <c r="J1223" s="95">
        <f ca="1"/>
        <v>2.8026575435391816E-3</v>
      </c>
      <c r="K1223" s="5" t="s">
        <v>4</v>
      </c>
      <c r="L1223" s="97">
        <f ca="1">_xll.meDateFromTenor(L1222,"1D","FOLLOWING","TGT")</f>
        <v>44245</v>
      </c>
      <c r="M1223" s="95">
        <f ca="1"/>
        <v>4.6632014751201538E-3</v>
      </c>
      <c r="N1223" s="5" t="s">
        <v>4</v>
      </c>
      <c r="O1223" s="97">
        <f ca="1">_xll.meDateFromTenor(O1222,"1D","FOLLOWING","TGT")</f>
        <v>44245</v>
      </c>
      <c r="P1223" s="95">
        <f ca="1"/>
        <v>6.6949603254795346E-3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1.6742374494018654E-3</v>
      </c>
      <c r="H1224" s="92" t="s">
        <v>4</v>
      </c>
      <c r="I1224" s="97">
        <f ca="1">_xll.meDateFromTenor(I1223,"1D","FOLLOWING","TGT")</f>
        <v>44246</v>
      </c>
      <c r="J1224" s="95">
        <f ca="1"/>
        <v>2.8101512112731091E-3</v>
      </c>
      <c r="K1224" s="5" t="s">
        <v>4</v>
      </c>
      <c r="L1224" s="97">
        <f ca="1">_xll.meDateFromTenor(L1223,"1D","FOLLOWING","TGT")</f>
        <v>44246</v>
      </c>
      <c r="M1224" s="95">
        <f ca="1"/>
        <v>4.6704043555209065E-3</v>
      </c>
      <c r="N1224" s="5" t="s">
        <v>4</v>
      </c>
      <c r="O1224" s="97">
        <f ca="1">_xll.meDateFromTenor(O1223,"1D","FOLLOWING","TGT")</f>
        <v>44246</v>
      </c>
      <c r="P1224" s="95">
        <f ca="1"/>
        <v>6.702298741782106E-3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1.6994301290044363E-3</v>
      </c>
      <c r="H1225" s="92" t="s">
        <v>4</v>
      </c>
      <c r="I1225" s="97">
        <f ca="1">_xll.meDateFromTenor(I1224,"1D","FOLLOWING","TGT")</f>
        <v>44249</v>
      </c>
      <c r="J1225" s="95">
        <f ca="1"/>
        <v>2.8326398496349332E-3</v>
      </c>
      <c r="K1225" s="5" t="s">
        <v>4</v>
      </c>
      <c r="L1225" s="97">
        <f ca="1">_xll.meDateFromTenor(L1224,"1D","FOLLOWING","TGT")</f>
        <v>44249</v>
      </c>
      <c r="M1225" s="95">
        <f ca="1"/>
        <v>4.6920302707340236E-3</v>
      </c>
      <c r="N1225" s="5" t="s">
        <v>4</v>
      </c>
      <c r="O1225" s="97">
        <f ca="1">_xll.meDateFromTenor(O1224,"1D","FOLLOWING","TGT")</f>
        <v>44249</v>
      </c>
      <c r="P1225" s="95">
        <f ca="1"/>
        <v>6.7243231198355676E-3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1.7076994641087638E-3</v>
      </c>
      <c r="H1226" s="92" t="s">
        <v>4</v>
      </c>
      <c r="I1226" s="97">
        <f ca="1">_xll.meDateFromTenor(I1225,"1D","FOLLOWING","TGT")</f>
        <v>44250</v>
      </c>
      <c r="J1226" s="95">
        <f ca="1"/>
        <v>2.8401384319779554E-3</v>
      </c>
      <c r="K1226" s="5" t="s">
        <v>4</v>
      </c>
      <c r="L1226" s="97">
        <f ca="1">_xll.meDateFromTenor(L1225,"1D","FOLLOWING","TGT")</f>
        <v>44250</v>
      </c>
      <c r="M1226" s="95">
        <f ca="1"/>
        <v>4.6992446598487451E-3</v>
      </c>
      <c r="N1226" s="5" t="s">
        <v>4</v>
      </c>
      <c r="O1226" s="97">
        <f ca="1">_xll.meDateFromTenor(O1225,"1D","FOLLOWING","TGT")</f>
        <v>44250</v>
      </c>
      <c r="P1226" s="95">
        <f ca="1"/>
        <v>6.7316675717742809E-3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1.715891363293483E-3</v>
      </c>
      <c r="H1227" s="92" t="s">
        <v>4</v>
      </c>
      <c r="I1227" s="97">
        <f ca="1">_xll.meDateFromTenor(I1226,"1D","FOLLOWING","TGT")</f>
        <v>44251</v>
      </c>
      <c r="J1227" s="95">
        <f ca="1"/>
        <v>2.8476381113500477E-3</v>
      </c>
      <c r="K1227" s="5" t="s">
        <v>4</v>
      </c>
      <c r="L1227" s="97">
        <f ca="1">_xll.meDateFromTenor(L1226,"1D","FOLLOWING","TGT")</f>
        <v>44251</v>
      </c>
      <c r="M1227" s="95">
        <f ca="1"/>
        <v>4.7064619206720042E-3</v>
      </c>
      <c r="N1227" s="5" t="s">
        <v>4</v>
      </c>
      <c r="O1227" s="97">
        <f ca="1">_xll.meDateFromTenor(O1226,"1D","FOLLOWING","TGT")</f>
        <v>44251</v>
      </c>
      <c r="P1227" s="95">
        <f ca="1"/>
        <v>6.7390134947762602E-3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1.723997832435794E-3</v>
      </c>
      <c r="H1228" s="92" t="s">
        <v>4</v>
      </c>
      <c r="I1228" s="97">
        <f ca="1">_xll.meDateFromTenor(I1227,"1D","FOLLOWING","TGT")</f>
        <v>44252</v>
      </c>
      <c r="J1228" s="95">
        <f ca="1"/>
        <v>2.8551388351019361E-3</v>
      </c>
      <c r="K1228" s="5" t="s">
        <v>4</v>
      </c>
      <c r="L1228" s="97">
        <f ca="1">_xll.meDateFromTenor(L1227,"1D","FOLLOWING","TGT")</f>
        <v>44252</v>
      </c>
      <c r="M1228" s="95">
        <f ca="1"/>
        <v>4.7136820510158238E-3</v>
      </c>
      <c r="N1228" s="5" t="s">
        <v>4</v>
      </c>
      <c r="O1228" s="97">
        <f ca="1">_xll.meDateFromTenor(O1227,"1D","FOLLOWING","TGT")</f>
        <v>44252</v>
      </c>
      <c r="P1228" s="95">
        <f ca="1"/>
        <v>6.7463608737032025E-3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1.7320108774128904E-3</v>
      </c>
      <c r="H1229" s="92" t="s">
        <v>4</v>
      </c>
      <c r="I1229" s="97">
        <f ca="1">_xll.meDateFromTenor(I1228,"1D","FOLLOWING","TGT")</f>
        <v>44253</v>
      </c>
      <c r="J1229" s="95">
        <f ca="1"/>
        <v>2.8626405505843369E-3</v>
      </c>
      <c r="K1229" s="5" t="s">
        <v>4</v>
      </c>
      <c r="L1229" s="97">
        <f ca="1">_xll.meDateFromTenor(L1228,"1D","FOLLOWING","TGT")</f>
        <v>44253</v>
      </c>
      <c r="M1229" s="95">
        <f ca="1"/>
        <v>4.7209050486922205E-3</v>
      </c>
      <c r="N1229" s="5" t="s">
        <v>4</v>
      </c>
      <c r="O1229" s="97">
        <f ca="1">_xll.meDateFromTenor(O1228,"1D","FOLLOWING","TGT")</f>
        <v>44253</v>
      </c>
      <c r="P1229" s="95">
        <f ca="1"/>
        <v>6.7537096934168024E-3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1.75540952612484E-3</v>
      </c>
      <c r="H1230" s="92" t="s">
        <v>4</v>
      </c>
      <c r="I1230" s="97">
        <f ca="1">_xll.meDateFromTenor(I1229,"1D","FOLLOWING","TGT")</f>
        <v>44256</v>
      </c>
      <c r="J1230" s="95">
        <f ca="1"/>
        <v>2.8851511209218206E-3</v>
      </c>
      <c r="K1230" s="5" t="s">
        <v>4</v>
      </c>
      <c r="L1230" s="97">
        <f ca="1">_xll.meDateFromTenor(L1229,"1D","FOLLOWING","TGT")</f>
        <v>44256</v>
      </c>
      <c r="M1230" s="95">
        <f ca="1"/>
        <v>4.7425912238370617E-3</v>
      </c>
      <c r="N1230" s="5" t="s">
        <v>4</v>
      </c>
      <c r="O1230" s="97">
        <f ca="1">_xll.meDateFromTenor(O1229,"1D","FOLLOWING","TGT")</f>
        <v>44256</v>
      </c>
      <c r="P1230" s="95">
        <f ca="1"/>
        <v>6.775764645894463E-3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1.7629689332130279E-3</v>
      </c>
      <c r="H1231" s="92" t="s">
        <v>4</v>
      </c>
      <c r="I1231" s="97">
        <f ca="1">_xll.meDateFromTenor(I1230,"1D","FOLLOWING","TGT")</f>
        <v>44257</v>
      </c>
      <c r="J1231" s="95">
        <f ca="1"/>
        <v>2.8926562768334741E-3</v>
      </c>
      <c r="K1231" s="5" t="s">
        <v>4</v>
      </c>
      <c r="L1231" s="97">
        <f ca="1">_xll.meDateFromTenor(L1230,"1D","FOLLOWING","TGT")</f>
        <v>44257</v>
      </c>
      <c r="M1231" s="95">
        <f ca="1"/>
        <v>4.7498256689639563E-3</v>
      </c>
      <c r="N1231" s="5" t="s">
        <v>4</v>
      </c>
      <c r="O1231" s="97">
        <f ca="1">_xll.meDateFromTenor(O1230,"1D","FOLLOWING","TGT")</f>
        <v>44257</v>
      </c>
      <c r="P1231" s="95">
        <f ca="1"/>
        <v>6.7831190773716141E-3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1.7703974546228909E-3</v>
      </c>
      <c r="H1232" s="92" t="s">
        <v>4</v>
      </c>
      <c r="I1232" s="97">
        <f ca="1">_xll.meDateFromTenor(I1231,"1D","FOLLOWING","TGT")</f>
        <v>44258</v>
      </c>
      <c r="J1232" s="95">
        <f ca="1"/>
        <v>2.9001621737294492E-3</v>
      </c>
      <c r="K1232" s="5" t="s">
        <v>4</v>
      </c>
      <c r="L1232" s="97">
        <f ca="1">_xll.meDateFromTenor(L1231,"1D","FOLLOWING","TGT")</f>
        <v>44258</v>
      </c>
      <c r="M1232" s="95">
        <f ca="1"/>
        <v>4.7570629704835219E-3</v>
      </c>
      <c r="N1232" s="5" t="s">
        <v>4</v>
      </c>
      <c r="O1232" s="97">
        <f ca="1">_xll.meDateFromTenor(O1231,"1D","FOLLOWING","TGT")</f>
        <v>44258</v>
      </c>
      <c r="P1232" s="95">
        <f ca="1"/>
        <v>6.7904748739438872E-3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1.7776996417362119E-3</v>
      </c>
      <c r="H1233" s="92" t="s">
        <v>4</v>
      </c>
      <c r="I1233" s="97">
        <f ca="1">_xll.meDateFromTenor(I1232,"1D","FOLLOWING","TGT")</f>
        <v>44259</v>
      </c>
      <c r="J1233" s="95">
        <f ca="1"/>
        <v>2.9076688214615264E-3</v>
      </c>
      <c r="K1233" s="5" t="s">
        <v>4</v>
      </c>
      <c r="L1233" s="97">
        <f ca="1">_xll.meDateFromTenor(L1232,"1D","FOLLOWING","TGT")</f>
        <v>44259</v>
      </c>
      <c r="M1233" s="95">
        <f ca="1"/>
        <v>4.7643031262077813E-3</v>
      </c>
      <c r="N1233" s="5" t="s">
        <v>4</v>
      </c>
      <c r="O1233" s="97">
        <f ca="1">_xll.meDateFromTenor(O1232,"1D","FOLLOWING","TGT")</f>
        <v>44259</v>
      </c>
      <c r="P1233" s="95">
        <f ca="1"/>
        <v>6.7978320204729777E-3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1.7848825550356732E-3</v>
      </c>
      <c r="H1234" s="92" t="s">
        <v>4</v>
      </c>
      <c r="I1234" s="97">
        <f ca="1">_xll.meDateFromTenor(I1233,"1D","FOLLOWING","TGT")</f>
        <v>44260</v>
      </c>
      <c r="J1234" s="95">
        <f ca="1"/>
        <v>2.9151762423816814E-3</v>
      </c>
      <c r="K1234" s="5" t="s">
        <v>4</v>
      </c>
      <c r="L1234" s="97">
        <f ca="1">_xll.meDateFromTenor(L1233,"1D","FOLLOWING","TGT")</f>
        <v>44260</v>
      </c>
      <c r="M1234" s="95">
        <f ca="1"/>
        <v>4.771546133948746E-3</v>
      </c>
      <c r="N1234" s="5" t="s">
        <v>4</v>
      </c>
      <c r="O1234" s="97">
        <f ca="1">_xll.meDateFromTenor(O1233,"1D","FOLLOWING","TGT")</f>
        <v>44260</v>
      </c>
      <c r="P1234" s="95">
        <f ca="1"/>
        <v>6.8051905018205738E-3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1.8057862568778551E-3</v>
      </c>
      <c r="H1235" s="92" t="s">
        <v>4</v>
      </c>
      <c r="I1235" s="97">
        <f ca="1">_xll.meDateFromTenor(I1234,"1D","FOLLOWING","TGT")</f>
        <v>44263</v>
      </c>
      <c r="J1235" s="95">
        <f ca="1"/>
        <v>2.9377033677904932E-3</v>
      </c>
      <c r="K1235" s="5" t="s">
        <v>4</v>
      </c>
      <c r="L1235" s="97">
        <f ca="1">_xll.meDateFromTenor(L1234,"1D","FOLLOWING","TGT")</f>
        <v>44263</v>
      </c>
      <c r="M1235" s="95">
        <f ca="1"/>
        <v>4.7932922473920975E-3</v>
      </c>
      <c r="N1235" s="5" t="s">
        <v>4</v>
      </c>
      <c r="O1235" s="97">
        <f ca="1">_xll.meDateFromTenor(O1234,"1D","FOLLOWING","TGT")</f>
        <v>44263</v>
      </c>
      <c r="P1235" s="95">
        <f ca="1"/>
        <v>6.8272738033913483E-3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1.8125626797488184E-3</v>
      </c>
      <c r="H1236" s="92" t="s">
        <v>4</v>
      </c>
      <c r="I1236" s="97">
        <f ca="1">_xll.meDateFromTenor(I1235,"1D","FOLLOWING","TGT")</f>
        <v>44264</v>
      </c>
      <c r="J1236" s="95">
        <f ca="1"/>
        <v>2.9452141049828269E-3</v>
      </c>
      <c r="K1236" s="5" t="s">
        <v>4</v>
      </c>
      <c r="L1236" s="97">
        <f ca="1">_xll.meDateFromTenor(L1235,"1D","FOLLOWING","TGT")</f>
        <v>44264</v>
      </c>
      <c r="M1236" s="95">
        <f ca="1"/>
        <v>4.8005466413200944E-3</v>
      </c>
      <c r="N1236" s="5" t="s">
        <v>4</v>
      </c>
      <c r="O1236" s="97">
        <f ca="1">_xll.meDateFromTenor(O1235,"1D","FOLLOWING","TGT")</f>
        <v>44264</v>
      </c>
      <c r="P1236" s="95">
        <f ca="1"/>
        <v>6.8346374726299119E-3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1.8192551312193872E-3</v>
      </c>
      <c r="H1237" s="92" t="s">
        <v>4</v>
      </c>
      <c r="I1237" s="97">
        <f ca="1">_xll.meDateFromTenor(I1236,"1D","FOLLOWING","TGT")</f>
        <v>44265</v>
      </c>
      <c r="J1237" s="95">
        <f ca="1"/>
        <v>2.9527257271231657E-3</v>
      </c>
      <c r="K1237" s="5" t="s">
        <v>4</v>
      </c>
      <c r="L1237" s="97">
        <f ca="1">_xll.meDateFromTenor(L1236,"1D","FOLLOWING","TGT")</f>
        <v>44265</v>
      </c>
      <c r="M1237" s="95">
        <f ca="1"/>
        <v>4.8078038763248957E-3</v>
      </c>
      <c r="N1237" s="5" t="s">
        <v>4</v>
      </c>
      <c r="O1237" s="97">
        <f ca="1">_xll.meDateFromTenor(O1236,"1D","FOLLOWING","TGT")</f>
        <v>44265</v>
      </c>
      <c r="P1237" s="95">
        <f ca="1"/>
        <v>6.8420024009954511E-3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1.8258706717722522E-3</v>
      </c>
      <c r="H1238" s="92" t="s">
        <v>4</v>
      </c>
      <c r="I1238" s="97">
        <f ca="1">_xll.meDateFromTenor(I1237,"1D","FOLLOWING","TGT")</f>
        <v>44266</v>
      </c>
      <c r="J1238" s="95">
        <f ca="1"/>
        <v>2.9602382565634957E-3</v>
      </c>
      <c r="K1238" s="5" t="s">
        <v>4</v>
      </c>
      <c r="L1238" s="97">
        <f ca="1">_xll.meDateFromTenor(L1237,"1D","FOLLOWING","TGT")</f>
        <v>44266</v>
      </c>
      <c r="M1238" s="95">
        <f ca="1"/>
        <v>4.8150639502185198E-3</v>
      </c>
      <c r="N1238" s="5" t="s">
        <v>4</v>
      </c>
      <c r="O1238" s="97">
        <f ca="1">_xll.meDateFromTenor(O1237,"1D","FOLLOWING","TGT")</f>
        <v>44266</v>
      </c>
      <c r="P1238" s="95">
        <f ca="1"/>
        <v>6.8493685733496575E-3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1.8324163618901042E-3</v>
      </c>
      <c r="H1239" s="92" t="s">
        <v>4</v>
      </c>
      <c r="I1239" s="97">
        <f ca="1">_xll.meDateFromTenor(I1238,"1D","FOLLOWING","TGT")</f>
        <v>44267</v>
      </c>
      <c r="J1239" s="95">
        <f ca="1"/>
        <v>2.9677517156557979E-3</v>
      </c>
      <c r="K1239" s="5" t="s">
        <v>4</v>
      </c>
      <c r="L1239" s="97">
        <f ca="1">_xll.meDateFromTenor(L1238,"1D","FOLLOWING","TGT")</f>
        <v>44267</v>
      </c>
      <c r="M1239" s="95">
        <f ca="1"/>
        <v>4.8223268608129852E-3</v>
      </c>
      <c r="N1239" s="5" t="s">
        <v>4</v>
      </c>
      <c r="O1239" s="97">
        <f ca="1">_xll.meDateFromTenor(O1238,"1D","FOLLOWING","TGT")</f>
        <v>44267</v>
      </c>
      <c r="P1239" s="95">
        <f ca="1"/>
        <v>6.856735974554223E-3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1.8517049344605175E-3</v>
      </c>
      <c r="H1240" s="92" t="s">
        <v>4</v>
      </c>
      <c r="I1240" s="97">
        <f ca="1">_xll.meDateFromTenor(I1239,"1D","FOLLOWING","TGT")</f>
        <v>44270</v>
      </c>
      <c r="J1240" s="95">
        <f ca="1"/>
        <v>2.9902978943644109E-3</v>
      </c>
      <c r="K1240" s="5" t="s">
        <v>4</v>
      </c>
      <c r="L1240" s="97">
        <f ca="1">_xll.meDateFromTenor(L1239,"1D","FOLLOWING","TGT")</f>
        <v>44270</v>
      </c>
      <c r="M1240" s="95">
        <f ca="1"/>
        <v>4.8441325909216295E-3</v>
      </c>
      <c r="N1240" s="5" t="s">
        <v>4</v>
      </c>
      <c r="O1240" s="97">
        <f ca="1">_xll.meDateFromTenor(O1239,"1D","FOLLOWING","TGT")</f>
        <v>44270</v>
      </c>
      <c r="P1240" s="95">
        <f ca="1"/>
        <v>6.8788453998870286E-3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1.8580418276652455E-3</v>
      </c>
      <c r="H1241" s="92" t="s">
        <v>4</v>
      </c>
      <c r="I1241" s="97">
        <f ca="1">_xll.meDateFromTenor(I1240,"1D","FOLLOWING","TGT")</f>
        <v>44271</v>
      </c>
      <c r="J1241" s="95">
        <f ca="1"/>
        <v>2.9978152955844641E-3</v>
      </c>
      <c r="K1241" s="5" t="s">
        <v>4</v>
      </c>
      <c r="L1241" s="97">
        <f ca="1">_xll.meDateFromTenor(L1240,"1D","FOLLOWING","TGT")</f>
        <v>44271</v>
      </c>
      <c r="M1241" s="95">
        <f ca="1"/>
        <v>4.8514068264396554E-3</v>
      </c>
      <c r="N1241" s="5" t="s">
        <v>4</v>
      </c>
      <c r="O1241" s="97">
        <f ca="1">_xll.meDateFromTenor(O1240,"1D","FOLLOWING","TGT")</f>
        <v>44271</v>
      </c>
      <c r="P1241" s="95">
        <f ca="1"/>
        <v>6.8862175651099753E-3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1.864344172848422E-3</v>
      </c>
      <c r="H1242" s="92" t="s">
        <v>4</v>
      </c>
      <c r="I1242" s="97">
        <f ca="1">_xll.meDateFromTenor(I1241,"1D","FOLLOWING","TGT")</f>
        <v>44272</v>
      </c>
      <c r="J1242" s="95">
        <f ca="1"/>
        <v>3.0053337382164153E-3</v>
      </c>
      <c r="K1242" s="5" t="s">
        <v>4</v>
      </c>
      <c r="L1242" s="97">
        <f ca="1">_xll.meDateFromTenor(L1241,"1D","FOLLOWING","TGT")</f>
        <v>44272</v>
      </c>
      <c r="M1242" s="95">
        <f ca="1"/>
        <v>4.858683887718619E-3</v>
      </c>
      <c r="N1242" s="5" t="s">
        <v>4</v>
      </c>
      <c r="O1242" s="97">
        <f ca="1">_xll.meDateFromTenor(O1241,"1D","FOLLOWING","TGT")</f>
        <v>44272</v>
      </c>
      <c r="P1242" s="95">
        <f ca="1"/>
        <v>6.8935908834917509E-3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1.8706190304927388E-3</v>
      </c>
      <c r="H1243" s="92" t="s">
        <v>4</v>
      </c>
      <c r="I1243" s="97">
        <f ca="1">_xll.meDateFromTenor(I1242,"1D","FOLLOWING","TGT")</f>
        <v>44273</v>
      </c>
      <c r="J1243" s="95">
        <f ca="1"/>
        <v>3.0128532446122504E-3</v>
      </c>
      <c r="K1243" s="5" t="s">
        <v>4</v>
      </c>
      <c r="L1243" s="97">
        <f ca="1">_xll.meDateFromTenor(L1242,"1D","FOLLOWING","TGT")</f>
        <v>44273</v>
      </c>
      <c r="M1243" s="95">
        <f ca="1"/>
        <v>4.8659637725705389E-3</v>
      </c>
      <c r="N1243" s="5" t="s">
        <v>4</v>
      </c>
      <c r="O1243" s="97">
        <f ca="1">_xll.meDateFromTenor(O1242,"1D","FOLLOWING","TGT")</f>
        <v>44273</v>
      </c>
      <c r="P1243" s="95">
        <f ca="1"/>
        <v>6.9009653398940472E-3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1.8768734610808875E-3</v>
      </c>
      <c r="H1244" s="92" t="s">
        <v>4</v>
      </c>
      <c r="I1244" s="97">
        <f ca="1">_xll.meDateFromTenor(I1243,"1D","FOLLOWING","TGT")</f>
        <v>44274</v>
      </c>
      <c r="J1244" s="95">
        <f ca="1"/>
        <v>3.0203738371239537E-3</v>
      </c>
      <c r="K1244" s="5" t="s">
        <v>4</v>
      </c>
      <c r="L1244" s="97">
        <f ca="1">_xll.meDateFromTenor(L1243,"1D","FOLLOWING","TGT")</f>
        <v>44274</v>
      </c>
      <c r="M1244" s="95">
        <f ca="1"/>
        <v>4.8732464788074342E-3</v>
      </c>
      <c r="N1244" s="5" t="s">
        <v>4</v>
      </c>
      <c r="O1244" s="97">
        <f ca="1">_xll.meDateFromTenor(O1243,"1D","FOLLOWING","TGT")</f>
        <v>44274</v>
      </c>
      <c r="P1244" s="95">
        <f ca="1"/>
        <v>6.9083409191785586E-3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1.8955847953352452E-3</v>
      </c>
      <c r="H1245" s="92" t="s">
        <v>4</v>
      </c>
      <c r="I1245" s="97">
        <f ca="1">_xll.meDateFromTenor(I1244,"1D","FOLLOWING","TGT")</f>
        <v>44277</v>
      </c>
      <c r="J1245" s="95">
        <f ca="1"/>
        <v>3.0429423548741169E-3</v>
      </c>
      <c r="K1245" s="5" t="s">
        <v>4</v>
      </c>
      <c r="L1245" s="97">
        <f ca="1">_xll.meDateFromTenor(L1244,"1D","FOLLOWING","TGT")</f>
        <v>44277</v>
      </c>
      <c r="M1245" s="95">
        <f ca="1"/>
        <v>4.8951115039481555E-3</v>
      </c>
      <c r="N1245" s="5" t="s">
        <v>4</v>
      </c>
      <c r="O1245" s="97">
        <f ca="1">_xll.meDateFromTenor(O1244,"1D","FOLLOWING","TGT")</f>
        <v>44277</v>
      </c>
      <c r="P1245" s="95">
        <f ca="1"/>
        <v>6.9304742429423093E-3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1.9018281225256423E-3</v>
      </c>
      <c r="H1246" s="92" t="s">
        <v>4</v>
      </c>
      <c r="I1246" s="97">
        <f ca="1">_xll.meDateFromTenor(I1245,"1D","FOLLOWING","TGT")</f>
        <v>44278</v>
      </c>
      <c r="J1246" s="95">
        <f ca="1"/>
        <v>3.0504675153691396E-3</v>
      </c>
      <c r="K1246" s="5" t="s">
        <v>4</v>
      </c>
      <c r="L1246" s="97">
        <f ca="1">_xll.meDateFromTenor(L1245,"1D","FOLLOWING","TGT")</f>
        <v>44278</v>
      </c>
      <c r="M1246" s="95">
        <f ca="1"/>
        <v>4.9024054738451396E-3</v>
      </c>
      <c r="N1246" s="5" t="s">
        <v>4</v>
      </c>
      <c r="O1246" s="97">
        <f ca="1">_xll.meDateFromTenor(O1245,"1D","FOLLOWING","TGT")</f>
        <v>44278</v>
      </c>
      <c r="P1246" s="95">
        <f ca="1"/>
        <v>6.9378541623726113E-3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1.9080863250733313E-3</v>
      </c>
      <c r="H1247" s="92" t="s">
        <v>4</v>
      </c>
      <c r="I1247" s="97">
        <f ca="1">_xll.meDateFromTenor(I1246,"1D","FOLLOWING","TGT")</f>
        <v>44279</v>
      </c>
      <c r="J1247" s="95">
        <f ca="1"/>
        <v>3.0579938737399538E-3</v>
      </c>
      <c r="K1247" s="5" t="s">
        <v>4</v>
      </c>
      <c r="L1247" s="97">
        <f ca="1">_xll.meDateFromTenor(L1246,"1D","FOLLOWING","TGT")</f>
        <v>44279</v>
      </c>
      <c r="M1247" s="95">
        <f ca="1"/>
        <v>4.909702254187194E-3</v>
      </c>
      <c r="N1247" s="5" t="s">
        <v>4</v>
      </c>
      <c r="O1247" s="97">
        <f ca="1">_xll.meDateFromTenor(O1246,"1D","FOLLOWING","TGT")</f>
        <v>44279</v>
      </c>
      <c r="P1247" s="95">
        <f ca="1"/>
        <v>6.9452351289935954E-3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1.9143664634610044E-3</v>
      </c>
      <c r="H1248" s="92" t="s">
        <v>4</v>
      </c>
      <c r="I1248" s="97">
        <f ca="1">_xll.meDateFromTenor(I1247,"1D","FOLLOWING","TGT")</f>
        <v>44280</v>
      </c>
      <c r="J1248" s="95">
        <f ca="1"/>
        <v>3.065521452338545E-3</v>
      </c>
      <c r="K1248" s="5" t="s">
        <v>4</v>
      </c>
      <c r="L1248" s="97">
        <f ca="1">_xll.meDateFromTenor(L1247,"1D","FOLLOWING","TGT")</f>
        <v>44280</v>
      </c>
      <c r="M1248" s="95">
        <f ca="1"/>
        <v>4.917001842786338E-3</v>
      </c>
      <c r="N1248" s="5" t="s">
        <v>4</v>
      </c>
      <c r="O1248" s="97">
        <f ca="1">_xll.meDateFromTenor(O1247,"1D","FOLLOWING","TGT")</f>
        <v>44280</v>
      </c>
      <c r="P1248" s="95">
        <f ca="1"/>
        <v>6.952617127666952E-3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1.9206755981713527E-3</v>
      </c>
      <c r="H1249" s="92" t="s">
        <v>4</v>
      </c>
      <c r="I1249" s="97">
        <f ca="1">_xll.meDateFromTenor(I1248,"1D","FOLLOWING","TGT")</f>
        <v>44281</v>
      </c>
      <c r="J1249" s="95">
        <f ca="1"/>
        <v>3.0730502735168974E-3</v>
      </c>
      <c r="K1249" s="5" t="s">
        <v>4</v>
      </c>
      <c r="L1249" s="97">
        <f ca="1">_xll.meDateFromTenor(L1248,"1D","FOLLOWING","TGT")</f>
        <v>44281</v>
      </c>
      <c r="M1249" s="95">
        <f ca="1"/>
        <v>4.9243042374545881E-3</v>
      </c>
      <c r="N1249" s="5" t="s">
        <v>4</v>
      </c>
      <c r="O1249" s="97">
        <f ca="1">_xll.meDateFromTenor(O1248,"1D","FOLLOWING","TGT")</f>
        <v>44281</v>
      </c>
      <c r="P1249" s="95">
        <f ca="1"/>
        <v>6.9600001432543772E-3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1.9398475850653733E-3</v>
      </c>
      <c r="H1250" s="92" t="s">
        <v>4</v>
      </c>
      <c r="I1250" s="97">
        <f ca="1">_xll.meDateFromTenor(I1249,"1D","FOLLOWING","TGT")</f>
        <v>44284</v>
      </c>
      <c r="J1250" s="95">
        <f ca="1"/>
        <v>3.0956444160503667E-3</v>
      </c>
      <c r="K1250" s="5" t="s">
        <v>4</v>
      </c>
      <c r="L1250" s="97">
        <f ca="1">_xll.meDateFromTenor(L1249,"1D","FOLLOWING","TGT")</f>
        <v>44284</v>
      </c>
      <c r="M1250" s="95">
        <f ca="1"/>
        <v>4.9462282359941769E-3</v>
      </c>
      <c r="N1250" s="5" t="s">
        <v>4</v>
      </c>
      <c r="O1250" s="97">
        <f ca="1">_xll.meDateFromTenor(O1249,"1D","FOLLOWING","TGT")</f>
        <v>44284</v>
      </c>
      <c r="P1250" s="95">
        <f ca="1"/>
        <v>6.9821551401179948E-3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1.9463433098933422E-3</v>
      </c>
      <c r="H1251" s="92" t="s">
        <v>4</v>
      </c>
      <c r="I1251" s="97">
        <f ca="1">_xll.meDateFromTenor(I1250,"1D","FOLLOWING","TGT")</f>
        <v>44285</v>
      </c>
      <c r="J1251" s="95">
        <f ca="1"/>
        <v>3.1031784310676081E-3</v>
      </c>
      <c r="K1251" s="5" t="s">
        <v>4</v>
      </c>
      <c r="L1251" s="97">
        <f ca="1">_xll.meDateFromTenor(L1250,"1D","FOLLOWING","TGT")</f>
        <v>44285</v>
      </c>
      <c r="M1251" s="95">
        <f ca="1"/>
        <v>4.953541833059045E-3</v>
      </c>
      <c r="N1251" s="5" t="s">
        <v>4</v>
      </c>
      <c r="O1251" s="97">
        <f ca="1">_xll.meDateFromTenor(O1250,"1D","FOLLOWING","TGT")</f>
        <v>44285</v>
      </c>
      <c r="P1251" s="95">
        <f ca="1"/>
        <v>6.9895420719786223E-3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1.9529033334574487E-3</v>
      </c>
      <c r="H1252" s="92" t="s">
        <v>4</v>
      </c>
      <c r="I1252" s="97">
        <f ca="1">_xll.meDateFromTenor(I1251,"1D","FOLLOWING","TGT")</f>
        <v>44286</v>
      </c>
      <c r="J1252" s="95">
        <f ca="1"/>
        <v>3.1107138004245359E-3</v>
      </c>
      <c r="K1252" s="5" t="s">
        <v>4</v>
      </c>
      <c r="L1252" s="97">
        <f ca="1">_xll.meDateFromTenor(L1251,"1D","FOLLOWING","TGT")</f>
        <v>44286</v>
      </c>
      <c r="M1252" s="95">
        <f ca="1"/>
        <v>4.9608582252531177E-3</v>
      </c>
      <c r="N1252" s="5" t="s">
        <v>4</v>
      </c>
      <c r="O1252" s="97">
        <f ca="1">_xll.meDateFromTenor(O1251,"1D","FOLLOWING","TGT")</f>
        <v>44286</v>
      </c>
      <c r="P1252" s="95">
        <f ca="1"/>
        <v>6.9969299450617873E-3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1.9595347162403827E-3</v>
      </c>
      <c r="H1253" s="92" t="s">
        <v>4</v>
      </c>
      <c r="I1253" s="97">
        <f ca="1">_xll.meDateFromTenor(I1252,"1D","FOLLOWING","TGT")</f>
        <v>44287</v>
      </c>
      <c r="J1253" s="95">
        <f ca="1"/>
        <v>3.1182505464731332E-3</v>
      </c>
      <c r="K1253" s="5" t="s">
        <v>4</v>
      </c>
      <c r="L1253" s="97">
        <f ca="1">_xll.meDateFromTenor(L1252,"1D","FOLLOWING","TGT")</f>
        <v>44287</v>
      </c>
      <c r="M1253" s="95">
        <f ca="1"/>
        <v>4.9681774103884123E-3</v>
      </c>
      <c r="N1253" s="5" t="s">
        <v>4</v>
      </c>
      <c r="O1253" s="97">
        <f ca="1">_xll.meDateFromTenor(O1252,"1D","FOLLOWING","TGT")</f>
        <v>44287</v>
      </c>
      <c r="P1253" s="95">
        <f ca="1"/>
        <v>7.0043187442291781E-3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1.9940091353316813E-3</v>
      </c>
      <c r="H1254" s="92" t="s">
        <v>4</v>
      </c>
      <c r="I1254" s="97">
        <f ca="1">_xll.meDateFromTenor(I1253,"1D","FOLLOWING","TGT")</f>
        <v>44292</v>
      </c>
      <c r="J1254" s="95">
        <f ca="1"/>
        <v>3.1559557094106255E-3</v>
      </c>
      <c r="K1254" s="5" t="s">
        <v>4</v>
      </c>
      <c r="L1254" s="97">
        <f ca="1">_xll.meDateFromTenor(L1253,"1D","FOLLOWING","TGT")</f>
        <v>44292</v>
      </c>
      <c r="M1254" s="95">
        <f ca="1"/>
        <v>5.0048151536038693E-3</v>
      </c>
      <c r="N1254" s="5" t="s">
        <v>4</v>
      </c>
      <c r="O1254" s="97">
        <f ca="1">_xll.meDateFromTenor(O1253,"1D","FOLLOWING","TGT")</f>
        <v>44292</v>
      </c>
      <c r="P1254" s="95">
        <f ca="1"/>
        <v>7.0412761014888147E-3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2.0012147392402938E-3</v>
      </c>
      <c r="H1255" s="92" t="s">
        <v>4</v>
      </c>
      <c r="I1255" s="97">
        <f ca="1">_xll.meDateFromTenor(I1254,"1D","FOLLOWING","TGT")</f>
        <v>44293</v>
      </c>
      <c r="J1255" s="95">
        <f ca="1"/>
        <v>3.1635011850009173E-3</v>
      </c>
      <c r="K1255" s="5" t="s">
        <v>4</v>
      </c>
      <c r="L1255" s="97">
        <f ca="1">_xll.meDateFromTenor(L1254,"1D","FOLLOWING","TGT")</f>
        <v>44293</v>
      </c>
      <c r="M1255" s="95">
        <f ca="1"/>
        <v>5.0121510504388903E-3</v>
      </c>
      <c r="N1255" s="5" t="s">
        <v>4</v>
      </c>
      <c r="O1255" s="97">
        <f ca="1">_xll.meDateFromTenor(O1254,"1D","FOLLOWING","TGT")</f>
        <v>44293</v>
      </c>
      <c r="P1255" s="95">
        <f ca="1"/>
        <v>7.0486701392571327E-3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2.0085278998036768E-3</v>
      </c>
      <c r="H1256" s="92" t="s">
        <v>4</v>
      </c>
      <c r="I1256" s="97">
        <f ca="1">_xll.meDateFromTenor(I1255,"1D","FOLLOWING","TGT")</f>
        <v>44294</v>
      </c>
      <c r="J1256" s="95">
        <f ca="1"/>
        <v>3.17104819374677E-3</v>
      </c>
      <c r="K1256" s="5" t="s">
        <v>4</v>
      </c>
      <c r="L1256" s="97">
        <f ca="1">_xll.meDateFromTenor(L1255,"1D","FOLLOWING","TGT")</f>
        <v>44294</v>
      </c>
      <c r="M1256" s="95">
        <f ca="1"/>
        <v>5.0194897248992624E-3</v>
      </c>
      <c r="N1256" s="5" t="s">
        <v>4</v>
      </c>
      <c r="O1256" s="97">
        <f ca="1">_xll.meDateFromTenor(O1255,"1D","FOLLOWING","TGT")</f>
        <v>44294</v>
      </c>
      <c r="P1256" s="95">
        <f ca="1"/>
        <v>7.0560649971415264E-3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2.015942451561629E-3</v>
      </c>
      <c r="H1257" s="92" t="s">
        <v>4</v>
      </c>
      <c r="I1257" s="97">
        <f ca="1">_xll.meDateFromTenor(I1256,"1D","FOLLOWING","TGT")</f>
        <v>44295</v>
      </c>
      <c r="J1257" s="95">
        <f ca="1"/>
        <v>3.1785967580001714E-3</v>
      </c>
      <c r="K1257" s="5" t="s">
        <v>4</v>
      </c>
      <c r="L1257" s="97">
        <f ca="1">_xll.meDateFromTenor(L1256,"1D","FOLLOWING","TGT")</f>
        <v>44295</v>
      </c>
      <c r="M1257" s="95">
        <f ca="1"/>
        <v>5.02683117479701E-3</v>
      </c>
      <c r="N1257" s="5" t="s">
        <v>4</v>
      </c>
      <c r="O1257" s="97">
        <f ca="1">_xll.meDateFromTenor(O1256,"1D","FOLLOWING","TGT")</f>
        <v>44295</v>
      </c>
      <c r="P1257" s="95">
        <f ca="1"/>
        <v>7.0634606600036972E-3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2.03873279940082E-3</v>
      </c>
      <c r="H1258" s="92" t="s">
        <v>4</v>
      </c>
      <c r="I1258" s="97">
        <f ca="1">_xll.meDateFromTenor(I1257,"1D","FOLLOWING","TGT")</f>
        <v>44298</v>
      </c>
      <c r="J1258" s="95">
        <f ca="1"/>
        <v>3.2012520073255056E-3</v>
      </c>
      <c r="K1258" s="5" t="s">
        <v>4</v>
      </c>
      <c r="L1258" s="97">
        <f ca="1">_xll.meDateFromTenor(L1257,"1D","FOLLOWING","TGT")</f>
        <v>44298</v>
      </c>
      <c r="M1258" s="95">
        <f ca="1"/>
        <v>5.0488721552346795E-3</v>
      </c>
      <c r="N1258" s="5" t="s">
        <v>4</v>
      </c>
      <c r="O1258" s="97">
        <f ca="1">_xll.meDateFromTenor(O1257,"1D","FOLLOWING","TGT")</f>
        <v>44298</v>
      </c>
      <c r="P1258" s="95">
        <f ca="1"/>
        <v>7.0856523270737895E-3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2.0464912613349755E-3</v>
      </c>
      <c r="H1259" s="92" t="s">
        <v>4</v>
      </c>
      <c r="I1259" s="97">
        <f ca="1">_xll.meDateFromTenor(I1258,"1D","FOLLOWING","TGT")</f>
        <v>44299</v>
      </c>
      <c r="J1259" s="95">
        <f ca="1"/>
        <v>3.2088070171289416E-3</v>
      </c>
      <c r="K1259" s="5" t="s">
        <v>4</v>
      </c>
      <c r="L1259" s="97">
        <f ca="1">_xll.meDateFromTenor(L1258,"1D","FOLLOWING","TGT")</f>
        <v>44299</v>
      </c>
      <c r="M1259" s="95">
        <f ca="1"/>
        <v>5.0562246850021078E-3</v>
      </c>
      <c r="N1259" s="5" t="s">
        <v>4</v>
      </c>
      <c r="O1259" s="97">
        <f ca="1">_xll.meDateFromTenor(O1258,"1D","FOLLOWING","TGT")</f>
        <v>44299</v>
      </c>
      <c r="P1259" s="95">
        <f ca="1"/>
        <v>7.0930510584639892E-3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2.0543202871626661E-3</v>
      </c>
      <c r="H1260" s="92" t="s">
        <v>4</v>
      </c>
      <c r="I1260" s="97">
        <f ca="1">_xll.meDateFromTenor(I1259,"1D","FOLLOWING","TGT")</f>
        <v>44300</v>
      </c>
      <c r="J1260" s="95">
        <f ca="1"/>
        <v>3.2163636941998485E-3</v>
      </c>
      <c r="K1260" s="5" t="s">
        <v>4</v>
      </c>
      <c r="L1260" s="97">
        <f ca="1">_xll.meDateFromTenor(L1259,"1D","FOLLOWING","TGT")</f>
        <v>44300</v>
      </c>
      <c r="M1260" s="95">
        <f ca="1"/>
        <v>5.0635799792670046E-3</v>
      </c>
      <c r="N1260" s="5" t="s">
        <v>4</v>
      </c>
      <c r="O1260" s="97">
        <f ca="1">_xll.meDateFromTenor(O1259,"1D","FOLLOWING","TGT")</f>
        <v>44300</v>
      </c>
      <c r="P1260" s="95">
        <f ca="1"/>
        <v>7.1004505191404306E-3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2.0622137114236854E-3</v>
      </c>
      <c r="H1261" s="92" t="s">
        <v>4</v>
      </c>
      <c r="I1261" s="97">
        <f ca="1">_xll.meDateFromTenor(I1260,"1D","FOLLOWING","TGT")</f>
        <v>44301</v>
      </c>
      <c r="J1261" s="95">
        <f ca="1"/>
        <v>3.2239220608902106E-3</v>
      </c>
      <c r="K1261" s="5" t="s">
        <v>4</v>
      </c>
      <c r="L1261" s="97">
        <f ca="1">_xll.meDateFromTenor(L1260,"1D","FOLLOWING","TGT")</f>
        <v>44301</v>
      </c>
      <c r="M1261" s="95">
        <f ca="1"/>
        <v>5.0709380358413868E-3</v>
      </c>
      <c r="N1261" s="5" t="s">
        <v>4</v>
      </c>
      <c r="O1261" s="97">
        <f ca="1">_xll.meDateFromTenor(O1260,"1D","FOLLOWING","TGT")</f>
        <v>44301</v>
      </c>
      <c r="P1261" s="95">
        <f ca="1"/>
        <v>7.1078506939648047E-3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2.0701653686578275E-3</v>
      </c>
      <c r="H1262" s="92" t="s">
        <v>4</v>
      </c>
      <c r="I1262" s="97">
        <f ca="1">_xll.meDateFromTenor(I1261,"1D","FOLLOWING","TGT")</f>
        <v>44302</v>
      </c>
      <c r="J1262" s="95">
        <f ca="1"/>
        <v>3.2314821395520131E-3</v>
      </c>
      <c r="K1262" s="5" t="s">
        <v>4</v>
      </c>
      <c r="L1262" s="97">
        <f ca="1">_xll.meDateFromTenor(L1261,"1D","FOLLOWING","TGT")</f>
        <v>44302</v>
      </c>
      <c r="M1262" s="95">
        <f ca="1"/>
        <v>5.0782988525372762E-3</v>
      </c>
      <c r="N1262" s="5" t="s">
        <v>4</v>
      </c>
      <c r="O1262" s="97">
        <f ca="1">_xll.meDateFromTenor(O1261,"1D","FOLLOWING","TGT")</f>
        <v>44302</v>
      </c>
      <c r="P1262" s="95">
        <f ca="1"/>
        <v>7.1152515677988075E-3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2.0943080835969245E-3</v>
      </c>
      <c r="H1263" s="92" t="s">
        <v>4</v>
      </c>
      <c r="I1263" s="97">
        <f ca="1">_xll.meDateFromTenor(I1262,"1D","FOLLOWING","TGT")</f>
        <v>44305</v>
      </c>
      <c r="J1263" s="95">
        <f ca="1"/>
        <v>3.2541728708859034E-3</v>
      </c>
      <c r="K1263" s="5" t="s">
        <v>4</v>
      </c>
      <c r="L1263" s="97">
        <f ca="1">_xll.meDateFromTenor(L1262,"1D","FOLLOWING","TGT")</f>
        <v>44305</v>
      </c>
      <c r="M1263" s="95">
        <f ca="1"/>
        <v>5.1003978414741608E-3</v>
      </c>
      <c r="N1263" s="5" t="s">
        <v>4</v>
      </c>
      <c r="O1263" s="97">
        <f ca="1">_xll.meDateFromTenor(O1262,"1D","FOLLOWING","TGT")</f>
        <v>44305</v>
      </c>
      <c r="P1263" s="95">
        <f ca="1"/>
        <v>7.1374582319755084E-3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2.102431018121494E-3</v>
      </c>
      <c r="H1264" s="92" t="s">
        <v>4</v>
      </c>
      <c r="I1264" s="97">
        <f ca="1">_xll.meDateFromTenor(I1263,"1D","FOLLOWING","TGT")</f>
        <v>44306</v>
      </c>
      <c r="J1264" s="95">
        <f ca="1"/>
        <v>3.2617400209533124E-3</v>
      </c>
      <c r="K1264" s="5" t="s">
        <v>4</v>
      </c>
      <c r="L1264" s="97">
        <f ca="1">_xll.meDateFromTenor(L1263,"1D","FOLLOWING","TGT")</f>
        <v>44306</v>
      </c>
      <c r="M1264" s="95">
        <f ca="1"/>
        <v>5.1077696767762608E-3</v>
      </c>
      <c r="N1264" s="5" t="s">
        <v>4</v>
      </c>
      <c r="O1264" s="97">
        <f ca="1">_xll.meDateFromTenor(O1263,"1D","FOLLOWING","TGT")</f>
        <v>44306</v>
      </c>
      <c r="P1264" s="95">
        <f ca="1"/>
        <v>7.1448617504649521E-3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2.1105813583181562E-3</v>
      </c>
      <c r="H1265" s="92" t="s">
        <v>4</v>
      </c>
      <c r="I1265" s="97">
        <f ca="1">_xll.meDateFromTenor(I1264,"1D","FOLLOWING","TGT")</f>
        <v>44307</v>
      </c>
      <c r="J1265" s="95">
        <f ca="1"/>
        <v>3.2693089947520848E-3</v>
      </c>
      <c r="K1265" s="5" t="s">
        <v>4</v>
      </c>
      <c r="L1265" s="97">
        <f ca="1">_xll.meDateFromTenor(L1264,"1D","FOLLOWING","TGT")</f>
        <v>44307</v>
      </c>
      <c r="M1265" s="95">
        <f ca="1"/>
        <v>5.1151442612599601E-3</v>
      </c>
      <c r="N1265" s="5" t="s">
        <v>4</v>
      </c>
      <c r="O1265" s="97">
        <f ca="1">_xll.meDateFromTenor(O1264,"1D","FOLLOWING","TGT")</f>
        <v>44307</v>
      </c>
      <c r="P1265" s="95">
        <f ca="1"/>
        <v>7.1522658922724891E-3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2.1187529387267025E-3</v>
      </c>
      <c r="H1266" s="92" t="s">
        <v>4</v>
      </c>
      <c r="I1266" s="97">
        <f ca="1">_xll.meDateFromTenor(I1265,"1D","FOLLOWING","TGT")</f>
        <v>44308</v>
      </c>
      <c r="J1266" s="95">
        <f ca="1"/>
        <v>3.2768798146342059E-3</v>
      </c>
      <c r="K1266" s="5" t="s">
        <v>4</v>
      </c>
      <c r="L1266" s="97">
        <f ca="1">_xll.meDateFromTenor(L1265,"1D","FOLLOWING","TGT")</f>
        <v>44308</v>
      </c>
      <c r="M1266" s="95">
        <f ca="1"/>
        <v>5.1225215927372799E-3</v>
      </c>
      <c r="N1266" s="5" t="s">
        <v>4</v>
      </c>
      <c r="O1266" s="97">
        <f ca="1">_xll.meDateFromTenor(O1265,"1D","FOLLOWING","TGT")</f>
        <v>44308</v>
      </c>
      <c r="P1266" s="95">
        <f ca="1"/>
        <v>7.1596706422598147E-3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2.1269395938869284E-3</v>
      </c>
      <c r="H1267" s="92" t="s">
        <v>4</v>
      </c>
      <c r="I1267" s="97">
        <f ca="1">_xll.meDateFromTenor(I1266,"1D","FOLLOWING","TGT")</f>
        <v>44309</v>
      </c>
      <c r="J1267" s="95">
        <f ca="1"/>
        <v>3.2844525029516588E-3</v>
      </c>
      <c r="K1267" s="5" t="s">
        <v>4</v>
      </c>
      <c r="L1267" s="97">
        <f ca="1">_xll.meDateFromTenor(L1266,"1D","FOLLOWING","TGT")</f>
        <v>44309</v>
      </c>
      <c r="M1267" s="95">
        <f ca="1"/>
        <v>5.1299016690202369E-3</v>
      </c>
      <c r="N1267" s="5" t="s">
        <v>4</v>
      </c>
      <c r="O1267" s="97">
        <f ca="1">_xll.meDateFromTenor(O1266,"1D","FOLLOWING","TGT")</f>
        <v>44309</v>
      </c>
      <c r="P1267" s="95">
        <f ca="1"/>
        <v>7.16707598528862E-3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2.151528353275613E-3</v>
      </c>
      <c r="H1268" s="92" t="s">
        <v>4</v>
      </c>
      <c r="I1268" s="97">
        <f ca="1">_xll.meDateFromTenor(I1267,"1D","FOLLOWING","TGT")</f>
        <v>44312</v>
      </c>
      <c r="J1268" s="95">
        <f ca="1"/>
        <v>3.3071820020358616E-3</v>
      </c>
      <c r="K1268" s="5" t="s">
        <v>4</v>
      </c>
      <c r="L1268" s="97">
        <f ca="1">_xll.meDateFromTenor(L1267,"1D","FOLLOWING","TGT")</f>
        <v>44312</v>
      </c>
      <c r="M1268" s="95">
        <f ca="1"/>
        <v>5.1520583448231251E-3</v>
      </c>
      <c r="N1268" s="5" t="s">
        <v>4</v>
      </c>
      <c r="O1268" s="97">
        <f ca="1">_xll.meDateFromTenor(O1267,"1D","FOLLOWING","TGT")</f>
        <v>44312</v>
      </c>
      <c r="P1268" s="95">
        <f ca="1"/>
        <v>7.189295421240847E-3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2.1597136528404919E-3</v>
      </c>
      <c r="H1269" s="92" t="s">
        <v>4</v>
      </c>
      <c r="I1269" s="97">
        <f ca="1">_xll.meDateFromTenor(I1268,"1D","FOLLOWING","TGT")</f>
        <v>44313</v>
      </c>
      <c r="J1269" s="95">
        <f ca="1"/>
        <v>3.3147623876144936E-3</v>
      </c>
      <c r="K1269" s="5" t="s">
        <v>4</v>
      </c>
      <c r="L1269" s="97">
        <f ca="1">_xll.meDateFromTenor(L1268,"1D","FOLLOWING","TGT")</f>
        <v>44313</v>
      </c>
      <c r="M1269" s="95">
        <f ca="1"/>
        <v>5.1594493784488243E-3</v>
      </c>
      <c r="N1269" s="5" t="s">
        <v>4</v>
      </c>
      <c r="O1269" s="97">
        <f ca="1">_xll.meDateFromTenor(O1268,"1D","FOLLOWING","TGT")</f>
        <v>44313</v>
      </c>
      <c r="P1269" s="95">
        <f ca="1"/>
        <v>7.1967029850525076E-3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2.1678831998560174E-3</v>
      </c>
      <c r="H1270" s="92" t="s">
        <v>4</v>
      </c>
      <c r="I1270" s="97">
        <f ca="1">_xll.meDateFromTenor(I1269,"1D","FOLLOWING","TGT")</f>
        <v>44314</v>
      </c>
      <c r="J1270" s="95">
        <f ca="1"/>
        <v>3.3223447533883817E-3</v>
      </c>
      <c r="K1270" s="5" t="s">
        <v>4</v>
      </c>
      <c r="L1270" s="97">
        <f ca="1">_xll.meDateFromTenor(L1269,"1D","FOLLOWING","TGT")</f>
        <v>44314</v>
      </c>
      <c r="M1270" s="95">
        <f ca="1"/>
        <v>5.1668431459402572E-3</v>
      </c>
      <c r="N1270" s="5" t="s">
        <v>4</v>
      </c>
      <c r="O1270" s="97">
        <f ca="1">_xll.meDateFromTenor(O1269,"1D","FOLLOWING","TGT")</f>
        <v>44314</v>
      </c>
      <c r="P1270" s="95">
        <f ca="1"/>
        <v>7.2041110662141123E-3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2.1760308288619854E-3</v>
      </c>
      <c r="H1271" s="92" t="s">
        <v>4</v>
      </c>
      <c r="I1271" s="97">
        <f ca="1">_xll.meDateFromTenor(I1270,"1D","FOLLOWING","TGT")</f>
        <v>44315</v>
      </c>
      <c r="J1271" s="95">
        <f ca="1"/>
        <v>3.3299291217095111E-3</v>
      </c>
      <c r="K1271" s="5" t="s">
        <v>4</v>
      </c>
      <c r="L1271" s="97">
        <f ca="1">_xll.meDateFromTenor(L1270,"1D","FOLLOWING","TGT")</f>
        <v>44315</v>
      </c>
      <c r="M1271" s="95">
        <f ca="1"/>
        <v>5.1742396451094413E-3</v>
      </c>
      <c r="N1271" s="5" t="s">
        <v>4</v>
      </c>
      <c r="O1271" s="97">
        <f ca="1">_xll.meDateFromTenor(O1270,"1D","FOLLOWING","TGT")</f>
        <v>44315</v>
      </c>
      <c r="P1271" s="95">
        <f ca="1"/>
        <v>7.2115196495873592E-3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2.1841503743981875E-3</v>
      </c>
      <c r="H1272" s="92" t="s">
        <v>4</v>
      </c>
      <c r="I1272" s="97">
        <f ca="1">_xll.meDateFromTenor(I1271,"1D","FOLLOWING","TGT")</f>
        <v>44316</v>
      </c>
      <c r="J1272" s="95">
        <f ca="1"/>
        <v>3.3375155149298662E-3</v>
      </c>
      <c r="K1272" s="5" t="s">
        <v>4</v>
      </c>
      <c r="L1272" s="97">
        <f ca="1">_xll.meDateFromTenor(L1271,"1D","FOLLOWING","TGT")</f>
        <v>44316</v>
      </c>
      <c r="M1272" s="95">
        <f ca="1"/>
        <v>5.181638873768395E-3</v>
      </c>
      <c r="N1272" s="5" t="s">
        <v>4</v>
      </c>
      <c r="O1272" s="97">
        <f ca="1">_xll.meDateFromTenor(O1271,"1D","FOLLOWING","TGT")</f>
        <v>44316</v>
      </c>
      <c r="P1272" s="95">
        <f ca="1"/>
        <v>7.218928720033939E-3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2.2082788555861433E-3</v>
      </c>
      <c r="H1273" s="92" t="s">
        <v>4</v>
      </c>
      <c r="I1273" s="97">
        <f ca="1">_xll.meDateFromTenor(I1272,"1D","FOLLOWING","TGT")</f>
        <v>44319</v>
      </c>
      <c r="J1273" s="95">
        <f ca="1"/>
        <v>3.3602870675061339E-3</v>
      </c>
      <c r="K1273" s="5" t="s">
        <v>4</v>
      </c>
      <c r="L1273" s="97">
        <f ca="1">_xll.meDateFromTenor(L1272,"1D","FOLLOWING","TGT")</f>
        <v>44319</v>
      </c>
      <c r="M1273" s="95">
        <f ca="1"/>
        <v>5.2038529148040738E-3</v>
      </c>
      <c r="N1273" s="5" t="s">
        <v>4</v>
      </c>
      <c r="O1273" s="97">
        <f ca="1">_xll.meDateFromTenor(O1272,"1D","FOLLOWING","TGT")</f>
        <v>44319</v>
      </c>
      <c r="P1273" s="95">
        <f ca="1"/>
        <v>7.241158702430613E-3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2.216225874561527E-3</v>
      </c>
      <c r="H1274" s="92" t="s">
        <v>4</v>
      </c>
      <c r="I1274" s="97">
        <f ca="1">_xll.meDateFromTenor(I1273,"1D","FOLLOWING","TGT")</f>
        <v>44320</v>
      </c>
      <c r="J1274" s="95">
        <f ca="1"/>
        <v>3.3678817838432387E-3</v>
      </c>
      <c r="K1274" s="5" t="s">
        <v>4</v>
      </c>
      <c r="L1274" s="97">
        <f ca="1">_xll.meDateFromTenor(L1273,"1D","FOLLOWING","TGT")</f>
        <v>44320</v>
      </c>
      <c r="M1274" s="95">
        <f ca="1"/>
        <v>5.2112630395423007E-3</v>
      </c>
      <c r="N1274" s="5" t="s">
        <v>4</v>
      </c>
      <c r="O1274" s="97">
        <f ca="1">_xll.meDateFromTenor(O1273,"1D","FOLLOWING","TGT")</f>
        <v>44320</v>
      </c>
      <c r="P1274" s="95">
        <f ca="1"/>
        <v>7.2485695697874601E-3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2.2241227542879323E-3</v>
      </c>
      <c r="H1275" s="92" t="s">
        <v>4</v>
      </c>
      <c r="I1275" s="97">
        <f ca="1">_xll.meDateFromTenor(I1274,"1D","FOLLOWING","TGT")</f>
        <v>44321</v>
      </c>
      <c r="J1275" s="95">
        <f ca="1"/>
        <v>3.3754786368394912E-3</v>
      </c>
      <c r="K1275" s="5" t="s">
        <v>4</v>
      </c>
      <c r="L1275" s="97">
        <f ca="1">_xll.meDateFromTenor(L1274,"1D","FOLLOWING","TGT")</f>
        <v>44321</v>
      </c>
      <c r="M1275" s="95">
        <f ca="1"/>
        <v>5.2186758828303911E-3</v>
      </c>
      <c r="N1275" s="5" t="s">
        <v>4</v>
      </c>
      <c r="O1275" s="97">
        <f ca="1">_xll.meDateFromTenor(O1274,"1D","FOLLOWING","TGT")</f>
        <v>44321</v>
      </c>
      <c r="P1275" s="95">
        <f ca="1"/>
        <v>7.2559808485261048E-3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2.2319721008269783E-3</v>
      </c>
      <c r="H1276" s="92" t="s">
        <v>4</v>
      </c>
      <c r="I1276" s="97">
        <f ca="1">_xll.meDateFromTenor(I1275,"1D","FOLLOWING","TGT")</f>
        <v>44322</v>
      </c>
      <c r="J1276" s="95">
        <f ca="1"/>
        <v>3.3830776488468798E-3</v>
      </c>
      <c r="K1276" s="5" t="s">
        <v>4</v>
      </c>
      <c r="L1276" s="97">
        <f ca="1">_xll.meDateFromTenor(L1275,"1D","FOLLOWING","TGT")</f>
        <v>44322</v>
      </c>
      <c r="M1276" s="95">
        <f ca="1"/>
        <v>5.2260914424803679E-3</v>
      </c>
      <c r="N1276" s="5" t="s">
        <v>4</v>
      </c>
      <c r="O1276" s="97">
        <f ca="1">_xll.meDateFromTenor(O1275,"1D","FOLLOWING","TGT")</f>
        <v>44322</v>
      </c>
      <c r="P1276" s="95">
        <f ca="1"/>
        <v>7.2633925235082459E-3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2.2397765202402764E-3</v>
      </c>
      <c r="H1277" s="92" t="s">
        <v>4</v>
      </c>
      <c r="I1277" s="97">
        <f ca="1">_xll.meDateFromTenor(I1276,"1D","FOLLOWING","TGT")</f>
        <v>44323</v>
      </c>
      <c r="J1277" s="95">
        <f ca="1"/>
        <v>3.3906788422173877E-3</v>
      </c>
      <c r="K1277" s="5" t="s">
        <v>4</v>
      </c>
      <c r="L1277" s="97">
        <f ca="1">_xll.meDateFromTenor(L1276,"1D","FOLLOWING","TGT")</f>
        <v>44323</v>
      </c>
      <c r="M1277" s="95">
        <f ca="1"/>
        <v>5.2335097163042485E-3</v>
      </c>
      <c r="N1277" s="5" t="s">
        <v>4</v>
      </c>
      <c r="O1277" s="97">
        <f ca="1">_xll.meDateFromTenor(O1276,"1D","FOLLOWING","TGT")</f>
        <v>44323</v>
      </c>
      <c r="P1277" s="95">
        <f ca="1"/>
        <v>7.2708045795955717E-3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2.2629462763418253E-3</v>
      </c>
      <c r="H1278" s="92" t="s">
        <v>4</v>
      </c>
      <c r="I1278" s="97">
        <f ca="1">_xll.meDateFromTenor(I1277,"1D","FOLLOWING","TGT")</f>
        <v>44326</v>
      </c>
      <c r="J1278" s="95">
        <f ca="1"/>
        <v>3.4134957340274702E-3</v>
      </c>
      <c r="K1278" s="5" t="s">
        <v>4</v>
      </c>
      <c r="L1278" s="97">
        <f ca="1">_xll.meDateFromTenor(L1277,"1D","FOLLOWING","TGT")</f>
        <v>44326</v>
      </c>
      <c r="M1278" s="95">
        <f ca="1"/>
        <v>5.2557808009394994E-3</v>
      </c>
      <c r="N1278" s="5" t="s">
        <v>4</v>
      </c>
      <c r="O1278" s="97">
        <f ca="1">_xll.meDateFromTenor(O1277,"1D","FOLLOWING","TGT")</f>
        <v>44326</v>
      </c>
      <c r="P1278" s="95">
        <f ca="1"/>
        <v>7.2930428831056047E-3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2.2705970478682732E-3</v>
      </c>
      <c r="H1279" s="92" t="s">
        <v>4</v>
      </c>
      <c r="I1279" s="97">
        <f ca="1">_xll.meDateFromTenor(I1278,"1D","FOLLOWING","TGT")</f>
        <v>44327</v>
      </c>
      <c r="J1279" s="95">
        <f ca="1"/>
        <v>3.4211058763702995E-3</v>
      </c>
      <c r="K1279" s="5" t="s">
        <v>4</v>
      </c>
      <c r="L1279" s="97">
        <f ca="1">_xll.meDateFromTenor(L1278,"1D","FOLLOWING","TGT")</f>
        <v>44327</v>
      </c>
      <c r="M1279" s="95">
        <f ca="1"/>
        <v>5.2632099095791824E-3</v>
      </c>
      <c r="N1279" s="5" t="s">
        <v>4</v>
      </c>
      <c r="O1279" s="97">
        <f ca="1">_xll.meDateFromTenor(O1278,"1D","FOLLOWING","TGT")</f>
        <v>44327</v>
      </c>
      <c r="P1279" s="95">
        <f ca="1"/>
        <v>7.3004563122306123E-3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2.2782159225770439E-3</v>
      </c>
      <c r="H1280" s="92" t="s">
        <v>4</v>
      </c>
      <c r="I1280" s="97">
        <f ca="1">_xll.meDateFromTenor(I1279,"1D","FOLLOWING","TGT")</f>
        <v>44328</v>
      </c>
      <c r="J1280" s="95">
        <f ca="1"/>
        <v>3.4287183118361718E-3</v>
      </c>
      <c r="K1280" s="5" t="s">
        <v>4</v>
      </c>
      <c r="L1280" s="97">
        <f ca="1">_xll.meDateFromTenor(L1279,"1D","FOLLOWING","TGT")</f>
        <v>44328</v>
      </c>
      <c r="M1280" s="95">
        <f ca="1"/>
        <v>5.2706417214528631E-3</v>
      </c>
      <c r="N1280" s="5" t="s">
        <v>4</v>
      </c>
      <c r="O1280" s="97">
        <f ca="1">_xll.meDateFromTenor(O1279,"1D","FOLLOWING","TGT")</f>
        <v>44328</v>
      </c>
      <c r="P1280" s="95">
        <f ca="1"/>
        <v>7.3078700467692709E-3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2.2858055065297506E-3</v>
      </c>
      <c r="H1281" s="92" t="s">
        <v>4</v>
      </c>
      <c r="I1281" s="97">
        <f ca="1">_xll.meDateFromTenor(I1280,"1D","FOLLOWING","TGT")</f>
        <v>44329</v>
      </c>
      <c r="J1281" s="95">
        <f ca="1"/>
        <v>3.4363330627770711E-3</v>
      </c>
      <c r="K1281" s="5" t="s">
        <v>4</v>
      </c>
      <c r="L1281" s="97">
        <f ca="1">_xll.meDateFromTenor(L1280,"1D","FOLLOWING","TGT")</f>
        <v>44329</v>
      </c>
      <c r="M1281" s="95">
        <f ca="1"/>
        <v>5.2780762343725626E-3</v>
      </c>
      <c r="N1281" s="5" t="s">
        <v>4</v>
      </c>
      <c r="O1281" s="97">
        <f ca="1">_xll.meDateFromTenor(O1280,"1D","FOLLOWING","TGT")</f>
        <v>44329</v>
      </c>
      <c r="P1281" s="95">
        <f ca="1"/>
        <v>7.3152840715832784E-3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2.2933684057880066E-3</v>
      </c>
      <c r="H1282" s="92" t="s">
        <v>4</v>
      </c>
      <c r="I1282" s="97">
        <f ca="1">_xll.meDateFromTenor(I1281,"1D","FOLLOWING","TGT")</f>
        <v>44330</v>
      </c>
      <c r="J1282" s="95">
        <f ca="1"/>
        <v>3.4439501515449787E-3</v>
      </c>
      <c r="K1282" s="5" t="s">
        <v>4</v>
      </c>
      <c r="L1282" s="97">
        <f ca="1">_xll.meDateFromTenor(L1281,"1D","FOLLOWING","TGT")</f>
        <v>44330</v>
      </c>
      <c r="M1282" s="95">
        <f ca="1"/>
        <v>5.2855134461502942E-3</v>
      </c>
      <c r="N1282" s="5" t="s">
        <v>4</v>
      </c>
      <c r="O1282" s="97">
        <f ca="1">_xll.meDateFromTenor(O1281,"1D","FOLLOWING","TGT")</f>
        <v>44330</v>
      </c>
      <c r="P1282" s="95">
        <f ca="1"/>
        <v>7.3226983715343206E-3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2.3159230560122249E-3</v>
      </c>
      <c r="H1283" s="92" t="s">
        <v>4</v>
      </c>
      <c r="I1283" s="97">
        <f ca="1">_xll.meDateFromTenor(I1282,"1D","FOLLOWING","TGT")</f>
        <v>44333</v>
      </c>
      <c r="J1283" s="95">
        <f ca="1"/>
        <v>3.4668156683306281E-3</v>
      </c>
      <c r="K1283" s="5" t="s">
        <v>4</v>
      </c>
      <c r="L1283" s="97">
        <f ca="1">_xll.meDateFromTenor(L1282,"1D","FOLLOWING","TGT")</f>
        <v>44333</v>
      </c>
      <c r="M1283" s="95">
        <f ca="1"/>
        <v>5.3078412527519016E-3</v>
      </c>
      <c r="N1283" s="5" t="s">
        <v>4</v>
      </c>
      <c r="O1283" s="97">
        <f ca="1">_xll.meDateFromTenor(O1282,"1D","FOLLOWING","TGT")</f>
        <v>44333</v>
      </c>
      <c r="P1283" s="95">
        <f ca="1"/>
        <v>7.3449427708266301E-3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2.3234052771088261E-3</v>
      </c>
      <c r="H1284" s="92" t="s">
        <v>4</v>
      </c>
      <c r="I1284" s="97">
        <f ca="1">_xll.meDateFromTenor(I1283,"1D","FOLLOWING","TGT")</f>
        <v>44334</v>
      </c>
      <c r="J1284" s="95">
        <f ca="1"/>
        <v>3.4744423319264324E-3</v>
      </c>
      <c r="K1284" s="5" t="s">
        <v>4</v>
      </c>
      <c r="L1284" s="97">
        <f ca="1">_xll.meDateFromTenor(L1283,"1D","FOLLOWING","TGT")</f>
        <v>44334</v>
      </c>
      <c r="M1284" s="95">
        <f ca="1"/>
        <v>5.315289238081969E-3</v>
      </c>
      <c r="N1284" s="5" t="s">
        <v>4</v>
      </c>
      <c r="O1284" s="97">
        <f ca="1">_xll.meDateFromTenor(O1283,"1D","FOLLOWING","TGT")</f>
        <v>44334</v>
      </c>
      <c r="P1284" s="95">
        <f ca="1"/>
        <v>7.3523580199427686E-3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2.3308738438190487E-3</v>
      </c>
      <c r="H1285" s="92" t="s">
        <v>4</v>
      </c>
      <c r="I1285" s="97">
        <f ca="1">_xll.meDateFromTenor(I1284,"1D","FOLLOWING","TGT")</f>
        <v>44335</v>
      </c>
      <c r="J1285" s="95">
        <f ca="1"/>
        <v>3.4820714451091724E-3</v>
      </c>
      <c r="K1285" s="5" t="s">
        <v>4</v>
      </c>
      <c r="L1285" s="97">
        <f ca="1">_xll.meDateFromTenor(L1284,"1D","FOLLOWING","TGT")</f>
        <v>44335</v>
      </c>
      <c r="M1285" s="95">
        <f ca="1"/>
        <v>5.3227399113301667E-3</v>
      </c>
      <c r="N1285" s="5" t="s">
        <v>4</v>
      </c>
      <c r="O1285" s="97">
        <f ca="1">_xll.meDateFromTenor(O1284,"1D","FOLLOWING","TGT")</f>
        <v>44335</v>
      </c>
      <c r="P1285" s="95">
        <f ca="1"/>
        <v>7.3597734685044115E-3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2.3383313622045059E-3</v>
      </c>
      <c r="H1286" s="92" t="s">
        <v>4</v>
      </c>
      <c r="I1286" s="97">
        <f ca="1">_xll.meDateFromTenor(I1285,"1D","FOLLOWING","TGT")</f>
        <v>44336</v>
      </c>
      <c r="J1286" s="95">
        <f ca="1"/>
        <v>3.4897030302308315E-3</v>
      </c>
      <c r="K1286" s="5" t="s">
        <v>4</v>
      </c>
      <c r="L1286" s="97">
        <f ca="1">_xll.meDateFromTenor(L1285,"1D","FOLLOWING","TGT")</f>
        <v>44336</v>
      </c>
      <c r="M1286" s="95">
        <f ca="1"/>
        <v>5.3301932703085156E-3</v>
      </c>
      <c r="N1286" s="5" t="s">
        <v>4</v>
      </c>
      <c r="O1286" s="97">
        <f ca="1">_xll.meDateFromTenor(O1285,"1D","FOLLOWING","TGT")</f>
        <v>44336</v>
      </c>
      <c r="P1286" s="95">
        <f ca="1"/>
        <v>7.3671891013732567E-3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2.3457804383268128E-3</v>
      </c>
      <c r="H1287" s="92" t="s">
        <v>4</v>
      </c>
      <c r="I1287" s="97">
        <f ca="1">_xll.meDateFromTenor(I1286,"1D","FOLLOWING","TGT")</f>
        <v>44337</v>
      </c>
      <c r="J1287" s="95">
        <f ca="1"/>
        <v>3.4973371096433956E-3</v>
      </c>
      <c r="K1287" s="5" t="s">
        <v>4</v>
      </c>
      <c r="L1287" s="97">
        <f ca="1">_xll.meDateFromTenor(L1286,"1D","FOLLOWING","TGT")</f>
        <v>44337</v>
      </c>
      <c r="M1287" s="95">
        <f ca="1"/>
        <v>5.3376493128290316E-3</v>
      </c>
      <c r="N1287" s="5" t="s">
        <v>4</v>
      </c>
      <c r="O1287" s="97">
        <f ca="1">_xll.meDateFromTenor(O1286,"1D","FOLLOWING","TGT")</f>
        <v>44337</v>
      </c>
      <c r="P1287" s="95">
        <f ca="1"/>
        <v>7.3746049034109935E-3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2.3681030737309657E-3</v>
      </c>
      <c r="H1288" s="92" t="s">
        <v>4</v>
      </c>
      <c r="I1288" s="97">
        <f ca="1">_xll.meDateFromTenor(I1287,"1D","FOLLOWING","TGT")</f>
        <v>44340</v>
      </c>
      <c r="J1288" s="95">
        <f ca="1"/>
        <v>3.5202545371463604E-3</v>
      </c>
      <c r="K1288" s="5" t="s">
        <v>4</v>
      </c>
      <c r="L1288" s="97">
        <f ca="1">_xll.meDateFromTenor(L1287,"1D","FOLLOWING","TGT")</f>
        <v>44340</v>
      </c>
      <c r="M1288" s="95">
        <f ca="1"/>
        <v>5.3600335197637782E-3</v>
      </c>
      <c r="N1288" s="5" t="s">
        <v>4</v>
      </c>
      <c r="O1288" s="97">
        <f ca="1">_xll.meDateFromTenor(O1287,"1D","FOLLOWING","TGT")</f>
        <v>44340</v>
      </c>
      <c r="P1288" s="95">
        <f ca="1"/>
        <v>7.3968531731544917E-3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2.3755444414168092E-3</v>
      </c>
      <c r="H1289" s="92" t="s">
        <v>4</v>
      </c>
      <c r="I1289" s="97">
        <f ca="1">_xll.meDateFromTenor(I1288,"1D","FOLLOWING","TGT")</f>
        <v>44341</v>
      </c>
      <c r="J1289" s="95">
        <f ca="1"/>
        <v>3.5278988172423903E-3</v>
      </c>
      <c r="K1289" s="5" t="s">
        <v>4</v>
      </c>
      <c r="L1289" s="97">
        <f ca="1">_xll.meDateFromTenor(L1288,"1D","FOLLOWING","TGT")</f>
        <v>44341</v>
      </c>
      <c r="M1289" s="95">
        <f ca="1"/>
        <v>5.3675002745731592E-3</v>
      </c>
      <c r="N1289" s="5" t="s">
        <v>4</v>
      </c>
      <c r="O1289" s="97">
        <f ca="1">_xll.meDateFromTenor(O1288,"1D","FOLLOWING","TGT")</f>
        <v>44341</v>
      </c>
      <c r="P1289" s="95">
        <f ca="1"/>
        <v>7.4042695004847333E-3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2.3829903971475724E-3</v>
      </c>
      <c r="H1290" s="92" t="s">
        <v>4</v>
      </c>
      <c r="I1290" s="97">
        <f ca="1">_xll.meDateFromTenor(I1289,"1D","FOLLOWING","TGT")</f>
        <v>44342</v>
      </c>
      <c r="J1290" s="95">
        <f ca="1"/>
        <v>3.5355457033892481E-3</v>
      </c>
      <c r="K1290" s="5" t="s">
        <v>4</v>
      </c>
      <c r="L1290" s="97">
        <f ca="1">_xll.meDateFromTenor(L1289,"1D","FOLLOWING","TGT")</f>
        <v>44342</v>
      </c>
      <c r="M1290" s="95">
        <f ca="1"/>
        <v>5.3749697019848022E-3</v>
      </c>
      <c r="N1290" s="5" t="s">
        <v>4</v>
      </c>
      <c r="O1290" s="97">
        <f ca="1">_xll.meDateFromTenor(O1289,"1D","FOLLOWING","TGT")</f>
        <v>44342</v>
      </c>
      <c r="P1290" s="95">
        <f ca="1"/>
        <v>7.4116859212923344E-3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2.3904435469848701E-3</v>
      </c>
      <c r="H1291" s="92" t="s">
        <v>4</v>
      </c>
      <c r="I1291" s="97">
        <f ca="1">_xll.meDateFromTenor(I1290,"1D","FOLLOWING","TGT")</f>
        <v>44343</v>
      </c>
      <c r="J1291" s="95">
        <f ca="1"/>
        <v>3.5431952179389185E-3</v>
      </c>
      <c r="K1291" s="5" t="s">
        <v>4</v>
      </c>
      <c r="L1291" s="97">
        <f ca="1">_xll.meDateFromTenor(L1290,"1D","FOLLOWING","TGT")</f>
        <v>44343</v>
      </c>
      <c r="M1291" s="95">
        <f ca="1"/>
        <v>5.382441799810728E-3</v>
      </c>
      <c r="N1291" s="5" t="s">
        <v>4</v>
      </c>
      <c r="O1291" s="97">
        <f ca="1">_xll.meDateFromTenor(O1290,"1D","FOLLOWING","TGT")</f>
        <v>44343</v>
      </c>
      <c r="P1291" s="95">
        <f ca="1"/>
        <v>7.4191024204389878E-3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2.3979064969903143E-3</v>
      </c>
      <c r="H1292" s="92" t="s">
        <v>4</v>
      </c>
      <c r="I1292" s="97">
        <f ca="1">_xll.meDateFromTenor(I1291,"1D","FOLLOWING","TGT")</f>
        <v>44344</v>
      </c>
      <c r="J1292" s="95">
        <f ca="1"/>
        <v>3.5508473832433873E-3</v>
      </c>
      <c r="K1292" s="5" t="s">
        <v>4</v>
      </c>
      <c r="L1292" s="97">
        <f ca="1">_xll.meDateFromTenor(L1291,"1D","FOLLOWING","TGT")</f>
        <v>44344</v>
      </c>
      <c r="M1292" s="95">
        <f ca="1"/>
        <v>5.3899165658629544E-3</v>
      </c>
      <c r="N1292" s="5" t="s">
        <v>4</v>
      </c>
      <c r="O1292" s="97">
        <f ca="1">_xll.meDateFromTenor(O1291,"1D","FOLLOWING","TGT")</f>
        <v>44344</v>
      </c>
      <c r="P1292" s="95">
        <f ca="1"/>
        <v>7.4265189827863887E-3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2.4203802086316742E-3</v>
      </c>
      <c r="H1293" s="92" t="s">
        <v>4</v>
      </c>
      <c r="I1293" s="97">
        <f ca="1">_xll.meDateFromTenor(I1292,"1D","FOLLOWING","TGT")</f>
        <v>44347</v>
      </c>
      <c r="J1293" s="95">
        <f ca="1"/>
        <v>3.5738200072054243E-3</v>
      </c>
      <c r="K1293" s="5" t="s">
        <v>4</v>
      </c>
      <c r="L1293" s="97">
        <f ca="1">_xll.meDateFromTenor(L1292,"1D","FOLLOWING","TGT")</f>
        <v>44347</v>
      </c>
      <c r="M1293" s="95">
        <f ca="1"/>
        <v>5.4123568514976321E-3</v>
      </c>
      <c r="N1293" s="5" t="s">
        <v>4</v>
      </c>
      <c r="O1293" s="97">
        <f ca="1">_xll.meDateFromTenor(O1292,"1D","FOLLOWING","TGT")</f>
        <v>44347</v>
      </c>
      <c r="P1293" s="95">
        <f ca="1"/>
        <v>7.4487688976499966E-3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2.4279084199258479E-3</v>
      </c>
      <c r="H1294" s="92" t="s">
        <v>4</v>
      </c>
      <c r="I1294" s="97">
        <f ca="1">_xll.meDateFromTenor(I1293,"1D","FOLLOWING","TGT")</f>
        <v>44348</v>
      </c>
      <c r="J1294" s="95">
        <f ca="1"/>
        <v>3.5814829990489278E-3</v>
      </c>
      <c r="K1294" s="5" t="s">
        <v>4</v>
      </c>
      <c r="L1294" s="97">
        <f ca="1">_xll.meDateFromTenor(L1293,"1D","FOLLOWING","TGT")</f>
        <v>44348</v>
      </c>
      <c r="M1294" s="95">
        <f ca="1"/>
        <v>5.4198422685752508E-3</v>
      </c>
      <c r="N1294" s="5" t="s">
        <v>4</v>
      </c>
      <c r="O1294" s="97">
        <f ca="1">_xll.meDateFromTenor(O1293,"1D","FOLLOWING","TGT")</f>
        <v>44348</v>
      </c>
      <c r="P1294" s="95">
        <f ca="1"/>
        <v>7.4561855614173117E-3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2.4354594616962416E-3</v>
      </c>
      <c r="H1295" s="92" t="s">
        <v>4</v>
      </c>
      <c r="I1295" s="97">
        <f ca="1">_xll.meDateFromTenor(I1294,"1D","FOLLOWING","TGT")</f>
        <v>44349</v>
      </c>
      <c r="J1295" s="95">
        <f ca="1"/>
        <v>3.5891487534071547E-3</v>
      </c>
      <c r="K1295" s="5" t="s">
        <v>4</v>
      </c>
      <c r="L1295" s="97">
        <f ca="1">_xll.meDateFromTenor(L1294,"1D","FOLLOWING","TGT")</f>
        <v>44349</v>
      </c>
      <c r="M1295" s="95">
        <f ca="1"/>
        <v>5.4273303429392674E-3</v>
      </c>
      <c r="N1295" s="5" t="s">
        <v>4</v>
      </c>
      <c r="O1295" s="97">
        <f ca="1">_xll.meDateFromTenor(O1294,"1D","FOLLOWING","TGT")</f>
        <v>44349</v>
      </c>
      <c r="P1295" s="95">
        <f ca="1"/>
        <v>7.4636022126938414E-3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2.4430352748617767E-3</v>
      </c>
      <c r="H1296" s="92" t="s">
        <v>4</v>
      </c>
      <c r="I1296" s="97">
        <f ca="1">_xll.meDateFromTenor(I1295,"1D","FOLLOWING","TGT")</f>
        <v>44350</v>
      </c>
      <c r="J1296" s="95">
        <f ca="1"/>
        <v>3.5968172872243337E-3</v>
      </c>
      <c r="K1296" s="5" t="s">
        <v>4</v>
      </c>
      <c r="L1296" s="97">
        <f ca="1">_xll.meDateFromTenor(L1295,"1D","FOLLOWING","TGT")</f>
        <v>44350</v>
      </c>
      <c r="M1296" s="95">
        <f ca="1"/>
        <v>5.4348210740860544E-3</v>
      </c>
      <c r="N1296" s="5" t="s">
        <v>4</v>
      </c>
      <c r="O1296" s="97">
        <f ca="1">_xll.meDateFromTenor(O1295,"1D","FOLLOWING","TGT")</f>
        <v>44350</v>
      </c>
      <c r="P1296" s="95">
        <f ca="1"/>
        <v>7.471018838372671E-3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2.4506351397706157E-3</v>
      </c>
      <c r="H1297" s="92" t="s">
        <v>4</v>
      </c>
      <c r="I1297" s="97">
        <f ca="1">_xll.meDateFromTenor(I1296,"1D","FOLLOWING","TGT")</f>
        <v>44351</v>
      </c>
      <c r="J1297" s="95">
        <f ca="1"/>
        <v>3.6044885958136869E-3</v>
      </c>
      <c r="K1297" s="5" t="s">
        <v>4</v>
      </c>
      <c r="L1297" s="97">
        <f ca="1">_xll.meDateFromTenor(L1296,"1D","FOLLOWING","TGT")</f>
        <v>44351</v>
      </c>
      <c r="M1297" s="95">
        <f ca="1"/>
        <v>5.442314468249409E-3</v>
      </c>
      <c r="N1297" s="5" t="s">
        <v>4</v>
      </c>
      <c r="O1297" s="97">
        <f ca="1">_xll.meDateFromTenor(O1296,"1D","FOLLOWING","TGT")</f>
        <v>44351</v>
      </c>
      <c r="P1297" s="95">
        <f ca="1"/>
        <v>7.4784354334724631E-3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2.4735651970116753E-3</v>
      </c>
      <c r="H1298" s="92" t="s">
        <v>4</v>
      </c>
      <c r="I1298" s="97">
        <f ca="1">_xll.meDateFromTenor(I1297,"1D","FOLLOWING","TGT")</f>
        <v>44354</v>
      </c>
      <c r="J1298" s="95">
        <f ca="1"/>
        <v>3.6275190692694622E-3</v>
      </c>
      <c r="K1298" s="5" t="s">
        <v>4</v>
      </c>
      <c r="L1298" s="97">
        <f ca="1">_xll.meDateFromTenor(L1297,"1D","FOLLOWING","TGT")</f>
        <v>44354</v>
      </c>
      <c r="M1298" s="95">
        <f ca="1"/>
        <v>5.4648107080203919E-3</v>
      </c>
      <c r="N1298" s="5" t="s">
        <v>4</v>
      </c>
      <c r="O1298" s="97">
        <f ca="1">_xll.meDateFromTenor(O1297,"1D","FOLLOWING","TGT")</f>
        <v>44354</v>
      </c>
      <c r="P1298" s="95">
        <f ca="1"/>
        <v>7.5006850057981718E-3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2.4812474209484486E-3</v>
      </c>
      <c r="H1299" s="92" t="s">
        <v>4</v>
      </c>
      <c r="I1299" s="97">
        <f ca="1">_xll.meDateFromTenor(I1298,"1D","FOLLOWING","TGT")</f>
        <v>44355</v>
      </c>
      <c r="J1299" s="95">
        <f ca="1"/>
        <v>3.6352013760021845E-3</v>
      </c>
      <c r="K1299" s="5" t="s">
        <v>4</v>
      </c>
      <c r="L1299" s="97">
        <f ca="1">_xll.meDateFromTenor(L1298,"1D","FOLLOWING","TGT")</f>
        <v>44355</v>
      </c>
      <c r="M1299" s="95">
        <f ca="1"/>
        <v>5.4723148334315337E-3</v>
      </c>
      <c r="N1299" s="5" t="s">
        <v>4</v>
      </c>
      <c r="O1299" s="97">
        <f ca="1">_xll.meDateFromTenor(O1298,"1D","FOLLOWING","TGT")</f>
        <v>44355</v>
      </c>
      <c r="P1299" s="95">
        <f ca="1"/>
        <v>7.5081014490823725E-3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2.4889467726558847E-3</v>
      </c>
      <c r="H1300" s="92" t="s">
        <v>4</v>
      </c>
      <c r="I1300" s="97">
        <f ca="1">_xll.meDateFromTenor(I1299,"1D","FOLLOWING","TGT")</f>
        <v>44356</v>
      </c>
      <c r="J1300" s="95">
        <f ca="1"/>
        <v>3.6428864070344167E-3</v>
      </c>
      <c r="K1300" s="5" t="s">
        <v>4</v>
      </c>
      <c r="L1300" s="97">
        <f ca="1">_xll.meDateFromTenor(L1299,"1D","FOLLOWING","TGT")</f>
        <v>44356</v>
      </c>
      <c r="M1300" s="95">
        <f ca="1"/>
        <v>5.4798216614500017E-3</v>
      </c>
      <c r="N1300" s="5" t="s">
        <v>4</v>
      </c>
      <c r="O1300" s="97">
        <f ca="1">_xll.meDateFromTenor(O1299,"1D","FOLLOWING","TGT")</f>
        <v>44356</v>
      </c>
      <c r="P1300" s="95">
        <f ca="1"/>
        <v>7.5155178470378177E-3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2.496661867339454E-3</v>
      </c>
      <c r="H1301" s="92" t="s">
        <v>4</v>
      </c>
      <c r="I1301" s="97">
        <f ca="1">_xll.meDateFromTenor(I1300,"1D","FOLLOWING","TGT")</f>
        <v>44357</v>
      </c>
      <c r="J1301" s="95">
        <f ca="1"/>
        <v>3.650574152271626E-3</v>
      </c>
      <c r="K1301" s="5" t="s">
        <v>4</v>
      </c>
      <c r="L1301" s="97">
        <f ca="1">_xll.meDateFromTenor(L1300,"1D","FOLLOWING","TGT")</f>
        <v>44357</v>
      </c>
      <c r="M1301" s="95">
        <f ca="1"/>
        <v>5.4873311999939457E-3</v>
      </c>
      <c r="N1301" s="5" t="s">
        <v>4</v>
      </c>
      <c r="O1301" s="97">
        <f ca="1">_xll.meDateFromTenor(O1300,"1D","FOLLOWING","TGT")</f>
        <v>44357</v>
      </c>
      <c r="P1301" s="95">
        <f ca="1"/>
        <v>7.5229341967145581E-3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2.5043913202046322E-3</v>
      </c>
      <c r="H1302" s="92" t="s">
        <v>4</v>
      </c>
      <c r="I1302" s="97">
        <f ca="1">_xll.meDateFromTenor(I1301,"1D","FOLLOWING","TGT")</f>
        <v>44358</v>
      </c>
      <c r="J1302" s="95">
        <f ca="1"/>
        <v>3.658264601619284E-3</v>
      </c>
      <c r="K1302" s="5" t="s">
        <v>4</v>
      </c>
      <c r="L1302" s="97">
        <f ca="1">_xll.meDateFromTenor(L1301,"1D","FOLLOWING","TGT")</f>
        <v>44358</v>
      </c>
      <c r="M1302" s="95">
        <f ca="1"/>
        <v>5.4948434569815231E-3</v>
      </c>
      <c r="N1302" s="5" t="s">
        <v>4</v>
      </c>
      <c r="O1302" s="97">
        <f ca="1">_xll.meDateFromTenor(O1301,"1D","FOLLOWING","TGT")</f>
        <v>44358</v>
      </c>
      <c r="P1302" s="95">
        <f ca="1"/>
        <v>7.5303504951626564E-3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2.5276519799445276E-3</v>
      </c>
      <c r="H1303" s="92" t="s">
        <v>4</v>
      </c>
      <c r="I1303" s="97">
        <f ca="1">_xll.meDateFromTenor(I1302,"1D","FOLLOWING","TGT")</f>
        <v>44361</v>
      </c>
      <c r="J1303" s="95">
        <f ca="1"/>
        <v>3.6813520733796103E-3</v>
      </c>
      <c r="K1303" s="5" t="s">
        <v>4</v>
      </c>
      <c r="L1303" s="97">
        <f ca="1">_xll.meDateFromTenor(L1302,"1D","FOLLOWING","TGT")</f>
        <v>44361</v>
      </c>
      <c r="M1303" s="95">
        <f ca="1"/>
        <v>5.5173966177875606E-3</v>
      </c>
      <c r="N1303" s="5" t="s">
        <v>4</v>
      </c>
      <c r="O1303" s="97">
        <f ca="1">_xll.meDateFromTenor(O1302,"1D","FOLLOWING","TGT")</f>
        <v>44361</v>
      </c>
      <c r="P1303" s="95">
        <f ca="1"/>
        <v>7.5525990536356473E-3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2.535425017590852E-3</v>
      </c>
      <c r="H1304" s="92" t="s">
        <v>4</v>
      </c>
      <c r="I1304" s="97">
        <f ca="1">_xll.meDateFromTenor(I1303,"1D","FOLLOWING","TGT")</f>
        <v>44362</v>
      </c>
      <c r="J1304" s="95">
        <f ca="1"/>
        <v>3.6890532382237284E-3</v>
      </c>
      <c r="K1304" s="5" t="s">
        <v>4</v>
      </c>
      <c r="L1304" s="97">
        <f ca="1">_xll.meDateFromTenor(L1303,"1D","FOLLOWING","TGT")</f>
        <v>44362</v>
      </c>
      <c r="M1304" s="95">
        <f ca="1"/>
        <v>5.524919827731181E-3</v>
      </c>
      <c r="N1304" s="5" t="s">
        <v>4</v>
      </c>
      <c r="O1304" s="97">
        <f ca="1">_xll.meDateFromTenor(O1303,"1D","FOLLOWING","TGT")</f>
        <v>44362</v>
      </c>
      <c r="P1304" s="95">
        <f ca="1"/>
        <v>7.5600151176697279E-3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2.5432054894461427E-3</v>
      </c>
      <c r="H1305" s="92" t="s">
        <v>4</v>
      </c>
      <c r="I1305" s="97">
        <f ca="1">_xll.meDateFromTenor(I1304,"1D","FOLLOWING","TGT")</f>
        <v>44363</v>
      </c>
      <c r="J1305" s="95">
        <f ca="1"/>
        <v>3.6967570567056304E-3</v>
      </c>
      <c r="K1305" s="5" t="s">
        <v>4</v>
      </c>
      <c r="L1305" s="97">
        <f ca="1">_xll.meDateFromTenor(L1304,"1D","FOLLOWING","TGT")</f>
        <v>44363</v>
      </c>
      <c r="M1305" s="95">
        <f ca="1"/>
        <v>5.5324457957091917E-3</v>
      </c>
      <c r="N1305" s="5" t="s">
        <v>4</v>
      </c>
      <c r="O1305" s="97">
        <f ca="1">_xll.meDateFromTenor(O1304,"1D","FOLLOWING","TGT")</f>
        <v>44363</v>
      </c>
      <c r="P1305" s="95">
        <f ca="1"/>
        <v>7.5674311157254452E-3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2.550992010715872E-3</v>
      </c>
      <c r="H1306" s="92" t="s">
        <v>4</v>
      </c>
      <c r="I1306" s="97">
        <f ca="1">_xll.meDateFromTenor(I1305,"1D","FOLLOWING","TGT")</f>
        <v>44364</v>
      </c>
      <c r="J1306" s="95">
        <f ca="1"/>
        <v>3.7044635187307843E-3</v>
      </c>
      <c r="K1306" s="5" t="s">
        <v>4</v>
      </c>
      <c r="L1306" s="97">
        <f ca="1">_xll.meDateFromTenor(L1305,"1D","FOLLOWING","TGT")</f>
        <v>44364</v>
      </c>
      <c r="M1306" s="95">
        <f ca="1"/>
        <v>5.5399745296397457E-3</v>
      </c>
      <c r="N1306" s="5" t="s">
        <v>4</v>
      </c>
      <c r="O1306" s="97">
        <f ca="1">_xll.meDateFromTenor(O1305,"1D","FOLLOWING","TGT")</f>
        <v>44364</v>
      </c>
      <c r="P1306" s="95">
        <f ca="1"/>
        <v>7.5748470448528549E-3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2.5587831966055112E-3</v>
      </c>
      <c r="H1307" s="92" t="s">
        <v>4</v>
      </c>
      <c r="I1307" s="97">
        <f ca="1">_xll.meDateFromTenor(I1306,"1D","FOLLOWING","TGT")</f>
        <v>44365</v>
      </c>
      <c r="J1307" s="95">
        <f ca="1"/>
        <v>3.7121726142046569E-3</v>
      </c>
      <c r="K1307" s="5" t="s">
        <v>4</v>
      </c>
      <c r="L1307" s="97">
        <f ca="1">_xll.meDateFromTenor(L1306,"1D","FOLLOWING","TGT")</f>
        <v>44365</v>
      </c>
      <c r="M1307" s="95">
        <f ca="1"/>
        <v>5.5475060374409937E-3</v>
      </c>
      <c r="N1307" s="5" t="s">
        <v>4</v>
      </c>
      <c r="O1307" s="97">
        <f ca="1">_xll.meDateFromTenor(O1306,"1D","FOLLOWING","TGT")</f>
        <v>44365</v>
      </c>
      <c r="P1307" s="95">
        <f ca="1"/>
        <v>7.582262902102014E-3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2.5821708940486033E-3</v>
      </c>
      <c r="H1308" s="92" t="s">
        <v>4</v>
      </c>
      <c r="I1308" s="97">
        <f ca="1">_xll.meDateFromTenor(I1307,"1D","FOLLOWING","TGT")</f>
        <v>44368</v>
      </c>
      <c r="J1308" s="95">
        <f ca="1"/>
        <v>3.7353156003732623E-3</v>
      </c>
      <c r="K1308" s="5" t="s">
        <v>4</v>
      </c>
      <c r="L1308" s="97">
        <f ca="1">_xll.meDateFromTenor(L1307,"1D","FOLLOWING","TGT")</f>
        <v>44368</v>
      </c>
      <c r="M1308" s="95">
        <f ca="1"/>
        <v>5.5701172832504251E-3</v>
      </c>
      <c r="N1308" s="5" t="s">
        <v>4</v>
      </c>
      <c r="O1308" s="97">
        <f ca="1">_xll.meDateFromTenor(O1307,"1D","FOLLOWING","TGT")</f>
        <v>44368</v>
      </c>
      <c r="P1308" s="95">
        <f ca="1"/>
        <v>7.6045100130805385E-3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2.5899668904726001E-3</v>
      </c>
      <c r="H1309" s="92" t="s">
        <v>4</v>
      </c>
      <c r="I1309" s="97">
        <f ca="1">_xll.meDateFromTenor(I1308,"1D","FOLLOWING","TGT")</f>
        <v>44369</v>
      </c>
      <c r="J1309" s="95">
        <f ca="1"/>
        <v>3.7430351286966866E-3</v>
      </c>
      <c r="K1309" s="5" t="s">
        <v>4</v>
      </c>
      <c r="L1309" s="97">
        <f ca="1">_xll.meDateFromTenor(L1308,"1D","FOLLOWING","TGT")</f>
        <v>44369</v>
      </c>
      <c r="M1309" s="95">
        <f ca="1"/>
        <v>5.577659965715972E-3</v>
      </c>
      <c r="N1309" s="5" t="s">
        <v>4</v>
      </c>
      <c r="O1309" s="97">
        <f ca="1">_xll.meDateFromTenor(O1308,"1D","FOLLOWING","TGT")</f>
        <v>44369</v>
      </c>
      <c r="P1309" s="95">
        <f ca="1"/>
        <v>7.6119255533172517E-3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2.5977606275438669E-3</v>
      </c>
      <c r="H1310" s="92" t="s">
        <v>4</v>
      </c>
      <c r="I1310" s="97">
        <f ca="1">_xll.meDateFromTenor(I1309,"1D","FOLLOWING","TGT")</f>
        <v>44370</v>
      </c>
      <c r="J1310" s="95">
        <f ca="1"/>
        <v>3.7507572399961679E-3</v>
      </c>
      <c r="K1310" s="5" t="s">
        <v>4</v>
      </c>
      <c r="L1310" s="97">
        <f ca="1">_xll.meDateFromTenor(L1309,"1D","FOLLOWING","TGT")</f>
        <v>44370</v>
      </c>
      <c r="M1310" s="95">
        <f ca="1"/>
        <v>5.5852054616429732E-3</v>
      </c>
      <c r="N1310" s="5" t="s">
        <v>4</v>
      </c>
      <c r="O1310" s="97">
        <f ca="1">_xll.meDateFromTenor(O1309,"1D","FOLLOWING","TGT")</f>
        <v>44370</v>
      </c>
      <c r="P1310" s="95">
        <f ca="1"/>
        <v>7.6193410069259945E-3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2.6055507204678745E-3</v>
      </c>
      <c r="H1311" s="92" t="s">
        <v>4</v>
      </c>
      <c r="I1311" s="97">
        <f ca="1">_xll.meDateFromTenor(I1310,"1D","FOLLOWING","TGT")</f>
        <v>44371</v>
      </c>
      <c r="J1311" s="95">
        <f ca="1"/>
        <v>3.7584819241771733E-3</v>
      </c>
      <c r="K1311" s="5" t="s">
        <v>4</v>
      </c>
      <c r="L1311" s="97">
        <f ca="1">_xll.meDateFromTenor(L1310,"1D","FOLLOWING","TGT")</f>
        <v>44371</v>
      </c>
      <c r="M1311" s="95">
        <f ca="1"/>
        <v>5.5927537789495808E-3</v>
      </c>
      <c r="N1311" s="5" t="s">
        <v>4</v>
      </c>
      <c r="O1311" s="97">
        <f ca="1">_xll.meDateFromTenor(O1310,"1D","FOLLOWING","TGT")</f>
        <v>44371</v>
      </c>
      <c r="P1311" s="95">
        <f ca="1"/>
        <v>7.6267563709568227E-3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2.6133357844500952E-3</v>
      </c>
      <c r="H1312" s="92" t="s">
        <v>4</v>
      </c>
      <c r="I1312" s="97">
        <f ca="1">_xll.meDateFromTenor(I1311,"1D","FOLLOWING","TGT")</f>
        <v>44372</v>
      </c>
      <c r="J1312" s="95">
        <f ca="1"/>
        <v>3.7662091711451709E-3</v>
      </c>
      <c r="K1312" s="5" t="s">
        <v>4</v>
      </c>
      <c r="L1312" s="97">
        <f ca="1">_xll.meDateFromTenor(L1311,"1D","FOLLOWING","TGT")</f>
        <v>44372</v>
      </c>
      <c r="M1312" s="95">
        <f ca="1"/>
        <v>5.6003049255539472E-3</v>
      </c>
      <c r="N1312" s="5" t="s">
        <v>4</v>
      </c>
      <c r="O1312" s="97">
        <f ca="1">_xll.meDateFromTenor(O1311,"1D","FOLLOWING","TGT")</f>
        <v>44372</v>
      </c>
      <c r="P1312" s="95">
        <f ca="1"/>
        <v>7.6341716424597923E-3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2.6366469548007509E-3</v>
      </c>
      <c r="H1313" s="92" t="s">
        <v>4</v>
      </c>
      <c r="I1313" s="97">
        <f ca="1">_xll.meDateFromTenor(I1312,"1D","FOLLOWING","TGT")</f>
        <v>44375</v>
      </c>
      <c r="J1313" s="95">
        <f ca="1"/>
        <v>3.7894061878257878E-3</v>
      </c>
      <c r="K1313" s="5" t="s">
        <v>4</v>
      </c>
      <c r="L1313" s="97">
        <f ca="1">_xll.meDateFromTenor(L1312,"1D","FOLLOWING","TGT")</f>
        <v>44375</v>
      </c>
      <c r="M1313" s="95">
        <f ca="1"/>
        <v>5.6229754203351171E-3</v>
      </c>
      <c r="N1313" s="5" t="s">
        <v>4</v>
      </c>
      <c r="O1313" s="97">
        <f ca="1">_xll.meDateFromTenor(O1312,"1D","FOLLOWING","TGT")</f>
        <v>44375</v>
      </c>
      <c r="P1313" s="95">
        <f ca="1"/>
        <v>7.6564168723021108E-3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2.6443980550705424E-3</v>
      </c>
      <c r="H1314" s="92" t="s">
        <v>4</v>
      </c>
      <c r="I1314" s="97">
        <f ca="1">_xll.meDateFromTenor(I1313,"1D","FOLLOWING","TGT")</f>
        <v>44376</v>
      </c>
      <c r="J1314" s="95">
        <f ca="1"/>
        <v>3.7971435849964278E-3</v>
      </c>
      <c r="K1314" s="5" t="s">
        <v>4</v>
      </c>
      <c r="L1314" s="97">
        <f ca="1">_xll.meDateFromTenor(L1313,"1D","FOLLOWING","TGT")</f>
        <v>44376</v>
      </c>
      <c r="M1314" s="95">
        <f ca="1"/>
        <v>5.6305379633120375E-3</v>
      </c>
      <c r="N1314" s="5" t="s">
        <v>4</v>
      </c>
      <c r="O1314" s="97">
        <f ca="1">_xll.meDateFromTenor(O1313,"1D","FOLLOWING","TGT")</f>
        <v>44376</v>
      </c>
      <c r="P1314" s="95">
        <f ca="1"/>
        <v>7.6638317441942083E-3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2.6521372024259056E-3</v>
      </c>
      <c r="H1315" s="92" t="s">
        <v>4</v>
      </c>
      <c r="I1315" s="97">
        <f ca="1">_xll.meDateFromTenor(I1314,"1D","FOLLOWING","TGT")</f>
        <v>44377</v>
      </c>
      <c r="J1315" s="95">
        <f ca="1"/>
        <v>3.8048834944813979E-3</v>
      </c>
      <c r="K1315" s="5" t="s">
        <v>4</v>
      </c>
      <c r="L1315" s="97">
        <f ca="1">_xll.meDateFromTenor(L1314,"1D","FOLLOWING","TGT")</f>
        <v>44377</v>
      </c>
      <c r="M1315" s="95">
        <f ca="1"/>
        <v>5.638103375177477E-3</v>
      </c>
      <c r="N1315" s="5" t="s">
        <v>4</v>
      </c>
      <c r="O1315" s="97">
        <f ca="1">_xll.meDateFromTenor(O1314,"1D","FOLLOWING","TGT")</f>
        <v>44377</v>
      </c>
      <c r="P1315" s="95">
        <f ca="1"/>
        <v>7.6712465088087291E-3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2.6598630120723134E-3</v>
      </c>
      <c r="H1316" s="92" t="s">
        <v>4</v>
      </c>
      <c r="I1316" s="97">
        <f ca="1">_xll.meDateFromTenor(I1315,"1D","FOLLOWING","TGT")</f>
        <v>44378</v>
      </c>
      <c r="J1316" s="95">
        <f ca="1"/>
        <v>3.8126259061861656E-3</v>
      </c>
      <c r="K1316" s="5" t="s">
        <v>4</v>
      </c>
      <c r="L1316" s="97">
        <f ca="1">_xll.meDateFromTenor(L1315,"1D","FOLLOWING","TGT")</f>
        <v>44378</v>
      </c>
      <c r="M1316" s="95">
        <f ca="1"/>
        <v>5.645671663849587E-3</v>
      </c>
      <c r="N1316" s="5" t="s">
        <v>4</v>
      </c>
      <c r="O1316" s="97">
        <f ca="1">_xll.meDateFromTenor(O1315,"1D","FOLLOWING","TGT")</f>
        <v>44378</v>
      </c>
      <c r="P1316" s="95">
        <f ca="1"/>
        <v>7.6786611631957285E-3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2.6675740992152365E-3</v>
      </c>
      <c r="H1317" s="92" t="s">
        <v>4</v>
      </c>
      <c r="I1317" s="97">
        <f ca="1">_xll.meDateFromTenor(I1316,"1D","FOLLOWING","TGT")</f>
        <v>44379</v>
      </c>
      <c r="J1317" s="95">
        <f ca="1"/>
        <v>3.8203708100161978E-3</v>
      </c>
      <c r="K1317" s="5" t="s">
        <v>4</v>
      </c>
      <c r="L1317" s="97">
        <f ca="1">_xll.meDateFromTenor(L1316,"1D","FOLLOWING","TGT")</f>
        <v>44379</v>
      </c>
      <c r="M1317" s="95">
        <f ca="1"/>
        <v>5.6532428372465188E-3</v>
      </c>
      <c r="N1317" s="5" t="s">
        <v>4</v>
      </c>
      <c r="O1317" s="97">
        <f ca="1">_xll.meDateFromTenor(O1316,"1D","FOLLOWING","TGT")</f>
        <v>44379</v>
      </c>
      <c r="P1317" s="95">
        <f ca="1"/>
        <v>7.6860757044052621E-3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2.690616721420268E-3</v>
      </c>
      <c r="H1318" s="92" t="s">
        <v>4</v>
      </c>
      <c r="I1318" s="97">
        <f ca="1">_xll.meDateFromTenor(I1317,"1D","FOLLOWING","TGT")</f>
        <v>44382</v>
      </c>
      <c r="J1318" s="95">
        <f ca="1"/>
        <v>3.8436203733125574E-3</v>
      </c>
      <c r="K1318" s="5" t="s">
        <v>4</v>
      </c>
      <c r="L1318" s="97">
        <f ca="1">_xll.meDateFromTenor(L1317,"1D","FOLLOWING","TGT")</f>
        <v>44382</v>
      </c>
      <c r="M1318" s="95">
        <f ca="1"/>
        <v>5.6759737449677697E-3</v>
      </c>
      <c r="N1318" s="5" t="s">
        <v>4</v>
      </c>
      <c r="O1318" s="97">
        <f ca="1">_xll.meDateFromTenor(O1317,"1D","FOLLOWING","TGT")</f>
        <v>44382</v>
      </c>
      <c r="P1318" s="95">
        <f ca="1"/>
        <v>7.7083186194696332E-3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2.6982708898065856E-3</v>
      </c>
      <c r="H1319" s="92" t="s">
        <v>4</v>
      </c>
      <c r="I1319" s="97">
        <f ca="1">_xll.meDateFromTenor(I1318,"1D","FOLLOWING","TGT")</f>
        <v>44383</v>
      </c>
      <c r="J1319" s="95">
        <f ca="1"/>
        <v>3.8513751446983243E-3</v>
      </c>
      <c r="K1319" s="5" t="s">
        <v>4</v>
      </c>
      <c r="L1319" s="97">
        <f ca="1">_xll.meDateFromTenor(L1318,"1D","FOLLOWING","TGT")</f>
        <v>44383</v>
      </c>
      <c r="M1319" s="95">
        <f ca="1"/>
        <v>5.6835565364455123E-3</v>
      </c>
      <c r="N1319" s="5" t="s">
        <v>4</v>
      </c>
      <c r="O1319" s="97">
        <f ca="1">_xll.meDateFromTenor(O1318,"1D","FOLLOWING","TGT")</f>
        <v>44383</v>
      </c>
      <c r="P1319" s="95">
        <f ca="1"/>
        <v>7.7157326784698674E-3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2.7059136728211728E-3</v>
      </c>
      <c r="H1320" s="92" t="s">
        <v>4</v>
      </c>
      <c r="I1320" s="97">
        <f ca="1">_xll.meDateFromTenor(I1319,"1D","FOLLOWING","TGT")</f>
        <v>44384</v>
      </c>
      <c r="J1320" s="95">
        <f ca="1"/>
        <v>3.85913235773669E-3</v>
      </c>
      <c r="K1320" s="5" t="s">
        <v>4</v>
      </c>
      <c r="L1320" s="97">
        <f ca="1">_xll.meDateFromTenor(L1319,"1D","FOLLOWING","TGT")</f>
        <v>44384</v>
      </c>
      <c r="M1320" s="95">
        <f ca="1"/>
        <v>5.6911422522388346E-3</v>
      </c>
      <c r="N1320" s="5" t="s">
        <v>4</v>
      </c>
      <c r="O1320" s="97">
        <f ca="1">_xll.meDateFromTenor(O1319,"1D","FOLLOWING","TGT")</f>
        <v>44384</v>
      </c>
      <c r="P1320" s="95">
        <f ca="1"/>
        <v>7.7231466095429155E-3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2.7135462509456053E-3</v>
      </c>
      <c r="H1321" s="92" t="s">
        <v>4</v>
      </c>
      <c r="I1321" s="97">
        <f ca="1">_xll.meDateFromTenor(I1320,"1D","FOLLOWING","TGT")</f>
        <v>44385</v>
      </c>
      <c r="J1321" s="95">
        <f ca="1"/>
        <v>3.8668920023331296E-3</v>
      </c>
      <c r="K1321" s="5" t="s">
        <v>4</v>
      </c>
      <c r="L1321" s="97">
        <f ca="1">_xll.meDateFromTenor(L1320,"1D","FOLLOWING","TGT")</f>
        <v>44385</v>
      </c>
      <c r="M1321" s="95">
        <f ca="1"/>
        <v>5.6987309002658939E-3</v>
      </c>
      <c r="N1321" s="5" t="s">
        <v>4</v>
      </c>
      <c r="O1321" s="97">
        <f ca="1">_xll.meDateFromTenor(O1320,"1D","FOLLOWING","TGT")</f>
        <v>44385</v>
      </c>
      <c r="P1321" s="95">
        <f ca="1"/>
        <v>7.7305604097388366E-3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2.7211698046614523E-3</v>
      </c>
      <c r="H1322" s="92" t="s">
        <v>4</v>
      </c>
      <c r="I1322" s="97">
        <f ca="1">_xll.meDateFromTenor(I1321,"1D","FOLLOWING","TGT")</f>
        <v>44386</v>
      </c>
      <c r="J1322" s="95">
        <f ca="1"/>
        <v>3.8746540683931058E-3</v>
      </c>
      <c r="K1322" s="5" t="s">
        <v>4</v>
      </c>
      <c r="L1322" s="97">
        <f ca="1">_xll.meDateFromTenor(L1321,"1D","FOLLOWING","TGT")</f>
        <v>44386</v>
      </c>
      <c r="M1322" s="95">
        <f ca="1"/>
        <v>5.706322488444839E-3</v>
      </c>
      <c r="N1322" s="5" t="s">
        <v>4</v>
      </c>
      <c r="O1322" s="97">
        <f ca="1">_xll.meDateFromTenor(O1321,"1D","FOLLOWING","TGT")</f>
        <v>44386</v>
      </c>
      <c r="P1322" s="95">
        <f ca="1"/>
        <v>7.7379740761076869E-3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2.7439981241731862E-3</v>
      </c>
      <c r="H1323" s="92" t="s">
        <v>4</v>
      </c>
      <c r="I1323" s="97">
        <f ca="1">_xll.meDateFromTenor(I1322,"1D","FOLLOWING","TGT")</f>
        <v>44389</v>
      </c>
      <c r="J1323" s="95">
        <f ca="1"/>
        <v>3.897954694408937E-3</v>
      </c>
      <c r="K1323" s="5" t="s">
        <v>4</v>
      </c>
      <c r="L1323" s="97">
        <f ca="1">_xll.meDateFromTenor(L1322,"1D","FOLLOWING","TGT")</f>
        <v>44389</v>
      </c>
      <c r="M1323" s="95">
        <f ca="1"/>
        <v>5.7291149730745138E-3</v>
      </c>
      <c r="N1323" s="5" t="s">
        <v>4</v>
      </c>
      <c r="O1323" s="97">
        <f ca="1">_xll.meDateFromTenor(O1322,"1D","FOLLOWING","TGT")</f>
        <v>44389</v>
      </c>
      <c r="P1323" s="95">
        <f ca="1"/>
        <v>7.7602142427523665E-3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2.7515973850703989E-3</v>
      </c>
      <c r="H1324" s="92" t="s">
        <v>4</v>
      </c>
      <c r="I1324" s="97">
        <f ca="1">_xll.meDateFromTenor(I1323,"1D","FOLLOWING","TGT")</f>
        <v>44390</v>
      </c>
      <c r="J1324" s="95">
        <f ca="1"/>
        <v>3.9057263453777394E-3</v>
      </c>
      <c r="K1324" s="5" t="s">
        <v>4</v>
      </c>
      <c r="L1324" s="97">
        <f ca="1">_xll.meDateFromTenor(L1323,"1D","FOLLOWING","TGT")</f>
        <v>44390</v>
      </c>
      <c r="M1324" s="95">
        <f ca="1"/>
        <v>5.7367184010425239E-3</v>
      </c>
      <c r="N1324" s="5" t="s">
        <v>4</v>
      </c>
      <c r="O1324" s="97">
        <f ca="1">_xll.meDateFromTenor(O1323,"1D","FOLLOWING","TGT")</f>
        <v>44390</v>
      </c>
      <c r="P1324" s="95">
        <f ca="1"/>
        <v>7.7676273443134892E-3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2.7591935239668782E-3</v>
      </c>
      <c r="H1325" s="92" t="s">
        <v>4</v>
      </c>
      <c r="I1325" s="97">
        <f ca="1">_xll.meDateFromTenor(I1324,"1D","FOLLOWING","TGT")</f>
        <v>44391</v>
      </c>
      <c r="J1325" s="95">
        <f ca="1"/>
        <v>3.9135003673374143E-3</v>
      </c>
      <c r="K1325" s="5" t="s">
        <v>4</v>
      </c>
      <c r="L1325" s="97">
        <f ca="1">_xll.meDateFromTenor(L1324,"1D","FOLLOWING","TGT")</f>
        <v>44391</v>
      </c>
      <c r="M1325" s="95">
        <f ca="1"/>
        <v>5.7443248087531784E-3</v>
      </c>
      <c r="N1325" s="5" t="s">
        <v>4</v>
      </c>
      <c r="O1325" s="97">
        <f ca="1">_xll.meDateFromTenor(O1324,"1D","FOLLOWING","TGT")</f>
        <v>44391</v>
      </c>
      <c r="P1325" s="95">
        <f ca="1"/>
        <v>7.7750402972978187E-3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2.7667877213442024E-3</v>
      </c>
      <c r="H1326" s="92" t="s">
        <v>4</v>
      </c>
      <c r="I1326" s="97">
        <f ca="1">_xll.meDateFromTenor(I1325,"1D","FOLLOWING","TGT")</f>
        <v>44392</v>
      </c>
      <c r="J1326" s="95">
        <f ca="1"/>
        <v>3.9212767501934373E-3</v>
      </c>
      <c r="K1326" s="5" t="s">
        <v>4</v>
      </c>
      <c r="L1326" s="97">
        <f ca="1">_xll.meDateFromTenor(L1325,"1D","FOLLOWING","TGT")</f>
        <v>44392</v>
      </c>
      <c r="M1326" s="95">
        <f ca="1"/>
        <v>5.7519342041246367E-3</v>
      </c>
      <c r="N1326" s="5" t="s">
        <v>4</v>
      </c>
      <c r="O1326" s="97">
        <f ca="1">_xll.meDateFromTenor(O1325,"1D","FOLLOWING","TGT")</f>
        <v>44392</v>
      </c>
      <c r="P1326" s="95">
        <f ca="1"/>
        <v>7.7824530987554178E-3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2.7743811576839334E-3</v>
      </c>
      <c r="H1327" s="92" t="s">
        <v>4</v>
      </c>
      <c r="I1327" s="97">
        <f ca="1">_xll.meDateFromTenor(I1326,"1D","FOLLOWING","TGT")</f>
        <v>44393</v>
      </c>
      <c r="J1327" s="95">
        <f ca="1"/>
        <v>3.9290554838512662E-3</v>
      </c>
      <c r="K1327" s="5" t="s">
        <v>4</v>
      </c>
      <c r="L1327" s="97">
        <f ca="1">_xll.meDateFromTenor(L1326,"1D","FOLLOWING","TGT")</f>
        <v>44393</v>
      </c>
      <c r="M1327" s="95">
        <f ca="1"/>
        <v>5.7595465950750395E-3</v>
      </c>
      <c r="N1327" s="5" t="s">
        <v>4</v>
      </c>
      <c r="O1327" s="97">
        <f ca="1">_xll.meDateFromTenor(O1326,"1D","FOLLOWING","TGT")</f>
        <v>44393</v>
      </c>
      <c r="P1327" s="95">
        <f ca="1"/>
        <v>7.7898657457363338E-3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2.7971687052933095E-3</v>
      </c>
      <c r="H1328" s="92" t="s">
        <v>4</v>
      </c>
      <c r="I1328" s="97">
        <f ca="1">_xll.meDateFromTenor(I1327,"1D","FOLLOWING","TGT")</f>
        <v>44396</v>
      </c>
      <c r="J1328" s="95">
        <f ca="1"/>
        <v>3.9524056886902975E-3</v>
      </c>
      <c r="K1328" s="5" t="s">
        <v>4</v>
      </c>
      <c r="L1328" s="97">
        <f ca="1">_xll.meDateFromTenor(L1327,"1D","FOLLOWING","TGT")</f>
        <v>44396</v>
      </c>
      <c r="M1328" s="95">
        <f ca="1"/>
        <v>5.7824018205814781E-3</v>
      </c>
      <c r="N1328" s="5" t="s">
        <v>4</v>
      </c>
      <c r="O1328" s="97">
        <f ca="1">_xll.meDateFromTenor(O1327,"1D","FOLLOWING","TGT")</f>
        <v>44396</v>
      </c>
      <c r="P1328" s="95">
        <f ca="1"/>
        <v>7.8121027303195761E-3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2.8047709022983973E-3</v>
      </c>
      <c r="H1329" s="92" t="s">
        <v>4</v>
      </c>
      <c r="I1329" s="97">
        <f ca="1">_xll.meDateFromTenor(I1328,"1D","FOLLOWING","TGT")</f>
        <v>44397</v>
      </c>
      <c r="J1329" s="95">
        <f ca="1"/>
        <v>3.9601937246100463E-3</v>
      </c>
      <c r="K1329" s="5" t="s">
        <v>4</v>
      </c>
      <c r="L1329" s="97">
        <f ca="1">_xll.meDateFromTenor(L1328,"1D","FOLLOWING","TGT")</f>
        <v>44397</v>
      </c>
      <c r="M1329" s="95">
        <f ca="1"/>
        <v>5.7900262730292045E-3</v>
      </c>
      <c r="N1329" s="5" t="s">
        <v>4</v>
      </c>
      <c r="O1329" s="97">
        <f ca="1">_xll.meDateFromTenor(O1328,"1D","FOLLOWING","TGT")</f>
        <v>44397</v>
      </c>
      <c r="P1329" s="95">
        <f ca="1"/>
        <v>7.8195147298943408E-3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2.8123782406737517E-3</v>
      </c>
      <c r="H1330" s="92" t="s">
        <v>4</v>
      </c>
      <c r="I1330" s="97">
        <f ca="1">_xll.meDateFromTenor(I1329,"1D","FOLLOWING","TGT")</f>
        <v>44398</v>
      </c>
      <c r="J1330" s="95">
        <f ca="1"/>
        <v>3.9679840608589428E-3</v>
      </c>
      <c r="K1330" s="5" t="s">
        <v>4</v>
      </c>
      <c r="L1330" s="97">
        <f ca="1">_xll.meDateFromTenor(L1329,"1D","FOLLOWING","TGT")</f>
        <v>44398</v>
      </c>
      <c r="M1330" s="95">
        <f ca="1"/>
        <v>5.7976537606466427E-3</v>
      </c>
      <c r="N1330" s="5" t="s">
        <v>4</v>
      </c>
      <c r="O1330" s="97">
        <f ca="1">_xll.meDateFromTenor(O1329,"1D","FOLLOWING","TGT")</f>
        <v>44398</v>
      </c>
      <c r="P1330" s="95">
        <f ca="1"/>
        <v>7.8269265602427078E-3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2.8199919009009428E-3</v>
      </c>
      <c r="H1331" s="92" t="s">
        <v>4</v>
      </c>
      <c r="I1331" s="97">
        <f ca="1">_xll.meDateFromTenor(I1330,"1D","FOLLOWING","TGT")</f>
        <v>44399</v>
      </c>
      <c r="J1331" s="95">
        <f ca="1"/>
        <v>3.975776687342455E-3</v>
      </c>
      <c r="K1331" s="5" t="s">
        <v>4</v>
      </c>
      <c r="L1331" s="97">
        <f ca="1">_xll.meDateFromTenor(L1330,"1D","FOLLOWING","TGT")</f>
        <v>44399</v>
      </c>
      <c r="M1331" s="95">
        <f ca="1"/>
        <v>5.8052842913519417E-3</v>
      </c>
      <c r="N1331" s="5" t="s">
        <v>4</v>
      </c>
      <c r="O1331" s="97">
        <f ca="1">_xll.meDateFromTenor(O1330,"1D","FOLLOWING","TGT")</f>
        <v>44399</v>
      </c>
      <c r="P1331" s="95">
        <f ca="1"/>
        <v>7.8343382184147305E-3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2.8276130634615399E-3</v>
      </c>
      <c r="H1332" s="92" t="s">
        <v>4</v>
      </c>
      <c r="I1332" s="97">
        <f ca="1">_xll.meDateFromTenor(I1331,"1D","FOLLOWING","TGT")</f>
        <v>44400</v>
      </c>
      <c r="J1332" s="95">
        <f ca="1"/>
        <v>3.9835715939660473E-3</v>
      </c>
      <c r="K1332" s="5" t="s">
        <v>4</v>
      </c>
      <c r="L1332" s="97">
        <f ca="1">_xll.meDateFromTenor(L1331,"1D","FOLLOWING","TGT")</f>
        <v>44400</v>
      </c>
      <c r="M1332" s="95">
        <f ca="1"/>
        <v>5.8129178730632527E-3</v>
      </c>
      <c r="N1332" s="5" t="s">
        <v>4</v>
      </c>
      <c r="O1332" s="97">
        <f ca="1">_xll.meDateFromTenor(O1331,"1D","FOLLOWING","TGT")</f>
        <v>44400</v>
      </c>
      <c r="P1332" s="95">
        <f ca="1"/>
        <v>7.8417497014604681E-3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2.8505333699594989E-3</v>
      </c>
      <c r="H1333" s="92" t="s">
        <v>4</v>
      </c>
      <c r="I1333" s="97">
        <f ca="1">_xll.meDateFromTenor(I1332,"1D","FOLLOWING","TGT")</f>
        <v>44403</v>
      </c>
      <c r="J1333" s="95">
        <f ca="1"/>
        <v>4.0069698937320103E-3</v>
      </c>
      <c r="K1333" s="5" t="s">
        <v>4</v>
      </c>
      <c r="L1333" s="97">
        <f ca="1">_xll.meDateFromTenor(L1332,"1D","FOLLOWING","TGT")</f>
        <v>44403</v>
      </c>
      <c r="M1333" s="95">
        <f ca="1"/>
        <v>5.8358370034147979E-3</v>
      </c>
      <c r="N1333" s="5" t="s">
        <v>4</v>
      </c>
      <c r="O1333" s="97">
        <f ca="1">_xll.meDateFromTenor(O1332,"1D","FOLLOWING","TGT")</f>
        <v>44403</v>
      </c>
      <c r="P1333" s="95">
        <f ca="1"/>
        <v>7.8639830703405317E-3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2.8581963466694422E-3</v>
      </c>
      <c r="H1334" s="92" t="s">
        <v>4</v>
      </c>
      <c r="I1334" s="97">
        <f ca="1">_xll.meDateFromTenor(I1333,"1D","FOLLOWING","TGT")</f>
        <v>44404</v>
      </c>
      <c r="J1334" s="95">
        <f ca="1"/>
        <v>4.014773819970615E-3</v>
      </c>
      <c r="K1334" s="5" t="s">
        <v>4</v>
      </c>
      <c r="L1334" s="97">
        <f ca="1">_xll.meDateFromTenor(L1333,"1D","FOLLOWING","TGT")</f>
        <v>44404</v>
      </c>
      <c r="M1334" s="95">
        <f ca="1"/>
        <v>5.8434828683316883E-3</v>
      </c>
      <c r="N1334" s="5" t="s">
        <v>4</v>
      </c>
      <c r="O1334" s="97">
        <f ca="1">_xll.meDateFromTenor(O1333,"1D","FOLLOWING","TGT")</f>
        <v>44404</v>
      </c>
      <c r="P1334" s="95">
        <f ca="1"/>
        <v>7.8713938233816901E-3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2.8658727281206486E-3</v>
      </c>
      <c r="H1335" s="92" t="s">
        <v>4</v>
      </c>
      <c r="I1335" s="97">
        <f ca="1">_xll.meDateFromTenor(I1334,"1D","FOLLOWING","TGT")</f>
        <v>44405</v>
      </c>
      <c r="J1335" s="95">
        <f ca="1"/>
        <v>4.0225799758766391E-3</v>
      </c>
      <c r="K1335" s="5" t="s">
        <v>4</v>
      </c>
      <c r="L1335" s="97">
        <f ca="1">_xll.meDateFromTenor(L1334,"1D","FOLLOWING","TGT")</f>
        <v>44405</v>
      </c>
      <c r="M1335" s="95">
        <f ca="1"/>
        <v>5.851131823845352E-3</v>
      </c>
      <c r="N1335" s="5" t="s">
        <v>4</v>
      </c>
      <c r="O1335" s="97">
        <f ca="1">_xll.meDateFromTenor(O1334,"1D","FOLLOWING","TGT")</f>
        <v>44405</v>
      </c>
      <c r="P1335" s="95">
        <f ca="1"/>
        <v>7.8788043865468411E-3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2.8735636947946896E-3</v>
      </c>
      <c r="H1336" s="92" t="s">
        <v>4</v>
      </c>
      <c r="I1336" s="97">
        <f ca="1">_xll.meDateFromTenor(I1335,"1D","FOLLOWING","TGT")</f>
        <v>44406</v>
      </c>
      <c r="J1336" s="95">
        <f ca="1"/>
        <v>4.0303883513555534E-3</v>
      </c>
      <c r="K1336" s="5" t="s">
        <v>4</v>
      </c>
      <c r="L1336" s="97">
        <f ca="1">_xll.meDateFromTenor(L1335,"1D","FOLLOWING","TGT")</f>
        <v>44406</v>
      </c>
      <c r="M1336" s="95">
        <f ca="1"/>
        <v>5.858783877873943E-3</v>
      </c>
      <c r="N1336" s="5" t="s">
        <v>4</v>
      </c>
      <c r="O1336" s="97">
        <f ca="1">_xll.meDateFromTenor(O1335,"1D","FOLLOWING","TGT")</f>
        <v>44406</v>
      </c>
      <c r="P1336" s="95">
        <f ca="1"/>
        <v>7.8862147568860459E-3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2.8812704271731359E-3</v>
      </c>
      <c r="H1337" s="92" t="s">
        <v>4</v>
      </c>
      <c r="I1337" s="97">
        <f ca="1">_xll.meDateFromTenor(I1336,"1D","FOLLOWING","TGT")</f>
        <v>44407</v>
      </c>
      <c r="J1337" s="95">
        <f ca="1"/>
        <v>4.0381989363128231E-3</v>
      </c>
      <c r="K1337" s="5" t="s">
        <v>4</v>
      </c>
      <c r="L1337" s="97">
        <f ca="1">_xll.meDateFromTenor(L1336,"1D","FOLLOWING","TGT")</f>
        <v>44407</v>
      </c>
      <c r="M1337" s="95">
        <f ca="1"/>
        <v>5.8664390383356118E-3</v>
      </c>
      <c r="N1337" s="5" t="s">
        <v>4</v>
      </c>
      <c r="O1337" s="97">
        <f ca="1">_xll.meDateFromTenor(O1336,"1D","FOLLOWING","TGT")</f>
        <v>44407</v>
      </c>
      <c r="P1337" s="95">
        <f ca="1"/>
        <v>7.893624931449357E-3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2.9044970233506173E-3</v>
      </c>
      <c r="H1338" s="92" t="s">
        <v>4</v>
      </c>
      <c r="I1338" s="97">
        <f ca="1">_xll.meDateFromTenor(I1337,"1D","FOLLOWING","TGT")</f>
        <v>44410</v>
      </c>
      <c r="J1338" s="95">
        <f ca="1"/>
        <v>4.0616438471094444E-3</v>
      </c>
      <c r="K1338" s="5" t="s">
        <v>4</v>
      </c>
      <c r="L1338" s="97">
        <f ca="1">_xll.meDateFromTenor(L1337,"1D","FOLLOWING","TGT")</f>
        <v>44410</v>
      </c>
      <c r="M1338" s="95">
        <f ca="1"/>
        <v>5.8894232375006064E-3</v>
      </c>
      <c r="N1338" s="5" t="s">
        <v>4</v>
      </c>
      <c r="O1338" s="97">
        <f ca="1">_xll.meDateFromTenor(O1337,"1D","FOLLOWING","TGT")</f>
        <v>44410</v>
      </c>
      <c r="P1338" s="95">
        <f ca="1"/>
        <v>7.915854250984497E-3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2.9122781264562473E-3</v>
      </c>
      <c r="H1339" s="92" t="s">
        <v>4</v>
      </c>
      <c r="I1339" s="97">
        <f ca="1">_xll.meDateFromTenor(I1338,"1D","FOLLOWING","TGT")</f>
        <v>44411</v>
      </c>
      <c r="J1339" s="95">
        <f ca="1"/>
        <v>4.0694631690348119E-3</v>
      </c>
      <c r="K1339" s="5" t="s">
        <v>4</v>
      </c>
      <c r="L1339" s="97">
        <f ca="1">_xll.meDateFromTenor(L1338,"1D","FOLLOWING","TGT")</f>
        <v>44411</v>
      </c>
      <c r="M1339" s="95">
        <f ca="1"/>
        <v>5.8970909028761053E-3</v>
      </c>
      <c r="N1339" s="5" t="s">
        <v>4</v>
      </c>
      <c r="O1339" s="97">
        <f ca="1">_xll.meDateFromTenor(O1338,"1D","FOLLOWING","TGT")</f>
        <v>44411</v>
      </c>
      <c r="P1339" s="95">
        <f ca="1"/>
        <v>7.9232636129447972E-3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2.9200779162372693E-3</v>
      </c>
      <c r="H1340" s="92" t="s">
        <v>4</v>
      </c>
      <c r="I1340" s="97">
        <f ca="1">_xll.meDateFromTenor(I1339,"1D","FOLLOWING","TGT")</f>
        <v>44412</v>
      </c>
      <c r="J1340" s="95">
        <f ca="1"/>
        <v>4.0772846499658759E-3</v>
      </c>
      <c r="K1340" s="5" t="s">
        <v>4</v>
      </c>
      <c r="L1340" s="97">
        <f ca="1">_xll.meDateFromTenor(L1339,"1D","FOLLOWING","TGT")</f>
        <v>44412</v>
      </c>
      <c r="M1340" s="95">
        <f ca="1"/>
        <v>5.9047617142754449E-3</v>
      </c>
      <c r="N1340" s="5" t="s">
        <v>4</v>
      </c>
      <c r="O1340" s="97">
        <f ca="1">_xll.meDateFromTenor(O1339,"1D","FOLLOWING","TGT")</f>
        <v>44412</v>
      </c>
      <c r="P1340" s="95">
        <f ca="1"/>
        <v>7.93067276437949E-3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2.9278945917383804E-3</v>
      </c>
      <c r="H1341" s="92" t="s">
        <v>4</v>
      </c>
      <c r="I1341" s="97">
        <f ca="1">_xll.meDateFromTenor(I1340,"1D","FOLLOWING","TGT")</f>
        <v>44413</v>
      </c>
      <c r="J1341" s="95">
        <f ca="1"/>
        <v>4.0851082798081008E-3</v>
      </c>
      <c r="K1341" s="5" t="s">
        <v>4</v>
      </c>
      <c r="L1341" s="97">
        <f ca="1">_xll.meDateFromTenor(L1340,"1D","FOLLOWING","TGT")</f>
        <v>44413</v>
      </c>
      <c r="M1341" s="95">
        <f ca="1"/>
        <v>5.9124356796167732E-3</v>
      </c>
      <c r="N1341" s="5" t="s">
        <v>4</v>
      </c>
      <c r="O1341" s="97">
        <f ca="1">_xll.meDateFromTenor(O1340,"1D","FOLLOWING","TGT")</f>
        <v>44413</v>
      </c>
      <c r="P1341" s="95">
        <f ca="1"/>
        <v>7.9380817023386261E-3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2.9357263520042795E-3</v>
      </c>
      <c r="H1342" s="92" t="s">
        <v>4</v>
      </c>
      <c r="I1342" s="97">
        <f ca="1">_xll.meDateFromTenor(I1341,"1D","FOLLOWING","TGT")</f>
        <v>44414</v>
      </c>
      <c r="J1342" s="95">
        <f ca="1"/>
        <v>4.0929340484669547E-3</v>
      </c>
      <c r="K1342" s="5" t="s">
        <v>4</v>
      </c>
      <c r="L1342" s="97">
        <f ca="1">_xll.meDateFromTenor(L1341,"1D","FOLLOWING","TGT")</f>
        <v>44414</v>
      </c>
      <c r="M1342" s="95">
        <f ca="1"/>
        <v>5.920112806818245E-3</v>
      </c>
      <c r="N1342" s="5" t="s">
        <v>4</v>
      </c>
      <c r="O1342" s="97">
        <f ca="1">_xll.meDateFromTenor(O1341,"1D","FOLLOWING","TGT")</f>
        <v>44414</v>
      </c>
      <c r="P1342" s="95">
        <f ca="1"/>
        <v>7.9454904238722614E-3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2.9592941318377012E-3</v>
      </c>
      <c r="H1343" s="92" t="s">
        <v>4</v>
      </c>
      <c r="I1343" s="97">
        <f ca="1">_xll.meDateFromTenor(I1342,"1D","FOLLOWING","TGT")</f>
        <v>44417</v>
      </c>
      <c r="J1343" s="95">
        <f ca="1"/>
        <v>4.1164240863979682E-3</v>
      </c>
      <c r="K1343" s="5" t="s">
        <v>4</v>
      </c>
      <c r="L1343" s="97">
        <f ca="1">_xll.meDateFromTenor(L1342,"1D","FOLLOWING","TGT")</f>
        <v>44417</v>
      </c>
      <c r="M1343" s="95">
        <f ca="1"/>
        <v>5.9431632387650308E-3</v>
      </c>
      <c r="N1343" s="5" t="s">
        <v>4</v>
      </c>
      <c r="O1343" s="97">
        <f ca="1">_xll.meDateFromTenor(O1342,"1D","FOLLOWING","TGT")</f>
        <v>44417</v>
      </c>
      <c r="P1343" s="95">
        <f ca="1"/>
        <v>7.9677152604207373E-3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2.9671682216097471E-3</v>
      </c>
      <c r="H1344" s="92" t="s">
        <v>4</v>
      </c>
      <c r="I1344" s="97">
        <f ca="1">_xll.meDateFromTenor(I1343,"1D","FOLLOWING","TGT")</f>
        <v>44418</v>
      </c>
      <c r="J1344" s="95">
        <f ca="1"/>
        <v>4.1242583093780106E-3</v>
      </c>
      <c r="K1344" s="5" t="s">
        <v>4</v>
      </c>
      <c r="L1344" s="97">
        <f ca="1">_xll.meDateFromTenor(L1343,"1D","FOLLOWING","TGT")</f>
        <v>44418</v>
      </c>
      <c r="M1344" s="95">
        <f ca="1"/>
        <v>5.9508530925885868E-3</v>
      </c>
      <c r="N1344" s="5" t="s">
        <v>4</v>
      </c>
      <c r="O1344" s="97">
        <f ca="1">_xll.meDateFromTenor(O1343,"1D","FOLLOWING","TGT")</f>
        <v>44418</v>
      </c>
      <c r="P1344" s="95">
        <f ca="1"/>
        <v>7.9751230867529353E-3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2.9750483913700831E-3</v>
      </c>
      <c r="H1345" s="92" t="s">
        <v>4</v>
      </c>
      <c r="I1345" s="97">
        <f ca="1">_xll.meDateFromTenor(I1344,"1D","FOLLOWING","TGT")</f>
        <v>44419</v>
      </c>
      <c r="J1345" s="95">
        <f ca="1"/>
        <v>4.1320946207020256E-3</v>
      </c>
      <c r="K1345" s="5" t="s">
        <v>4</v>
      </c>
      <c r="L1345" s="97">
        <f ca="1">_xll.meDateFromTenor(L1344,"1D","FOLLOWING","TGT")</f>
        <v>44419</v>
      </c>
      <c r="M1345" s="95">
        <f ca="1"/>
        <v>5.9585461478630511E-3</v>
      </c>
      <c r="N1345" s="5" t="s">
        <v>4</v>
      </c>
      <c r="O1345" s="97">
        <f ca="1">_xll.meDateFromTenor(O1344,"1D","FOLLOWING","TGT")</f>
        <v>44419</v>
      </c>
      <c r="P1345" s="95">
        <f ca="1"/>
        <v>7.9825306819099207E-3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2.9829328401634004E-3</v>
      </c>
      <c r="H1346" s="92" t="s">
        <v>4</v>
      </c>
      <c r="I1346" s="97">
        <f ca="1">_xll.meDateFromTenor(I1345,"1D","FOLLOWING","TGT")</f>
        <v>44420</v>
      </c>
      <c r="J1346" s="95">
        <f ca="1"/>
        <v>4.1399330102754699E-3</v>
      </c>
      <c r="K1346" s="5" t="s">
        <v>4</v>
      </c>
      <c r="L1346" s="97">
        <f ca="1">_xll.meDateFromTenor(L1345,"1D","FOLLOWING","TGT")</f>
        <v>44420</v>
      </c>
      <c r="M1346" s="95">
        <f ca="1"/>
        <v>5.9662424125065637E-3</v>
      </c>
      <c r="N1346" s="5" t="s">
        <v>4</v>
      </c>
      <c r="O1346" s="97">
        <f ca="1">_xll.meDateFromTenor(O1345,"1D","FOLLOWING","TGT")</f>
        <v>44420</v>
      </c>
      <c r="P1346" s="95">
        <f ca="1"/>
        <v>7.9899380429417372E-3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2.9908197670344061E-3</v>
      </c>
      <c r="H1347" s="92" t="s">
        <v>4</v>
      </c>
      <c r="I1347" s="97">
        <f ca="1">_xll.meDateFromTenor(I1346,"1D","FOLLOWING","TGT")</f>
        <v>44421</v>
      </c>
      <c r="J1347" s="95">
        <f ca="1"/>
        <v>4.1477734680038176E-3</v>
      </c>
      <c r="K1347" s="5" t="s">
        <v>4</v>
      </c>
      <c r="L1347" s="97">
        <f ca="1">_xll.meDateFromTenor(L1346,"1D","FOLLOWING","TGT")</f>
        <v>44421</v>
      </c>
      <c r="M1347" s="95">
        <f ca="1"/>
        <v>5.9739418944372855E-3</v>
      </c>
      <c r="N1347" s="5" t="s">
        <v>4</v>
      </c>
      <c r="O1347" s="97">
        <f ca="1">_xll.meDateFromTenor(O1346,"1D","FOLLOWING","TGT")</f>
        <v>44421</v>
      </c>
      <c r="P1347" s="95">
        <f ca="1"/>
        <v>7.9973451668984511E-3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3.0144774065605294E-3</v>
      </c>
      <c r="H1348" s="92" t="s">
        <v>4</v>
      </c>
      <c r="I1348" s="97">
        <f ca="1">_xll.meDateFromTenor(I1347,"1D","FOLLOWING","TGT")</f>
        <v>44424</v>
      </c>
      <c r="J1348" s="95">
        <f ca="1"/>
        <v>4.17130714917295E-3</v>
      </c>
      <c r="K1348" s="5" t="s">
        <v>4</v>
      </c>
      <c r="L1348" s="97">
        <f ca="1">_xll.meDateFromTenor(L1347,"1D","FOLLOWING","TGT")</f>
        <v>44424</v>
      </c>
      <c r="M1348" s="95">
        <f ca="1"/>
        <v>5.9970597231342043E-3</v>
      </c>
      <c r="N1348" s="5" t="s">
        <v>4</v>
      </c>
      <c r="O1348" s="97">
        <f ca="1">_xll.meDateFromTenor(O1347,"1D","FOLLOWING","TGT")</f>
        <v>44424</v>
      </c>
      <c r="P1348" s="95">
        <f ca="1"/>
        <v>8.0195650868185153E-3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3.0223562361892712E-3</v>
      </c>
      <c r="H1349" s="92" t="s">
        <v>4</v>
      </c>
      <c r="I1349" s="97">
        <f ca="1">_xll.meDateFromTenor(I1348,"1D","FOLLOWING","TGT")</f>
        <v>44425</v>
      </c>
      <c r="J1349" s="95">
        <f ca="1"/>
        <v>4.1791557785755811E-3</v>
      </c>
      <c r="K1349" s="5" t="s">
        <v>4</v>
      </c>
      <c r="L1349" s="97">
        <f ca="1">_xll.meDateFromTenor(L1348,"1D","FOLLOWING","TGT")</f>
        <v>44425</v>
      </c>
      <c r="M1349" s="95">
        <f ca="1"/>
        <v>6.0047721533952689E-3</v>
      </c>
      <c r="N1349" s="5" t="s">
        <v>4</v>
      </c>
      <c r="O1349" s="97">
        <f ca="1">_xll.meDateFromTenor(O1348,"1D","FOLLOWING","TGT")</f>
        <v>44425</v>
      </c>
      <c r="P1349" s="95">
        <f ca="1"/>
        <v>8.0269712329753672E-3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3.0302285391191966E-3</v>
      </c>
      <c r="H1350" s="92" t="s">
        <v>4</v>
      </c>
      <c r="I1350" s="97">
        <f ca="1">_xll.meDateFromTenor(I1349,"1D","FOLLOWING","TGT")</f>
        <v>44426</v>
      </c>
      <c r="J1350" s="95">
        <f ca="1"/>
        <v>4.1870064256604514E-3</v>
      </c>
      <c r="K1350" s="5" t="s">
        <v>4</v>
      </c>
      <c r="L1350" s="97">
        <f ca="1">_xll.meDateFromTenor(L1349,"1D","FOLLOWING","TGT")</f>
        <v>44426</v>
      </c>
      <c r="M1350" s="95">
        <f ca="1"/>
        <v>6.0124878405342997E-3</v>
      </c>
      <c r="N1350" s="5" t="s">
        <v>4</v>
      </c>
      <c r="O1350" s="97">
        <f ca="1">_xll.meDateFromTenor(O1349,"1D","FOLLOWING","TGT")</f>
        <v>44426</v>
      </c>
      <c r="P1350" s="95">
        <f ca="1"/>
        <v>8.0343771273073926E-3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3.0380925143950023E-3</v>
      </c>
      <c r="H1351" s="92" t="s">
        <v>4</v>
      </c>
      <c r="I1351" s="97">
        <f ca="1">_xll.meDateFromTenor(I1350,"1D","FOLLOWING","TGT")</f>
        <v>44427</v>
      </c>
      <c r="J1351" s="95">
        <f ca="1"/>
        <v>4.1948590803330271E-3</v>
      </c>
      <c r="K1351" s="5" t="s">
        <v>4</v>
      </c>
      <c r="L1351" s="97">
        <f ca="1">_xll.meDateFromTenor(L1350,"1D","FOLLOWING","TGT")</f>
        <v>44427</v>
      </c>
      <c r="M1351" s="95">
        <f ca="1"/>
        <v>6.0202067924694453E-3</v>
      </c>
      <c r="N1351" s="5" t="s">
        <v>4</v>
      </c>
      <c r="O1351" s="97">
        <f ca="1">_xll.meDateFromTenor(O1350,"1D","FOLLOWING","TGT")</f>
        <v>44427</v>
      </c>
      <c r="P1351" s="95">
        <f ca="1"/>
        <v>8.0417827668646472E-3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3.0459463610613955E-3</v>
      </c>
      <c r="H1352" s="92" t="s">
        <v>4</v>
      </c>
      <c r="I1352" s="97">
        <f ca="1">_xll.meDateFromTenor(I1351,"1D","FOLLOWING","TGT")</f>
        <v>44428</v>
      </c>
      <c r="J1352" s="95">
        <f ca="1"/>
        <v>4.2027137324987824E-3</v>
      </c>
      <c r="K1352" s="5" t="s">
        <v>4</v>
      </c>
      <c r="L1352" s="97">
        <f ca="1">_xll.meDateFromTenor(L1351,"1D","FOLLOWING","TGT")</f>
        <v>44428</v>
      </c>
      <c r="M1352" s="95">
        <f ca="1"/>
        <v>6.0279290171188667E-3</v>
      </c>
      <c r="N1352" s="5" t="s">
        <v>4</v>
      </c>
      <c r="O1352" s="97">
        <f ca="1">_xll.meDateFromTenor(O1351,"1D","FOLLOWING","TGT")</f>
        <v>44428</v>
      </c>
      <c r="P1352" s="95">
        <f ca="1"/>
        <v>8.0491881486971922E-3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3.0694291198510555E-3</v>
      </c>
      <c r="H1353" s="92" t="s">
        <v>4</v>
      </c>
      <c r="I1353" s="97">
        <f ca="1">_xll.meDateFromTenor(I1352,"1D","FOLLOWING","TGT")</f>
        <v>44431</v>
      </c>
      <c r="J1353" s="95">
        <f ca="1"/>
        <v>4.2262895730097614E-3</v>
      </c>
      <c r="K1353" s="5" t="s">
        <v>4</v>
      </c>
      <c r="L1353" s="97">
        <f ca="1">_xll.meDateFromTenor(L1352,"1D","FOLLOWING","TGT")</f>
        <v>44431</v>
      </c>
      <c r="M1353" s="95">
        <f ca="1"/>
        <v>6.0511154065342587E-3</v>
      </c>
      <c r="N1353" s="5" t="s">
        <v>4</v>
      </c>
      <c r="O1353" s="97">
        <f ca="1">_xll.meDateFromTenor(O1352,"1D","FOLLOWING","TGT")</f>
        <v>44431</v>
      </c>
      <c r="P1353" s="95">
        <f ca="1"/>
        <v>8.0714027183471024E-3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3.0772244425267712E-3</v>
      </c>
      <c r="H1354" s="92" t="s">
        <v>4</v>
      </c>
      <c r="I1354" s="97">
        <f ca="1">_xll.meDateFromTenor(I1353,"1D","FOLLOWING","TGT")</f>
        <v>44432</v>
      </c>
      <c r="J1354" s="95">
        <f ca="1"/>
        <v>4.2341521142028882E-3</v>
      </c>
      <c r="K1354" s="5" t="s">
        <v>4</v>
      </c>
      <c r="L1354" s="97">
        <f ca="1">_xll.meDateFromTenor(L1353,"1D","FOLLOWING","TGT")</f>
        <v>44432</v>
      </c>
      <c r="M1354" s="95">
        <f ca="1"/>
        <v>6.0588508012222771E-3</v>
      </c>
      <c r="N1354" s="5" t="s">
        <v>4</v>
      </c>
      <c r="O1354" s="97">
        <f ca="1">_xll.meDateFromTenor(O1353,"1D","FOLLOWING","TGT")</f>
        <v>44432</v>
      </c>
      <c r="P1354" s="95">
        <f ca="1"/>
        <v>8.0788070397813539E-3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3.0850006318165688E-3</v>
      </c>
      <c r="H1355" s="92" t="s">
        <v>4</v>
      </c>
      <c r="I1355" s="97">
        <f ca="1">_xll.meDateFromTenor(I1354,"1D","FOLLOWING","TGT")</f>
        <v>44433</v>
      </c>
      <c r="J1355" s="95">
        <f ca="1"/>
        <v>4.2420166024165267E-3</v>
      </c>
      <c r="K1355" s="5" t="s">
        <v>4</v>
      </c>
      <c r="L1355" s="97">
        <f ca="1">_xll.meDateFromTenor(L1354,"1D","FOLLOWING","TGT")</f>
        <v>44433</v>
      </c>
      <c r="M1355" s="95">
        <f ca="1"/>
        <v>6.0665895082153247E-3</v>
      </c>
      <c r="N1355" s="5" t="s">
        <v>4</v>
      </c>
      <c r="O1355" s="97">
        <f ca="1">_xll.meDateFromTenor(O1354,"1D","FOLLOWING","TGT")</f>
        <v>44433</v>
      </c>
      <c r="P1355" s="95">
        <f ca="1"/>
        <v>8.0862110887411753E-3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3.0927558867651448E-3</v>
      </c>
      <c r="H1356" s="92" t="s">
        <v>4</v>
      </c>
      <c r="I1356" s="97">
        <f ca="1">_xll.meDateFromTenor(I1355,"1D","FOLLOWING","TGT")</f>
        <v>44434</v>
      </c>
      <c r="J1356" s="95">
        <f ca="1"/>
        <v>4.249883027556146E-3</v>
      </c>
      <c r="K1356" s="5" t="s">
        <v>4</v>
      </c>
      <c r="L1356" s="97">
        <f ca="1">_xll.meDateFromTenor(L1355,"1D","FOLLOWING","TGT")</f>
        <v>44434</v>
      </c>
      <c r="M1356" s="95">
        <f ca="1"/>
        <v>6.0743315354315538E-3</v>
      </c>
      <c r="N1356" s="5" t="s">
        <v>4</v>
      </c>
      <c r="O1356" s="97">
        <f ca="1">_xll.meDateFromTenor(O1355,"1D","FOLLOWING","TGT")</f>
        <v>44434</v>
      </c>
      <c r="P1356" s="95">
        <f ca="1"/>
        <v>8.0936148622766206E-3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3.1004884064172009E-3</v>
      </c>
      <c r="H1357" s="92" t="s">
        <v>4</v>
      </c>
      <c r="I1357" s="97">
        <f ca="1">_xll.meDateFromTenor(I1356,"1D","FOLLOWING","TGT")</f>
        <v>44435</v>
      </c>
      <c r="J1357" s="95">
        <f ca="1"/>
        <v>4.2577513795272123E-3</v>
      </c>
      <c r="K1357" s="5" t="s">
        <v>4</v>
      </c>
      <c r="L1357" s="97">
        <f ca="1">_xll.meDateFromTenor(L1356,"1D","FOLLOWING","TGT")</f>
        <v>44435</v>
      </c>
      <c r="M1357" s="95">
        <f ca="1"/>
        <v>6.0820768907891174E-3</v>
      </c>
      <c r="N1357" s="5" t="s">
        <v>4</v>
      </c>
      <c r="O1357" s="97">
        <f ca="1">_xll.meDateFromTenor(O1356,"1D","FOLLOWING","TGT")</f>
        <v>44435</v>
      </c>
      <c r="P1357" s="95">
        <f ca="1"/>
        <v>8.1010183574377458E-3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3.1235315440412384E-3</v>
      </c>
      <c r="H1358" s="92" t="s">
        <v>4</v>
      </c>
      <c r="I1358" s="97">
        <f ca="1">_xll.meDateFromTenor(I1357,"1D","FOLLOWING","TGT")</f>
        <v>44438</v>
      </c>
      <c r="J1358" s="95">
        <f ca="1"/>
        <v>4.2813678954837699E-3</v>
      </c>
      <c r="K1358" s="5" t="s">
        <v>4</v>
      </c>
      <c r="L1358" s="97">
        <f ca="1">_xll.meDateFromTenor(L1357,"1D","FOLLOWING","TGT")</f>
        <v>44438</v>
      </c>
      <c r="M1358" s="95">
        <f ca="1"/>
        <v>6.105333004891327E-3</v>
      </c>
      <c r="N1358" s="5" t="s">
        <v>4</v>
      </c>
      <c r="O1358" s="97">
        <f ca="1">_xll.meDateFromTenor(O1357,"1D","FOLLOWING","TGT")</f>
        <v>44438</v>
      </c>
      <c r="P1358" s="95">
        <f ca="1"/>
        <v>8.1232271431757597E-3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3.1311551129542085E-3</v>
      </c>
      <c r="H1359" s="92" t="s">
        <v>4</v>
      </c>
      <c r="I1359" s="97">
        <f ca="1">_xll.meDateFromTenor(I1358,"1D","FOLLOWING","TGT")</f>
        <v>44439</v>
      </c>
      <c r="J1359" s="95">
        <f ca="1"/>
        <v>4.2892438538353027E-3</v>
      </c>
      <c r="K1359" s="5" t="s">
        <v>4</v>
      </c>
      <c r="L1359" s="97">
        <f ca="1">_xll.meDateFromTenor(L1358,"1D","FOLLOWING","TGT")</f>
        <v>44439</v>
      </c>
      <c r="M1359" s="95">
        <f ca="1"/>
        <v>6.1130917519957454E-3</v>
      </c>
      <c r="N1359" s="5" t="s">
        <v>4</v>
      </c>
      <c r="O1359" s="97">
        <f ca="1">_xll.meDateFromTenor(O1358,"1D","FOLLOWING","TGT")</f>
        <v>44439</v>
      </c>
      <c r="P1359" s="95">
        <f ca="1"/>
        <v>8.1306294953401668E-3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3.1387469417941557E-3</v>
      </c>
      <c r="H1360" s="92" t="s">
        <v>4</v>
      </c>
      <c r="I1360" s="97">
        <f ca="1">_xll.meDateFromTenor(I1359,"1D","FOLLOWING","TGT")</f>
        <v>44440</v>
      </c>
      <c r="J1360" s="95">
        <f ca="1"/>
        <v>4.2971216885456208E-3</v>
      </c>
      <c r="K1360" s="5" t="s">
        <v>4</v>
      </c>
      <c r="L1360" s="97">
        <f ca="1">_xll.meDateFromTenor(L1359,"1D","FOLLOWING","TGT")</f>
        <v>44440</v>
      </c>
      <c r="M1360" s="95">
        <f ca="1"/>
        <v>6.1208538668322569E-3</v>
      </c>
      <c r="N1360" s="5" t="s">
        <v>4</v>
      </c>
      <c r="O1360" s="97">
        <f ca="1">_xll.meDateFromTenor(O1359,"1D","FOLLOWING","TGT")</f>
        <v>44440</v>
      </c>
      <c r="P1360" s="95">
        <f ca="1"/>
        <v>8.138031554380535E-3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3.1463052296057795E-3</v>
      </c>
      <c r="H1361" s="92" t="s">
        <v>4</v>
      </c>
      <c r="I1361" s="97">
        <f ca="1">_xll.meDateFromTenor(I1360,"1D","FOLLOWING","TGT")</f>
        <v>44441</v>
      </c>
      <c r="J1361" s="95">
        <f ca="1"/>
        <v>4.3050013895201905E-3</v>
      </c>
      <c r="K1361" s="5" t="s">
        <v>4</v>
      </c>
      <c r="L1361" s="97">
        <f ca="1">_xll.meDateFromTenor(L1360,"1D","FOLLOWING","TGT")</f>
        <v>44441</v>
      </c>
      <c r="M1361" s="95">
        <f ca="1"/>
        <v>6.1286193573190147E-3</v>
      </c>
      <c r="N1361" s="5" t="s">
        <v>4</v>
      </c>
      <c r="O1361" s="97">
        <f ca="1">_xll.meDateFromTenor(O1360,"1D","FOLLOWING","TGT")</f>
        <v>44441</v>
      </c>
      <c r="P1361" s="95">
        <f ca="1"/>
        <v>8.1454333173469218E-3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3.153828837349543E-3</v>
      </c>
      <c r="H1362" s="92" t="s">
        <v>4</v>
      </c>
      <c r="I1362" s="97">
        <f ca="1">_xll.meDateFromTenor(I1361,"1D","FOLLOWING","TGT")</f>
        <v>44442</v>
      </c>
      <c r="J1362" s="95">
        <f ca="1"/>
        <v>4.3128829555512966E-3</v>
      </c>
      <c r="K1362" s="5" t="s">
        <v>4</v>
      </c>
      <c r="L1362" s="97">
        <f ca="1">_xll.meDateFromTenor(L1361,"1D","FOLLOWING","TGT")</f>
        <v>44442</v>
      </c>
      <c r="M1362" s="95">
        <f ca="1"/>
        <v>6.1363882313741703E-3</v>
      </c>
      <c r="N1362" s="5" t="s">
        <v>4</v>
      </c>
      <c r="O1362" s="97">
        <f ca="1">_xll.meDateFromTenor(O1361,"1D","FOLLOWING","TGT")</f>
        <v>44442</v>
      </c>
      <c r="P1362" s="95">
        <f ca="1"/>
        <v>8.1528347812893798E-3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3.176209314071842E-3</v>
      </c>
      <c r="H1363" s="92" t="s">
        <v>4</v>
      </c>
      <c r="I1363" s="97">
        <f ca="1">_xll.meDateFromTenor(I1362,"1D","FOLLOWING","TGT")</f>
        <v>44445</v>
      </c>
      <c r="J1363" s="95">
        <f ca="1"/>
        <v>4.3365392229265231E-3</v>
      </c>
      <c r="K1363" s="5" t="s">
        <v>4</v>
      </c>
      <c r="L1363" s="97">
        <f ca="1">_xll.meDateFromTenor(L1362,"1D","FOLLOWING","TGT")</f>
        <v>44445</v>
      </c>
      <c r="M1363" s="95">
        <f ca="1"/>
        <v>6.1597152341315384E-3</v>
      </c>
      <c r="N1363" s="5" t="s">
        <v>4</v>
      </c>
      <c r="O1363" s="97">
        <f ca="1">_xll.meDateFromTenor(O1362,"1D","FOLLOWING","TGT")</f>
        <v>44445</v>
      </c>
      <c r="P1363" s="95">
        <f ca="1"/>
        <v>8.1750373494737551E-3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3.1836132592738668E-3</v>
      </c>
      <c r="H1364" s="92" t="s">
        <v>4</v>
      </c>
      <c r="I1364" s="97">
        <f ca="1">_xll.meDateFromTenor(I1363,"1D","FOLLOWING","TGT")</f>
        <v>44446</v>
      </c>
      <c r="J1364" s="95">
        <f ca="1"/>
        <v>4.3444286459001025E-3</v>
      </c>
      <c r="K1364" s="5" t="s">
        <v>4</v>
      </c>
      <c r="L1364" s="97">
        <f ca="1">_xll.meDateFromTenor(L1363,"1D","FOLLOWING","TGT")</f>
        <v>44446</v>
      </c>
      <c r="M1364" s="95">
        <f ca="1"/>
        <v>6.1674977216418072E-3</v>
      </c>
      <c r="N1364" s="5" t="s">
        <v>4</v>
      </c>
      <c r="O1364" s="97">
        <f ca="1">_xll.meDateFromTenor(O1363,"1D","FOLLOWING","TGT")</f>
        <v>44446</v>
      </c>
      <c r="P1364" s="95">
        <f ca="1"/>
        <v>8.1824375878210721E-3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3.1909927151886393E-3</v>
      </c>
      <c r="H1365" s="92" t="s">
        <v>4</v>
      </c>
      <c r="I1365" s="97">
        <f ca="1">_xll.meDateFromTenor(I1364,"1D","FOLLOWING","TGT")</f>
        <v>44447</v>
      </c>
      <c r="J1365" s="95">
        <f ca="1"/>
        <v>4.352320141175192E-3</v>
      </c>
      <c r="K1365" s="5" t="s">
        <v>4</v>
      </c>
      <c r="L1365" s="97">
        <f ca="1">_xll.meDateFromTenor(L1364,"1D","FOLLOWING","TGT")</f>
        <v>44447</v>
      </c>
      <c r="M1365" s="95">
        <f ca="1"/>
        <v>6.1752836323112296E-3</v>
      </c>
      <c r="N1365" s="5" t="s">
        <v>4</v>
      </c>
      <c r="O1365" s="97">
        <f ca="1">_xll.meDateFromTenor(O1364,"1D","FOLLOWING","TGT")</f>
        <v>44447</v>
      </c>
      <c r="P1365" s="95">
        <f ca="1"/>
        <v>8.1898375123947379E-3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3.1983498523554419E-3</v>
      </c>
      <c r="H1366" s="92" t="s">
        <v>4</v>
      </c>
      <c r="I1366" s="97">
        <f ca="1">_xll.meDateFromTenor(I1365,"1D","FOLLOWING","TGT")</f>
        <v>44448</v>
      </c>
      <c r="J1366" s="95">
        <f ca="1"/>
        <v>4.3602137519781576E-3</v>
      </c>
      <c r="K1366" s="5" t="s">
        <v>4</v>
      </c>
      <c r="L1366" s="97">
        <f ca="1">_xll.meDateFromTenor(L1365,"1D","FOLLOWING","TGT")</f>
        <v>44448</v>
      </c>
      <c r="M1366" s="95">
        <f ca="1"/>
        <v>6.1830729740579623E-3</v>
      </c>
      <c r="N1366" s="5" t="s">
        <v>4</v>
      </c>
      <c r="O1366" s="97">
        <f ca="1">_xll.meDateFromTenor(O1365,"1D","FOLLOWING","TGT")</f>
        <v>44448</v>
      </c>
      <c r="P1366" s="95">
        <f ca="1"/>
        <v>8.1972371202448154E-3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3.2056868413135485E-3</v>
      </c>
      <c r="H1367" s="92" t="s">
        <v>4</v>
      </c>
      <c r="I1367" s="97">
        <f ca="1">_xll.meDateFromTenor(I1366,"1D","FOLLOWING","TGT")</f>
        <v>44449</v>
      </c>
      <c r="J1367" s="95">
        <f ca="1"/>
        <v>4.3681095215353559E-3</v>
      </c>
      <c r="K1367" s="5" t="s">
        <v>4</v>
      </c>
      <c r="L1367" s="97">
        <f ca="1">_xll.meDateFromTenor(L1366,"1D","FOLLOWING","TGT")</f>
        <v>44449</v>
      </c>
      <c r="M1367" s="95">
        <f ca="1"/>
        <v>6.1908657548001575E-3</v>
      </c>
      <c r="N1367" s="5" t="s">
        <v>4</v>
      </c>
      <c r="O1367" s="97">
        <f ca="1">_xll.meDateFromTenor(O1366,"1D","FOLLOWING","TGT")</f>
        <v>44449</v>
      </c>
      <c r="P1367" s="95">
        <f ca="1"/>
        <v>8.2046364084213605E-3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3.22759862432844E-3</v>
      </c>
      <c r="H1368" s="92" t="s">
        <v>4</v>
      </c>
      <c r="I1368" s="97">
        <f ca="1">_xll.meDateFromTenor(I1367,"1D","FOLLOWING","TGT")</f>
        <v>44452</v>
      </c>
      <c r="J1368" s="95">
        <f ca="1"/>
        <v>4.3918102149959389E-3</v>
      </c>
      <c r="K1368" s="5" t="s">
        <v>4</v>
      </c>
      <c r="L1368" s="97">
        <f ca="1">_xll.meDateFromTenor(L1367,"1D","FOLLOWING","TGT")</f>
        <v>44452</v>
      </c>
      <c r="M1368" s="95">
        <f ca="1"/>
        <v>6.2142648101810305E-3</v>
      </c>
      <c r="N1368" s="5" t="s">
        <v>4</v>
      </c>
      <c r="O1368" s="97">
        <f ca="1">_xll.meDateFromTenor(O1367,"1D","FOLLOWING","TGT")</f>
        <v>44452</v>
      </c>
      <c r="P1368" s="95">
        <f ca="1"/>
        <v>8.2268323254103565E-3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3.2348767258445123E-3</v>
      </c>
      <c r="H1369" s="92" t="s">
        <v>4</v>
      </c>
      <c r="I1369" s="97">
        <f ca="1">_xll.meDateFromTenor(I1368,"1D","FOLLOWING","TGT")</f>
        <v>44453</v>
      </c>
      <c r="J1369" s="95">
        <f ca="1"/>
        <v>4.3997150518336591E-3</v>
      </c>
      <c r="K1369" s="5" t="s">
        <v>4</v>
      </c>
      <c r="L1369" s="97">
        <f ca="1">_xll.meDateFromTenor(L1368,"1D","FOLLOWING","TGT")</f>
        <v>44453</v>
      </c>
      <c r="M1369" s="95">
        <f ca="1"/>
        <v>6.2220714260865914E-3</v>
      </c>
      <c r="N1369" s="5" t="s">
        <v>4</v>
      </c>
      <c r="O1369" s="97">
        <f ca="1">_xll.meDateFromTenor(O1368,"1D","FOLLOWING","TGT")</f>
        <v>44453</v>
      </c>
      <c r="P1369" s="95">
        <f ca="1"/>
        <v>8.2342303053933273E-3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3.2421455318482617E-3</v>
      </c>
      <c r="H1370" s="92" t="s">
        <v>4</v>
      </c>
      <c r="I1370" s="97">
        <f ca="1">_xll.meDateFromTenor(I1369,"1D","FOLLOWING","TGT")</f>
        <v>44454</v>
      </c>
      <c r="J1370" s="95">
        <f ca="1"/>
        <v>4.4076222635574033E-3</v>
      </c>
      <c r="K1370" s="5" t="s">
        <v>4</v>
      </c>
      <c r="L1370" s="97">
        <f ca="1">_xll.meDateFromTenor(L1369,"1D","FOLLOWING","TGT")</f>
        <v>44454</v>
      </c>
      <c r="M1370" s="95">
        <f ca="1"/>
        <v>6.2298815205783717E-3</v>
      </c>
      <c r="N1370" s="5" t="s">
        <v>4</v>
      </c>
      <c r="O1370" s="97">
        <f ca="1">_xll.meDateFromTenor(O1369,"1D","FOLLOWING","TGT")</f>
        <v>44454</v>
      </c>
      <c r="P1370" s="95">
        <f ca="1"/>
        <v>8.2416279509530434E-3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3.2494072128789707E-3</v>
      </c>
      <c r="H1371" s="92" t="s">
        <v>4</v>
      </c>
      <c r="I1371" s="97">
        <f ca="1">_xll.meDateFromTenor(I1370,"1D","FOLLOWING","TGT")</f>
        <v>44455</v>
      </c>
      <c r="J1371" s="95">
        <f ca="1"/>
        <v>4.4155318933935409E-3</v>
      </c>
      <c r="K1371" s="5" t="s">
        <v>4</v>
      </c>
      <c r="L1371" s="97">
        <f ca="1">_xll.meDateFromTenor(L1370,"1D","FOLLOWING","TGT")</f>
        <v>44455</v>
      </c>
      <c r="M1371" s="95">
        <f ca="1"/>
        <v>6.2376951015745306E-3</v>
      </c>
      <c r="N1371" s="5" t="s">
        <v>4</v>
      </c>
      <c r="O1371" s="97">
        <f ca="1">_xll.meDateFromTenor(O1370,"1D","FOLLOWING","TGT")</f>
        <v>44455</v>
      </c>
      <c r="P1371" s="95">
        <f ca="1"/>
        <v>8.249025259139571E-3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3.2566639394759054E-3</v>
      </c>
      <c r="H1372" s="92" t="s">
        <v>4</v>
      </c>
      <c r="I1372" s="97">
        <f ca="1">_xll.meDateFromTenor(I1371,"1D","FOLLOWING","TGT")</f>
        <v>44456</v>
      </c>
      <c r="J1372" s="95">
        <f ca="1"/>
        <v>4.4234439845684172E-3</v>
      </c>
      <c r="K1372" s="5" t="s">
        <v>4</v>
      </c>
      <c r="L1372" s="97">
        <f ca="1">_xll.meDateFromTenor(L1371,"1D","FOLLOWING","TGT")</f>
        <v>44456</v>
      </c>
      <c r="M1372" s="95">
        <f ca="1"/>
        <v>6.2455121769932108E-3</v>
      </c>
      <c r="N1372" s="5" t="s">
        <v>4</v>
      </c>
      <c r="O1372" s="97">
        <f ca="1">_xll.meDateFromTenor(O1371,"1D","FOLLOWING","TGT")</f>
        <v>44456</v>
      </c>
      <c r="P1372" s="95">
        <f ca="1"/>
        <v>8.2564222270029505E-3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3.2784260980568492E-3</v>
      </c>
      <c r="H1373" s="92" t="s">
        <v>4</v>
      </c>
      <c r="I1373" s="97">
        <f ca="1">_xll.meDateFromTenor(I1372,"1D","FOLLOWING","TGT")</f>
        <v>44459</v>
      </c>
      <c r="J1373" s="95">
        <f ca="1"/>
        <v>4.4471954583891185E-3</v>
      </c>
      <c r="K1373" s="5" t="s">
        <v>4</v>
      </c>
      <c r="L1373" s="97">
        <f ca="1">_xll.meDateFromTenor(L1372,"1D","FOLLOWING","TGT")</f>
        <v>44459</v>
      </c>
      <c r="M1373" s="95">
        <f ca="1"/>
        <v>6.268984448965927E-3</v>
      </c>
      <c r="N1373" s="5" t="s">
        <v>4</v>
      </c>
      <c r="O1373" s="97">
        <f ca="1">_xll.meDateFromTenor(O1372,"1D","FOLLOWING","TGT")</f>
        <v>44459</v>
      </c>
      <c r="P1373" s="95">
        <f ca="1"/>
        <v>8.2786110591548199E-3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3.2856847123114595E-3</v>
      </c>
      <c r="H1374" s="92" t="s">
        <v>4</v>
      </c>
      <c r="I1374" s="97">
        <f ca="1">_xll.meDateFromTenor(I1373,"1D","FOLLOWING","TGT")</f>
        <v>44460</v>
      </c>
      <c r="J1374" s="95">
        <f ca="1"/>
        <v>4.4551178271825696E-3</v>
      </c>
      <c r="K1374" s="5" t="s">
        <v>4</v>
      </c>
      <c r="L1374" s="97">
        <f ca="1">_xll.meDateFromTenor(L1373,"1D","FOLLOWING","TGT")</f>
        <v>44460</v>
      </c>
      <c r="M1374" s="95">
        <f ca="1"/>
        <v>6.2768155812562322E-3</v>
      </c>
      <c r="N1374" s="5" t="s">
        <v>4</v>
      </c>
      <c r="O1374" s="97">
        <f ca="1">_xll.meDateFromTenor(O1373,"1D","FOLLOWING","TGT")</f>
        <v>44460</v>
      </c>
      <c r="P1374" s="95">
        <f ca="1"/>
        <v>8.2860066362262039E-3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3.292949224828676E-3</v>
      </c>
      <c r="H1375" s="92" t="s">
        <v>4</v>
      </c>
      <c r="I1375" s="97">
        <f ca="1">_xll.meDateFromTenor(I1374,"1D","FOLLOWING","TGT")</f>
        <v>44461</v>
      </c>
      <c r="J1375" s="95">
        <f ca="1"/>
        <v>4.4630428734465611E-3</v>
      </c>
      <c r="K1375" s="5" t="s">
        <v>4</v>
      </c>
      <c r="L1375" s="97">
        <f ca="1">_xll.meDateFromTenor(L1374,"1D","FOLLOWING","TGT")</f>
        <v>44461</v>
      </c>
      <c r="M1375" s="95">
        <f ca="1"/>
        <v>6.2846502475598209E-3</v>
      </c>
      <c r="N1375" s="5" t="s">
        <v>4</v>
      </c>
      <c r="O1375" s="97">
        <f ca="1">_xll.meDateFromTenor(O1374,"1D","FOLLOWING","TGT")</f>
        <v>44461</v>
      </c>
      <c r="P1375" s="95">
        <f ca="1"/>
        <v>8.2934018582247297E-3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3.3002218061477743E-3</v>
      </c>
      <c r="H1376" s="92" t="s">
        <v>4</v>
      </c>
      <c r="I1376" s="97">
        <f ca="1">_xll.meDateFromTenor(I1375,"1D","FOLLOWING","TGT")</f>
        <v>44462</v>
      </c>
      <c r="J1376" s="95">
        <f ca="1"/>
        <v>4.4709706404074514E-3</v>
      </c>
      <c r="K1376" s="5" t="s">
        <v>4</v>
      </c>
      <c r="L1376" s="97">
        <f ca="1">_xll.meDateFromTenor(L1375,"1D","FOLLOWING","TGT")</f>
        <v>44462</v>
      </c>
      <c r="M1376" s="95">
        <f ca="1"/>
        <v>6.292488455794846E-3</v>
      </c>
      <c r="N1376" s="5" t="s">
        <v>4</v>
      </c>
      <c r="O1376" s="97">
        <f ca="1">_xll.meDateFromTenor(O1375,"1D","FOLLOWING","TGT")</f>
        <v>44462</v>
      </c>
      <c r="P1376" s="95">
        <f ca="1"/>
        <v>8.3007967222004497E-3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3.3075046268080267E-3</v>
      </c>
      <c r="H1377" s="92" t="s">
        <v>4</v>
      </c>
      <c r="I1377" s="97">
        <f ca="1">_xll.meDateFromTenor(I1376,"1D","FOLLOWING","TGT")</f>
        <v>44463</v>
      </c>
      <c r="J1377" s="95">
        <f ca="1"/>
        <v>4.4789011712915959E-3</v>
      </c>
      <c r="K1377" s="5" t="s">
        <v>4</v>
      </c>
      <c r="L1377" s="97">
        <f ca="1">_xll.meDateFromTenor(L1376,"1D","FOLLOWING","TGT")</f>
        <v>44463</v>
      </c>
      <c r="M1377" s="95">
        <f ca="1"/>
        <v>6.3003302138794591E-3</v>
      </c>
      <c r="N1377" s="5" t="s">
        <v>4</v>
      </c>
      <c r="O1377" s="97">
        <f ca="1">_xll.meDateFromTenor(O1376,"1D","FOLLOWING","TGT")</f>
        <v>44463</v>
      </c>
      <c r="P1377" s="95">
        <f ca="1"/>
        <v>8.3081912252034196E-3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3.3294362302284863E-3</v>
      </c>
      <c r="H1378" s="92" t="s">
        <v>4</v>
      </c>
      <c r="I1378" s="97">
        <f ca="1">_xll.meDateFromTenor(I1377,"1D","FOLLOWING","TGT")</f>
        <v>44466</v>
      </c>
      <c r="J1378" s="95">
        <f ca="1"/>
        <v>4.5027097797471797E-3</v>
      </c>
      <c r="K1378" s="5" t="s">
        <v>4</v>
      </c>
      <c r="L1378" s="97">
        <f ca="1">_xll.meDateFromTenor(L1377,"1D","FOLLOWING","TGT")</f>
        <v>44466</v>
      </c>
      <c r="M1378" s="95">
        <f ca="1"/>
        <v>6.3238768664123637E-3</v>
      </c>
      <c r="N1378" s="5" t="s">
        <v>4</v>
      </c>
      <c r="O1378" s="97">
        <f ca="1">_xll.meDateFromTenor(O1377,"1D","FOLLOWING","TGT")</f>
        <v>44466</v>
      </c>
      <c r="P1378" s="95">
        <f ca="1"/>
        <v>8.33037253887642E-3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3.3367817136461214E-3</v>
      </c>
      <c r="H1379" s="92" t="s">
        <v>4</v>
      </c>
      <c r="I1379" s="97">
        <f ca="1">_xll.meDateFromTenor(I1378,"1D","FOLLOWING","TGT")</f>
        <v>44467</v>
      </c>
      <c r="J1379" s="95">
        <f ca="1"/>
        <v>4.5106517985879493E-3</v>
      </c>
      <c r="K1379" s="5" t="s">
        <v>4</v>
      </c>
      <c r="L1379" s="97">
        <f ca="1">_xll.meDateFromTenor(L1378,"1D","FOLLOWING","TGT")</f>
        <v>44467</v>
      </c>
      <c r="M1379" s="95">
        <f ca="1"/>
        <v>6.3317329030768577E-3</v>
      </c>
      <c r="N1379" s="5" t="s">
        <v>4</v>
      </c>
      <c r="O1379" s="97">
        <f ca="1">_xll.meDateFromTenor(O1378,"1D","FOLLOWING","TGT")</f>
        <v>44467</v>
      </c>
      <c r="P1379" s="95">
        <f ca="1"/>
        <v>8.3377655684889664E-3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3.3441482891012897E-3</v>
      </c>
      <c r="H1380" s="92" t="s">
        <v>4</v>
      </c>
      <c r="I1380" s="97">
        <f ca="1">_xll.meDateFromTenor(I1379,"1D","FOLLOWING","TGT")</f>
        <v>44468</v>
      </c>
      <c r="J1380" s="95">
        <f ca="1"/>
        <v>4.5185967974837732E-3</v>
      </c>
      <c r="K1380" s="5" t="s">
        <v>4</v>
      </c>
      <c r="L1380" s="97">
        <f ca="1">_xll.meDateFromTenor(L1379,"1D","FOLLOWING","TGT")</f>
        <v>44468</v>
      </c>
      <c r="M1380" s="95">
        <f ca="1"/>
        <v>6.3395925291817E-3</v>
      </c>
      <c r="N1380" s="5" t="s">
        <v>4</v>
      </c>
      <c r="O1380" s="97">
        <f ca="1">_xll.meDateFromTenor(O1379,"1D","FOLLOWING","TGT")</f>
        <v>44468</v>
      </c>
      <c r="P1380" s="95">
        <f ca="1"/>
        <v>8.3451582223790476E-3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3.3515381271332664E-3</v>
      </c>
      <c r="H1381" s="92" t="s">
        <v>4</v>
      </c>
      <c r="I1381" s="97">
        <f ca="1">_xll.meDateFromTenor(I1380,"1D","FOLLOWING","TGT")</f>
        <v>44469</v>
      </c>
      <c r="J1381" s="95">
        <f ca="1"/>
        <v>4.526544819661007E-3</v>
      </c>
      <c r="K1381" s="5" t="s">
        <v>4</v>
      </c>
      <c r="L1381" s="97">
        <f ca="1">_xll.meDateFromTenor(L1380,"1D","FOLLOWING","TGT")</f>
        <v>44469</v>
      </c>
      <c r="M1381" s="95">
        <f ca="1"/>
        <v>6.3474557526450454E-3</v>
      </c>
      <c r="N1381" s="5" t="s">
        <v>4</v>
      </c>
      <c r="O1381" s="97">
        <f ca="1">_xll.meDateFromTenor(O1380,"1D","FOLLOWING","TGT")</f>
        <v>44469</v>
      </c>
      <c r="P1381" s="95">
        <f ca="1"/>
        <v>8.3525504975967193E-3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3.3589533982813268E-3</v>
      </c>
      <c r="H1382" s="92" t="s">
        <v>4</v>
      </c>
      <c r="I1382" s="97">
        <f ca="1">_xll.meDateFromTenor(I1381,"1D","FOLLOWING","TGT")</f>
        <v>44470</v>
      </c>
      <c r="J1382" s="95">
        <f ca="1"/>
        <v>4.5344959083460116E-3</v>
      </c>
      <c r="K1382" s="5" t="s">
        <v>4</v>
      </c>
      <c r="L1382" s="97">
        <f ca="1">_xll.meDateFromTenor(L1381,"1D","FOLLOWING","TGT")</f>
        <v>44470</v>
      </c>
      <c r="M1382" s="95">
        <f ca="1"/>
        <v>6.3553225813850435E-3</v>
      </c>
      <c r="N1382" s="5" t="s">
        <v>4</v>
      </c>
      <c r="O1382" s="97">
        <f ca="1">_xll.meDateFromTenor(O1381,"1D","FOLLOWING","TGT")</f>
        <v>44470</v>
      </c>
      <c r="P1382" s="95">
        <f ca="1"/>
        <v>8.3599423911920358E-3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3.3813735158147637E-3</v>
      </c>
      <c r="H1383" s="92" t="s">
        <v>4</v>
      </c>
      <c r="I1383" s="97">
        <f ca="1">_xll.meDateFromTenor(I1382,"1D","FOLLOWING","TGT")</f>
        <v>44473</v>
      </c>
      <c r="J1383" s="95">
        <f ca="1"/>
        <v>4.5583680057112407E-3</v>
      </c>
      <c r="K1383" s="5" t="s">
        <v>4</v>
      </c>
      <c r="L1383" s="97">
        <f ca="1">_xll.meDateFromTenor(L1382,"1D","FOLLOWING","TGT")</f>
        <v>44473</v>
      </c>
      <c r="M1383" s="95">
        <f ca="1"/>
        <v>6.3789447784464749E-3</v>
      </c>
      <c r="N1383" s="5" t="s">
        <v>4</v>
      </c>
      <c r="O1383" s="97">
        <f ca="1">_xll.meDateFromTenor(O1382,"1D","FOLLOWING","TGT")</f>
        <v>44473</v>
      </c>
      <c r="P1383" s="95">
        <f ca="1"/>
        <v>8.3821157527444214E-3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3.3889116952885213E-3</v>
      </c>
      <c r="H1384" s="92" t="s">
        <v>4</v>
      </c>
      <c r="I1384" s="97">
        <f ca="1">_xll.meDateFromTenor(I1383,"1D","FOLLOWING","TGT")</f>
        <v>44474</v>
      </c>
      <c r="J1384" s="95">
        <f ca="1"/>
        <v>4.5663317926909154E-3</v>
      </c>
      <c r="K1384" s="5" t="s">
        <v>4</v>
      </c>
      <c r="L1384" s="97">
        <f ca="1">_xll.meDateFromTenor(L1383,"1D","FOLLOWING","TGT")</f>
        <v>44474</v>
      </c>
      <c r="M1384" s="95">
        <f ca="1"/>
        <v>6.3868261074746038E-3</v>
      </c>
      <c r="N1384" s="5" t="s">
        <v>4</v>
      </c>
      <c r="O1384" s="97">
        <f ca="1">_xll.meDateFromTenor(O1383,"1D","FOLLOWING","TGT")</f>
        <v>44474</v>
      </c>
      <c r="P1384" s="95">
        <f ca="1"/>
        <v>8.3895060903508827E-3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3.3964829833864141E-3</v>
      </c>
      <c r="H1385" s="92" t="s">
        <v>4</v>
      </c>
      <c r="I1385" s="97">
        <f ca="1">_xll.meDateFromTenor(I1384,"1D","FOLLOWING","TGT")</f>
        <v>44475</v>
      </c>
      <c r="J1385" s="95">
        <f ca="1"/>
        <v>4.5742988623101583E-3</v>
      </c>
      <c r="K1385" s="5" t="s">
        <v>4</v>
      </c>
      <c r="L1385" s="97">
        <f ca="1">_xll.meDateFromTenor(L1384,"1D","FOLLOWING","TGT")</f>
        <v>44475</v>
      </c>
      <c r="M1385" s="95">
        <f ca="1"/>
        <v>6.3947110813701467E-3</v>
      </c>
      <c r="N1385" s="5" t="s">
        <v>4</v>
      </c>
      <c r="O1385" s="97">
        <f ca="1">_xll.meDateFromTenor(O1384,"1D","FOLLOWING","TGT")</f>
        <v>44475</v>
      </c>
      <c r="P1385" s="95">
        <f ca="1"/>
        <v>8.3968960315852718E-3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3.4040863734593869E-3</v>
      </c>
      <c r="H1386" s="92" t="s">
        <v>4</v>
      </c>
      <c r="I1386" s="97">
        <f ca="1">_xll.meDateFromTenor(I1385,"1D","FOLLOWING","TGT")</f>
        <v>44476</v>
      </c>
      <c r="J1386" s="95">
        <f ca="1"/>
        <v>4.5822692577953241E-3</v>
      </c>
      <c r="K1386" s="5" t="s">
        <v>4</v>
      </c>
      <c r="L1386" s="97">
        <f ca="1">_xll.meDateFromTenor(L1385,"1D","FOLLOWING","TGT")</f>
        <v>44476</v>
      </c>
      <c r="M1386" s="95">
        <f ca="1"/>
        <v>6.4025997080512558E-3</v>
      </c>
      <c r="N1386" s="5" t="s">
        <v>4</v>
      </c>
      <c r="O1386" s="97">
        <f ca="1">_xll.meDateFromTenor(O1385,"1D","FOLLOWING","TGT")</f>
        <v>44476</v>
      </c>
      <c r="P1386" s="95">
        <f ca="1"/>
        <v>8.4042855734976444E-3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3.4117208588583877E-3</v>
      </c>
      <c r="H1387" s="92" t="s">
        <v>4</v>
      </c>
      <c r="I1387" s="97">
        <f ca="1">_xll.meDateFromTenor(I1386,"1D","FOLLOWING","TGT")</f>
        <v>44477</v>
      </c>
      <c r="J1387" s="95">
        <f ca="1"/>
        <v>4.5902430223727754E-3</v>
      </c>
      <c r="K1387" s="5" t="s">
        <v>4</v>
      </c>
      <c r="L1387" s="97">
        <f ca="1">_xll.meDateFromTenor(L1386,"1D","FOLLOWING","TGT")</f>
        <v>44477</v>
      </c>
      <c r="M1387" s="95">
        <f ca="1"/>
        <v>6.4104919954360833E-3</v>
      </c>
      <c r="N1387" s="5" t="s">
        <v>4</v>
      </c>
      <c r="O1387" s="97">
        <f ca="1">_xll.meDateFromTenor(O1386,"1D","FOLLOWING","TGT")</f>
        <v>44477</v>
      </c>
      <c r="P1387" s="95">
        <f ca="1"/>
        <v>8.4116747131380565E-3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3.434800820521037E-3</v>
      </c>
      <c r="H1388" s="92" t="s">
        <v>4</v>
      </c>
      <c r="I1388" s="97">
        <f ca="1">_xll.meDateFromTenor(I1387,"1D","FOLLOWING","TGT")</f>
        <v>44480</v>
      </c>
      <c r="J1388" s="95">
        <f ca="1"/>
        <v>4.6141849629224132E-3</v>
      </c>
      <c r="K1388" s="5" t="s">
        <v>4</v>
      </c>
      <c r="L1388" s="97">
        <f ca="1">_xll.meDateFromTenor(L1387,"1D","FOLLOWING","TGT")</f>
        <v>44480</v>
      </c>
      <c r="M1388" s="95">
        <f ca="1"/>
        <v>6.4341909009943861E-3</v>
      </c>
      <c r="N1388" s="5" t="s">
        <v>4</v>
      </c>
      <c r="O1388" s="97">
        <f ca="1">_xll.meDateFromTenor(O1387,"1D","FOLLOWING","TGT")</f>
        <v>44480</v>
      </c>
      <c r="P1388" s="95">
        <f ca="1"/>
        <v>8.4338396889280867E-3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3.4425496207336256E-3</v>
      </c>
      <c r="H1389" s="92" t="s">
        <v>4</v>
      </c>
      <c r="I1389" s="97">
        <f ca="1">_xll.meDateFromTenor(I1388,"1D","FOLLOWING","TGT")</f>
        <v>44481</v>
      </c>
      <c r="J1389" s="95">
        <f ca="1"/>
        <v>4.6221726361325823E-3</v>
      </c>
      <c r="K1389" s="5" t="s">
        <v>4</v>
      </c>
      <c r="L1389" s="97">
        <f ca="1">_xll.meDateFromTenor(L1388,"1D","FOLLOWING","TGT")</f>
        <v>44481</v>
      </c>
      <c r="M1389" s="95">
        <f ca="1"/>
        <v>6.4420979103755995E-3</v>
      </c>
      <c r="N1389" s="5" t="s">
        <v>4</v>
      </c>
      <c r="O1389" s="97">
        <f ca="1">_xll.meDateFromTenor(O1388,"1D","FOLLOWING","TGT")</f>
        <v>44481</v>
      </c>
      <c r="P1389" s="95">
        <f ca="1"/>
        <v>8.4412271899812139E-3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3.4503244830269854E-3</v>
      </c>
      <c r="H1390" s="92" t="s">
        <v>4</v>
      </c>
      <c r="I1390" s="97">
        <f ca="1">_xll.meDateFromTenor(I1389,"1D","FOLLOWING","TGT")</f>
        <v>44482</v>
      </c>
      <c r="J1390" s="95">
        <f ca="1"/>
        <v>4.6301638945668352E-3</v>
      </c>
      <c r="K1390" s="5" t="s">
        <v>4</v>
      </c>
      <c r="L1390" s="97">
        <f ca="1">_xll.meDateFromTenor(L1389,"1D","FOLLOWING","TGT")</f>
        <v>44482</v>
      </c>
      <c r="M1390" s="95">
        <f ca="1"/>
        <v>6.4500086200512943E-3</v>
      </c>
      <c r="N1390" s="5" t="s">
        <v>4</v>
      </c>
      <c r="O1390" s="97">
        <f ca="1">_xll.meDateFromTenor(O1389,"1D","FOLLOWING","TGT")</f>
        <v>44482</v>
      </c>
      <c r="P1390" s="95">
        <f ca="1"/>
        <v>8.4486142740126668E-3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3.4581244007520565E-3</v>
      </c>
      <c r="H1391" s="92" t="s">
        <v>4</v>
      </c>
      <c r="I1391" s="97">
        <f ca="1">_xll.meDateFromTenor(I1390,"1D","FOLLOWING","TGT")</f>
        <v>44483</v>
      </c>
      <c r="J1391" s="95">
        <f ca="1"/>
        <v>4.6381587814515205E-3</v>
      </c>
      <c r="K1391" s="5" t="s">
        <v>4</v>
      </c>
      <c r="L1391" s="97">
        <f ca="1">_xll.meDateFromTenor(L1390,"1D","FOLLOWING","TGT")</f>
        <v>44483</v>
      </c>
      <c r="M1391" s="95">
        <f ca="1"/>
        <v>6.4579230379396141E-3</v>
      </c>
      <c r="N1391" s="5" t="s">
        <v>4</v>
      </c>
      <c r="O1391" s="97">
        <f ca="1">_xll.meDateFromTenor(O1390,"1D","FOLLOWING","TGT")</f>
        <v>44483</v>
      </c>
      <c r="P1391" s="95">
        <f ca="1"/>
        <v>8.4560009380724929E-3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3.4659483672597915E-3</v>
      </c>
      <c r="H1392" s="92" t="s">
        <v>4</v>
      </c>
      <c r="I1392" s="97">
        <f ca="1">_xll.meDateFromTenor(I1391,"1D","FOLLOWING","TGT")</f>
        <v>44484</v>
      </c>
      <c r="J1392" s="95">
        <f ca="1"/>
        <v>4.6461573400130036E-3</v>
      </c>
      <c r="K1392" s="5" t="s">
        <v>4</v>
      </c>
      <c r="L1392" s="97">
        <f ca="1">_xll.meDateFromTenor(L1391,"1D","FOLLOWING","TGT")</f>
        <v>44484</v>
      </c>
      <c r="M1392" s="95">
        <f ca="1"/>
        <v>6.465841171958718E-3</v>
      </c>
      <c r="N1392" s="5" t="s">
        <v>4</v>
      </c>
      <c r="O1392" s="97">
        <f ca="1">_xll.meDateFromTenor(O1391,"1D","FOLLOWING","TGT")</f>
        <v>44484</v>
      </c>
      <c r="P1392" s="95">
        <f ca="1"/>
        <v>8.4633871792107514E-3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3.489554492988451E-3</v>
      </c>
      <c r="H1393" s="92" t="s">
        <v>4</v>
      </c>
      <c r="I1393" s="97">
        <f ca="1">_xll.meDateFromTenor(I1392,"1D","FOLLOWING","TGT")</f>
        <v>44487</v>
      </c>
      <c r="J1393" s="95">
        <f ca="1"/>
        <v>4.6701754780218152E-3</v>
      </c>
      <c r="K1393" s="5" t="s">
        <v>4</v>
      </c>
      <c r="L1393" s="97">
        <f ca="1">_xll.meDateFromTenor(L1392,"1D","FOLLOWING","TGT")</f>
        <v>44487</v>
      </c>
      <c r="M1393" s="95">
        <f ca="1"/>
        <v>6.4896179499822322E-3</v>
      </c>
      <c r="N1393" s="5" t="s">
        <v>4</v>
      </c>
      <c r="O1393" s="97">
        <f ca="1">_xll.meDateFromTenor(O1392,"1D","FOLLOWING","TGT")</f>
        <v>44487</v>
      </c>
      <c r="P1393" s="95">
        <f ca="1"/>
        <v>8.4855433355966823E-3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3.4974645881363136E-3</v>
      </c>
      <c r="H1394" s="92" t="s">
        <v>4</v>
      </c>
      <c r="I1394" s="97">
        <f ca="1">_xll.meDateFromTenor(I1393,"1D","FOLLOWING","TGT")</f>
        <v>44488</v>
      </c>
      <c r="J1394" s="95">
        <f ca="1"/>
        <v>4.6781891555540706E-3</v>
      </c>
      <c r="K1394" s="5" t="s">
        <v>4</v>
      </c>
      <c r="L1394" s="97">
        <f ca="1">_xll.meDateFromTenor(L1393,"1D","FOLLOWING","TGT")</f>
        <v>44488</v>
      </c>
      <c r="M1394" s="95">
        <f ca="1"/>
        <v>6.4975510277059806E-3</v>
      </c>
      <c r="N1394" s="5" t="s">
        <v>4</v>
      </c>
      <c r="O1394" s="97">
        <f ca="1">_xll.meDateFromTenor(O1393,"1D","FOLLOWING","TGT")</f>
        <v>44488</v>
      </c>
      <c r="P1394" s="95">
        <f ca="1"/>
        <v>8.4929278555492312E-3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3.5053936988215786E-3</v>
      </c>
      <c r="H1395" s="92" t="s">
        <v>4</v>
      </c>
      <c r="I1395" s="97">
        <f ca="1">_xll.meDateFromTenor(I1394,"1D","FOLLOWING","TGT")</f>
        <v>44489</v>
      </c>
      <c r="J1395" s="95">
        <f ca="1"/>
        <v>4.6862067208949159E-3</v>
      </c>
      <c r="K1395" s="5" t="s">
        <v>4</v>
      </c>
      <c r="L1395" s="97">
        <f ca="1">_xll.meDateFromTenor(L1394,"1D","FOLLOWING","TGT")</f>
        <v>44489</v>
      </c>
      <c r="M1395" s="95">
        <f ca="1"/>
        <v>6.5054878611512683E-3</v>
      </c>
      <c r="N1395" s="5" t="s">
        <v>4</v>
      </c>
      <c r="O1395" s="97">
        <f ca="1">_xll.meDateFromTenor(O1394,"1D","FOLLOWING","TGT")</f>
        <v>44489</v>
      </c>
      <c r="P1395" s="95">
        <f ca="1"/>
        <v>8.5003119378304955E-3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3.5133408183951895E-3</v>
      </c>
      <c r="H1396" s="92" t="s">
        <v>4</v>
      </c>
      <c r="I1396" s="97">
        <f ca="1">_xll.meDateFromTenor(I1395,"1D","FOLLOWING","TGT")</f>
        <v>44490</v>
      </c>
      <c r="J1396" s="95">
        <f ca="1"/>
        <v>4.6942282172707074E-3</v>
      </c>
      <c r="K1396" s="5" t="s">
        <v>4</v>
      </c>
      <c r="L1396" s="97">
        <f ca="1">_xll.meDateFromTenor(L1395,"1D","FOLLOWING","TGT")</f>
        <v>44490</v>
      </c>
      <c r="M1396" s="95">
        <f ca="1"/>
        <v>6.5134284582362475E-3</v>
      </c>
      <c r="N1396" s="5" t="s">
        <v>4</v>
      </c>
      <c r="O1396" s="97">
        <f ca="1">_xll.meDateFromTenor(O1395,"1D","FOLLOWING","TGT")</f>
        <v>44490</v>
      </c>
      <c r="P1396" s="95">
        <f ca="1"/>
        <v>8.5076955794905259E-3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3.5213049402081026E-3</v>
      </c>
      <c r="H1397" s="92" t="s">
        <v>4</v>
      </c>
      <c r="I1397" s="97">
        <f ca="1">_xll.meDateFromTenor(I1396,"1D","FOLLOWING","TGT")</f>
        <v>44491</v>
      </c>
      <c r="J1397" s="95">
        <f ca="1"/>
        <v>4.7022536879078149E-3</v>
      </c>
      <c r="K1397" s="5" t="s">
        <v>4</v>
      </c>
      <c r="L1397" s="97">
        <f ca="1">_xll.meDateFromTenor(L1396,"1D","FOLLOWING","TGT")</f>
        <v>44491</v>
      </c>
      <c r="M1397" s="95">
        <f ca="1"/>
        <v>6.5213728268790766E-3</v>
      </c>
      <c r="N1397" s="5" t="s">
        <v>4</v>
      </c>
      <c r="O1397" s="97">
        <f ca="1">_xll.meDateFromTenor(O1396,"1D","FOLLOWING","TGT")</f>
        <v>44491</v>
      </c>
      <c r="P1397" s="95">
        <f ca="1"/>
        <v>8.5150787775793851E-3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3.5452892525920932E-3</v>
      </c>
      <c r="H1398" s="92" t="s">
        <v>4</v>
      </c>
      <c r="I1398" s="97">
        <f ca="1">_xll.meDateFromTenor(I1397,"1D","FOLLOWING","TGT")</f>
        <v>44494</v>
      </c>
      <c r="J1398" s="95">
        <f ca="1"/>
        <v>4.7263543776505631E-3</v>
      </c>
      <c r="K1398" s="5" t="s">
        <v>4</v>
      </c>
      <c r="L1398" s="97">
        <f ca="1">_xll.meDateFromTenor(L1397,"1D","FOLLOWING","TGT")</f>
        <v>44494</v>
      </c>
      <c r="M1398" s="95">
        <f ca="1"/>
        <v>6.5452286413361458E-3</v>
      </c>
      <c r="N1398" s="5" t="s">
        <v>4</v>
      </c>
      <c r="O1398" s="97">
        <f ca="1">_xll.meDateFromTenor(O1397,"1D","FOLLOWING","TGT")</f>
        <v>44494</v>
      </c>
      <c r="P1398" s="95">
        <f ca="1"/>
        <v>8.5372256809194743E-3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3.5533113168716699E-3</v>
      </c>
      <c r="H1399" s="92" t="s">
        <v>4</v>
      </c>
      <c r="I1399" s="97">
        <f ca="1">_xll.meDateFromTenor(I1398,"1D","FOLLOWING","TGT")</f>
        <v>44495</v>
      </c>
      <c r="J1399" s="95">
        <f ca="1"/>
        <v>4.7343961775964888E-3</v>
      </c>
      <c r="K1399" s="5" t="s">
        <v>4</v>
      </c>
      <c r="L1399" s="97">
        <f ca="1">_xll.meDateFromTenor(L1398,"1D","FOLLOWING","TGT")</f>
        <v>44495</v>
      </c>
      <c r="M1399" s="95">
        <f ca="1"/>
        <v>6.5531881753918726E-3</v>
      </c>
      <c r="N1399" s="5" t="s">
        <v>4</v>
      </c>
      <c r="O1399" s="97">
        <f ca="1">_xll.meDateFromTenor(O1398,"1D","FOLLOWING","TGT")</f>
        <v>44495</v>
      </c>
      <c r="P1399" s="95">
        <f ca="1"/>
        <v>8.5446070752241959E-3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3.5613453501452826E-3</v>
      </c>
      <c r="H1400" s="92" t="s">
        <v>4</v>
      </c>
      <c r="I1400" s="97">
        <f ca="1">_xll.meDateFromTenor(I1399,"1D","FOLLOWING","TGT")</f>
        <v>44496</v>
      </c>
      <c r="J1400" s="95">
        <f ca="1"/>
        <v>4.7424421679355183E-3</v>
      </c>
      <c r="K1400" s="5" t="s">
        <v>4</v>
      </c>
      <c r="L1400" s="97">
        <f ca="1">_xll.meDateFromTenor(L1399,"1D","FOLLOWING","TGT")</f>
        <v>44496</v>
      </c>
      <c r="M1400" s="95">
        <f ca="1"/>
        <v>6.5611515205962045E-3</v>
      </c>
      <c r="N1400" s="5" t="s">
        <v>4</v>
      </c>
      <c r="O1400" s="97">
        <f ca="1">_xll.meDateFromTenor(O1399,"1D","FOLLOWING","TGT")</f>
        <v>44496</v>
      </c>
      <c r="P1400" s="95">
        <f ca="1"/>
        <v>8.551988011208024E-3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3.5693903457638789E-3</v>
      </c>
      <c r="H1401" s="92" t="s">
        <v>4</v>
      </c>
      <c r="I1401" s="97">
        <f ca="1">_xll.meDateFromTenor(I1400,"1D","FOLLOWING","TGT")</f>
        <v>44497</v>
      </c>
      <c r="J1401" s="95">
        <f ca="1"/>
        <v>4.7504923918940097E-3</v>
      </c>
      <c r="K1401" s="5" t="s">
        <v>4</v>
      </c>
      <c r="L1401" s="97">
        <f ca="1">_xll.meDateFromTenor(L1400,"1D","FOLLOWING","TGT")</f>
        <v>44497</v>
      </c>
      <c r="M1401" s="95">
        <f ca="1"/>
        <v>6.5691186848672927E-3</v>
      </c>
      <c r="N1401" s="5" t="s">
        <v>4</v>
      </c>
      <c r="O1401" s="97">
        <f ca="1">_xll.meDateFromTenor(O1400,"1D","FOLLOWING","TGT")</f>
        <v>44497</v>
      </c>
      <c r="P1401" s="95">
        <f ca="1"/>
        <v>8.5593684859210147E-3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3.5774452970784069E-3</v>
      </c>
      <c r="H1402" s="92" t="s">
        <v>4</v>
      </c>
      <c r="I1402" s="97">
        <f ca="1">_xll.meDateFromTenor(I1401,"1D","FOLLOWING","TGT")</f>
        <v>44498</v>
      </c>
      <c r="J1402" s="95">
        <f ca="1"/>
        <v>4.7585468926983222E-3</v>
      </c>
      <c r="K1402" s="5" t="s">
        <v>4</v>
      </c>
      <c r="L1402" s="97">
        <f ca="1">_xll.meDateFromTenor(L1401,"1D","FOLLOWING","TGT")</f>
        <v>44498</v>
      </c>
      <c r="M1402" s="95">
        <f ca="1"/>
        <v>6.5770896761232914E-3</v>
      </c>
      <c r="N1402" s="5" t="s">
        <v>4</v>
      </c>
      <c r="O1402" s="97">
        <f ca="1">_xll.meDateFromTenor(O1401,"1D","FOLLOWING","TGT")</f>
        <v>44498</v>
      </c>
      <c r="P1402" s="95">
        <f ca="1"/>
        <v>8.5667484964132255E-3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3.6016598187070545E-3</v>
      </c>
      <c r="H1403" s="92" t="s">
        <v>4</v>
      </c>
      <c r="I1403" s="97">
        <f ca="1">_xll.meDateFromTenor(I1402,"1D","FOLLOWING","TGT")</f>
        <v>44501</v>
      </c>
      <c r="J1403" s="95">
        <f ca="1"/>
        <v>4.7827364884497712E-3</v>
      </c>
      <c r="K1403" s="5" t="s">
        <v>4</v>
      </c>
      <c r="L1403" s="97">
        <f ca="1">_xll.meDateFromTenor(L1402,"1D","FOLLOWING","TGT")</f>
        <v>44501</v>
      </c>
      <c r="M1403" s="95">
        <f ca="1"/>
        <v>6.6010256909822566E-3</v>
      </c>
      <c r="N1403" s="5" t="s">
        <v>4</v>
      </c>
      <c r="O1403" s="97">
        <f ca="1">_xll.meDateFromTenor(O1402,"1D","FOLLOWING","TGT")</f>
        <v>44501</v>
      </c>
      <c r="P1403" s="95">
        <f ca="1"/>
        <v>8.5888857130657272E-3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3.6097445263147858E-3</v>
      </c>
      <c r="H1404" s="92" t="s">
        <v>4</v>
      </c>
      <c r="I1404" s="97">
        <f ca="1">_xll.meDateFromTenor(I1403,"1D","FOLLOWING","TGT")</f>
        <v>44502</v>
      </c>
      <c r="J1404" s="95">
        <f ca="1"/>
        <v>4.7908085289009566E-3</v>
      </c>
      <c r="K1404" s="5" t="s">
        <v>4</v>
      </c>
      <c r="L1404" s="97">
        <f ca="1">_xll.meDateFromTenor(L1403,"1D","FOLLOWING","TGT")</f>
        <v>44502</v>
      </c>
      <c r="M1404" s="95">
        <f ca="1"/>
        <v>6.6090120693594115E-3</v>
      </c>
      <c r="N1404" s="5" t="s">
        <v>4</v>
      </c>
      <c r="O1404" s="97">
        <f ca="1">_xll.meDateFromTenor(O1403,"1D","FOLLOWING","TGT")</f>
        <v>44502</v>
      </c>
      <c r="P1404" s="95">
        <f ca="1"/>
        <v>8.596263837175374E-3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3.6178341824054596E-3</v>
      </c>
      <c r="H1405" s="92" t="s">
        <v>4</v>
      </c>
      <c r="I1405" s="97">
        <f ca="1">_xll.meDateFromTenor(I1404,"1D","FOLLOWING","TGT")</f>
        <v>44503</v>
      </c>
      <c r="J1405" s="95">
        <f ca="1"/>
        <v>4.7988850623297569E-3</v>
      </c>
      <c r="K1405" s="5" t="s">
        <v>4</v>
      </c>
      <c r="L1405" s="97">
        <f ca="1">_xll.meDateFromTenor(L1404,"1D","FOLLOWING","TGT")</f>
        <v>44503</v>
      </c>
      <c r="M1405" s="95">
        <f ca="1"/>
        <v>6.6170023143122328E-3</v>
      </c>
      <c r="N1405" s="5" t="s">
        <v>4</v>
      </c>
      <c r="O1405" s="97">
        <f ca="1">_xll.meDateFromTenor(O1404,"1D","FOLLOWING","TGT")</f>
        <v>44503</v>
      </c>
      <c r="P1405" s="95">
        <f ca="1"/>
        <v>8.6036414823145186E-3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3.6259279104913825E-3</v>
      </c>
      <c r="H1406" s="92" t="s">
        <v>4</v>
      </c>
      <c r="I1406" s="97">
        <f ca="1">_xll.meDateFromTenor(I1405,"1D","FOLLOWING","TGT")</f>
        <v>44504</v>
      </c>
      <c r="J1406" s="95">
        <f ca="1"/>
        <v>4.8069661319625331E-3</v>
      </c>
      <c r="K1406" s="5" t="s">
        <v>4</v>
      </c>
      <c r="L1406" s="97">
        <f ca="1">_xll.meDateFromTenor(L1405,"1D","FOLLOWING","TGT")</f>
        <v>44504</v>
      </c>
      <c r="M1406" s="95">
        <f ca="1"/>
        <v>6.6249964337588762E-3</v>
      </c>
      <c r="N1406" s="5" t="s">
        <v>4</v>
      </c>
      <c r="O1406" s="97">
        <f ca="1">_xll.meDateFromTenor(O1405,"1D","FOLLOWING","TGT")</f>
        <v>44504</v>
      </c>
      <c r="P1406" s="95">
        <f ca="1"/>
        <v>8.6110186455332204E-3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3.6340248601171342E-3</v>
      </c>
      <c r="H1407" s="92" t="s">
        <v>4</v>
      </c>
      <c r="I1407" s="97">
        <f ca="1">_xll.meDateFromTenor(I1406,"1D","FOLLOWING","TGT")</f>
        <v>44505</v>
      </c>
      <c r="J1407" s="95">
        <f ca="1"/>
        <v>4.8150517810256425E-3</v>
      </c>
      <c r="K1407" s="5" t="s">
        <v>4</v>
      </c>
      <c r="L1407" s="97">
        <f ca="1">_xll.meDateFromTenor(L1406,"1D","FOLLOWING","TGT")</f>
        <v>44505</v>
      </c>
      <c r="M1407" s="95">
        <f ca="1"/>
        <v>6.6329944356174932E-3</v>
      </c>
      <c r="N1407" s="5" t="s">
        <v>4</v>
      </c>
      <c r="O1407" s="97">
        <f ca="1">_xll.meDateFromTenor(O1406,"1D","FOLLOWING","TGT")</f>
        <v>44505</v>
      </c>
      <c r="P1407" s="95">
        <f ca="1"/>
        <v>8.6183953238815336E-3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3.6583265336791447E-3</v>
      </c>
      <c r="H1408" s="92" t="s">
        <v>4</v>
      </c>
      <c r="I1408" s="97">
        <f ca="1">_xll.meDateFromTenor(I1407,"1D","FOLLOWING","TGT")</f>
        <v>44508</v>
      </c>
      <c r="J1408" s="95">
        <f ca="1"/>
        <v>4.8393366370605567E-3</v>
      </c>
      <c r="K1408" s="5" t="s">
        <v>4</v>
      </c>
      <c r="L1408" s="97">
        <f ca="1">_xll.meDateFromTenor(L1407,"1D","FOLLOWING","TGT")</f>
        <v>44508</v>
      </c>
      <c r="M1408" s="95">
        <f ca="1"/>
        <v>6.6570118148466979E-3</v>
      </c>
      <c r="N1408" s="5" t="s">
        <v>4</v>
      </c>
      <c r="O1408" s="97">
        <f ca="1">_xll.meDateFromTenor(O1407,"1D","FOLLOWING","TGT")</f>
        <v>44508</v>
      </c>
      <c r="P1408" s="95">
        <f ca="1"/>
        <v>8.6405224202047073E-3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3.666427864909999E-3</v>
      </c>
      <c r="H1409" s="92" t="s">
        <v>4</v>
      </c>
      <c r="I1409" s="97">
        <f ca="1">_xll.meDateFromTenor(I1408,"1D","FOLLOWING","TGT")</f>
        <v>44509</v>
      </c>
      <c r="J1409" s="95">
        <f ca="1"/>
        <v>4.8474410361085893E-3</v>
      </c>
      <c r="K1409" s="5" t="s">
        <v>4</v>
      </c>
      <c r="L1409" s="97">
        <f ca="1">_xll.meDateFromTenor(L1408,"1D","FOLLOWING","TGT")</f>
        <v>44509</v>
      </c>
      <c r="M1409" s="95">
        <f ca="1"/>
        <v>6.6650254255347253E-3</v>
      </c>
      <c r="N1409" s="5" t="s">
        <v>4</v>
      </c>
      <c r="O1409" s="97">
        <f ca="1">_xll.meDateFromTenor(O1408,"1D","FOLLOWING","TGT")</f>
        <v>44509</v>
      </c>
      <c r="P1409" s="95">
        <f ca="1"/>
        <v>8.6478971295720318E-3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3.6745281654035756E-3</v>
      </c>
      <c r="H1410" s="92" t="s">
        <v>4</v>
      </c>
      <c r="I1410" s="97">
        <f ca="1">_xll.meDateFromTenor(I1409,"1D","FOLLOWING","TGT")</f>
        <v>44510</v>
      </c>
      <c r="J1410" s="95">
        <f ca="1"/>
        <v>4.8555502307187507E-3</v>
      </c>
      <c r="K1410" s="5" t="s">
        <v>4</v>
      </c>
      <c r="L1410" s="97">
        <f ca="1">_xll.meDateFromTenor(L1409,"1D","FOLLOWING","TGT")</f>
        <v>44510</v>
      </c>
      <c r="M1410" s="95">
        <f ca="1"/>
        <v>6.6730429582254865E-3</v>
      </c>
      <c r="N1410" s="5" t="s">
        <v>4</v>
      </c>
      <c r="O1410" s="97">
        <f ca="1">_xll.meDateFromTenor(O1409,"1D","FOLLOWING","TGT")</f>
        <v>44510</v>
      </c>
      <c r="P1410" s="95">
        <f ca="1"/>
        <v>8.6552713393192472E-3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3.6826265847044555E-3</v>
      </c>
      <c r="H1411" s="92" t="s">
        <v>4</v>
      </c>
      <c r="I1411" s="97">
        <f ca="1">_xll.meDateFromTenor(I1410,"1D","FOLLOWING","TGT")</f>
        <v>44511</v>
      </c>
      <c r="J1411" s="95">
        <f ca="1"/>
        <v>4.8636642641173983E-3</v>
      </c>
      <c r="K1411" s="5" t="s">
        <v>4</v>
      </c>
      <c r="L1411" s="97">
        <f ca="1">_xll.meDateFromTenor(L1410,"1D","FOLLOWING","TGT")</f>
        <v>44511</v>
      </c>
      <c r="M1411" s="95">
        <f ca="1"/>
        <v>6.6810644208371321E-3</v>
      </c>
      <c r="N1411" s="5" t="s">
        <v>4</v>
      </c>
      <c r="O1411" s="97">
        <f ca="1">_xll.meDateFromTenor(O1410,"1D","FOLLOWING","TGT")</f>
        <v>44511</v>
      </c>
      <c r="P1411" s="95">
        <f ca="1"/>
        <v>8.662645046496411E-3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3.6907222723572154E-3</v>
      </c>
      <c r="H1412" s="92" t="s">
        <v>4</v>
      </c>
      <c r="I1412" s="97">
        <f ca="1">_xll.meDateFromTenor(I1411,"1D","FOLLOWING","TGT")</f>
        <v>44512</v>
      </c>
      <c r="J1412" s="95">
        <f ca="1"/>
        <v>4.8717831795308912E-3</v>
      </c>
      <c r="K1412" s="5" t="s">
        <v>4</v>
      </c>
      <c r="L1412" s="97">
        <f ca="1">_xll.meDateFromTenor(L1411,"1D","FOLLOWING","TGT")</f>
        <v>44512</v>
      </c>
      <c r="M1412" s="95">
        <f ca="1"/>
        <v>6.6890898212878143E-3</v>
      </c>
      <c r="N1412" s="5" t="s">
        <v>4</v>
      </c>
      <c r="O1412" s="97">
        <f ca="1">_xll.meDateFromTenor(O1411,"1D","FOLLOWING","TGT")</f>
        <v>44512</v>
      </c>
      <c r="P1412" s="95">
        <f ca="1"/>
        <v>8.6700182481535808E-3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3.7149844408725717E-3</v>
      </c>
      <c r="H1413" s="92" t="s">
        <v>4</v>
      </c>
      <c r="I1413" s="97">
        <f ca="1">_xll.meDateFromTenor(I1412,"1D","FOLLOWING","TGT")</f>
        <v>44515</v>
      </c>
      <c r="J1413" s="95">
        <f ca="1"/>
        <v>4.8961696501240394E-3</v>
      </c>
      <c r="K1413" s="5" t="s">
        <v>4</v>
      </c>
      <c r="L1413" s="97">
        <f ca="1">_xll.meDateFromTenor(L1412,"1D","FOLLOWING","TGT")</f>
        <v>44515</v>
      </c>
      <c r="M1413" s="95">
        <f ca="1"/>
        <v>6.7131897288556031E-3</v>
      </c>
      <c r="N1413" s="5" t="s">
        <v>4</v>
      </c>
      <c r="O1413" s="97">
        <f ca="1">_xll.meDateFromTenor(O1412,"1D","FOLLOWING","TGT")</f>
        <v>44515</v>
      </c>
      <c r="P1413" s="95">
        <f ca="1"/>
        <v>8.6921347905056841E-3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3.7230606973786455E-3</v>
      </c>
      <c r="H1414" s="92" t="s">
        <v>4</v>
      </c>
      <c r="I1414" s="97">
        <f ca="1">_xll.meDateFromTenor(I1413,"1D","FOLLOWING","TGT")</f>
        <v>44516</v>
      </c>
      <c r="J1414" s="95">
        <f ca="1"/>
        <v>4.9043085258605066E-3</v>
      </c>
      <c r="K1414" s="5" t="s">
        <v>4</v>
      </c>
      <c r="L1414" s="97">
        <f ca="1">_xll.meDateFromTenor(L1413,"1D","FOLLOWING","TGT")</f>
        <v>44516</v>
      </c>
      <c r="M1414" s="95">
        <f ca="1"/>
        <v>6.7212309598439525E-3</v>
      </c>
      <c r="N1414" s="5" t="s">
        <v>4</v>
      </c>
      <c r="O1414" s="97">
        <f ca="1">_xll.meDateFromTenor(O1413,"1D","FOLLOWING","TGT")</f>
        <v>44516</v>
      </c>
      <c r="P1414" s="95">
        <f ca="1"/>
        <v>8.6995059405834355E-3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3.7311299699594926E-3</v>
      </c>
      <c r="H1415" s="92" t="s">
        <v>4</v>
      </c>
      <c r="I1415" s="97">
        <f ca="1">_xll.meDateFromTenor(I1414,"1D","FOLLOWING","TGT")</f>
        <v>44517</v>
      </c>
      <c r="J1415" s="95">
        <f ca="1"/>
        <v>4.9124524997436123E-3</v>
      </c>
      <c r="K1415" s="5" t="s">
        <v>4</v>
      </c>
      <c r="L1415" s="97">
        <f ca="1">_xll.meDateFromTenor(L1414,"1D","FOLLOWING","TGT")</f>
        <v>44517</v>
      </c>
      <c r="M1415" s="95">
        <f ca="1"/>
        <v>6.7292761682620963E-3</v>
      </c>
      <c r="N1415" s="5" t="s">
        <v>4</v>
      </c>
      <c r="O1415" s="97">
        <f ca="1">_xll.meDateFromTenor(O1414,"1D","FOLLOWING","TGT")</f>
        <v>44517</v>
      </c>
      <c r="P1415" s="95">
        <f ca="1"/>
        <v>8.7068765703914707E-3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3.7391914081596964E-3</v>
      </c>
      <c r="H1416" s="92" t="s">
        <v>4</v>
      </c>
      <c r="I1416" s="97">
        <f ca="1">_xll.meDateFromTenor(I1415,"1D","FOLLOWING","TGT")</f>
        <v>44518</v>
      </c>
      <c r="J1416" s="95">
        <f ca="1"/>
        <v>4.9206016149997206E-3</v>
      </c>
      <c r="K1416" s="5" t="s">
        <v>4</v>
      </c>
      <c r="L1416" s="97">
        <f ca="1">_xll.meDateFromTenor(L1415,"1D","FOLLOWING","TGT")</f>
        <v>44518</v>
      </c>
      <c r="M1416" s="95">
        <f ca="1"/>
        <v>6.737325362028191E-3</v>
      </c>
      <c r="N1416" s="5" t="s">
        <v>4</v>
      </c>
      <c r="O1416" s="97">
        <f ca="1">_xll.meDateFromTenor(O1415,"1D","FOLLOWING","TGT")</f>
        <v>44518</v>
      </c>
      <c r="P1416" s="95">
        <f ca="1"/>
        <v>8.7142466769798508E-3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3.7472441615238345E-3</v>
      </c>
      <c r="H1417" s="92" t="s">
        <v>4</v>
      </c>
      <c r="I1417" s="97">
        <f ca="1">_xll.meDateFromTenor(I1416,"1D","FOLLOWING","TGT")</f>
        <v>44519</v>
      </c>
      <c r="J1417" s="95">
        <f ca="1"/>
        <v>4.9287559148551881E-3</v>
      </c>
      <c r="K1417" s="5" t="s">
        <v>4</v>
      </c>
      <c r="L1417" s="97">
        <f ca="1">_xll.meDateFromTenor(L1416,"1D","FOLLOWING","TGT")</f>
        <v>44519</v>
      </c>
      <c r="M1417" s="95">
        <f ca="1"/>
        <v>6.7453785490603872E-3</v>
      </c>
      <c r="N1417" s="5" t="s">
        <v>4</v>
      </c>
      <c r="O1417" s="97">
        <f ca="1">_xll.meDateFromTenor(O1416,"1D","FOLLOWING","TGT")</f>
        <v>44519</v>
      </c>
      <c r="P1417" s="95">
        <f ca="1"/>
        <v>8.7216162573986282E-3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3.7713418080456401E-3</v>
      </c>
      <c r="H1418" s="92" t="s">
        <v>4</v>
      </c>
      <c r="I1418" s="97">
        <f ca="1">_xll.meDateFromTenor(I1417,"1D","FOLLOWING","TGT")</f>
        <v>44522</v>
      </c>
      <c r="J1418" s="95">
        <f ca="1"/>
        <v>4.9532503542813284E-3</v>
      </c>
      <c r="K1418" s="5" t="s">
        <v>4</v>
      </c>
      <c r="L1418" s="97">
        <f ca="1">_xll.meDateFromTenor(L1417,"1D","FOLLOWING","TGT")</f>
        <v>44522</v>
      </c>
      <c r="M1418" s="95">
        <f ca="1"/>
        <v>6.7695621489350993E-3</v>
      </c>
      <c r="N1418" s="5" t="s">
        <v>4</v>
      </c>
      <c r="O1418" s="97">
        <f ca="1">_xll.meDateFromTenor(O1417,"1D","FOLLOWING","TGT")</f>
        <v>44522</v>
      </c>
      <c r="P1418" s="95">
        <f ca="1"/>
        <v>8.7437218121379154E-3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3.7793513175113031E-3</v>
      </c>
      <c r="H1419" s="92" t="s">
        <v>4</v>
      </c>
      <c r="I1419" s="97">
        <f ca="1">_xll.meDateFromTenor(I1418,"1D","FOLLOWING","TGT")</f>
        <v>44523</v>
      </c>
      <c r="J1419" s="95">
        <f ca="1"/>
        <v>4.9614258247978188E-3</v>
      </c>
      <c r="K1419" s="5" t="s">
        <v>4</v>
      </c>
      <c r="L1419" s="97">
        <f ca="1">_xll.meDateFromTenor(L1418,"1D","FOLLOWING","TGT")</f>
        <v>44523</v>
      </c>
      <c r="M1419" s="95">
        <f ca="1"/>
        <v>6.7776313882132178E-3</v>
      </c>
      <c r="N1419" s="5" t="s">
        <v>4</v>
      </c>
      <c r="O1419" s="97">
        <f ca="1">_xll.meDateFromTenor(O1418,"1D","FOLLOWING","TGT")</f>
        <v>44523</v>
      </c>
      <c r="P1419" s="95">
        <f ca="1"/>
        <v>8.7510892583788479E-3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3.7873478898637933E-3</v>
      </c>
      <c r="H1420" s="92" t="s">
        <v>4</v>
      </c>
      <c r="I1420" s="97">
        <f ca="1">_xll.meDateFromTenor(I1419,"1D","FOLLOWING","TGT")</f>
        <v>44524</v>
      </c>
      <c r="J1420" s="95">
        <f ca="1"/>
        <v>4.9696066960454631E-3</v>
      </c>
      <c r="K1420" s="5" t="s">
        <v>4</v>
      </c>
      <c r="L1420" s="97">
        <f ca="1">_xll.meDateFromTenor(L1419,"1D","FOLLOWING","TGT")</f>
        <v>44524</v>
      </c>
      <c r="M1420" s="95">
        <f ca="1"/>
        <v>6.7857046603481963E-3</v>
      </c>
      <c r="N1420" s="5" t="s">
        <v>4</v>
      </c>
      <c r="O1420" s="97">
        <f ca="1">_xll.meDateFromTenor(O1419,"1D","FOLLOWING","TGT")</f>
        <v>44524</v>
      </c>
      <c r="P1420" s="95">
        <f ca="1"/>
        <v>8.7584561637004607E-3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3.7953306746476918E-3</v>
      </c>
      <c r="H1421" s="92" t="s">
        <v>4</v>
      </c>
      <c r="I1421" s="97">
        <f ca="1">_xll.meDateFromTenor(I1420,"1D","FOLLOWING","TGT")</f>
        <v>44525</v>
      </c>
      <c r="J1421" s="95">
        <f ca="1"/>
        <v>4.9777930112506188E-3</v>
      </c>
      <c r="K1421" s="5" t="s">
        <v>4</v>
      </c>
      <c r="L1421" s="97">
        <f ca="1">_xll.meDateFromTenor(L1420,"1D","FOLLOWING","TGT")</f>
        <v>44525</v>
      </c>
      <c r="M1421" s="95">
        <f ca="1"/>
        <v>6.7937819732581889E-3</v>
      </c>
      <c r="N1421" s="5" t="s">
        <v>4</v>
      </c>
      <c r="O1421" s="97">
        <f ca="1">_xll.meDateFromTenor(O1420,"1D","FOLLOWING","TGT")</f>
        <v>44525</v>
      </c>
      <c r="P1421" s="95">
        <f ca="1"/>
        <v>8.7658225251528079E-3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3.803298821407574E-3</v>
      </c>
      <c r="H1422" s="92" t="s">
        <v>4</v>
      </c>
      <c r="I1422" s="97">
        <f ca="1">_xll.meDateFromTenor(I1421,"1D","FOLLOWING","TGT")</f>
        <v>44526</v>
      </c>
      <c r="J1422" s="95">
        <f ca="1"/>
        <v>4.9859848136396441E-3</v>
      </c>
      <c r="K1422" s="5" t="s">
        <v>4</v>
      </c>
      <c r="L1422" s="97">
        <f ca="1">_xll.meDateFromTenor(L1421,"1D","FOLLOWING","TGT")</f>
        <v>44526</v>
      </c>
      <c r="M1422" s="95">
        <f ca="1"/>
        <v>6.8018633348613427E-3</v>
      </c>
      <c r="N1422" s="5" t="s">
        <v>4</v>
      </c>
      <c r="O1422" s="97">
        <f ca="1">_xll.meDateFromTenor(O1421,"1D","FOLLOWING","TGT")</f>
        <v>44526</v>
      </c>
      <c r="P1422" s="95">
        <f ca="1"/>
        <v>8.7731883397859454E-3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3.8271069289889359E-3</v>
      </c>
      <c r="H1423" s="92" t="s">
        <v>4</v>
      </c>
      <c r="I1423" s="97">
        <f ca="1">_xll.meDateFromTenor(I1422,"1D","FOLLOWING","TGT")</f>
        <v>44529</v>
      </c>
      <c r="J1423" s="95">
        <f ca="1"/>
        <v>5.0105935761735419E-3</v>
      </c>
      <c r="K1423" s="5" t="s">
        <v>4</v>
      </c>
      <c r="L1423" s="97">
        <f ca="1">_xll.meDateFromTenor(L1422,"1D","FOLLOWING","TGT")</f>
        <v>44529</v>
      </c>
      <c r="M1423" s="95">
        <f ca="1"/>
        <v>6.8261317910113199E-3</v>
      </c>
      <c r="N1423" s="5" t="s">
        <v>4</v>
      </c>
      <c r="O1423" s="97">
        <f ca="1">_xll.meDateFromTenor(O1422,"1D","FOLLOWING","TGT")</f>
        <v>44529</v>
      </c>
      <c r="P1423" s="95">
        <f ca="1"/>
        <v>8.7952824732706707E-3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3.8350080190985556E-3</v>
      </c>
      <c r="H1424" s="92" t="s">
        <v>4</v>
      </c>
      <c r="I1424" s="97">
        <f ca="1">_xll.meDateFromTenor(I1423,"1D","FOLLOWING","TGT")</f>
        <v>44530</v>
      </c>
      <c r="J1424" s="95">
        <f ca="1"/>
        <v>5.0188077595616437E-3</v>
      </c>
      <c r="K1424" s="5" t="s">
        <v>4</v>
      </c>
      <c r="L1424" s="97">
        <f ca="1">_xll.meDateFromTenor(L1423,"1D","FOLLOWING","TGT")</f>
        <v>44530</v>
      </c>
      <c r="M1424" s="95">
        <f ca="1"/>
        <v>6.8342294265686552E-3</v>
      </c>
      <c r="N1424" s="5" t="s">
        <v>4</v>
      </c>
      <c r="O1424" s="97">
        <f ca="1">_xll.meDateFromTenor(O1423,"1D","FOLLOWING","TGT")</f>
        <v>44530</v>
      </c>
      <c r="P1424" s="95">
        <f ca="1"/>
        <v>8.8026460711275387E-3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3.8428902189070568E-3</v>
      </c>
      <c r="H1425" s="92" t="s">
        <v>4</v>
      </c>
      <c r="I1425" s="97">
        <f ca="1">_xll.meDateFromTenor(I1424,"1D","FOLLOWING","TGT")</f>
        <v>44531</v>
      </c>
      <c r="J1425" s="95">
        <f ca="1"/>
        <v>5.0270276462654117E-3</v>
      </c>
      <c r="K1425" s="5" t="s">
        <v>4</v>
      </c>
      <c r="L1425" s="97">
        <f ca="1">_xll.meDateFromTenor(L1424,"1D","FOLLOWING","TGT")</f>
        <v>44531</v>
      </c>
      <c r="M1425" s="95">
        <f ca="1"/>
        <v>6.8423311504099147E-3</v>
      </c>
      <c r="N1425" s="5" t="s">
        <v>4</v>
      </c>
      <c r="O1425" s="97">
        <f ca="1">_xll.meDateFromTenor(O1424,"1D","FOLLOWING","TGT")</f>
        <v>44531</v>
      </c>
      <c r="P1425" s="95">
        <f ca="1"/>
        <v>8.8100091074154764E-3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3.8507526779590182E-3</v>
      </c>
      <c r="H1426" s="92" t="s">
        <v>4</v>
      </c>
      <c r="I1426" s="97">
        <f ca="1">_xll.meDateFromTenor(I1425,"1D","FOLLOWING","TGT")</f>
        <v>44532</v>
      </c>
      <c r="J1426" s="95">
        <f ca="1"/>
        <v>5.0352532795112041E-3</v>
      </c>
      <c r="K1426" s="5" t="s">
        <v>4</v>
      </c>
      <c r="L1426" s="97">
        <f ca="1">_xll.meDateFromTenor(L1425,"1D","FOLLOWING","TGT")</f>
        <v>44532</v>
      </c>
      <c r="M1426" s="95">
        <f ca="1"/>
        <v>6.8504369704532504E-3</v>
      </c>
      <c r="N1426" s="5" t="s">
        <v>4</v>
      </c>
      <c r="O1426" s="97">
        <f ca="1">_xll.meDateFromTenor(O1425,"1D","FOLLOWING","TGT")</f>
        <v>44532</v>
      </c>
      <c r="P1426" s="95">
        <f ca="1"/>
        <v>8.8173715791845433E-3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3.8585947243578119E-3</v>
      </c>
      <c r="H1427" s="92" t="s">
        <v>4</v>
      </c>
      <c r="I1427" s="97">
        <f ca="1">_xll.meDateFromTenor(I1426,"1D","FOLLOWING","TGT")</f>
        <v>44533</v>
      </c>
      <c r="J1427" s="95">
        <f ca="1"/>
        <v>5.0434846853941399E-3</v>
      </c>
      <c r="K1427" s="5" t="s">
        <v>4</v>
      </c>
      <c r="L1427" s="97">
        <f ca="1">_xll.meDateFromTenor(L1426,"1D","FOLLOWING","TGT")</f>
        <v>44533</v>
      </c>
      <c r="M1427" s="95">
        <f ca="1"/>
        <v>6.8585468865439434E-3</v>
      </c>
      <c r="N1427" s="5" t="s">
        <v>4</v>
      </c>
      <c r="O1427" s="97">
        <f ca="1">_xll.meDateFromTenor(O1426,"1D","FOLLOWING","TGT")</f>
        <v>44533</v>
      </c>
      <c r="P1427" s="95">
        <f ca="1"/>
        <v>8.8247334834847951E-3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3.8819995252558381E-3</v>
      </c>
      <c r="H1428" s="92" t="s">
        <v>4</v>
      </c>
      <c r="I1428" s="97">
        <f ca="1">_xll.meDateFromTenor(I1427,"1D","FOLLOWING","TGT")</f>
        <v>44536</v>
      </c>
      <c r="J1428" s="95">
        <f ca="1"/>
        <v>5.0682130460424288E-3</v>
      </c>
      <c r="K1428" s="5" t="s">
        <v>4</v>
      </c>
      <c r="L1428" s="97">
        <f ca="1">_xll.meDateFromTenor(L1427,"1D","FOLLOWING","TGT")</f>
        <v>44536</v>
      </c>
      <c r="M1428" s="95">
        <f ca="1"/>
        <v>6.8829008543466056E-3</v>
      </c>
      <c r="N1428" s="5" t="s">
        <v>4</v>
      </c>
      <c r="O1428" s="97">
        <f ca="1">_xll.meDateFromTenor(O1427,"1D","FOLLOWING","TGT")</f>
        <v>44536</v>
      </c>
      <c r="P1428" s="95">
        <f ca="1"/>
        <v>8.8468157620732162E-3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3.8897614157802E-3</v>
      </c>
      <c r="H1429" s="92" t="s">
        <v>4</v>
      </c>
      <c r="I1429" s="97">
        <f ca="1">_xll.meDateFromTenor(I1428,"1D","FOLLOWING","TGT")</f>
        <v>44537</v>
      </c>
      <c r="J1429" s="95">
        <f ca="1"/>
        <v>5.0764670153880817E-3</v>
      </c>
      <c r="K1429" s="5" t="s">
        <v>4</v>
      </c>
      <c r="L1429" s="97">
        <f ca="1">_xll.meDateFromTenor(L1428,"1D","FOLLOWING","TGT")</f>
        <v>44537</v>
      </c>
      <c r="M1429" s="95">
        <f ca="1"/>
        <v>6.8910267817274291E-3</v>
      </c>
      <c r="N1429" s="5" t="s">
        <v>4</v>
      </c>
      <c r="O1429" s="97">
        <f ca="1">_xll.meDateFromTenor(O1428,"1D","FOLLOWING","TGT")</f>
        <v>44537</v>
      </c>
      <c r="P1429" s="95">
        <f ca="1"/>
        <v>8.8541753669987688E-3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3.8975038195793077E-3</v>
      </c>
      <c r="H1430" s="92" t="s">
        <v>4</v>
      </c>
      <c r="I1430" s="97">
        <f ca="1">_xll.meDateFromTenor(I1429,"1D","FOLLOWING","TGT")</f>
        <v>44538</v>
      </c>
      <c r="J1430" s="95">
        <f ca="1"/>
        <v>5.0847264766967068E-3</v>
      </c>
      <c r="K1430" s="5" t="s">
        <v>4</v>
      </c>
      <c r="L1430" s="97">
        <f ca="1">_xll.meDateFromTenor(L1429,"1D","FOLLOWING","TGT")</f>
        <v>44538</v>
      </c>
      <c r="M1430" s="95">
        <f ca="1"/>
        <v>6.8991566106330875E-3</v>
      </c>
      <c r="N1430" s="5" t="s">
        <v>4</v>
      </c>
      <c r="O1430" s="97">
        <f ca="1">_xll.meDateFromTenor(O1429,"1D","FOLLOWING","TGT")</f>
        <v>44538</v>
      </c>
      <c r="P1430" s="95">
        <f ca="1"/>
        <v>8.8615343897057875E-3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3.9052269575505006E-3</v>
      </c>
      <c r="H1431" s="92" t="s">
        <v>4</v>
      </c>
      <c r="I1431" s="97">
        <f ca="1">_xll.meDateFromTenor(I1430,"1D","FOLLOWING","TGT")</f>
        <v>44539</v>
      </c>
      <c r="J1431" s="95">
        <f ca="1"/>
        <v>5.0929913704072247E-3</v>
      </c>
      <c r="K1431" s="5" t="s">
        <v>4</v>
      </c>
      <c r="L1431" s="97">
        <f ca="1">_xll.meDateFromTenor(L1430,"1D","FOLLOWING","TGT")</f>
        <v>44539</v>
      </c>
      <c r="M1431" s="95">
        <f ca="1"/>
        <v>6.9072903005445042E-3</v>
      </c>
      <c r="N1431" s="5" t="s">
        <v>4</v>
      </c>
      <c r="O1431" s="97">
        <f ca="1">_xll.meDateFromTenor(O1430,"1D","FOLLOWING","TGT")</f>
        <v>44539</v>
      </c>
      <c r="P1431" s="95">
        <f ca="1"/>
        <v>8.8688928272443249E-3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3.9129310505911213E-3</v>
      </c>
      <c r="H1432" s="92" t="s">
        <v>4</v>
      </c>
      <c r="I1432" s="97">
        <f ca="1">_xll.meDateFromTenor(I1431,"1D","FOLLOWING","TGT")</f>
        <v>44540</v>
      </c>
      <c r="J1432" s="95">
        <f ca="1"/>
        <v>5.1012616369585538E-3</v>
      </c>
      <c r="K1432" s="5" t="s">
        <v>4</v>
      </c>
      <c r="L1432" s="97">
        <f ca="1">_xll.meDateFromTenor(L1431,"1D","FOLLOWING","TGT")</f>
        <v>44540</v>
      </c>
      <c r="M1432" s="95">
        <f ca="1"/>
        <v>6.9154278109426013E-3</v>
      </c>
      <c r="N1432" s="5" t="s">
        <v>4</v>
      </c>
      <c r="O1432" s="97">
        <f ca="1">_xll.meDateFromTenor(O1431,"1D","FOLLOWING","TGT")</f>
        <v>44540</v>
      </c>
      <c r="P1432" s="95">
        <f ca="1"/>
        <v>8.8762506766644437E-3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3.9359312691029588E-3</v>
      </c>
      <c r="H1433" s="92" t="s">
        <v>4</v>
      </c>
      <c r="I1433" s="97">
        <f ca="1">_xll.meDateFromTenor(I1432,"1D","FOLLOWING","TGT")</f>
        <v>44543</v>
      </c>
      <c r="J1433" s="95">
        <f ca="1"/>
        <v>5.1261040780465816E-3</v>
      </c>
      <c r="K1433" s="5" t="s">
        <v>4</v>
      </c>
      <c r="L1433" s="97">
        <f ca="1">_xll.meDateFromTenor(L1432,"1D","FOLLOWING","TGT")</f>
        <v>44543</v>
      </c>
      <c r="M1433" s="95">
        <f ca="1"/>
        <v>6.9398628598661832E-3</v>
      </c>
      <c r="N1433" s="5" t="s">
        <v>4</v>
      </c>
      <c r="O1433" s="97">
        <f ca="1">_xll.meDateFromTenor(O1432,"1D","FOLLOWING","TGT")</f>
        <v>44543</v>
      </c>
      <c r="P1433" s="95">
        <f ca="1"/>
        <v>8.8983206667148217E-3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3.9435613913946978E-3</v>
      </c>
      <c r="H1434" s="92" t="s">
        <v>4</v>
      </c>
      <c r="I1434" s="97">
        <f ca="1">_xll.meDateFromTenor(I1433,"1D","FOLLOWING","TGT")</f>
        <v>44544</v>
      </c>
      <c r="J1434" s="95">
        <f ca="1"/>
        <v>5.134395240350329E-3</v>
      </c>
      <c r="K1434" s="5" t="s">
        <v>4</v>
      </c>
      <c r="L1434" s="97">
        <f ca="1">_xll.meDateFromTenor(L1433,"1D","FOLLOWING","TGT")</f>
        <v>44544</v>
      </c>
      <c r="M1434" s="95">
        <f ca="1"/>
        <v>6.9480152470202108E-3</v>
      </c>
      <c r="N1434" s="5" t="s">
        <v>4</v>
      </c>
      <c r="O1434" s="97">
        <f ca="1">_xll.meDateFromTenor(O1433,"1D","FOLLOWING","TGT")</f>
        <v>44544</v>
      </c>
      <c r="P1434" s="95">
        <f ca="1"/>
        <v>8.9056761341618097E-3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3.9511735732425729E-3</v>
      </c>
      <c r="H1435" s="92" t="s">
        <v>4</v>
      </c>
      <c r="I1435" s="97">
        <f ca="1">_xll.meDateFromTenor(I1434,"1D","FOLLOWING","TGT")</f>
        <v>44545</v>
      </c>
      <c r="J1435" s="95">
        <f ca="1"/>
        <v>5.1426914776894804E-3</v>
      </c>
      <c r="K1435" s="5" t="s">
        <v>4</v>
      </c>
      <c r="L1435" s="97">
        <f ca="1">_xll.meDateFromTenor(L1434,"1D","FOLLOWING","TGT")</f>
        <v>44545</v>
      </c>
      <c r="M1435" s="95">
        <f ca="1"/>
        <v>6.9561712520655287E-3</v>
      </c>
      <c r="N1435" s="5" t="s">
        <v>4</v>
      </c>
      <c r="O1435" s="97">
        <f ca="1">_xll.meDateFromTenor(O1434,"1D","FOLLOWING","TGT")</f>
        <v>44545</v>
      </c>
      <c r="P1435" s="95">
        <f ca="1"/>
        <v>8.9130309987406568E-3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3.9587680355439216E-3</v>
      </c>
      <c r="H1436" s="92" t="s">
        <v>4</v>
      </c>
      <c r="I1436" s="97">
        <f ca="1">_xll.meDateFromTenor(I1435,"1D","FOLLOWING","TGT")</f>
        <v>44546</v>
      </c>
      <c r="J1436" s="95">
        <f ca="1"/>
        <v>5.1509927305029507E-3</v>
      </c>
      <c r="K1436" s="5" t="s">
        <v>4</v>
      </c>
      <c r="L1436" s="97">
        <f ca="1">_xll.meDateFromTenor(L1435,"1D","FOLLOWING","TGT")</f>
        <v>44546</v>
      </c>
      <c r="M1436" s="95">
        <f ca="1"/>
        <v>6.9643308344830542E-3</v>
      </c>
      <c r="N1436" s="5" t="s">
        <v>4</v>
      </c>
      <c r="O1436" s="97">
        <f ca="1">_xll.meDateFromTenor(O1435,"1D","FOLLOWING","TGT")</f>
        <v>44546</v>
      </c>
      <c r="P1436" s="95">
        <f ca="1"/>
        <v>8.9203852575014189E-3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3.9663449991960871E-3</v>
      </c>
      <c r="H1437" s="92" t="s">
        <v>4</v>
      </c>
      <c r="I1437" s="97">
        <f ca="1">_xll.meDateFromTenor(I1436,"1D","FOLLOWING","TGT")</f>
        <v>44547</v>
      </c>
      <c r="J1437" s="95">
        <f ca="1"/>
        <v>5.1592989392296581E-3</v>
      </c>
      <c r="K1437" s="5" t="s">
        <v>4</v>
      </c>
      <c r="L1437" s="97">
        <f ca="1">_xll.meDateFromTenor(L1436,"1D","FOLLOWING","TGT")</f>
        <v>44547</v>
      </c>
      <c r="M1437" s="95">
        <f ca="1"/>
        <v>6.9724939537537103E-3</v>
      </c>
      <c r="N1437" s="5" t="s">
        <v>4</v>
      </c>
      <c r="O1437" s="97">
        <f ca="1">_xll.meDateFromTenor(O1436,"1D","FOLLOWING","TGT")</f>
        <v>44547</v>
      </c>
      <c r="P1437" s="95">
        <f ca="1"/>
        <v>8.9277389074941538E-3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3.9889731072308855E-3</v>
      </c>
      <c r="H1438" s="92" t="s">
        <v>4</v>
      </c>
      <c r="I1438" s="97">
        <f ca="1">_xll.meDateFromTenor(I1437,"1D","FOLLOWING","TGT")</f>
        <v>44550</v>
      </c>
      <c r="J1438" s="95">
        <f ca="1"/>
        <v>5.1842467052783808E-3</v>
      </c>
      <c r="K1438" s="5" t="s">
        <v>4</v>
      </c>
      <c r="L1438" s="97">
        <f ca="1">_xll.meDateFromTenor(L1437,"1D","FOLLOWING","TGT")</f>
        <v>44550</v>
      </c>
      <c r="M1438" s="95">
        <f ca="1"/>
        <v>6.9970041274936782E-3</v>
      </c>
      <c r="N1438" s="5" t="s">
        <v>4</v>
      </c>
      <c r="O1438" s="97">
        <f ca="1">_xll.meDateFromTenor(O1437,"1D","FOLLOWING","TGT")</f>
        <v>44550</v>
      </c>
      <c r="P1438" s="95">
        <f ca="1"/>
        <v>8.949796175364743E-3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3.9964822852597238E-3</v>
      </c>
      <c r="H1439" s="92" t="s">
        <v>4</v>
      </c>
      <c r="I1439" s="97">
        <f ca="1">_xll.meDateFromTenor(I1438,"1D","FOLLOWING","TGT")</f>
        <v>44551</v>
      </c>
      <c r="J1439" s="95">
        <f ca="1"/>
        <v>5.1925721420472163E-3</v>
      </c>
      <c r="K1439" s="5" t="s">
        <v>4</v>
      </c>
      <c r="L1439" s="97">
        <f ca="1">_xll.meDateFromTenor(L1438,"1D","FOLLOWING","TGT")</f>
        <v>44551</v>
      </c>
      <c r="M1439" s="95">
        <f ca="1"/>
        <v>7.0051809889860707E-3</v>
      </c>
      <c r="N1439" s="5" t="s">
        <v>4</v>
      </c>
      <c r="O1439" s="97">
        <f ca="1">_xll.meDateFromTenor(O1438,"1D","FOLLOWING","TGT")</f>
        <v>44551</v>
      </c>
      <c r="P1439" s="95">
        <f ca="1"/>
        <v>8.9571473607859223E-3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4.0039750691260832E-3</v>
      </c>
      <c r="H1440" s="92" t="s">
        <v>4</v>
      </c>
      <c r="I1440" s="97">
        <f ca="1">_xll.meDateFromTenor(I1439,"1D","FOLLOWING","TGT")</f>
        <v>44552</v>
      </c>
      <c r="J1440" s="95">
        <f ca="1"/>
        <v>5.2009022369238784E-3</v>
      </c>
      <c r="K1440" s="5" t="s">
        <v>4</v>
      </c>
      <c r="L1440" s="97">
        <f ca="1">_xll.meDateFromTenor(L1439,"1D","FOLLOWING","TGT")</f>
        <v>44552</v>
      </c>
      <c r="M1440" s="95">
        <f ca="1"/>
        <v>7.013361184736203E-3</v>
      </c>
      <c r="N1440" s="5" t="s">
        <v>4</v>
      </c>
      <c r="O1440" s="97">
        <f ca="1">_xll.meDateFromTenor(O1439,"1D","FOLLOWING","TGT")</f>
        <v>44552</v>
      </c>
      <c r="P1440" s="95">
        <f ca="1"/>
        <v>8.9644979226893538E-3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4.0114516797273032E-3</v>
      </c>
      <c r="H1441" s="92" t="s">
        <v>4</v>
      </c>
      <c r="I1441" s="97">
        <f ca="1">_xll.meDateFromTenor(I1440,"1D","FOLLOWING","TGT")</f>
        <v>44553</v>
      </c>
      <c r="J1441" s="95">
        <f ca="1"/>
        <v>5.2092369303472818E-3</v>
      </c>
      <c r="K1441" s="5" t="s">
        <v>4</v>
      </c>
      <c r="L1441" s="97">
        <f ca="1">_xll.meDateFromTenor(L1440,"1D","FOLLOWING","TGT")</f>
        <v>44553</v>
      </c>
      <c r="M1441" s="95">
        <f ca="1"/>
        <v>7.021544674224992E-3</v>
      </c>
      <c r="N1441" s="5" t="s">
        <v>4</v>
      </c>
      <c r="O1441" s="97">
        <f ca="1">_xll.meDateFromTenor(O1440,"1D","FOLLOWING","TGT")</f>
        <v>44553</v>
      </c>
      <c r="P1441" s="95">
        <f ca="1"/>
        <v>8.9718478581250916E-3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4.0189123379607301E-3</v>
      </c>
      <c r="H1442" s="92" t="s">
        <v>4</v>
      </c>
      <c r="I1442" s="97">
        <f ca="1">_xll.meDateFromTenor(I1441,"1D","FOLLOWING","TGT")</f>
        <v>44554</v>
      </c>
      <c r="J1442" s="95">
        <f ca="1"/>
        <v>5.2175761627563533E-3</v>
      </c>
      <c r="K1442" s="5" t="s">
        <v>4</v>
      </c>
      <c r="L1442" s="97">
        <f ca="1">_xll.meDateFromTenor(L1441,"1D","FOLLOWING","TGT")</f>
        <v>44554</v>
      </c>
      <c r="M1442" s="95">
        <f ca="1"/>
        <v>7.0297314169333646E-3</v>
      </c>
      <c r="N1442" s="5" t="s">
        <v>4</v>
      </c>
      <c r="O1442" s="97">
        <f ca="1">_xll.meDateFromTenor(O1441,"1D","FOLLOWING","TGT")</f>
        <v>44554</v>
      </c>
      <c r="P1442" s="95">
        <f ca="1"/>
        <v>8.9791971641431951E-3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4.0412008074276421E-3</v>
      </c>
      <c r="H1443" s="92" t="s">
        <v>4</v>
      </c>
      <c r="I1443" s="97">
        <f ca="1">_xll.meDateFromTenor(I1442,"1D","FOLLOWING","TGT")</f>
        <v>44557</v>
      </c>
      <c r="J1443" s="95">
        <f ca="1"/>
        <v>5.2426204982867269E-3</v>
      </c>
      <c r="K1443" s="5" t="s">
        <v>4</v>
      </c>
      <c r="L1443" s="97">
        <f ca="1">_xll.meDateFromTenor(L1442,"1D","FOLLOWING","TGT")</f>
        <v>44557</v>
      </c>
      <c r="M1443" s="95">
        <f ca="1"/>
        <v>7.0543107591851889E-3</v>
      </c>
      <c r="N1443" s="5" t="s">
        <v>4</v>
      </c>
      <c r="O1443" s="97">
        <f ca="1">_xll.meDateFromTenor(O1442,"1D","FOLLOWING","TGT")</f>
        <v>44557</v>
      </c>
      <c r="P1443" s="95">
        <f ca="1"/>
        <v>9.0012412761922497E-3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4.0485998651632951E-3</v>
      </c>
      <c r="H1444" s="92" t="s">
        <v>4</v>
      </c>
      <c r="I1444" s="97">
        <f ca="1">_xll.meDateFromTenor(I1443,"1D","FOLLOWING","TGT")</f>
        <v>44558</v>
      </c>
      <c r="J1444" s="95">
        <f ca="1"/>
        <v>5.250977291027633E-3</v>
      </c>
      <c r="K1444" s="5" t="s">
        <v>4</v>
      </c>
      <c r="L1444" s="97">
        <f ca="1">_xll.meDateFromTenor(L1443,"1D","FOLLOWING","TGT")</f>
        <v>44558</v>
      </c>
      <c r="M1444" s="95">
        <f ca="1"/>
        <v>7.0625101095811021E-3</v>
      </c>
      <c r="N1444" s="5" t="s">
        <v>4</v>
      </c>
      <c r="O1444" s="97">
        <f ca="1">_xll.meDateFromTenor(O1443,"1D","FOLLOWING","TGT")</f>
        <v>44558</v>
      </c>
      <c r="P1444" s="95">
        <f ca="1"/>
        <v>9.008588035040373E-3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4.0559840750178577E-3</v>
      </c>
      <c r="H1445" s="92" t="s">
        <v>4</v>
      </c>
      <c r="I1445" s="97">
        <f ca="1">_xll.meDateFromTenor(I1444,"1D","FOLLOWING","TGT")</f>
        <v>44559</v>
      </c>
      <c r="J1445" s="95">
        <f ca="1"/>
        <v>5.2593383249487915E-3</v>
      </c>
      <c r="K1445" s="5" t="s">
        <v>4</v>
      </c>
      <c r="L1445" s="97">
        <f ca="1">_xll.meDateFromTenor(L1444,"1D","FOLLOWING","TGT")</f>
        <v>44559</v>
      </c>
      <c r="M1445" s="95">
        <f ca="1"/>
        <v>7.0707125106012044E-3</v>
      </c>
      <c r="N1445" s="5" t="s">
        <v>4</v>
      </c>
      <c r="O1445" s="97">
        <f ca="1">_xll.meDateFromTenor(O1444,"1D","FOLLOWING","TGT")</f>
        <v>44559</v>
      </c>
      <c r="P1445" s="95">
        <f ca="1"/>
        <v>9.0159341497211398E-3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4.0633536578886702E-3</v>
      </c>
      <c r="H1446" s="92" t="s">
        <v>4</v>
      </c>
      <c r="I1446" s="97">
        <f ca="1">_xll.meDateFromTenor(I1445,"1D","FOLLOWING","TGT")</f>
        <v>44560</v>
      </c>
      <c r="J1446" s="95">
        <f ca="1"/>
        <v>5.2677035404891217E-3</v>
      </c>
      <c r="K1446" s="5" t="s">
        <v>4</v>
      </c>
      <c r="L1446" s="97">
        <f ca="1">_xll.meDateFromTenor(L1445,"1D","FOLLOWING","TGT")</f>
        <v>44560</v>
      </c>
      <c r="M1446" s="95">
        <f ca="1"/>
        <v>7.0789179217264188E-3</v>
      </c>
      <c r="N1446" s="5" t="s">
        <v>4</v>
      </c>
      <c r="O1446" s="97">
        <f ca="1">_xll.meDateFromTenor(O1445,"1D","FOLLOWING","TGT")</f>
        <v>44560</v>
      </c>
      <c r="P1446" s="95">
        <f ca="1"/>
        <v>9.0232796172846075E-3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4.0707088346730756E-3</v>
      </c>
      <c r="H1447" s="92" t="s">
        <v>4</v>
      </c>
      <c r="I1447" s="97">
        <f ca="1">_xll.meDateFromTenor(I1446,"1D","FOLLOWING","TGT")</f>
        <v>44561</v>
      </c>
      <c r="J1447" s="95">
        <f ca="1"/>
        <v>5.2760728780875425E-3</v>
      </c>
      <c r="K1447" s="5" t="s">
        <v>4</v>
      </c>
      <c r="L1447" s="97">
        <f ca="1">_xll.meDateFromTenor(L1446,"1D","FOLLOWING","TGT")</f>
        <v>44561</v>
      </c>
      <c r="M1447" s="95">
        <f ca="1"/>
        <v>7.0871263024376643E-3</v>
      </c>
      <c r="N1447" s="5" t="s">
        <v>4</v>
      </c>
      <c r="O1447" s="97">
        <f ca="1">_xll.meDateFromTenor(O1446,"1D","FOLLOWING","TGT")</f>
        <v>44561</v>
      </c>
      <c r="P1447" s="95">
        <f ca="1"/>
        <v>9.0306244347808321E-3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4.0926901374812516E-3</v>
      </c>
      <c r="H1448" s="92" t="s">
        <v>4</v>
      </c>
      <c r="I1448" s="97">
        <f ca="1">_xll.meDateFromTenor(I1447,"1D","FOLLOWING","TGT")</f>
        <v>44564</v>
      </c>
      <c r="J1448" s="95">
        <f ca="1"/>
        <v>5.3012050276205229E-3</v>
      </c>
      <c r="K1448" s="5" t="s">
        <v>4</v>
      </c>
      <c r="L1448" s="97">
        <f ca="1">_xll.meDateFromTenor(L1447,"1D","FOLLOWING","TGT")</f>
        <v>44564</v>
      </c>
      <c r="M1448" s="95">
        <f ca="1"/>
        <v>7.1117688568968079E-3</v>
      </c>
      <c r="N1448" s="5" t="s">
        <v>4</v>
      </c>
      <c r="O1448" s="97">
        <f ca="1">_xll.meDateFromTenor(O1447,"1D","FOLLOWING","TGT")</f>
        <v>44564</v>
      </c>
      <c r="P1448" s="95">
        <f ca="1"/>
        <v>9.0526549573666116E-3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4.0999903854725649E-3</v>
      </c>
      <c r="H1449" s="92" t="s">
        <v>4</v>
      </c>
      <c r="I1449" s="97">
        <f ca="1">_xll.meDateFromTenor(I1448,"1D","FOLLOWING","TGT")</f>
        <v>44565</v>
      </c>
      <c r="J1449" s="95">
        <f ca="1"/>
        <v>5.3095902578404837E-3</v>
      </c>
      <c r="K1449" s="5" t="s">
        <v>4</v>
      </c>
      <c r="L1449" s="97">
        <f ca="1">_xll.meDateFromTenor(L1448,"1D","FOLLOWING","TGT")</f>
        <v>44565</v>
      </c>
      <c r="M1449" s="95">
        <f ca="1"/>
        <v>7.1199887107613992E-3</v>
      </c>
      <c r="N1449" s="5" t="s">
        <v>4</v>
      </c>
      <c r="O1449" s="97">
        <f ca="1">_xll.meDateFromTenor(O1448,"1D","FOLLOWING","TGT")</f>
        <v>44565</v>
      </c>
      <c r="P1449" s="95">
        <f ca="1"/>
        <v>9.059997145094428E-3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4.1072802513389519E-3</v>
      </c>
      <c r="H1450" s="92" t="s">
        <v>4</v>
      </c>
      <c r="I1450" s="97">
        <f ca="1">_xll.meDateFromTenor(I1449,"1D","FOLLOWING","TGT")</f>
        <v>44566</v>
      </c>
      <c r="J1450" s="95">
        <f ca="1"/>
        <v>5.3179793123131246E-3</v>
      </c>
      <c r="K1450" s="5" t="s">
        <v>4</v>
      </c>
      <c r="L1450" s="97">
        <f ca="1">_xll.meDateFromTenor(L1449,"1D","FOLLOWING","TGT")</f>
        <v>44566</v>
      </c>
      <c r="M1450" s="95">
        <f ca="1"/>
        <v>7.1282113316166297E-3</v>
      </c>
      <c r="N1450" s="5" t="s">
        <v>4</v>
      </c>
      <c r="O1450" s="97">
        <f ca="1">_xll.meDateFromTenor(O1449,"1D","FOLLOWING","TGT")</f>
        <v>44566</v>
      </c>
      <c r="P1450" s="95">
        <f ca="1"/>
        <v>9.0673386680052825E-3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4.1145628754525251E-3</v>
      </c>
      <c r="H1451" s="92" t="s">
        <v>4</v>
      </c>
      <c r="I1451" s="97">
        <f ca="1">_xll.meDateFromTenor(I1450,"1D","FOLLOWING","TGT")</f>
        <v>44567</v>
      </c>
      <c r="J1451" s="95">
        <f ca="1"/>
        <v>5.3263721314773648E-3</v>
      </c>
      <c r="K1451" s="5" t="s">
        <v>4</v>
      </c>
      <c r="L1451" s="97">
        <f ca="1">_xll.meDateFromTenor(L1450,"1D","FOLLOWING","TGT")</f>
        <v>44567</v>
      </c>
      <c r="M1451" s="95">
        <f ca="1"/>
        <v>7.1364366789434218E-3</v>
      </c>
      <c r="N1451" s="5" t="s">
        <v>4</v>
      </c>
      <c r="O1451" s="97">
        <f ca="1">_xll.meDateFromTenor(O1450,"1D","FOLLOWING","TGT")</f>
        <v>44567</v>
      </c>
      <c r="P1451" s="95">
        <f ca="1"/>
        <v>9.074679523149231E-3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4.1218413981854041E-3</v>
      </c>
      <c r="H1452" s="92" t="s">
        <v>4</v>
      </c>
      <c r="I1452" s="97">
        <f ca="1">_xll.meDateFromTenor(I1451,"1D","FOLLOWING","TGT")</f>
        <v>44568</v>
      </c>
      <c r="J1452" s="95">
        <f ca="1"/>
        <v>5.3347686557721208E-3</v>
      </c>
      <c r="K1452" s="5" t="s">
        <v>4</v>
      </c>
      <c r="L1452" s="97">
        <f ca="1">_xll.meDateFromTenor(L1451,"1D","FOLLOWING","TGT")</f>
        <v>44568</v>
      </c>
      <c r="M1452" s="95">
        <f ca="1"/>
        <v>7.1446647122226968E-3</v>
      </c>
      <c r="N1452" s="5" t="s">
        <v>4</v>
      </c>
      <c r="O1452" s="97">
        <f ca="1">_xll.meDateFromTenor(O1451,"1D","FOLLOWING","TGT")</f>
        <v>44568</v>
      </c>
      <c r="P1452" s="95">
        <f ca="1"/>
        <v>9.0820197075763293E-3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4.143683761821019E-3</v>
      </c>
      <c r="H1453" s="92" t="s">
        <v>4</v>
      </c>
      <c r="I1453" s="97">
        <f ca="1">_xll.meDateFromTenor(I1452,"1D","FOLLOWING","TGT")</f>
        <v>44571</v>
      </c>
      <c r="J1453" s="95">
        <f ca="1"/>
        <v>5.3599798638286665E-3</v>
      </c>
      <c r="K1453" s="5" t="s">
        <v>4</v>
      </c>
      <c r="L1453" s="97">
        <f ca="1">_xll.meDateFromTenor(L1452,"1D","FOLLOWING","TGT")</f>
        <v>44571</v>
      </c>
      <c r="M1453" s="95">
        <f ca="1"/>
        <v>7.1693645225846354E-3</v>
      </c>
      <c r="N1453" s="5" t="s">
        <v>4</v>
      </c>
      <c r="O1453" s="97">
        <f ca="1">_xll.meDateFromTenor(O1452,"1D","FOLLOWING","TGT")</f>
        <v>44571</v>
      </c>
      <c r="P1453" s="95">
        <f ca="1"/>
        <v>9.1040362070570879E-3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4.1509772827522705E-3</v>
      </c>
      <c r="H1454" s="92" t="s">
        <v>4</v>
      </c>
      <c r="I1454" s="97">
        <f ca="1">_xll.meDateFromTenor(I1453,"1D","FOLLOWING","TGT")</f>
        <v>44572</v>
      </c>
      <c r="J1454" s="95">
        <f ca="1"/>
        <v>5.3683906130346688E-3</v>
      </c>
      <c r="K1454" s="5" t="s">
        <v>4</v>
      </c>
      <c r="L1454" s="97">
        <f ca="1">_xll.meDateFromTenor(L1453,"1D","FOLLOWING","TGT")</f>
        <v>44572</v>
      </c>
      <c r="M1454" s="95">
        <f ca="1"/>
        <v>7.1776028944830587E-3</v>
      </c>
      <c r="N1454" s="5" t="s">
        <v>4</v>
      </c>
      <c r="O1454" s="97">
        <f ca="1">_xll.meDateFromTenor(O1453,"1D","FOLLOWING","TGT")</f>
        <v>44572</v>
      </c>
      <c r="P1454" s="95">
        <f ca="1"/>
        <v>9.1113736791173534E-3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4.1582824041634069E-3</v>
      </c>
      <c r="H1455" s="92" t="s">
        <v>4</v>
      </c>
      <c r="I1455" s="97">
        <f ca="1">_xll.meDateFromTenor(I1454,"1D","FOLLOWING","TGT")</f>
        <v>44573</v>
      </c>
      <c r="J1455" s="95">
        <f ca="1"/>
        <v>5.3768047695657772E-3</v>
      </c>
      <c r="K1455" s="5" t="s">
        <v>4</v>
      </c>
      <c r="L1455" s="97">
        <f ca="1">_xll.meDateFromTenor(L1454,"1D","FOLLOWING","TGT")</f>
        <v>44573</v>
      </c>
      <c r="M1455" s="95">
        <f ca="1"/>
        <v>7.1858437497385741E-3</v>
      </c>
      <c r="N1455" s="5" t="s">
        <v>4</v>
      </c>
      <c r="O1455" s="97">
        <f ca="1">_xll.meDateFromTenor(O1454,"1D","FOLLOWING","TGT")</f>
        <v>44573</v>
      </c>
      <c r="P1455" s="95">
        <f ca="1"/>
        <v>9.1187104657110465E-3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4.1656022664265414E-3</v>
      </c>
      <c r="H1456" s="92" t="s">
        <v>4</v>
      </c>
      <c r="I1456" s="97">
        <f ca="1">_xll.meDateFromTenor(I1455,"1D","FOLLOWING","TGT")</f>
        <v>44574</v>
      </c>
      <c r="J1456" s="95">
        <f ca="1"/>
        <v>5.3852222738609125E-3</v>
      </c>
      <c r="K1456" s="5" t="s">
        <v>4</v>
      </c>
      <c r="L1456" s="97">
        <f ca="1">_xll.meDateFromTenor(L1455,"1D","FOLLOWING","TGT")</f>
        <v>44574</v>
      </c>
      <c r="M1456" s="95">
        <f ca="1"/>
        <v>7.1940870478321012E-3</v>
      </c>
      <c r="N1456" s="5" t="s">
        <v>4</v>
      </c>
      <c r="O1456" s="97">
        <f ca="1">_xll.meDateFromTenor(O1455,"1D","FOLLOWING","TGT")</f>
        <v>44574</v>
      </c>
      <c r="P1456" s="95">
        <f ca="1"/>
        <v>9.1260465638882283E-3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4.1729400099137903E-3</v>
      </c>
      <c r="H1457" s="92" t="s">
        <v>4</v>
      </c>
      <c r="I1457" s="97">
        <f ca="1">_xll.meDateFromTenor(I1456,"1D","FOLLOWING","TGT")</f>
        <v>44575</v>
      </c>
      <c r="J1457" s="95">
        <f ca="1"/>
        <v>5.3936430663589895E-3</v>
      </c>
      <c r="K1457" s="5" t="s">
        <v>4</v>
      </c>
      <c r="L1457" s="97">
        <f ca="1">_xll.meDateFromTenor(L1456,"1D","FOLLOWING","TGT")</f>
        <v>44575</v>
      </c>
      <c r="M1457" s="95">
        <f ca="1"/>
        <v>7.2023327482445632E-3</v>
      </c>
      <c r="N1457" s="5" t="s">
        <v>4</v>
      </c>
      <c r="O1457" s="97">
        <f ca="1">_xll.meDateFromTenor(O1456,"1D","FOLLOWING","TGT")</f>
        <v>44575</v>
      </c>
      <c r="P1457" s="95">
        <f ca="1"/>
        <v>9.133381970698953E-3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4.1950919314413838E-3</v>
      </c>
      <c r="H1458" s="92" t="s">
        <v>4</v>
      </c>
      <c r="I1458" s="97">
        <f ca="1">_xll.meDateFromTenor(I1457,"1D","FOLLOWING","TGT")</f>
        <v>44578</v>
      </c>
      <c r="J1458" s="95">
        <f ca="1"/>
        <v>5.4189245774600601E-3</v>
      </c>
      <c r="K1458" s="5" t="s">
        <v>4</v>
      </c>
      <c r="L1458" s="97">
        <f ca="1">_xll.meDateFromTenor(L1457,"1D","FOLLOWING","TGT")</f>
        <v>44578</v>
      </c>
      <c r="M1458" s="95">
        <f ca="1"/>
        <v>7.2270838582047664E-3</v>
      </c>
      <c r="N1458" s="5" t="s">
        <v>4</v>
      </c>
      <c r="O1458" s="97">
        <f ca="1">_xll.meDateFromTenor(O1457,"1D","FOLLOWING","TGT")</f>
        <v>44578</v>
      </c>
      <c r="P1458" s="95">
        <f ca="1"/>
        <v>9.1553840134329517E-3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4.2025326035462487E-3</v>
      </c>
      <c r="H1459" s="92" t="s">
        <v>4</v>
      </c>
      <c r="I1459" s="97">
        <f ca="1">_xll.meDateFromTenor(I1458,"1D","FOLLOWING","TGT")</f>
        <v>44579</v>
      </c>
      <c r="J1459" s="95">
        <f ca="1"/>
        <v>5.4273579271590907E-3</v>
      </c>
      <c r="K1459" s="5" t="s">
        <v>4</v>
      </c>
      <c r="L1459" s="97">
        <f ca="1">_xll.meDateFromTenor(L1458,"1D","FOLLOWING","TGT")</f>
        <v>44579</v>
      </c>
      <c r="M1459" s="95">
        <f ca="1"/>
        <v>7.2353387627021801E-3</v>
      </c>
      <c r="N1459" s="5" t="s">
        <v>4</v>
      </c>
      <c r="O1459" s="97">
        <f ca="1">_xll.meDateFromTenor(O1458,"1D","FOLLOWING","TGT")</f>
        <v>44579</v>
      </c>
      <c r="P1459" s="95">
        <f ca="1"/>
        <v>9.1627166252784137E-3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4.2100068587358043E-3</v>
      </c>
      <c r="H1460" s="92" t="s">
        <v>4</v>
      </c>
      <c r="I1460" s="97">
        <f ca="1">_xll.meDateFromTenor(I1459,"1D","FOLLOWING","TGT")</f>
        <v>44580</v>
      </c>
      <c r="J1460" s="95">
        <f ca="1"/>
        <v>5.4357942672556506E-3</v>
      </c>
      <c r="K1460" s="5" t="s">
        <v>4</v>
      </c>
      <c r="L1460" s="97">
        <f ca="1">_xll.meDateFromTenor(L1459,"1D","FOLLOWING","TGT")</f>
        <v>44580</v>
      </c>
      <c r="M1460" s="95">
        <f ca="1"/>
        <v>7.2435958669231316E-3</v>
      </c>
      <c r="N1460" s="5" t="s">
        <v>4</v>
      </c>
      <c r="O1460" s="97">
        <f ca="1">_xll.meDateFromTenor(O1459,"1D","FOLLOWING","TGT")</f>
        <v>44580</v>
      </c>
      <c r="P1460" s="95">
        <f ca="1"/>
        <v>9.1700485310076962E-3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4.2175178373821736E-3</v>
      </c>
      <c r="H1461" s="92" t="s">
        <v>4</v>
      </c>
      <c r="I1461" s="97">
        <f ca="1">_xll.meDateFromTenor(I1460,"1D","FOLLOWING","TGT")</f>
        <v>44581</v>
      </c>
      <c r="J1461" s="95">
        <f ca="1"/>
        <v>5.4442335381886661E-3</v>
      </c>
      <c r="K1461" s="5" t="s">
        <v>4</v>
      </c>
      <c r="L1461" s="97">
        <f ca="1">_xll.meDateFromTenor(L1460,"1D","FOLLOWING","TGT")</f>
        <v>44581</v>
      </c>
      <c r="M1461" s="95">
        <f ca="1"/>
        <v>7.2518551303485503E-3</v>
      </c>
      <c r="N1461" s="5" t="s">
        <v>4</v>
      </c>
      <c r="O1461" s="97">
        <f ca="1">_xll.meDateFromTenor(O1460,"1D","FOLLOWING","TGT")</f>
        <v>44581</v>
      </c>
      <c r="P1461" s="95">
        <f ca="1"/>
        <v>9.1773797276708639E-3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4.2250686798574674E-3</v>
      </c>
      <c r="H1462" s="92" t="s">
        <v>4</v>
      </c>
      <c r="I1462" s="97">
        <f ca="1">_xll.meDateFromTenor(I1461,"1D","FOLLOWING","TGT")</f>
        <v>44582</v>
      </c>
      <c r="J1462" s="95">
        <f ca="1"/>
        <v>5.45267568039705E-3</v>
      </c>
      <c r="K1462" s="5" t="s">
        <v>4</v>
      </c>
      <c r="L1462" s="97">
        <f ca="1">_xll.meDateFromTenor(L1461,"1D","FOLLOWING","TGT")</f>
        <v>44582</v>
      </c>
      <c r="M1462" s="95">
        <f ca="1"/>
        <v>7.2601165124593541E-3</v>
      </c>
      <c r="N1462" s="5" t="s">
        <v>4</v>
      </c>
      <c r="O1462" s="97">
        <f ca="1">_xll.meDateFromTenor(O1461,"1D","FOLLOWING","TGT")</f>
        <v>44582</v>
      </c>
      <c r="P1462" s="95">
        <f ca="1"/>
        <v>9.1847102123179675E-3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4.2479917939780574E-3</v>
      </c>
      <c r="H1463" s="92" t="s">
        <v>4</v>
      </c>
      <c r="I1463" s="97">
        <f ca="1">_xll.meDateFromTenor(I1462,"1D","FOLLOWING","TGT")</f>
        <v>44585</v>
      </c>
      <c r="J1463" s="95">
        <f ca="1"/>
        <v>5.4780187390636014E-3</v>
      </c>
      <c r="K1463" s="5" t="s">
        <v>4</v>
      </c>
      <c r="L1463" s="97">
        <f ca="1">_xll.meDateFromTenor(L1462,"1D","FOLLOWING","TGT")</f>
        <v>44585</v>
      </c>
      <c r="M1463" s="95">
        <f ca="1"/>
        <v>7.2849129657132925E-3</v>
      </c>
      <c r="N1463" s="5" t="s">
        <v>4</v>
      </c>
      <c r="O1463" s="97">
        <f ca="1">_xll.meDateFromTenor(O1462,"1D","FOLLOWING","TGT")</f>
        <v>44585</v>
      </c>
      <c r="P1463" s="95">
        <f ca="1"/>
        <v>9.2066973646634607E-3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4.2557334954902108E-3</v>
      </c>
      <c r="H1464" s="92" t="s">
        <v>4</v>
      </c>
      <c r="I1464" s="97">
        <f ca="1">_xll.meDateFromTenor(I1463,"1D","FOLLOWING","TGT")</f>
        <v>44586</v>
      </c>
      <c r="J1464" s="95">
        <f ca="1"/>
        <v>5.4864717707626444E-3</v>
      </c>
      <c r="K1464" s="5" t="s">
        <v>4</v>
      </c>
      <c r="L1464" s="97">
        <f ca="1">_xll.meDateFromTenor(L1463,"1D","FOLLOWING","TGT")</f>
        <v>44586</v>
      </c>
      <c r="M1464" s="95">
        <f ca="1"/>
        <v>7.2931824173748504E-3</v>
      </c>
      <c r="N1464" s="5" t="s">
        <v>4</v>
      </c>
      <c r="O1464" s="97">
        <f ca="1">_xll.meDateFromTenor(O1463,"1D","FOLLOWING","TGT")</f>
        <v>44586</v>
      </c>
      <c r="P1464" s="95">
        <f ca="1"/>
        <v>9.2140249717468734E-3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4.2635307626918677E-3</v>
      </c>
      <c r="H1465" s="92" t="s">
        <v>4</v>
      </c>
      <c r="I1465" s="97">
        <f ca="1">_xll.meDateFromTenor(I1464,"1D","FOLLOWING","TGT")</f>
        <v>44587</v>
      </c>
      <c r="J1465" s="95">
        <f ca="1"/>
        <v>5.4949273759316479E-3</v>
      </c>
      <c r="K1465" s="5" t="s">
        <v>4</v>
      </c>
      <c r="L1465" s="97">
        <f ca="1">_xll.meDateFromTenor(L1464,"1D","FOLLOWING","TGT")</f>
        <v>44587</v>
      </c>
      <c r="M1465" s="95">
        <f ca="1"/>
        <v>7.3014537851264043E-3</v>
      </c>
      <c r="N1465" s="5" t="s">
        <v>4</v>
      </c>
      <c r="O1465" s="97">
        <f ca="1">_xll.meDateFromTenor(O1464,"1D","FOLLOWING","TGT")</f>
        <v>44587</v>
      </c>
      <c r="P1465" s="95">
        <f ca="1"/>
        <v>9.2213518520645032E-3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4.2713867359551443E-3</v>
      </c>
      <c r="H1466" s="92" t="s">
        <v>4</v>
      </c>
      <c r="I1466" s="97">
        <f ca="1">_xll.meDateFromTenor(I1465,"1D","FOLLOWING","TGT")</f>
        <v>44588</v>
      </c>
      <c r="J1466" s="95">
        <f ca="1"/>
        <v>5.5033854950095277E-3</v>
      </c>
      <c r="K1466" s="5" t="s">
        <v>4</v>
      </c>
      <c r="L1466" s="97">
        <f ca="1">_xll.meDateFromTenor(L1465,"1D","FOLLOWING","TGT")</f>
        <v>44588</v>
      </c>
      <c r="M1466" s="95">
        <f ca="1"/>
        <v>7.3097270284488694E-3</v>
      </c>
      <c r="N1466" s="5" t="s">
        <v>4</v>
      </c>
      <c r="O1466" s="97">
        <f ca="1">_xll.meDateFromTenor(O1465,"1D","FOLLOWING","TGT")</f>
        <v>44588</v>
      </c>
      <c r="P1466" s="95">
        <f ca="1"/>
        <v>9.2286780026664093E-3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4.2793045556521548E-3</v>
      </c>
      <c r="H1467" s="92" t="s">
        <v>4</v>
      </c>
      <c r="I1467" s="97">
        <f ca="1">_xll.meDateFromTenor(I1466,"1D","FOLLOWING","TGT")</f>
        <v>44589</v>
      </c>
      <c r="J1467" s="95">
        <f ca="1"/>
        <v>5.5118460684352028E-3</v>
      </c>
      <c r="K1467" s="5" t="s">
        <v>4</v>
      </c>
      <c r="L1467" s="97">
        <f ca="1">_xll.meDateFromTenor(L1466,"1D","FOLLOWING","TGT")</f>
        <v>44589</v>
      </c>
      <c r="M1467" s="95">
        <f ca="1"/>
        <v>7.3180021068231698E-3</v>
      </c>
      <c r="N1467" s="5" t="s">
        <v>4</v>
      </c>
      <c r="O1467" s="97">
        <f ca="1">_xll.meDateFromTenor(O1466,"1D","FOLLOWING","TGT")</f>
        <v>44589</v>
      </c>
      <c r="P1467" s="95">
        <f ca="1"/>
        <v>9.2360034206026408E-3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4.3034604970667665E-3</v>
      </c>
      <c r="H1468" s="92" t="s">
        <v>4</v>
      </c>
      <c r="I1468" s="97">
        <f ca="1">_xll.meDateFromTenor(I1467,"1D","FOLLOWING","TGT")</f>
        <v>44592</v>
      </c>
      <c r="J1468" s="95">
        <f ca="1"/>
        <v>5.5372419191881891E-3</v>
      </c>
      <c r="K1468" s="5" t="s">
        <v>4</v>
      </c>
      <c r="L1468" s="97">
        <f ca="1">_xll.meDateFromTenor(L1467,"1D","FOLLOWING","TGT")</f>
        <v>44592</v>
      </c>
      <c r="M1468" s="95">
        <f ca="1"/>
        <v>7.3428379470663087E-3</v>
      </c>
      <c r="N1468" s="5" t="s">
        <v>4</v>
      </c>
      <c r="O1468" s="97">
        <f ca="1">_xll.meDateFromTenor(O1467,"1D","FOLLOWING","TGT")</f>
        <v>44592</v>
      </c>
      <c r="P1468" s="95">
        <f ca="1"/>
        <v>9.2579752489178845E-3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4.311657106219881E-3</v>
      </c>
      <c r="H1469" s="92" t="s">
        <v>4</v>
      </c>
      <c r="I1469" s="97">
        <f ca="1">_xll.meDateFromTenor(I1468,"1D","FOLLOWING","TGT")</f>
        <v>44593</v>
      </c>
      <c r="J1469" s="95">
        <f ca="1"/>
        <v>5.5457117143942313E-3</v>
      </c>
      <c r="K1469" s="5" t="s">
        <v>4</v>
      </c>
      <c r="L1469" s="97">
        <f ca="1">_xll.meDateFromTenor(L1468,"1D","FOLLOWING","TGT")</f>
        <v>44593</v>
      </c>
      <c r="M1469" s="95">
        <f ca="1"/>
        <v>7.3511199604571701E-3</v>
      </c>
      <c r="N1469" s="5" t="s">
        <v>4</v>
      </c>
      <c r="O1469" s="97">
        <f ca="1">_xll.meDateFromTenor(O1468,"1D","FOLLOWING","TGT")</f>
        <v>44593</v>
      </c>
      <c r="P1469" s="95">
        <f ca="1"/>
        <v>9.2652977066920005E-3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4.3199312636673093E-3</v>
      </c>
      <c r="H1470" s="92" t="s">
        <v>4</v>
      </c>
      <c r="I1470" s="97">
        <f ca="1">_xll.meDateFromTenor(I1469,"1D","FOLLOWING","TGT")</f>
        <v>44594</v>
      </c>
      <c r="J1470" s="95">
        <f ca="1"/>
        <v>5.5541836661426591E-3</v>
      </c>
      <c r="K1470" s="5" t="s">
        <v>4</v>
      </c>
      <c r="L1470" s="97">
        <f ca="1">_xll.meDateFromTenor(L1469,"1D","FOLLOWING","TGT")</f>
        <v>44594</v>
      </c>
      <c r="M1470" s="95">
        <f ca="1"/>
        <v>7.3594036063044758E-3</v>
      </c>
      <c r="N1470" s="5" t="s">
        <v>4</v>
      </c>
      <c r="O1470" s="97">
        <f ca="1">_xll.meDateFromTenor(O1469,"1D","FOLLOWING","TGT")</f>
        <v>44594</v>
      </c>
      <c r="P1470" s="95">
        <f ca="1"/>
        <v>9.2726194170507266E-3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4.3282844817538017E-3</v>
      </c>
      <c r="H1471" s="92" t="s">
        <v>4</v>
      </c>
      <c r="I1471" s="97">
        <f ca="1">_xll.meDateFromTenor(I1470,"1D","FOLLOWING","TGT")</f>
        <v>44595</v>
      </c>
      <c r="J1471" s="95">
        <f ca="1"/>
        <v>5.5626577148723926E-3</v>
      </c>
      <c r="K1471" s="5" t="s">
        <v>4</v>
      </c>
      <c r="L1471" s="97">
        <f ca="1">_xll.meDateFromTenor(L1470,"1D","FOLLOWING","TGT")</f>
        <v>44595</v>
      </c>
      <c r="M1471" s="95">
        <f ca="1"/>
        <v>7.3676888440891482E-3</v>
      </c>
      <c r="N1471" s="5" t="s">
        <v>4</v>
      </c>
      <c r="O1471" s="97">
        <f ca="1">_xll.meDateFromTenor(O1470,"1D","FOLLOWING","TGT")</f>
        <v>44595</v>
      </c>
      <c r="P1471" s="95">
        <f ca="1"/>
        <v>9.279940377044122E-3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4.3367117607146346E-3</v>
      </c>
      <c r="H1472" s="92" t="s">
        <v>4</v>
      </c>
      <c r="I1472" s="97">
        <f ca="1">_xll.meDateFromTenor(I1471,"1D","FOLLOWING","TGT")</f>
        <v>44596</v>
      </c>
      <c r="J1472" s="95">
        <f ca="1"/>
        <v>5.5711338010223481E-3</v>
      </c>
      <c r="K1472" s="5" t="s">
        <v>4</v>
      </c>
      <c r="L1472" s="97">
        <f ca="1">_xll.meDateFromTenor(L1471,"1D","FOLLOWING","TGT")</f>
        <v>44596</v>
      </c>
      <c r="M1472" s="95">
        <f ca="1"/>
        <v>7.3759756332921053E-3</v>
      </c>
      <c r="N1472" s="5" t="s">
        <v>4</v>
      </c>
      <c r="O1472" s="97">
        <f ca="1">_xll.meDateFromTenor(O1471,"1D","FOLLOWING","TGT")</f>
        <v>44596</v>
      </c>
      <c r="P1472" s="95">
        <f ca="1"/>
        <v>9.2872605837222393E-3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4.3623716849222798E-3</v>
      </c>
      <c r="H1473" s="92" t="s">
        <v>4</v>
      </c>
      <c r="I1473" s="97">
        <f ca="1">_xll.meDateFromTenor(I1472,"1D","FOLLOWING","TGT")</f>
        <v>44599</v>
      </c>
      <c r="J1473" s="95">
        <f ca="1"/>
        <v>5.5965736883827272E-3</v>
      </c>
      <c r="K1473" s="5" t="s">
        <v>4</v>
      </c>
      <c r="L1473" s="97">
        <f ca="1">_xll.meDateFromTenor(L1472,"1D","FOLLOWING","TGT")</f>
        <v>44599</v>
      </c>
      <c r="M1473" s="95">
        <f ca="1"/>
        <v>7.4008449042199135E-3</v>
      </c>
      <c r="N1473" s="5" t="s">
        <v>4</v>
      </c>
      <c r="O1473" s="97">
        <f ca="1">_xll.meDateFromTenor(O1472,"1D","FOLLOWING","TGT")</f>
        <v>44599</v>
      </c>
      <c r="P1473" s="95">
        <f ca="1"/>
        <v>9.3092166543654875E-3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4.3710289294595795E-3</v>
      </c>
      <c r="H1474" s="92" t="s">
        <v>4</v>
      </c>
      <c r="I1474" s="97">
        <f ca="1">_xll.meDateFromTenor(I1473,"1D","FOLLOWING","TGT")</f>
        <v>44600</v>
      </c>
      <c r="J1474" s="95">
        <f ca="1"/>
        <v>5.6050573286027536E-3</v>
      </c>
      <c r="K1474" s="5" t="s">
        <v>4</v>
      </c>
      <c r="L1474" s="97">
        <f ca="1">_xll.meDateFromTenor(L1473,"1D","FOLLOWING","TGT")</f>
        <v>44600</v>
      </c>
      <c r="M1474" s="95">
        <f ca="1"/>
        <v>7.409137493905235E-3</v>
      </c>
      <c r="N1474" s="5" t="s">
        <v>4</v>
      </c>
      <c r="O1474" s="97">
        <f ca="1">_xll.meDateFromTenor(O1473,"1D","FOLLOWING","TGT")</f>
        <v>44600</v>
      </c>
      <c r="P1474" s="95">
        <f ca="1"/>
        <v>9.3165338182830595E-3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4.3797270959107732E-3</v>
      </c>
      <c r="H1475" s="92" t="s">
        <v>4</v>
      </c>
      <c r="I1475" s="97">
        <f ca="1">_xll.meDateFromTenor(I1474,"1D","FOLLOWING","TGT")</f>
        <v>44601</v>
      </c>
      <c r="J1475" s="95">
        <f ca="1"/>
        <v>5.6135427084375925E-3</v>
      </c>
      <c r="K1475" s="5" t="s">
        <v>4</v>
      </c>
      <c r="L1475" s="97">
        <f ca="1">_xll.meDateFromTenor(L1474,"1D","FOLLOWING","TGT")</f>
        <v>44601</v>
      </c>
      <c r="M1475" s="95">
        <f ca="1"/>
        <v>7.41743143241345E-3</v>
      </c>
      <c r="N1475" s="5" t="s">
        <v>4</v>
      </c>
      <c r="O1475" s="97">
        <f ca="1">_xll.meDateFromTenor(O1474,"1D","FOLLOWING","TGT")</f>
        <v>44601</v>
      </c>
      <c r="P1475" s="95">
        <f ca="1"/>
        <v>9.3238502141356344E-3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4.3884595564837696E-3</v>
      </c>
      <c r="H1476" s="92" t="s">
        <v>4</v>
      </c>
      <c r="I1476" s="97">
        <f ca="1">_xll.meDateFromTenor(I1475,"1D","FOLLOWING","TGT")</f>
        <v>44602</v>
      </c>
      <c r="J1476" s="95">
        <f ca="1"/>
        <v>5.6220297683261629E-3</v>
      </c>
      <c r="K1476" s="5" t="s">
        <v>4</v>
      </c>
      <c r="L1476" s="97">
        <f ca="1">_xll.meDateFromTenor(L1475,"1D","FOLLOWING","TGT")</f>
        <v>44602</v>
      </c>
      <c r="M1476" s="95">
        <f ca="1"/>
        <v>7.4257266792254811E-3</v>
      </c>
      <c r="N1476" s="5" t="s">
        <v>4</v>
      </c>
      <c r="O1476" s="97">
        <f ca="1">_xll.meDateFromTenor(O1475,"1D","FOLLOWING","TGT")</f>
        <v>44602</v>
      </c>
      <c r="P1476" s="95">
        <f ca="1"/>
        <v>9.3311658389732717E-3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4.3972196833864784E-3</v>
      </c>
      <c r="H1477" s="92" t="s">
        <v>4</v>
      </c>
      <c r="I1477" s="97">
        <f ca="1">_xll.meDateFromTenor(I1476,"1D","FOLLOWING","TGT")</f>
        <v>44603</v>
      </c>
      <c r="J1477" s="95">
        <f ca="1"/>
        <v>5.630518448707383E-3</v>
      </c>
      <c r="K1477" s="5" t="s">
        <v>4</v>
      </c>
      <c r="L1477" s="97">
        <f ca="1">_xll.meDateFromTenor(L1476,"1D","FOLLOWING","TGT")</f>
        <v>44603</v>
      </c>
      <c r="M1477" s="95">
        <f ca="1"/>
        <v>7.4340231938222522E-3</v>
      </c>
      <c r="N1477" s="5" t="s">
        <v>4</v>
      </c>
      <c r="O1477" s="97">
        <f ca="1">_xll.meDateFromTenor(O1476,"1D","FOLLOWING","TGT")</f>
        <v>44603</v>
      </c>
      <c r="P1477" s="95">
        <f ca="1"/>
        <v>9.3384806898460238E-3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4.4235997841519893E-3</v>
      </c>
      <c r="H1478" s="92" t="s">
        <v>4</v>
      </c>
      <c r="I1478" s="97">
        <f ca="1">_xll.meDateFromTenor(I1477,"1D","FOLLOWING","TGT")</f>
        <v>44606</v>
      </c>
      <c r="J1478" s="95">
        <f ca="1"/>
        <v>5.655993617196116E-3</v>
      </c>
      <c r="K1478" s="5" t="s">
        <v>4</v>
      </c>
      <c r="L1478" s="97">
        <f ca="1">_xll.meDateFromTenor(L1477,"1D","FOLLOWING","TGT")</f>
        <v>44606</v>
      </c>
      <c r="M1478" s="95">
        <f ca="1"/>
        <v>7.4589199391302029E-3</v>
      </c>
      <c r="N1478" s="5" t="s">
        <v>4</v>
      </c>
      <c r="O1478" s="97">
        <f ca="1">_xll.meDateFromTenor(O1477,"1D","FOLLOWING","TGT")</f>
        <v>44606</v>
      </c>
      <c r="P1478" s="95">
        <f ca="1"/>
        <v>9.3604205691755395E-3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4.4324042984526532E-3</v>
      </c>
      <c r="H1479" s="92" t="s">
        <v>4</v>
      </c>
      <c r="I1479" s="97">
        <f ca="1">_xll.meDateFromTenor(I1478,"1D","FOLLOWING","TGT")</f>
        <v>44607</v>
      </c>
      <c r="J1479" s="95">
        <f ca="1"/>
        <v>5.66448818393711E-3</v>
      </c>
      <c r="K1479" s="5" t="s">
        <v>4</v>
      </c>
      <c r="L1479" s="97">
        <f ca="1">_xll.meDateFromTenor(L1478,"1D","FOLLOWING","TGT")</f>
        <v>44607</v>
      </c>
      <c r="M1479" s="95">
        <f ca="1"/>
        <v>7.4672211196751366E-3</v>
      </c>
      <c r="N1479" s="5" t="s">
        <v>4</v>
      </c>
      <c r="O1479" s="97">
        <f ca="1">_xll.meDateFromTenor(O1478,"1D","FOLLOWING","TGT")</f>
        <v>44607</v>
      </c>
      <c r="P1479" s="95">
        <f ca="1"/>
        <v>9.3677322946893165E-3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4.4412033401225832E-3</v>
      </c>
      <c r="H1480" s="92" t="s">
        <v>4</v>
      </c>
      <c r="I1480" s="97">
        <f ca="1">_xll.meDateFromTenor(I1479,"1D","FOLLOWING","TGT")</f>
        <v>44608</v>
      </c>
      <c r="J1480" s="95">
        <f ca="1"/>
        <v>5.6729840733653449E-3</v>
      </c>
      <c r="K1480" s="5" t="s">
        <v>4</v>
      </c>
      <c r="L1480" s="97">
        <f ca="1">_xll.meDateFromTenor(L1479,"1D","FOLLOWING","TGT")</f>
        <v>44608</v>
      </c>
      <c r="M1480" s="95">
        <f ca="1"/>
        <v>7.4755233654094193E-3</v>
      </c>
      <c r="N1480" s="5" t="s">
        <v>4</v>
      </c>
      <c r="O1480" s="97">
        <f ca="1">_xll.meDateFromTenor(O1479,"1D","FOLLOWING","TGT")</f>
        <v>44608</v>
      </c>
      <c r="P1480" s="95">
        <f ca="1"/>
        <v>9.3750432314884929E-3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4.4499902813696897E-3</v>
      </c>
      <c r="H1481" s="92" t="s">
        <v>4</v>
      </c>
      <c r="I1481" s="97">
        <f ca="1">_xll.meDateFromTenor(I1480,"1D","FOLLOWING","TGT")</f>
        <v>44609</v>
      </c>
      <c r="J1481" s="95">
        <f ca="1"/>
        <v>5.6814812259197399E-3</v>
      </c>
      <c r="K1481" s="5" t="s">
        <v>4</v>
      </c>
      <c r="L1481" s="97">
        <f ca="1">_xll.meDateFromTenor(L1480,"1D","FOLLOWING","TGT")</f>
        <v>44609</v>
      </c>
      <c r="M1481" s="95">
        <f ca="1"/>
        <v>7.4838266358139673E-3</v>
      </c>
      <c r="N1481" s="5" t="s">
        <v>4</v>
      </c>
      <c r="O1481" s="97">
        <f ca="1">_xll.meDateFromTenor(O1480,"1D","FOLLOWING","TGT")</f>
        <v>44609</v>
      </c>
      <c r="P1481" s="95">
        <f ca="1"/>
        <v>9.3823533766231211E-3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4.4587584944018824E-3</v>
      </c>
      <c r="H1482" s="92" t="s">
        <v>4</v>
      </c>
      <c r="I1482" s="97">
        <f ca="1">_xll.meDateFromTenor(I1481,"1D","FOLLOWING","TGT")</f>
        <v>44610</v>
      </c>
      <c r="J1482" s="95">
        <f ca="1"/>
        <v>5.689979582039208E-3</v>
      </c>
      <c r="K1482" s="5" t="s">
        <v>4</v>
      </c>
      <c r="L1482" s="97">
        <f ca="1">_xll.meDateFromTenor(L1481,"1D","FOLLOWING","TGT")</f>
        <v>44610</v>
      </c>
      <c r="M1482" s="95">
        <f ca="1"/>
        <v>7.4921308903697055E-3</v>
      </c>
      <c r="N1482" s="5" t="s">
        <v>4</v>
      </c>
      <c r="O1482" s="97">
        <f ca="1">_xll.meDateFromTenor(O1481,"1D","FOLLOWING","TGT")</f>
        <v>44610</v>
      </c>
      <c r="P1482" s="95">
        <f ca="1"/>
        <v>9.3896627271432605E-3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4.4848844862880755E-3</v>
      </c>
      <c r="H1483" s="92" t="s">
        <v>4</v>
      </c>
      <c r="I1483" s="97">
        <f ca="1">_xll.meDateFromTenor(I1482,"1D","FOLLOWING","TGT")</f>
        <v>44613</v>
      </c>
      <c r="J1483" s="95">
        <f ca="1"/>
        <v>5.7154812761772509E-3</v>
      </c>
      <c r="K1483" s="5" t="s">
        <v>4</v>
      </c>
      <c r="L1483" s="97">
        <f ca="1">_xll.meDateFromTenor(L1482,"1D","FOLLOWING","TGT")</f>
        <v>44613</v>
      </c>
      <c r="M1483" s="95">
        <f ca="1"/>
        <v>7.5170491537532675E-3</v>
      </c>
      <c r="N1483" s="5" t="s">
        <v>4</v>
      </c>
      <c r="O1483" s="97">
        <f ca="1">_xll.meDateFromTenor(O1482,"1D","FOLLOWING","TGT")</f>
        <v>44613</v>
      </c>
      <c r="P1483" s="95">
        <f ca="1"/>
        <v>9.4115859815172981E-3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4.4935115085397125E-3</v>
      </c>
      <c r="H1484" s="92" t="s">
        <v>4</v>
      </c>
      <c r="I1484" s="97">
        <f ca="1">_xll.meDateFromTenor(I1483,"1D","FOLLOWING","TGT")</f>
        <v>44614</v>
      </c>
      <c r="J1484" s="95">
        <f ca="1"/>
        <v>5.7239838509462035E-3</v>
      </c>
      <c r="K1484" s="5" t="s">
        <v>4</v>
      </c>
      <c r="L1484" s="97">
        <f ca="1">_xll.meDateFromTenor(L1483,"1D","FOLLOWING","TGT")</f>
        <v>44614</v>
      </c>
      <c r="M1484" s="95">
        <f ca="1"/>
        <v>7.5253569397229769E-3</v>
      </c>
      <c r="N1484" s="5" t="s">
        <v>4</v>
      </c>
      <c r="O1484" s="97">
        <f ca="1">_xll.meDateFromTenor(O1483,"1D","FOLLOWING","TGT")</f>
        <v>44614</v>
      </c>
      <c r="P1484" s="95">
        <f ca="1"/>
        <v>9.4188921240800378E-3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4.5020866636159874E-3</v>
      </c>
      <c r="H1485" s="92" t="s">
        <v>4</v>
      </c>
      <c r="I1485" s="97">
        <f ca="1">_xll.meDateFromTenor(I1484,"1D","FOLLOWING","TGT")</f>
        <v>44615</v>
      </c>
      <c r="J1485" s="95">
        <f ca="1"/>
        <v>5.7324873314748221E-3</v>
      </c>
      <c r="K1485" s="5" t="s">
        <v>4</v>
      </c>
      <c r="L1485" s="97">
        <f ca="1">_xll.meDateFromTenor(L1484,"1D","FOLLOWING","TGT")</f>
        <v>44615</v>
      </c>
      <c r="M1485" s="95">
        <f ca="1"/>
        <v>7.5336655072484812E-3</v>
      </c>
      <c r="N1485" s="5" t="s">
        <v>4</v>
      </c>
      <c r="O1485" s="97">
        <f ca="1">_xll.meDateFromTenor(O1484,"1D","FOLLOWING","TGT")</f>
        <v>44615</v>
      </c>
      <c r="P1485" s="95">
        <f ca="1"/>
        <v>9.4261974572785682E-3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4.5106033237248076E-3</v>
      </c>
      <c r="H1486" s="92" t="s">
        <v>4</v>
      </c>
      <c r="I1486" s="97">
        <f ca="1">_xll.meDateFromTenor(I1485,"1D","FOLLOWING","TGT")</f>
        <v>44616</v>
      </c>
      <c r="J1486" s="95">
        <f ca="1"/>
        <v>5.7409916582020215E-3</v>
      </c>
      <c r="K1486" s="5" t="s">
        <v>4</v>
      </c>
      <c r="L1486" s="97">
        <f ca="1">_xll.meDateFromTenor(L1485,"1D","FOLLOWING","TGT")</f>
        <v>44616</v>
      </c>
      <c r="M1486" s="95">
        <f ca="1"/>
        <v>7.5419748158107027E-3</v>
      </c>
      <c r="N1486" s="5" t="s">
        <v>4</v>
      </c>
      <c r="O1486" s="97">
        <f ca="1">_xll.meDateFromTenor(O1485,"1D","FOLLOWING","TGT")</f>
        <v>44616</v>
      </c>
      <c r="P1486" s="95">
        <f ca="1"/>
        <v>9.4335019781629417E-3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4.5190548610740894E-3</v>
      </c>
      <c r="H1487" s="92" t="s">
        <v>4</v>
      </c>
      <c r="I1487" s="97">
        <f ca="1">_xll.meDateFromTenor(I1486,"1D","FOLLOWING","TGT")</f>
        <v>44617</v>
      </c>
      <c r="J1487" s="95">
        <f ca="1"/>
        <v>5.7494967715667261E-3</v>
      </c>
      <c r="K1487" s="5" t="s">
        <v>4</v>
      </c>
      <c r="L1487" s="97">
        <f ca="1">_xll.meDateFromTenor(L1486,"1D","FOLLOWING","TGT")</f>
        <v>44617</v>
      </c>
      <c r="M1487" s="95">
        <f ca="1"/>
        <v>7.5502848248905656E-3</v>
      </c>
      <c r="N1487" s="5" t="s">
        <v>4</v>
      </c>
      <c r="O1487" s="97">
        <f ca="1">_xll.meDateFromTenor(O1486,"1D","FOLLOWING","TGT")</f>
        <v>44617</v>
      </c>
      <c r="P1487" s="95">
        <f ca="1"/>
        <v>9.4408056837832193E-3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4.5439524586437831E-3</v>
      </c>
      <c r="H1488" s="92" t="s">
        <v>4</v>
      </c>
      <c r="I1488" s="97">
        <f ca="1">_xll.meDateFromTenor(I1487,"1D","FOLLOWING","TGT")</f>
        <v>44620</v>
      </c>
      <c r="J1488" s="95">
        <f ca="1"/>
        <v>5.7750162358750348E-3</v>
      </c>
      <c r="K1488" s="5" t="s">
        <v>4</v>
      </c>
      <c r="L1488" s="97">
        <f ca="1">_xll.meDateFromTenor(L1487,"1D","FOLLOWING","TGT")</f>
        <v>44620</v>
      </c>
      <c r="M1488" s="95">
        <f ca="1"/>
        <v>7.5752186500452068E-3</v>
      </c>
      <c r="N1488" s="5" t="s">
        <v>4</v>
      </c>
      <c r="O1488" s="97">
        <f ca="1">_xll.meDateFromTenor(O1487,"1D","FOLLOWING","TGT")</f>
        <v>44620</v>
      </c>
      <c r="P1488" s="95">
        <f ca="1"/>
        <v>9.4627118795600346E-3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4.5520772270339991E-3</v>
      </c>
      <c r="H1489" s="92" t="s">
        <v>4</v>
      </c>
      <c r="I1489" s="97">
        <f ca="1">_xll.meDateFromTenor(I1488,"1D","FOLLOWING","TGT")</f>
        <v>44621</v>
      </c>
      <c r="J1489" s="95">
        <f ca="1"/>
        <v>5.7835239001789284E-3</v>
      </c>
      <c r="K1489" s="5" t="s">
        <v>4</v>
      </c>
      <c r="L1489" s="97">
        <f ca="1">_xll.meDateFromTenor(L1488,"1D","FOLLOWING","TGT")</f>
        <v>44621</v>
      </c>
      <c r="M1489" s="95">
        <f ca="1"/>
        <v>7.5835310560048441E-3</v>
      </c>
      <c r="N1489" s="5" t="s">
        <v>4</v>
      </c>
      <c r="O1489" s="97">
        <f ca="1">_xll.meDateFromTenor(O1488,"1D","FOLLOWING","TGT")</f>
        <v>44621</v>
      </c>
      <c r="P1489" s="95">
        <f ca="1"/>
        <v>9.4700122946244861E-3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4.5601037337042252E-3</v>
      </c>
      <c r="H1490" s="92" t="s">
        <v>4</v>
      </c>
      <c r="I1490" s="97">
        <f ca="1">_xll.meDateFromTenor(I1489,"1D","FOLLOWING","TGT")</f>
        <v>44622</v>
      </c>
      <c r="J1490" s="95">
        <f ca="1"/>
        <v>5.7920320533149149E-3</v>
      </c>
      <c r="K1490" s="5" t="s">
        <v>4</v>
      </c>
      <c r="L1490" s="97">
        <f ca="1">_xll.meDateFromTenor(L1489,"1D","FOLLOWING","TGT")</f>
        <v>44622</v>
      </c>
      <c r="M1490" s="95">
        <f ca="1"/>
        <v>7.5918439598867283E-3</v>
      </c>
      <c r="N1490" s="5" t="s">
        <v>4</v>
      </c>
      <c r="O1490" s="97">
        <f ca="1">_xll.meDateFromTenor(O1489,"1D","FOLLOWING","TGT")</f>
        <v>44622</v>
      </c>
      <c r="P1490" s="95">
        <f ca="1"/>
        <v>9.4773118796751231E-3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4.5680274232533929E-3</v>
      </c>
      <c r="H1491" s="92" t="s">
        <v>4</v>
      </c>
      <c r="I1491" s="97">
        <f ca="1">_xll.meDateFromTenor(I1490,"1D","FOLLOWING","TGT")</f>
        <v>44623</v>
      </c>
      <c r="J1491" s="95">
        <f ca="1"/>
        <v>5.800540642510706E-3</v>
      </c>
      <c r="K1491" s="5" t="s">
        <v>4</v>
      </c>
      <c r="L1491" s="97">
        <f ca="1">_xll.meDateFromTenor(L1490,"1D","FOLLOWING","TGT")</f>
        <v>44623</v>
      </c>
      <c r="M1491" s="95">
        <f ca="1"/>
        <v>7.600157321171779E-3</v>
      </c>
      <c r="N1491" s="5" t="s">
        <v>4</v>
      </c>
      <c r="O1491" s="97">
        <f ca="1">_xll.meDateFromTenor(O1490,"1D","FOLLOWING","TGT")</f>
        <v>44623</v>
      </c>
      <c r="P1491" s="95">
        <f ca="1"/>
        <v>9.4846106317619926E-3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4.5758520298445435E-3</v>
      </c>
      <c r="H1492" s="92" t="s">
        <v>4</v>
      </c>
      <c r="I1492" s="97">
        <f ca="1">_xll.meDateFromTenor(I1491,"1D","FOLLOWING","TGT")</f>
        <v>44624</v>
      </c>
      <c r="J1492" s="95">
        <f ca="1"/>
        <v>5.8090496421492142E-3</v>
      </c>
      <c r="K1492" s="5" t="s">
        <v>4</v>
      </c>
      <c r="L1492" s="97">
        <f ca="1">_xll.meDateFromTenor(L1491,"1D","FOLLOWING","TGT")</f>
        <v>44624</v>
      </c>
      <c r="M1492" s="95">
        <f ca="1"/>
        <v>7.6084710993409256E-3</v>
      </c>
      <c r="N1492" s="5" t="s">
        <v>4</v>
      </c>
      <c r="O1492" s="97">
        <f ca="1">_xll.meDateFromTenor(O1491,"1D","FOLLOWING","TGT")</f>
        <v>44624</v>
      </c>
      <c r="P1492" s="95">
        <f ca="1"/>
        <v>9.4919085479351663E-3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4.5987894174104168E-3</v>
      </c>
      <c r="H1493" s="92" t="s">
        <v>4</v>
      </c>
      <c r="I1493" s="97">
        <f ca="1">_xll.meDateFromTenor(I1492,"1D","FOLLOWING","TGT")</f>
        <v>44627</v>
      </c>
      <c r="J1493" s="95">
        <f ca="1"/>
        <v>5.834578915437991E-3</v>
      </c>
      <c r="K1493" s="5" t="s">
        <v>4</v>
      </c>
      <c r="L1493" s="97">
        <f ca="1">_xll.meDateFromTenor(L1492,"1D","FOLLOWING","TGT")</f>
        <v>44627</v>
      </c>
      <c r="M1493" s="95">
        <f ca="1"/>
        <v>7.6334145299621148E-3</v>
      </c>
      <c r="N1493" s="5" t="s">
        <v>4</v>
      </c>
      <c r="O1493" s="97">
        <f ca="1">_xll.meDateFromTenor(O1492,"1D","FOLLOWING","TGT")</f>
        <v>44627</v>
      </c>
      <c r="P1493" s="95">
        <f ca="1"/>
        <v>9.5137972514730135E-3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4.6062757577100431E-3</v>
      </c>
      <c r="H1494" s="92" t="s">
        <v>4</v>
      </c>
      <c r="I1494" s="97">
        <f ca="1">_xll.meDateFromTenor(I1493,"1D","FOLLOWING","TGT")</f>
        <v>44628</v>
      </c>
      <c r="J1494" s="95">
        <f ca="1"/>
        <v>5.8430893685643397E-3</v>
      </c>
      <c r="K1494" s="5" t="s">
        <v>4</v>
      </c>
      <c r="L1494" s="97">
        <f ca="1">_xll.meDateFromTenor(L1493,"1D","FOLLOWING","TGT")</f>
        <v>44628</v>
      </c>
      <c r="M1494" s="95">
        <f ca="1"/>
        <v>7.6417295704768375E-3</v>
      </c>
      <c r="N1494" s="5" t="s">
        <v>4</v>
      </c>
      <c r="O1494" s="97">
        <f ca="1">_xll.meDateFromTenor(O1493,"1D","FOLLOWING","TGT")</f>
        <v>44628</v>
      </c>
      <c r="P1494" s="95">
        <f ca="1"/>
        <v>9.5210917944919295E-3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4.613692047821933E-3</v>
      </c>
      <c r="H1495" s="92" t="s">
        <v>4</v>
      </c>
      <c r="I1495" s="97">
        <f ca="1">_xll.meDateFromTenor(I1494,"1D","FOLLOWING","TGT")</f>
        <v>44629</v>
      </c>
      <c r="J1495" s="95">
        <f ca="1"/>
        <v>5.8516001379918985E-3</v>
      </c>
      <c r="K1495" s="5" t="s">
        <v>4</v>
      </c>
      <c r="L1495" s="97">
        <f ca="1">_xll.meDateFromTenor(L1494,"1D","FOLLOWING","TGT")</f>
        <v>44629</v>
      </c>
      <c r="M1495" s="95">
        <f ca="1"/>
        <v>7.6500448252802573E-3</v>
      </c>
      <c r="N1495" s="5" t="s">
        <v>4</v>
      </c>
      <c r="O1495" s="97">
        <f ca="1">_xll.meDateFromTenor(O1494,"1D","FOLLOWING","TGT")</f>
        <v>44629</v>
      </c>
      <c r="P1495" s="95">
        <f ca="1"/>
        <v>9.5283854868474203E-3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4.6210440943001418E-3</v>
      </c>
      <c r="H1496" s="92" t="s">
        <v>4</v>
      </c>
      <c r="I1496" s="97">
        <f ca="1">_xll.meDateFromTenor(I1495,"1D","FOLLOWING","TGT")</f>
        <v>44630</v>
      </c>
      <c r="J1496" s="95">
        <f ca="1"/>
        <v>5.860111204892369E-3</v>
      </c>
      <c r="K1496" s="5" t="s">
        <v>4</v>
      </c>
      <c r="L1496" s="97">
        <f ca="1">_xll.meDateFromTenor(L1495,"1D","FOLLOWING","TGT")</f>
        <v>44630</v>
      </c>
      <c r="M1496" s="95">
        <f ca="1"/>
        <v>7.6583602538532972E-3</v>
      </c>
      <c r="N1496" s="5" t="s">
        <v>4</v>
      </c>
      <c r="O1496" s="97">
        <f ca="1">_xll.meDateFromTenor(O1495,"1D","FOLLOWING","TGT")</f>
        <v>44630</v>
      </c>
      <c r="P1496" s="95">
        <f ca="1"/>
        <v>9.5356783255895472E-3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4.6283377036987266E-3</v>
      </c>
      <c r="H1497" s="92" t="s">
        <v>4</v>
      </c>
      <c r="I1497" s="97">
        <f ca="1">_xll.meDateFromTenor(I1496,"1D","FOLLOWING","TGT")</f>
        <v>44631</v>
      </c>
      <c r="J1497" s="95">
        <f ca="1"/>
        <v>5.8686225504374495E-3</v>
      </c>
      <c r="K1497" s="5" t="s">
        <v>4</v>
      </c>
      <c r="L1497" s="97">
        <f ca="1">_xll.meDateFromTenor(L1496,"1D","FOLLOWING","TGT")</f>
        <v>44631</v>
      </c>
      <c r="M1497" s="95">
        <f ca="1"/>
        <v>7.6666758156768771E-3</v>
      </c>
      <c r="N1497" s="5" t="s">
        <v>4</v>
      </c>
      <c r="O1497" s="97">
        <f ca="1">_xll.meDateFromTenor(O1496,"1D","FOLLOWING","TGT")</f>
        <v>44631</v>
      </c>
      <c r="P1497" s="95">
        <f ca="1"/>
        <v>9.5429703077683625E-3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4.6499259749573129E-3</v>
      </c>
      <c r="H1498" s="92" t="s">
        <v>4</v>
      </c>
      <c r="I1498" s="97">
        <f ca="1">_xll.meDateFromTenor(I1497,"1D","FOLLOWING","TGT")</f>
        <v>44634</v>
      </c>
      <c r="J1498" s="95">
        <f ca="1"/>
        <v>5.8941580706573576E-3</v>
      </c>
      <c r="K1498" s="5" t="s">
        <v>4</v>
      </c>
      <c r="L1498" s="97">
        <f ca="1">_xll.meDateFromTenor(L1497,"1D","FOLLOWING","TGT")</f>
        <v>44634</v>
      </c>
      <c r="M1498" s="95">
        <f ca="1"/>
        <v>7.6916228954600849E-3</v>
      </c>
      <c r="N1498" s="5" t="s">
        <v>4</v>
      </c>
      <c r="O1498" s="97">
        <f ca="1">_xll.meDateFromTenor(O1497,"1D","FOLLOWING","TGT")</f>
        <v>44634</v>
      </c>
      <c r="P1498" s="95">
        <f ca="1"/>
        <v>9.5648410854254993E-3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4.6570439015779751E-3</v>
      </c>
      <c r="H1499" s="92" t="s">
        <v>4</v>
      </c>
      <c r="I1499" s="97">
        <f ca="1">_xll.meDateFromTenor(I1498,"1D","FOLLOWING","TGT")</f>
        <v>44635</v>
      </c>
      <c r="J1499" s="95">
        <f ca="1"/>
        <v>5.9026703424978847E-3</v>
      </c>
      <c r="K1499" s="5" t="s">
        <v>4</v>
      </c>
      <c r="L1499" s="97">
        <f ca="1">_xll.meDateFromTenor(L1498,"1D","FOLLOWING","TGT")</f>
        <v>44635</v>
      </c>
      <c r="M1499" s="95">
        <f ca="1"/>
        <v>7.6999385850950479E-3</v>
      </c>
      <c r="N1499" s="5" t="s">
        <v>4</v>
      </c>
      <c r="O1499" s="97">
        <f ca="1">_xll.meDateFromTenor(O1498,"1D","FOLLOWING","TGT")</f>
        <v>44635</v>
      </c>
      <c r="P1499" s="95">
        <f ca="1"/>
        <v>9.5721296118516305E-3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4.6641324238893E-3</v>
      </c>
      <c r="H1500" s="92" t="s">
        <v>4</v>
      </c>
      <c r="I1500" s="97">
        <f ca="1">_xll.meDateFromTenor(I1499,"1D","FOLLOWING","TGT")</f>
        <v>44636</v>
      </c>
      <c r="J1500" s="95">
        <f ca="1"/>
        <v>5.9111827988415216E-3</v>
      </c>
      <c r="K1500" s="5" t="s">
        <v>4</v>
      </c>
      <c r="L1500" s="97">
        <f ca="1">_xll.meDateFromTenor(L1499,"1D","FOLLOWING","TGT")</f>
        <v>44636</v>
      </c>
      <c r="M1500" s="95">
        <f ca="1"/>
        <v>7.7082542053851615E-3</v>
      </c>
      <c r="N1500" s="5" t="s">
        <v>4</v>
      </c>
      <c r="O1500" s="97">
        <f ca="1">_xll.meDateFromTenor(O1499,"1D","FOLLOWING","TGT")</f>
        <v>44636</v>
      </c>
      <c r="P1500" s="95">
        <f ca="1"/>
        <v>9.5794172669647331E-3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4.6711973484453448E-3</v>
      </c>
      <c r="H1501" s="92" t="s">
        <v>4</v>
      </c>
      <c r="I1501" s="97">
        <f ca="1">_xll.meDateFromTenor(I1500,"1D","FOLLOWING","TGT")</f>
        <v>44637</v>
      </c>
      <c r="J1501" s="95">
        <f ca="1"/>
        <v>5.919695420859971E-3</v>
      </c>
      <c r="K1501" s="5" t="s">
        <v>4</v>
      </c>
      <c r="L1501" s="97">
        <f ca="1">_xll.meDateFromTenor(L1500,"1D","FOLLOWING","TGT")</f>
        <v>44637</v>
      </c>
      <c r="M1501" s="95">
        <f ca="1"/>
        <v>7.7165697158113455E-3</v>
      </c>
      <c r="N1501" s="5" t="s">
        <v>4</v>
      </c>
      <c r="O1501" s="97">
        <f ca="1">_xll.meDateFromTenor(O1500,"1D","FOLLOWING","TGT")</f>
        <v>44637</v>
      </c>
      <c r="P1501" s="95">
        <f ca="1"/>
        <v>9.5867040478148612E-3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4.6782444818001664E-3</v>
      </c>
      <c r="H1502" s="92" t="s">
        <v>4</v>
      </c>
      <c r="I1502" s="97">
        <f ca="1">_xll.meDateFromTenor(I1501,"1D","FOLLOWING","TGT")</f>
        <v>44638</v>
      </c>
      <c r="J1502" s="95">
        <f ca="1"/>
        <v>5.9282081897249319E-3</v>
      </c>
      <c r="K1502" s="5" t="s">
        <v>4</v>
      </c>
      <c r="L1502" s="97">
        <f ca="1">_xll.meDateFromTenor(L1501,"1D","FOLLOWING","TGT")</f>
        <v>44638</v>
      </c>
      <c r="M1502" s="95">
        <f ca="1"/>
        <v>7.7248850758545205E-3</v>
      </c>
      <c r="N1502" s="5" t="s">
        <v>4</v>
      </c>
      <c r="O1502" s="97">
        <f ca="1">_xll.meDateFromTenor(O1501,"1D","FOLLOWING","TGT")</f>
        <v>44638</v>
      </c>
      <c r="P1502" s="95">
        <f ca="1"/>
        <v>9.5939899514520723E-3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4.6993372001978536E-3</v>
      </c>
      <c r="H1503" s="92" t="s">
        <v>4</v>
      </c>
      <c r="I1503" s="97">
        <f ca="1">_xll.meDateFromTenor(I1502,"1D","FOLLOWING","TGT")</f>
        <v>44641</v>
      </c>
      <c r="J1503" s="95">
        <f ca="1"/>
        <v>5.9537471891158798E-3</v>
      </c>
      <c r="K1503" s="5" t="s">
        <v>4</v>
      </c>
      <c r="L1503" s="97">
        <f ca="1">_xll.meDateFromTenor(L1502,"1D","FOLLOWING","TGT")</f>
        <v>44641</v>
      </c>
      <c r="M1503" s="95">
        <f ca="1"/>
        <v>7.7498298484952165E-3</v>
      </c>
      <c r="N1503" s="5" t="s">
        <v>4</v>
      </c>
      <c r="O1503" s="97">
        <f ca="1">_xll.meDateFromTenor(O1502,"1D","FOLLOWING","TGT")</f>
        <v>44641</v>
      </c>
      <c r="P1503" s="95">
        <f ca="1"/>
        <v>9.6158423695867565E-3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4.70637123428835E-3</v>
      </c>
      <c r="H1504" s="92" t="s">
        <v>4</v>
      </c>
      <c r="I1504" s="97">
        <f ca="1">_xll.meDateFromTenor(I1503,"1D","FOLLOWING","TGT")</f>
        <v>44642</v>
      </c>
      <c r="J1504" s="95">
        <f ca="1"/>
        <v>5.9622603570838872E-3</v>
      </c>
      <c r="K1504" s="5" t="s">
        <v>4</v>
      </c>
      <c r="L1504" s="97">
        <f ca="1">_xll.meDateFromTenor(L1503,"1D","FOLLOWING","TGT")</f>
        <v>44642</v>
      </c>
      <c r="M1504" s="95">
        <f ca="1"/>
        <v>7.7581442018155779E-3</v>
      </c>
      <c r="N1504" s="5" t="s">
        <v>4</v>
      </c>
      <c r="O1504" s="97">
        <f ca="1">_xll.meDateFromTenor(O1503,"1D","FOLLOWING","TGT")</f>
        <v>44642</v>
      </c>
      <c r="P1504" s="95">
        <f ca="1"/>
        <v>9.623124734872859E-3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4.7134165099479092E-3</v>
      </c>
      <c r="H1505" s="92" t="s">
        <v>4</v>
      </c>
      <c r="I1505" s="97">
        <f ca="1">_xll.meDateFromTenor(I1504,"1D","FOLLOWING","TGT")</f>
        <v>44643</v>
      </c>
      <c r="J1505" s="95">
        <f ca="1"/>
        <v>5.970773577756907E-3</v>
      </c>
      <c r="K1505" s="5" t="s">
        <v>4</v>
      </c>
      <c r="L1505" s="97">
        <f ca="1">_xll.meDateFromTenor(L1504,"1D","FOLLOWING","TGT")</f>
        <v>44643</v>
      </c>
      <c r="M1505" s="95">
        <f ca="1"/>
        <v>7.7664582021575394E-3</v>
      </c>
      <c r="N1505" s="5" t="s">
        <v>4</v>
      </c>
      <c r="O1505" s="97">
        <f ca="1">_xll.meDateFromTenor(O1504,"1D","FOLLOWING","TGT")</f>
        <v>44643</v>
      </c>
      <c r="P1505" s="95">
        <f ca="1"/>
        <v>9.6304062081963241E-3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4.7204788337305865E-3</v>
      </c>
      <c r="H1506" s="92" t="s">
        <v>4</v>
      </c>
      <c r="I1506" s="97">
        <f ca="1">_xll.meDateFromTenor(I1505,"1D","FOLLOWING","TGT")</f>
        <v>44644</v>
      </c>
      <c r="J1506" s="95">
        <f ca="1"/>
        <v>5.9792868323066371E-3</v>
      </c>
      <c r="K1506" s="5" t="s">
        <v>4</v>
      </c>
      <c r="L1506" s="97">
        <f ca="1">_xll.meDateFromTenor(L1505,"1D","FOLLOWING","TGT")</f>
        <v>44644</v>
      </c>
      <c r="M1506" s="95">
        <f ca="1"/>
        <v>7.7747718090020231E-3</v>
      </c>
      <c r="N1506" s="5" t="s">
        <v>4</v>
      </c>
      <c r="O1506" s="97">
        <f ca="1">_xll.meDateFromTenor(O1505,"1D","FOLLOWING","TGT")</f>
        <v>44644</v>
      </c>
      <c r="P1506" s="95">
        <f ca="1"/>
        <v>9.6376867866072077E-3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4.7275640121904388E-3</v>
      </c>
      <c r="H1507" s="92" t="s">
        <v>4</v>
      </c>
      <c r="I1507" s="97">
        <f ca="1">_xll.meDateFromTenor(I1506,"1D","FOLLOWING","TGT")</f>
        <v>44645</v>
      </c>
      <c r="J1507" s="95">
        <f ca="1"/>
        <v>5.9878001019047803E-3</v>
      </c>
      <c r="K1507" s="5" t="s">
        <v>4</v>
      </c>
      <c r="L1507" s="97">
        <f ca="1">_xll.meDateFromTenor(L1506,"1D","FOLLOWING","TGT")</f>
        <v>44645</v>
      </c>
      <c r="M1507" s="95">
        <f ca="1"/>
        <v>7.7830849818299489E-3</v>
      </c>
      <c r="N1507" s="5" t="s">
        <v>4</v>
      </c>
      <c r="O1507" s="97">
        <f ca="1">_xll.meDateFromTenor(O1506,"1D","FOLLOWING","TGT")</f>
        <v>44645</v>
      </c>
      <c r="P1507" s="95">
        <f ca="1"/>
        <v>9.6449664671555656E-3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4.7490147411736244E-3</v>
      </c>
      <c r="H1508" s="92" t="s">
        <v>4</v>
      </c>
      <c r="I1508" s="97">
        <f ca="1">_xll.meDateFromTenor(I1507,"1D","FOLLOWING","TGT")</f>
        <v>44648</v>
      </c>
      <c r="J1508" s="95">
        <f ca="1"/>
        <v>6.0133398127066792E-3</v>
      </c>
      <c r="K1508" s="5" t="s">
        <v>4</v>
      </c>
      <c r="L1508" s="97">
        <f ca="1">_xll.meDateFromTenor(L1507,"1D","FOLLOWING","TGT")</f>
        <v>44648</v>
      </c>
      <c r="M1508" s="95">
        <f ca="1"/>
        <v>7.8080214910236038E-3</v>
      </c>
      <c r="N1508" s="5" t="s">
        <v>4</v>
      </c>
      <c r="O1508" s="97">
        <f ca="1">_xll.meDateFromTenor(O1507,"1D","FOLLOWING","TGT")</f>
        <v>44648</v>
      </c>
      <c r="P1508" s="95">
        <f ca="1"/>
        <v>9.6668000921260582E-3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4.7562494038827516E-3</v>
      </c>
      <c r="H1509" s="92" t="s">
        <v>4</v>
      </c>
      <c r="I1509" s="97">
        <f ca="1">_xll.meDateFromTenor(I1508,"1D","FOLLOWING","TGT")</f>
        <v>44649</v>
      </c>
      <c r="J1509" s="95">
        <f ca="1"/>
        <v>6.0218529542154708E-3</v>
      </c>
      <c r="K1509" s="5" t="s">
        <v>4</v>
      </c>
      <c r="L1509" s="97">
        <f ca="1">_xll.meDateFromTenor(L1508,"1D","FOLLOWING","TGT")</f>
        <v>44649</v>
      </c>
      <c r="M1509" s="95">
        <f ca="1"/>
        <v>7.8163325225945185E-3</v>
      </c>
      <c r="N1509" s="5" t="s">
        <v>4</v>
      </c>
      <c r="O1509" s="97">
        <f ca="1">_xll.meDateFromTenor(O1508,"1D","FOLLOWING","TGT")</f>
        <v>44649</v>
      </c>
      <c r="P1509" s="95">
        <f ca="1"/>
        <v>9.6740761517248794E-3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4.7635359540393373E-3</v>
      </c>
      <c r="H1510" s="92" t="s">
        <v>4</v>
      </c>
      <c r="I1510" s="97">
        <f ca="1">_xll.meDateFromTenor(I1509,"1D","FOLLOWING","TGT")</f>
        <v>44650</v>
      </c>
      <c r="J1510" s="95">
        <f ca="1"/>
        <v>6.0303660166311709E-3</v>
      </c>
      <c r="K1510" s="5" t="s">
        <v>4</v>
      </c>
      <c r="L1510" s="97">
        <f ca="1">_xll.meDateFromTenor(L1509,"1D","FOLLOWING","TGT")</f>
        <v>44650</v>
      </c>
      <c r="M1510" s="95">
        <f ca="1"/>
        <v>7.8246429175534826E-3</v>
      </c>
      <c r="N1510" s="5" t="s">
        <v>4</v>
      </c>
      <c r="O1510" s="97">
        <f ca="1">_xll.meDateFromTenor(O1509,"1D","FOLLOWING","TGT")</f>
        <v>44650</v>
      </c>
      <c r="P1510" s="95">
        <f ca="1"/>
        <v>9.6813512987114561E-3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4.7708801981974445E-3</v>
      </c>
      <c r="H1511" s="92" t="s">
        <v>4</v>
      </c>
      <c r="I1511" s="97">
        <f ca="1">_xll.meDateFromTenor(I1510,"1D","FOLLOWING","TGT")</f>
        <v>44651</v>
      </c>
      <c r="J1511" s="95">
        <f ca="1"/>
        <v>6.0388789811254865E-3</v>
      </c>
      <c r="K1511" s="5" t="s">
        <v>4</v>
      </c>
      <c r="L1511" s="97">
        <f ca="1">_xll.meDateFromTenor(L1510,"1D","FOLLOWING","TGT")</f>
        <v>44651</v>
      </c>
      <c r="M1511" s="95">
        <f ca="1"/>
        <v>7.8329526353814235E-3</v>
      </c>
      <c r="N1511" s="5" t="s">
        <v>4</v>
      </c>
      <c r="O1511" s="97">
        <f ca="1">_xll.meDateFromTenor(O1510,"1D","FOLLOWING","TGT")</f>
        <v>44651</v>
      </c>
      <c r="P1511" s="95">
        <f ca="1"/>
        <v>9.6886255301358477E-3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4.7782879429111268E-3</v>
      </c>
      <c r="H1512" s="92" t="s">
        <v>4</v>
      </c>
      <c r="I1512" s="97">
        <f ca="1">_xll.meDateFromTenor(I1511,"1D","FOLLOWING","TGT")</f>
        <v>44652</v>
      </c>
      <c r="J1512" s="95">
        <f ca="1"/>
        <v>6.0473918288701141E-3</v>
      </c>
      <c r="K1512" s="5" t="s">
        <v>4</v>
      </c>
      <c r="L1512" s="97">
        <f ca="1">_xll.meDateFromTenor(L1511,"1D","FOLLOWING","TGT")</f>
        <v>44652</v>
      </c>
      <c r="M1512" s="95">
        <f ca="1"/>
        <v>7.8412616355592567E-3</v>
      </c>
      <c r="N1512" s="5" t="s">
        <v>4</v>
      </c>
      <c r="O1512" s="97">
        <f ca="1">_xll.meDateFromTenor(O1511,"1D","FOLLOWING","TGT")</f>
        <v>44652</v>
      </c>
      <c r="P1512" s="95">
        <f ca="1"/>
        <v>9.6958988430481084E-3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4.800950245926197E-3</v>
      </c>
      <c r="H1513" s="92" t="s">
        <v>4</v>
      </c>
      <c r="I1513" s="97">
        <f ca="1">_xll.meDateFromTenor(I1512,"1D","FOLLOWING","TGT")</f>
        <v>44655</v>
      </c>
      <c r="J1513" s="95">
        <f ca="1"/>
        <v>6.0729294833228708E-3</v>
      </c>
      <c r="K1513" s="5" t="s">
        <v>4</v>
      </c>
      <c r="L1513" s="97">
        <f ca="1">_xll.meDateFromTenor(L1512,"1D","FOLLOWING","TGT")</f>
        <v>44655</v>
      </c>
      <c r="M1513" s="95">
        <f ca="1"/>
        <v>7.86618392500134E-3</v>
      </c>
      <c r="N1513" s="5" t="s">
        <v>4</v>
      </c>
      <c r="O1513" s="97">
        <f ca="1">_xll.meDateFromTenor(O1512,"1D","FOLLOWING","TGT")</f>
        <v>44655</v>
      </c>
      <c r="P1513" s="95">
        <f ca="1"/>
        <v>9.7177132412126603E-3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4.8086684185986916E-3</v>
      </c>
      <c r="H1514" s="92" t="s">
        <v>4</v>
      </c>
      <c r="I1514" s="98">
        <f ca="1">_xll.meDateFromTenor(I1513,"1D","FOLLOWING","TGT")</f>
        <v>44656</v>
      </c>
      <c r="J1514" s="96">
        <f ca="1"/>
        <v>6.0814416757857476E-3</v>
      </c>
      <c r="K1514" s="5" t="s">
        <v>4</v>
      </c>
      <c r="L1514" s="98">
        <f ca="1">_xll.meDateFromTenor(L1513,"1D","FOLLOWING","TGT")</f>
        <v>44656</v>
      </c>
      <c r="M1514" s="96">
        <f ca="1"/>
        <v>7.8744896493879654E-3</v>
      </c>
      <c r="N1514" s="5" t="s">
        <v>4</v>
      </c>
      <c r="O1514" s="98">
        <f ca="1">_xll.meDateFromTenor(O1513,"1D","FOLLOWING","TGT")</f>
        <v>44656</v>
      </c>
      <c r="P1514" s="96">
        <f ca="1"/>
        <v>9.7249828505769562E-3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disablePrompts="1"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0.97129908273398891</v>
      </c>
      <c r="D5" s="345">
        <f>COB+3650</f>
        <v>46171</v>
      </c>
      <c r="E5" s="324"/>
      <c r="F5" s="131"/>
      <c r="G5" s="317"/>
      <c r="H5" s="129"/>
      <c r="I5" s="322">
        <f t="array" aca="1" ref="I5:I8" ca="1">IF(AND(NOW(),isEUROISLoaded),_xll.meCurveDiscountFactors(J5:J8,$J$23,$J$24),"Load Curve")</f>
        <v>1.0038838578207789</v>
      </c>
      <c r="J5" s="345">
        <f>COB+365</f>
        <v>42886</v>
      </c>
      <c r="K5" s="324"/>
      <c r="L5" s="131"/>
    </row>
    <row r="6" spans="2:12" s="125" customFormat="1" x14ac:dyDescent="0.25">
      <c r="B6" s="129"/>
      <c r="C6" s="322"/>
      <c r="D6" s="326"/>
      <c r="E6" s="327"/>
      <c r="F6" s="131"/>
      <c r="G6" s="317"/>
      <c r="H6" s="129"/>
      <c r="I6" s="322">
        <f ca="1"/>
        <v>1.0081767021970811</v>
      </c>
      <c r="J6" s="231">
        <f>J5+365</f>
        <v>43251</v>
      </c>
      <c r="K6" s="327"/>
      <c r="L6" s="131"/>
    </row>
    <row r="7" spans="2:12" s="125" customFormat="1" x14ac:dyDescent="0.25">
      <c r="B7" s="129"/>
      <c r="C7" s="322"/>
      <c r="D7" s="326"/>
      <c r="E7" s="327"/>
      <c r="F7" s="131"/>
      <c r="G7" s="317"/>
      <c r="H7" s="129"/>
      <c r="I7" s="322">
        <f ca="1"/>
        <v>1.0118120778958966</v>
      </c>
      <c r="J7" s="231">
        <f>J6+365</f>
        <v>43616</v>
      </c>
      <c r="K7" s="327"/>
      <c r="L7" s="131"/>
    </row>
    <row r="8" spans="2:12" s="125" customFormat="1" x14ac:dyDescent="0.25">
      <c r="B8" s="129"/>
      <c r="C8" s="325"/>
      <c r="D8" s="328"/>
      <c r="E8" s="329"/>
      <c r="F8" s="131"/>
      <c r="G8" s="317"/>
      <c r="H8" s="129"/>
      <c r="I8" s="325">
        <f ca="1"/>
        <v>1.0140461503757254</v>
      </c>
      <c r="J8" s="347">
        <f>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1.0017960164604376</v>
      </c>
      <c r="D18" s="323">
        <v>0.5</v>
      </c>
      <c r="E18" s="324"/>
      <c r="F18" s="131"/>
      <c r="G18" s="317"/>
      <c r="H18" s="129"/>
      <c r="I18" s="322">
        <f t="array" aca="1" ref="I18:I21" ca="1">IF(AND(NOW(),isEUROISLoaded),_xll.meCurveDiscountFactorsFromYearFractions(J18:J21,J25,$J$23,$J$24),"Load Curve")</f>
        <v>1.0017960164604376</v>
      </c>
      <c r="J18" s="323">
        <v>0.5</v>
      </c>
      <c r="K18" s="324"/>
      <c r="L18" s="131"/>
    </row>
    <row r="19" spans="2:12" x14ac:dyDescent="0.25">
      <c r="B19" s="129"/>
      <c r="C19" s="322"/>
      <c r="D19" s="326"/>
      <c r="E19" s="327"/>
      <c r="F19" s="131"/>
      <c r="G19" s="317"/>
      <c r="H19" s="129"/>
      <c r="I19" s="322">
        <f ca="1"/>
        <v>1.0059404291891363</v>
      </c>
      <c r="J19" s="326">
        <v>1.5</v>
      </c>
      <c r="K19" s="327"/>
      <c r="L19" s="131"/>
    </row>
    <row r="20" spans="2:12" x14ac:dyDescent="0.25">
      <c r="B20" s="129"/>
      <c r="C20" s="322"/>
      <c r="D20" s="326"/>
      <c r="E20" s="327"/>
      <c r="F20" s="131"/>
      <c r="G20" s="317"/>
      <c r="H20" s="129"/>
      <c r="I20" s="322">
        <f ca="1"/>
        <v>1.0080620925116324</v>
      </c>
      <c r="J20" s="326">
        <v>2</v>
      </c>
      <c r="K20" s="327"/>
      <c r="L20" s="131"/>
    </row>
    <row r="21" spans="2:12" x14ac:dyDescent="0.25">
      <c r="B21" s="129"/>
      <c r="C21" s="325"/>
      <c r="D21" s="328"/>
      <c r="E21" s="329"/>
      <c r="F21" s="131"/>
      <c r="G21" s="317"/>
      <c r="H21" s="129"/>
      <c r="I21" s="325">
        <f ca="1"/>
        <v>1.0099987468514346</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1.0038838578207789</v>
      </c>
      <c r="J33" s="326" t="s">
        <v>159</v>
      </c>
      <c r="K33" s="327"/>
      <c r="L33" s="131"/>
    </row>
    <row r="34" spans="2:12" x14ac:dyDescent="0.25">
      <c r="B34" s="129"/>
      <c r="C34" s="322"/>
      <c r="D34" s="326"/>
      <c r="E34" s="327"/>
      <c r="F34" s="131"/>
      <c r="G34" s="317"/>
      <c r="H34" s="129"/>
      <c r="I34" s="322">
        <f ca="1"/>
        <v>1.0060348403772459</v>
      </c>
      <c r="J34" s="326" t="s">
        <v>58</v>
      </c>
      <c r="K34" s="327"/>
      <c r="L34" s="131"/>
    </row>
    <row r="35" spans="2:12" x14ac:dyDescent="0.25">
      <c r="B35" s="129"/>
      <c r="C35" s="325"/>
      <c r="D35" s="328"/>
      <c r="E35" s="329"/>
      <c r="F35" s="131"/>
      <c r="G35" s="317"/>
      <c r="H35" s="129"/>
      <c r="I35" s="325">
        <f ca="1"/>
        <v>1.0081767021970811</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COB</f>
        <v>42521</v>
      </c>
      <c r="E47" s="346">
        <v>42601</v>
      </c>
      <c r="F47" s="131"/>
      <c r="G47" s="317"/>
      <c r="H47" s="129"/>
      <c r="I47" s="322">
        <f t="array" aca="1" ref="I47:I50" ca="1">IF(AND(NOW(),isEUROISLoaded),_xll.meCurveDiscountFactorsForwardStarting($J$47:$J$50,$K$47:$K$50,$J$37,$J$38),"Load Curve")</f>
        <v>1.0018279077407679</v>
      </c>
      <c r="J47" s="345">
        <f>COB</f>
        <v>42521</v>
      </c>
      <c r="K47" s="346">
        <f ca="1">IF(NOW(),_xll.meDateFromTenor(J47,J32))</f>
        <v>42704</v>
      </c>
      <c r="L47" s="131"/>
    </row>
    <row r="48" spans="2:12" x14ac:dyDescent="0.25">
      <c r="B48" s="129"/>
      <c r="C48" s="322"/>
      <c r="D48" s="231"/>
      <c r="E48" s="232"/>
      <c r="F48" s="131"/>
      <c r="G48" s="317"/>
      <c r="H48" s="129"/>
      <c r="I48" s="322">
        <f ca="1"/>
        <v>1.0038838578207789</v>
      </c>
      <c r="J48" s="231">
        <f>COB</f>
        <v>42521</v>
      </c>
      <c r="K48" s="232">
        <f ca="1">IF(NOW(),_xll.meDateFromTenor(J48,J33))</f>
        <v>42886</v>
      </c>
      <c r="L48" s="131"/>
    </row>
    <row r="49" spans="2:12" x14ac:dyDescent="0.25">
      <c r="B49" s="129"/>
      <c r="C49" s="322"/>
      <c r="D49" s="231"/>
      <c r="E49" s="232"/>
      <c r="F49" s="131"/>
      <c r="G49" s="317"/>
      <c r="H49" s="129"/>
      <c r="I49" s="322">
        <f ca="1"/>
        <v>1.0060348403772459</v>
      </c>
      <c r="J49" s="231">
        <f>COB</f>
        <v>42521</v>
      </c>
      <c r="K49" s="232">
        <f ca="1">IF(NOW(),_xll.meDateFromTenor(J49,J34))</f>
        <v>43069</v>
      </c>
      <c r="L49" s="131"/>
    </row>
    <row r="50" spans="2:12" x14ac:dyDescent="0.25">
      <c r="B50" s="129"/>
      <c r="C50" s="325"/>
      <c r="D50" s="347"/>
      <c r="E50" s="348"/>
      <c r="F50" s="131"/>
      <c r="G50" s="317"/>
      <c r="H50" s="129"/>
      <c r="I50" s="325">
        <f ca="1"/>
        <v>1.0081767021970811</v>
      </c>
      <c r="J50" s="347">
        <f>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1.0017960164604376</v>
      </c>
      <c r="D57" s="345">
        <f>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1.0013508703259766</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1:AH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7109375" style="125" customWidth="1"/>
    <col min="10" max="10" width="15.7109375" style="125" customWidth="1"/>
    <col min="11" max="11" width="4.7109375" style="125" customWidth="1"/>
    <col min="12" max="12" width="15.28515625" style="125" customWidth="1"/>
    <col min="13" max="14" width="12.7109375" style="125" customWidth="1"/>
    <col min="15" max="15" width="13.140625" style="125" customWidth="1"/>
    <col min="16" max="16" width="12.7109375" style="125" customWidth="1"/>
    <col min="17" max="17" width="13.42578125" style="125" customWidth="1"/>
    <col min="18" max="18" width="4.7109375" style="125" customWidth="1"/>
    <col min="19" max="19" width="38.5703125" style="125" customWidth="1"/>
    <col min="20" max="20" width="20.7109375" style="125" customWidth="1"/>
    <col min="21" max="21" width="9.28515625" style="125" customWidth="1"/>
    <col min="22" max="16384" width="9.140625" style="125"/>
  </cols>
  <sheetData>
    <row r="1" spans="1:20" x14ac:dyDescent="0.25">
      <c r="L1" s="280"/>
    </row>
    <row r="2" spans="1:20" ht="23.25" x14ac:dyDescent="0.35">
      <c r="B2" s="242" t="s">
        <v>426</v>
      </c>
      <c r="L2" s="378"/>
      <c r="M2" s="115"/>
      <c r="N2" s="370"/>
    </row>
    <row r="4" spans="1:20" x14ac:dyDescent="0.25">
      <c r="B4" s="357" t="s">
        <v>429</v>
      </c>
      <c r="E4" s="357" t="s">
        <v>427</v>
      </c>
      <c r="L4" s="357" t="s">
        <v>430</v>
      </c>
      <c r="S4" s="357" t="s">
        <v>432</v>
      </c>
    </row>
    <row r="5" spans="1:20"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400" t="str">
        <f ca="1"/>
        <v>AccrualDays</v>
      </c>
      <c r="I5" s="400" t="str">
        <f ca="1"/>
        <v>AccrualYearFractions</v>
      </c>
      <c r="J5" s="401" t="str">
        <f ca="1"/>
        <v>PaymentDate</v>
      </c>
      <c r="L5" s="379" t="s">
        <v>171</v>
      </c>
      <c r="M5" s="380" t="s">
        <v>216</v>
      </c>
      <c r="N5" s="381" t="s">
        <v>417</v>
      </c>
      <c r="O5" s="381" t="s">
        <v>416</v>
      </c>
      <c r="P5" s="382" t="s">
        <v>418</v>
      </c>
      <c r="Q5" s="408" t="s">
        <v>359</v>
      </c>
      <c r="S5" s="309" t="s">
        <v>171</v>
      </c>
      <c r="T5" s="310">
        <v>1000000</v>
      </c>
    </row>
    <row r="6" spans="1:20"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383">
        <f t="shared" ref="L6:L21" ca="1" si="0">IF(ISNA(E6),NA(),$T$5)</f>
        <v>1000000</v>
      </c>
      <c r="M6" s="384">
        <f t="shared" ref="M6:M21" ca="1" si="1">IF(ISNA(E6),NA(),$T$23)</f>
        <v>0.01</v>
      </c>
      <c r="N6" s="385">
        <f t="shared" ref="N6:N21" ca="1" si="2">IF(ISNA(E6),NA(),L6*M6*I6)</f>
        <v>10000</v>
      </c>
      <c r="O6" s="386">
        <f ca="1">IF(ISNA(E6),NA(),_xll.meCurveDiscountFactorsForwardStarting(COB,$J6,$T$9,$T$11))</f>
        <v>1.0039588731398261</v>
      </c>
      <c r="P6" s="385">
        <f t="shared" ref="P6:P21" ca="1" si="3">IF(ISNA(E6),NA(),N6*O6)</f>
        <v>10039.588731398262</v>
      </c>
      <c r="Q6" s="409" t="s">
        <v>359</v>
      </c>
      <c r="S6" s="245" t="s">
        <v>213</v>
      </c>
      <c r="T6" s="243" t="s">
        <v>209</v>
      </c>
    </row>
    <row r="7" spans="1:20" x14ac:dyDescent="0.25">
      <c r="B7" s="397" t="s">
        <v>444</v>
      </c>
      <c r="C7" s="359" t="s">
        <v>20</v>
      </c>
      <c r="D7" s="358">
        <v>2</v>
      </c>
      <c r="E7" s="402">
        <f ca="1"/>
        <v>42888</v>
      </c>
      <c r="F7" s="403">
        <f ca="1"/>
        <v>42888</v>
      </c>
      <c r="G7" s="403">
        <f ca="1"/>
        <v>43255</v>
      </c>
      <c r="H7" s="374">
        <f ca="1"/>
        <v>367</v>
      </c>
      <c r="I7" s="394">
        <f ca="1"/>
        <v>1.0055555555555555</v>
      </c>
      <c r="J7" s="404">
        <f ca="1"/>
        <v>43255</v>
      </c>
      <c r="L7" s="383">
        <f t="shared" ca="1" si="0"/>
        <v>1000000</v>
      </c>
      <c r="M7" s="384">
        <f t="shared" ca="1" si="1"/>
        <v>0.01</v>
      </c>
      <c r="N7" s="385">
        <f t="shared" ca="1" si="2"/>
        <v>10055.555555555555</v>
      </c>
      <c r="O7" s="386">
        <f ca="1">IF(ISNA(E7),NA(),_xll.meCurveDiscountFactorsForwardStarting(COB,$J7,$T$9,$T$11))</f>
        <v>1.0076913984231928</v>
      </c>
      <c r="P7" s="385">
        <f t="shared" ca="1" si="3"/>
        <v>10132.896839699883</v>
      </c>
      <c r="Q7" s="409" t="s">
        <v>359</v>
      </c>
      <c r="S7" s="245" t="s">
        <v>214</v>
      </c>
      <c r="T7" s="307">
        <v>42523</v>
      </c>
    </row>
    <row r="8" spans="1:20" x14ac:dyDescent="0.25">
      <c r="B8" s="397" t="s">
        <v>400</v>
      </c>
      <c r="C8" s="359" t="s">
        <v>26</v>
      </c>
      <c r="D8" s="358">
        <v>3</v>
      </c>
      <c r="E8" s="402" t="e">
        <f ca="1"/>
        <v>#N/A</v>
      </c>
      <c r="F8" s="403" t="e">
        <f ca="1"/>
        <v>#N/A</v>
      </c>
      <c r="G8" s="403" t="e">
        <f ca="1"/>
        <v>#N/A</v>
      </c>
      <c r="H8" s="374" t="e">
        <f ca="1"/>
        <v>#N/A</v>
      </c>
      <c r="I8" s="394" t="e">
        <f ca="1"/>
        <v>#N/A</v>
      </c>
      <c r="J8" s="404" t="e">
        <f ca="1"/>
        <v>#N/A</v>
      </c>
      <c r="L8" s="383" t="e">
        <f t="shared" ca="1" si="0"/>
        <v>#N/A</v>
      </c>
      <c r="M8" s="384" t="e">
        <f t="shared" ca="1" si="1"/>
        <v>#N/A</v>
      </c>
      <c r="N8" s="385" t="e">
        <f t="shared" ca="1" si="2"/>
        <v>#N/A</v>
      </c>
      <c r="O8" s="386" t="e">
        <f ca="1">IF(ISNA(E8),NA(),_xll.meCurveDiscountFactorsForwardStarting(COB,$I8,$T$9,$T$11))</f>
        <v>#N/A</v>
      </c>
      <c r="P8" s="385" t="e">
        <f t="shared" ca="1" si="3"/>
        <v>#N/A</v>
      </c>
      <c r="Q8" s="409" t="s">
        <v>359</v>
      </c>
      <c r="S8" s="245" t="s">
        <v>215</v>
      </c>
      <c r="T8" s="308" t="s">
        <v>47</v>
      </c>
    </row>
    <row r="9" spans="1:20" x14ac:dyDescent="0.25">
      <c r="B9" s="397" t="s">
        <v>401</v>
      </c>
      <c r="C9" s="360" t="s">
        <v>22</v>
      </c>
      <c r="D9" s="358">
        <v>4</v>
      </c>
      <c r="E9" s="402" t="e">
        <f ca="1"/>
        <v>#N/A</v>
      </c>
      <c r="F9" s="403" t="e">
        <f ca="1"/>
        <v>#N/A</v>
      </c>
      <c r="G9" s="403" t="e">
        <f ca="1"/>
        <v>#N/A</v>
      </c>
      <c r="H9" s="374" t="e">
        <f ca="1"/>
        <v>#N/A</v>
      </c>
      <c r="I9" s="394" t="e">
        <f ca="1"/>
        <v>#N/A</v>
      </c>
      <c r="J9" s="404" t="e">
        <f ca="1"/>
        <v>#N/A</v>
      </c>
      <c r="L9" s="383" t="e">
        <f t="shared" ca="1" si="0"/>
        <v>#N/A</v>
      </c>
      <c r="M9" s="384" t="e">
        <f t="shared" ca="1" si="1"/>
        <v>#N/A</v>
      </c>
      <c r="N9" s="385" t="e">
        <f t="shared" ca="1" si="2"/>
        <v>#N/A</v>
      </c>
      <c r="O9" s="386" t="e">
        <f ca="1">IF(ISNA(E9),NA(),_xll.meCurveDiscountFactorsForwardStarting(COB,$I9,$T$9,$T$11))</f>
        <v>#N/A</v>
      </c>
      <c r="P9" s="385" t="e">
        <f t="shared" ca="1" si="3"/>
        <v>#N/A</v>
      </c>
      <c r="Q9" s="409" t="s">
        <v>359</v>
      </c>
      <c r="S9" s="245" t="s">
        <v>80</v>
      </c>
      <c r="T9" s="308" t="s">
        <v>78</v>
      </c>
    </row>
    <row r="10" spans="1:20" x14ac:dyDescent="0.25">
      <c r="B10" s="397" t="s">
        <v>402</v>
      </c>
      <c r="C10" s="361" t="s">
        <v>2</v>
      </c>
      <c r="D10" s="358">
        <v>5</v>
      </c>
      <c r="E10" s="402" t="e">
        <f ca="1"/>
        <v>#N/A</v>
      </c>
      <c r="F10" s="403" t="e">
        <f ca="1"/>
        <v>#N/A</v>
      </c>
      <c r="G10" s="403" t="e">
        <f ca="1"/>
        <v>#N/A</v>
      </c>
      <c r="H10" s="374" t="e">
        <f ca="1"/>
        <v>#N/A</v>
      </c>
      <c r="I10" s="394" t="e">
        <f ca="1"/>
        <v>#N/A</v>
      </c>
      <c r="J10" s="404" t="e">
        <f ca="1"/>
        <v>#N/A</v>
      </c>
      <c r="L10" s="383" t="e">
        <f t="shared" ca="1" si="0"/>
        <v>#N/A</v>
      </c>
      <c r="M10" s="384" t="e">
        <f t="shared" ca="1" si="1"/>
        <v>#N/A</v>
      </c>
      <c r="N10" s="385" t="e">
        <f t="shared" ca="1" si="2"/>
        <v>#N/A</v>
      </c>
      <c r="O10" s="386" t="e">
        <f ca="1">IF(ISNA(E10),NA(),_xll.meCurveDiscountFactorsForwardStarting(COB,$I10,$T$9,$T$11))</f>
        <v>#N/A</v>
      </c>
      <c r="P10" s="385" t="e">
        <f t="shared" ca="1" si="3"/>
        <v>#N/A</v>
      </c>
      <c r="Q10" s="409" t="s">
        <v>359</v>
      </c>
      <c r="S10" s="245" t="s">
        <v>231</v>
      </c>
      <c r="T10" s="244" t="s">
        <v>170</v>
      </c>
    </row>
    <row r="11" spans="1:20" x14ac:dyDescent="0.25">
      <c r="B11" s="397" t="s">
        <v>403</v>
      </c>
      <c r="C11" s="359" t="s">
        <v>26</v>
      </c>
      <c r="D11" s="358">
        <v>6</v>
      </c>
      <c r="E11" s="402" t="e">
        <f ca="1"/>
        <v>#N/A</v>
      </c>
      <c r="F11" s="403" t="e">
        <f ca="1"/>
        <v>#N/A</v>
      </c>
      <c r="G11" s="403" t="e">
        <f ca="1"/>
        <v>#N/A</v>
      </c>
      <c r="H11" s="374" t="e">
        <f ca="1"/>
        <v>#N/A</v>
      </c>
      <c r="I11" s="394" t="e">
        <f ca="1"/>
        <v>#N/A</v>
      </c>
      <c r="J11" s="404" t="e">
        <f ca="1"/>
        <v>#N/A</v>
      </c>
      <c r="L11" s="383" t="e">
        <f t="shared" ca="1" si="0"/>
        <v>#N/A</v>
      </c>
      <c r="M11" s="384" t="e">
        <f t="shared" ca="1" si="1"/>
        <v>#N/A</v>
      </c>
      <c r="N11" s="385" t="e">
        <f t="shared" ca="1" si="2"/>
        <v>#N/A</v>
      </c>
      <c r="O11" s="386" t="e">
        <f ca="1">IF(ISNA(E11),NA(),_xll.meCurveDiscountFactorsForwardStarting(COB,$I11,$T$9,$T$11))</f>
        <v>#N/A</v>
      </c>
      <c r="P11" s="385" t="e">
        <f t="shared" ca="1" si="3"/>
        <v>#N/A</v>
      </c>
      <c r="Q11" s="409" t="s">
        <v>359</v>
      </c>
      <c r="S11" s="245" t="s">
        <v>232</v>
      </c>
      <c r="T11" s="311" t="s">
        <v>9</v>
      </c>
    </row>
    <row r="12" spans="1:20" x14ac:dyDescent="0.25">
      <c r="B12" s="397" t="s">
        <v>404</v>
      </c>
      <c r="C12" s="360" t="s">
        <v>22</v>
      </c>
      <c r="D12" s="358">
        <v>7</v>
      </c>
      <c r="E12" s="402" t="e">
        <f ca="1"/>
        <v>#N/A</v>
      </c>
      <c r="F12" s="403" t="e">
        <f ca="1"/>
        <v>#N/A</v>
      </c>
      <c r="G12" s="403" t="e">
        <f ca="1"/>
        <v>#N/A</v>
      </c>
      <c r="H12" s="374" t="e">
        <f ca="1"/>
        <v>#N/A</v>
      </c>
      <c r="I12" s="394" t="e">
        <f ca="1"/>
        <v>#N/A</v>
      </c>
      <c r="J12" s="404" t="e">
        <f ca="1"/>
        <v>#N/A</v>
      </c>
      <c r="L12" s="383" t="e">
        <f t="shared" ca="1" si="0"/>
        <v>#N/A</v>
      </c>
      <c r="M12" s="384" t="e">
        <f t="shared" ca="1" si="1"/>
        <v>#N/A</v>
      </c>
      <c r="N12" s="385" t="e">
        <f t="shared" ca="1" si="2"/>
        <v>#N/A</v>
      </c>
      <c r="O12" s="386" t="e">
        <f ca="1">IF(ISNA(E12),NA(),_xll.meCurveDiscountFactorsForwardStarting(COB,$I12,$T$9,$T$11))</f>
        <v>#N/A</v>
      </c>
      <c r="P12" s="385" t="e">
        <f t="shared" ca="1" si="3"/>
        <v>#N/A</v>
      </c>
      <c r="Q12" s="409" t="s">
        <v>359</v>
      </c>
      <c r="S12" s="245" t="s">
        <v>217</v>
      </c>
      <c r="T12" s="260" t="s">
        <v>26</v>
      </c>
    </row>
    <row r="13" spans="1:20" x14ac:dyDescent="0.25">
      <c r="B13" s="397" t="s">
        <v>405</v>
      </c>
      <c r="C13" s="286" t="s">
        <v>2</v>
      </c>
      <c r="D13" s="358">
        <v>8</v>
      </c>
      <c r="E13" s="402" t="e">
        <f ca="1"/>
        <v>#N/A</v>
      </c>
      <c r="F13" s="403" t="e">
        <f ca="1"/>
        <v>#N/A</v>
      </c>
      <c r="G13" s="403" t="e">
        <f ca="1"/>
        <v>#N/A</v>
      </c>
      <c r="H13" s="374" t="e">
        <f ca="1"/>
        <v>#N/A</v>
      </c>
      <c r="I13" s="394" t="e">
        <f ca="1"/>
        <v>#N/A</v>
      </c>
      <c r="J13" s="404" t="e">
        <f ca="1"/>
        <v>#N/A</v>
      </c>
      <c r="L13" s="383" t="e">
        <f t="shared" ca="1" si="0"/>
        <v>#N/A</v>
      </c>
      <c r="M13" s="384" t="e">
        <f t="shared" ca="1" si="1"/>
        <v>#N/A</v>
      </c>
      <c r="N13" s="385" t="e">
        <f t="shared" ca="1" si="2"/>
        <v>#N/A</v>
      </c>
      <c r="O13" s="386" t="e">
        <f ca="1">IF(ISNA(E13),NA(),_xll.meCurveDiscountFactorsForwardStarting(COB,$I13,$T$9,$T$11))</f>
        <v>#N/A</v>
      </c>
      <c r="P13" s="385" t="e">
        <f t="shared" ca="1" si="3"/>
        <v>#N/A</v>
      </c>
      <c r="Q13" s="409" t="s">
        <v>359</v>
      </c>
      <c r="S13" s="245" t="s">
        <v>218</v>
      </c>
      <c r="T13" s="259" t="s">
        <v>20</v>
      </c>
    </row>
    <row r="14" spans="1:20" x14ac:dyDescent="0.25">
      <c r="B14" s="397" t="s">
        <v>406</v>
      </c>
      <c r="C14" s="362" t="s">
        <v>172</v>
      </c>
      <c r="D14" s="358">
        <v>9</v>
      </c>
      <c r="E14" s="402" t="e">
        <f ca="1"/>
        <v>#N/A</v>
      </c>
      <c r="F14" s="403" t="e">
        <f ca="1"/>
        <v>#N/A</v>
      </c>
      <c r="G14" s="403" t="e">
        <f ca="1"/>
        <v>#N/A</v>
      </c>
      <c r="H14" s="374" t="e">
        <f ca="1"/>
        <v>#N/A</v>
      </c>
      <c r="I14" s="394" t="e">
        <f ca="1"/>
        <v>#N/A</v>
      </c>
      <c r="J14" s="404" t="e">
        <f ca="1"/>
        <v>#N/A</v>
      </c>
      <c r="L14" s="383" t="e">
        <f t="shared" ca="1" si="0"/>
        <v>#N/A</v>
      </c>
      <c r="M14" s="384" t="e">
        <f t="shared" ca="1" si="1"/>
        <v>#N/A</v>
      </c>
      <c r="N14" s="385" t="e">
        <f t="shared" ca="1" si="2"/>
        <v>#N/A</v>
      </c>
      <c r="O14" s="386" t="e">
        <f ca="1">IF(ISNA(E14),NA(),_xll.meCurveDiscountFactorsForwardStarting(COB,$I14,$T$9,$T$11))</f>
        <v>#N/A</v>
      </c>
      <c r="P14" s="385" t="e">
        <f t="shared" ca="1" si="3"/>
        <v>#N/A</v>
      </c>
      <c r="Q14" s="409" t="s">
        <v>359</v>
      </c>
      <c r="S14" s="245" t="s">
        <v>336</v>
      </c>
      <c r="T14" s="260" t="s">
        <v>22</v>
      </c>
    </row>
    <row r="15" spans="1:20" x14ac:dyDescent="0.25">
      <c r="B15" s="397" t="s">
        <v>407</v>
      </c>
      <c r="C15" s="363" t="s">
        <v>22</v>
      </c>
      <c r="D15" s="358">
        <v>10</v>
      </c>
      <c r="E15" s="402" t="e">
        <f ca="1"/>
        <v>#N/A</v>
      </c>
      <c r="F15" s="403" t="e">
        <f ca="1"/>
        <v>#N/A</v>
      </c>
      <c r="G15" s="403" t="e">
        <f ca="1"/>
        <v>#N/A</v>
      </c>
      <c r="H15" s="374" t="e">
        <f ca="1"/>
        <v>#N/A</v>
      </c>
      <c r="I15" s="394" t="e">
        <f ca="1"/>
        <v>#N/A</v>
      </c>
      <c r="J15" s="404" t="e">
        <f ca="1"/>
        <v>#N/A</v>
      </c>
      <c r="L15" s="383" t="e">
        <f t="shared" ca="1" si="0"/>
        <v>#N/A</v>
      </c>
      <c r="M15" s="384" t="e">
        <f t="shared" ca="1" si="1"/>
        <v>#N/A</v>
      </c>
      <c r="N15" s="385" t="e">
        <f t="shared" ca="1" si="2"/>
        <v>#N/A</v>
      </c>
      <c r="O15" s="386" t="e">
        <f ca="1">IF(ISNA(E15),NA(),_xll.meCurveDiscountFactorsForwardStarting(COB,$I15,$T$9,$T$11))</f>
        <v>#N/A</v>
      </c>
      <c r="P15" s="385" t="e">
        <f t="shared" ca="1" si="3"/>
        <v>#N/A</v>
      </c>
      <c r="Q15" s="409" t="s">
        <v>359</v>
      </c>
      <c r="S15" s="245" t="s">
        <v>338</v>
      </c>
      <c r="T15" s="260" t="s">
        <v>2</v>
      </c>
    </row>
    <row r="16" spans="1:20" x14ac:dyDescent="0.25">
      <c r="B16" s="397" t="s">
        <v>408</v>
      </c>
      <c r="C16" s="286" t="s">
        <v>2</v>
      </c>
      <c r="D16" s="358">
        <v>11</v>
      </c>
      <c r="E16" s="402" t="e">
        <f ca="1"/>
        <v>#N/A</v>
      </c>
      <c r="F16" s="403" t="e">
        <f ca="1"/>
        <v>#N/A</v>
      </c>
      <c r="G16" s="403" t="e">
        <f ca="1"/>
        <v>#N/A</v>
      </c>
      <c r="H16" s="374" t="e">
        <f ca="1"/>
        <v>#N/A</v>
      </c>
      <c r="I16" s="394" t="e">
        <f ca="1"/>
        <v>#N/A</v>
      </c>
      <c r="J16" s="404" t="e">
        <f ca="1"/>
        <v>#N/A</v>
      </c>
      <c r="L16" s="383" t="e">
        <f t="shared" ca="1" si="0"/>
        <v>#N/A</v>
      </c>
      <c r="M16" s="384" t="e">
        <f t="shared" ca="1" si="1"/>
        <v>#N/A</v>
      </c>
      <c r="N16" s="385" t="e">
        <f t="shared" ca="1" si="2"/>
        <v>#N/A</v>
      </c>
      <c r="O16" s="386" t="e">
        <f ca="1">IF(ISNA(E16),NA(),_xll.meCurveDiscountFactorsForwardStarting(COB,$I16,$T$9,$T$11))</f>
        <v>#N/A</v>
      </c>
      <c r="P16" s="385" t="e">
        <f t="shared" ca="1" si="3"/>
        <v>#N/A</v>
      </c>
      <c r="Q16" s="409" t="s">
        <v>359</v>
      </c>
      <c r="S16" s="245" t="s">
        <v>337</v>
      </c>
      <c r="T16" s="260" t="s">
        <v>22</v>
      </c>
    </row>
    <row r="17" spans="1:20" x14ac:dyDescent="0.25">
      <c r="B17" s="397" t="s">
        <v>409</v>
      </c>
      <c r="C17" s="364" t="s">
        <v>172</v>
      </c>
      <c r="D17" s="358">
        <v>12</v>
      </c>
      <c r="E17" s="402" t="e">
        <f ca="1"/>
        <v>#N/A</v>
      </c>
      <c r="F17" s="403" t="e">
        <f ca="1"/>
        <v>#N/A</v>
      </c>
      <c r="G17" s="403" t="e">
        <f ca="1"/>
        <v>#N/A</v>
      </c>
      <c r="H17" s="374" t="e">
        <f ca="1"/>
        <v>#N/A</v>
      </c>
      <c r="I17" s="394" t="e">
        <f ca="1"/>
        <v>#N/A</v>
      </c>
      <c r="J17" s="404" t="e">
        <f ca="1"/>
        <v>#N/A</v>
      </c>
      <c r="L17" s="383" t="e">
        <f t="shared" ca="1" si="0"/>
        <v>#N/A</v>
      </c>
      <c r="M17" s="384" t="e">
        <f t="shared" ca="1" si="1"/>
        <v>#N/A</v>
      </c>
      <c r="N17" s="385" t="e">
        <f t="shared" ca="1" si="2"/>
        <v>#N/A</v>
      </c>
      <c r="O17" s="386" t="e">
        <f ca="1">IF(ISNA(E17),NA(),_xll.meCurveDiscountFactorsForwardStarting(COB,$I17,$T$9,$T$11))</f>
        <v>#N/A</v>
      </c>
      <c r="P17" s="385" t="e">
        <f t="shared" ca="1" si="3"/>
        <v>#N/A</v>
      </c>
      <c r="Q17" s="409" t="s">
        <v>359</v>
      </c>
      <c r="S17" s="245" t="s">
        <v>339</v>
      </c>
      <c r="T17" s="260" t="s">
        <v>2</v>
      </c>
    </row>
    <row r="18" spans="1:20" x14ac:dyDescent="0.25">
      <c r="B18" s="397" t="s">
        <v>410</v>
      </c>
      <c r="C18" s="365" t="s">
        <v>411</v>
      </c>
      <c r="D18" s="358">
        <v>13</v>
      </c>
      <c r="E18" s="402" t="e">
        <f ca="1"/>
        <v>#N/A</v>
      </c>
      <c r="F18" s="403" t="e">
        <f ca="1"/>
        <v>#N/A</v>
      </c>
      <c r="G18" s="403" t="e">
        <f ca="1"/>
        <v>#N/A</v>
      </c>
      <c r="H18" s="374" t="e">
        <f ca="1"/>
        <v>#N/A</v>
      </c>
      <c r="I18" s="394" t="e">
        <f ca="1"/>
        <v>#N/A</v>
      </c>
      <c r="J18" s="404" t="e">
        <f ca="1"/>
        <v>#N/A</v>
      </c>
      <c r="L18" s="383" t="e">
        <f t="shared" ca="1" si="0"/>
        <v>#N/A</v>
      </c>
      <c r="M18" s="384" t="e">
        <f t="shared" ca="1" si="1"/>
        <v>#N/A</v>
      </c>
      <c r="N18" s="385" t="e">
        <f t="shared" ca="1" si="2"/>
        <v>#N/A</v>
      </c>
      <c r="O18" s="386" t="e">
        <f ca="1">IF(ISNA(E18),NA(),_xll.meCurveDiscountFactorsForwardStarting(COB,$I18,$T$9,$T$11))</f>
        <v>#N/A</v>
      </c>
      <c r="P18" s="385" t="e">
        <f t="shared" ca="1" si="3"/>
        <v>#N/A</v>
      </c>
      <c r="Q18" s="409" t="s">
        <v>359</v>
      </c>
      <c r="S18" s="245" t="s">
        <v>239</v>
      </c>
      <c r="T18" s="261"/>
    </row>
    <row r="19" spans="1:20" x14ac:dyDescent="0.25">
      <c r="B19" s="397" t="s">
        <v>412</v>
      </c>
      <c r="C19" s="366"/>
      <c r="D19" s="358">
        <v>14</v>
      </c>
      <c r="E19" s="402" t="e">
        <f ca="1"/>
        <v>#N/A</v>
      </c>
      <c r="F19" s="403" t="e">
        <f ca="1"/>
        <v>#N/A</v>
      </c>
      <c r="G19" s="403" t="e">
        <f ca="1"/>
        <v>#N/A</v>
      </c>
      <c r="H19" s="374" t="e">
        <f ca="1"/>
        <v>#N/A</v>
      </c>
      <c r="I19" s="394" t="e">
        <f ca="1"/>
        <v>#N/A</v>
      </c>
      <c r="J19" s="404" t="e">
        <f ca="1"/>
        <v>#N/A</v>
      </c>
      <c r="L19" s="383" t="e">
        <f t="shared" ca="1" si="0"/>
        <v>#N/A</v>
      </c>
      <c r="M19" s="384" t="e">
        <f t="shared" ca="1" si="1"/>
        <v>#N/A</v>
      </c>
      <c r="N19" s="385" t="e">
        <f t="shared" ca="1" si="2"/>
        <v>#N/A</v>
      </c>
      <c r="O19" s="386" t="e">
        <f ca="1">IF(ISNA(E19),NA(),_xll.meCurveDiscountFactorsForwardStarting(COB,$I19,$T$9,$T$11))</f>
        <v>#N/A</v>
      </c>
      <c r="P19" s="385" t="e">
        <f t="shared" ca="1" si="3"/>
        <v>#N/A</v>
      </c>
      <c r="Q19" s="409" t="s">
        <v>359</v>
      </c>
      <c r="S19" s="245" t="s">
        <v>240</v>
      </c>
      <c r="T19" s="261"/>
    </row>
    <row r="20" spans="1:20" x14ac:dyDescent="0.25">
      <c r="B20" s="397" t="s">
        <v>413</v>
      </c>
      <c r="C20" s="366"/>
      <c r="D20" s="358">
        <v>15</v>
      </c>
      <c r="E20" s="402" t="e">
        <f ca="1"/>
        <v>#N/A</v>
      </c>
      <c r="F20" s="403" t="e">
        <f ca="1"/>
        <v>#N/A</v>
      </c>
      <c r="G20" s="403" t="e">
        <f ca="1"/>
        <v>#N/A</v>
      </c>
      <c r="H20" s="374" t="e">
        <f ca="1"/>
        <v>#N/A</v>
      </c>
      <c r="I20" s="394" t="e">
        <f ca="1"/>
        <v>#N/A</v>
      </c>
      <c r="J20" s="404" t="e">
        <f ca="1"/>
        <v>#N/A</v>
      </c>
      <c r="L20" s="383" t="e">
        <f t="shared" ca="1" si="0"/>
        <v>#N/A</v>
      </c>
      <c r="M20" s="384" t="e">
        <f t="shared" ca="1" si="1"/>
        <v>#N/A</v>
      </c>
      <c r="N20" s="385" t="e">
        <f t="shared" ca="1" si="2"/>
        <v>#N/A</v>
      </c>
      <c r="O20" s="386" t="e">
        <f ca="1">IF(ISNA(E20),NA(),_xll.meCurveDiscountFactorsForwardStarting(COB,$I20,$T$9,$T$11))</f>
        <v>#N/A</v>
      </c>
      <c r="P20" s="385" t="e">
        <f t="shared" ca="1" si="3"/>
        <v>#N/A</v>
      </c>
      <c r="Q20" s="409" t="s">
        <v>359</v>
      </c>
      <c r="S20" s="245" t="s">
        <v>219</v>
      </c>
      <c r="T20" s="260" t="s">
        <v>364</v>
      </c>
    </row>
    <row r="21" spans="1:20" x14ac:dyDescent="0.25">
      <c r="B21" s="398" t="s">
        <v>414</v>
      </c>
      <c r="C21" s="367"/>
      <c r="D21" s="358">
        <v>18</v>
      </c>
      <c r="E21" s="405" t="e">
        <f ca="1"/>
        <v>#N/A</v>
      </c>
      <c r="F21" s="406" t="e">
        <f ca="1"/>
        <v>#N/A</v>
      </c>
      <c r="G21" s="406" t="e">
        <f ca="1"/>
        <v>#N/A</v>
      </c>
      <c r="H21" s="435" t="e">
        <f ca="1"/>
        <v>#N/A</v>
      </c>
      <c r="I21" s="395" t="e">
        <f ca="1"/>
        <v>#N/A</v>
      </c>
      <c r="J21" s="407" t="e">
        <f ca="1"/>
        <v>#N/A</v>
      </c>
      <c r="L21" s="387" t="e">
        <f t="shared" ca="1" si="0"/>
        <v>#N/A</v>
      </c>
      <c r="M21" s="388" t="e">
        <f t="shared" ca="1" si="1"/>
        <v>#N/A</v>
      </c>
      <c r="N21" s="389" t="e">
        <f t="shared" ca="1" si="2"/>
        <v>#N/A</v>
      </c>
      <c r="O21" s="390" t="e">
        <f ca="1">IF(ISNA(E21),NA(),_xll.meCurveDiscountFactorsForwardStarting(COB,$I21,$T$9,$T$11))</f>
        <v>#N/A</v>
      </c>
      <c r="P21" s="389" t="e">
        <f t="shared" ca="1" si="3"/>
        <v>#N/A</v>
      </c>
      <c r="Q21" s="410" t="s">
        <v>359</v>
      </c>
      <c r="S21" s="245" t="s">
        <v>220</v>
      </c>
      <c r="T21" s="259" t="s">
        <v>172</v>
      </c>
    </row>
    <row r="22" spans="1:20" x14ac:dyDescent="0.25">
      <c r="H22" s="436"/>
      <c r="I22" s="437"/>
      <c r="M22" s="264"/>
      <c r="S22" s="245" t="s">
        <v>221</v>
      </c>
      <c r="T22" s="259" t="s">
        <v>173</v>
      </c>
    </row>
    <row r="23" spans="1:20" x14ac:dyDescent="0.25">
      <c r="B23" s="357" t="s">
        <v>428</v>
      </c>
      <c r="E23" s="357" t="s">
        <v>415</v>
      </c>
      <c r="H23" s="436"/>
      <c r="I23" s="437"/>
      <c r="L23" s="357" t="s">
        <v>431</v>
      </c>
      <c r="M23" s="264"/>
      <c r="S23" s="245" t="s">
        <v>216</v>
      </c>
      <c r="T23" s="303">
        <v>0.01</v>
      </c>
    </row>
    <row r="24" spans="1:20"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38" t="str">
        <f ca="1"/>
        <v>AccrualYearFractions</v>
      </c>
      <c r="J24" s="401" t="str">
        <f ca="1"/>
        <v>PaymentDate</v>
      </c>
      <c r="L24" s="379" t="s">
        <v>171</v>
      </c>
      <c r="M24" s="380" t="s">
        <v>419</v>
      </c>
      <c r="N24" s="381" t="s">
        <v>420</v>
      </c>
      <c r="O24" s="381" t="s">
        <v>417</v>
      </c>
      <c r="P24" s="381" t="s">
        <v>416</v>
      </c>
      <c r="Q24" s="391" t="s">
        <v>418</v>
      </c>
      <c r="S24" s="245" t="s">
        <v>222</v>
      </c>
      <c r="T24" s="262" t="s">
        <v>28</v>
      </c>
    </row>
    <row r="25" spans="1:20"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383">
        <f t="shared" ref="L25:L40" ca="1" si="4">IF(ISNA(E25),NA(),$T$5)</f>
        <v>1000000</v>
      </c>
      <c r="M25" s="384">
        <f t="array" aca="1" ref="M25:M34" ca="1">_xll.meCurveForwardRates($E$25:$E$32,$T$9,$T$10)</f>
        <v>-2.6099999999998199E-3</v>
      </c>
      <c r="N25" s="385">
        <f t="shared" ref="N25:N40" ca="1" si="5">IF(ISNA(E25),NA(),$T$40)</f>
        <v>0</v>
      </c>
      <c r="O25" s="385">
        <f t="shared" ref="O25:O40" ca="1" si="6">IF(ISNA(E25),NA(),L25*(M25+(N25/10000))*I25)</f>
        <v>-666.99999999995396</v>
      </c>
      <c r="P25" s="386">
        <f t="array" aca="1" ref="P25:P32" ca="1">IF(ISNA(E25),NA(),_xll.meCurveDiscountFactors($J$25:$J$32,$T$9,$T$11))</f>
        <v>1.0018773328084087</v>
      </c>
      <c r="Q25" s="392">
        <f ca="1">IF(ISNA(E25),NA(),O25*P25)</f>
        <v>-668.25218098316248</v>
      </c>
      <c r="S25" s="245" t="s">
        <v>223</v>
      </c>
      <c r="T25" s="259" t="s">
        <v>6</v>
      </c>
    </row>
    <row r="26" spans="1:20" x14ac:dyDescent="0.25">
      <c r="B26" s="397" t="s">
        <v>444</v>
      </c>
      <c r="C26" s="359" t="s">
        <v>6</v>
      </c>
      <c r="D26" s="358">
        <v>2</v>
      </c>
      <c r="E26" s="402">
        <f ca="1"/>
        <v>42615</v>
      </c>
      <c r="F26" s="403">
        <f ca="1"/>
        <v>42615</v>
      </c>
      <c r="G26" s="403">
        <f ca="1"/>
        <v>42706</v>
      </c>
      <c r="H26" s="374">
        <f ca="1"/>
        <v>91</v>
      </c>
      <c r="I26" s="394">
        <f ca="1"/>
        <v>0.25277777777777777</v>
      </c>
      <c r="J26" s="404">
        <f ca="1"/>
        <v>42706</v>
      </c>
      <c r="L26" s="383">
        <f t="shared" ca="1" si="4"/>
        <v>1000000</v>
      </c>
      <c r="M26" s="384">
        <f ca="1"/>
        <v>-2.76663317143224E-3</v>
      </c>
      <c r="N26" s="385">
        <f t="shared" ca="1" si="5"/>
        <v>0</v>
      </c>
      <c r="O26" s="385">
        <f t="shared" ca="1" si="6"/>
        <v>-699.34338500092736</v>
      </c>
      <c r="P26" s="386">
        <f ca="1"/>
        <v>1.0028411662925734</v>
      </c>
      <c r="Q26" s="392">
        <f t="shared" ref="Q26:Q40" ca="1" si="7">IF(ISNA(E26),NA(),O26*P26)</f>
        <v>-701.33033585332612</v>
      </c>
      <c r="S26" s="245" t="s">
        <v>344</v>
      </c>
      <c r="T26" s="260" t="s">
        <v>22</v>
      </c>
    </row>
    <row r="27" spans="1:20" x14ac:dyDescent="0.25">
      <c r="B27" s="397" t="s">
        <v>400</v>
      </c>
      <c r="C27" s="425" t="s">
        <v>28</v>
      </c>
      <c r="D27" s="358">
        <v>3</v>
      </c>
      <c r="E27" s="402">
        <f ca="1"/>
        <v>42706</v>
      </c>
      <c r="F27" s="403">
        <f ca="1"/>
        <v>42706</v>
      </c>
      <c r="G27" s="403">
        <f ca="1"/>
        <v>42796</v>
      </c>
      <c r="H27" s="374">
        <f ca="1"/>
        <v>90</v>
      </c>
      <c r="I27" s="394">
        <f ca="1"/>
        <v>0.25</v>
      </c>
      <c r="J27" s="404">
        <f ca="1"/>
        <v>42796</v>
      </c>
      <c r="L27" s="383">
        <f t="shared" ca="1" si="4"/>
        <v>1000000</v>
      </c>
      <c r="M27" s="384">
        <f ca="1"/>
        <v>-2.9308595582733261E-3</v>
      </c>
      <c r="N27" s="385">
        <f t="shared" ca="1" si="5"/>
        <v>0</v>
      </c>
      <c r="O27" s="385">
        <f t="shared" ca="1" si="6"/>
        <v>-732.7148895683315</v>
      </c>
      <c r="P27" s="386">
        <f ca="1"/>
        <v>1.0038732435408191</v>
      </c>
      <c r="Q27" s="392">
        <f t="shared" ca="1" si="7"/>
        <v>-735.55287278161404</v>
      </c>
      <c r="S27" s="245" t="s">
        <v>345</v>
      </c>
      <c r="T27" s="260" t="s">
        <v>2</v>
      </c>
    </row>
    <row r="28" spans="1:20" x14ac:dyDescent="0.25">
      <c r="B28" s="397" t="s">
        <v>401</v>
      </c>
      <c r="C28" s="426" t="s">
        <v>22</v>
      </c>
      <c r="D28" s="358">
        <v>4</v>
      </c>
      <c r="E28" s="402">
        <f ca="1"/>
        <v>42796</v>
      </c>
      <c r="F28" s="403">
        <f ca="1"/>
        <v>42796</v>
      </c>
      <c r="G28" s="403">
        <f ca="1"/>
        <v>42888</v>
      </c>
      <c r="H28" s="374">
        <f ca="1"/>
        <v>92</v>
      </c>
      <c r="I28" s="394">
        <f ca="1"/>
        <v>0.25555555555555554</v>
      </c>
      <c r="J28" s="404">
        <f ca="1"/>
        <v>42888</v>
      </c>
      <c r="L28" s="383">
        <f t="shared" ca="1" si="4"/>
        <v>1000000</v>
      </c>
      <c r="M28" s="384">
        <f ca="1"/>
        <v>-2.9349026536801379E-3</v>
      </c>
      <c r="N28" s="385">
        <f t="shared" ca="1" si="5"/>
        <v>0</v>
      </c>
      <c r="O28" s="385">
        <f t="shared" ca="1" si="6"/>
        <v>-750.03067816270186</v>
      </c>
      <c r="P28" s="386">
        <f ca="1"/>
        <v>1.0049129287255332</v>
      </c>
      <c r="Q28" s="392">
        <f t="shared" ca="1" si="7"/>
        <v>-753.71552542647851</v>
      </c>
      <c r="S28" s="245" t="s">
        <v>340</v>
      </c>
      <c r="T28" s="260" t="s">
        <v>22</v>
      </c>
    </row>
    <row r="29" spans="1:20" x14ac:dyDescent="0.25">
      <c r="B29" s="397" t="s">
        <v>402</v>
      </c>
      <c r="C29" s="427" t="s">
        <v>2</v>
      </c>
      <c r="D29" s="358">
        <v>5</v>
      </c>
      <c r="E29" s="402">
        <f ca="1"/>
        <v>42888</v>
      </c>
      <c r="F29" s="403">
        <f ca="1"/>
        <v>42888</v>
      </c>
      <c r="G29" s="403">
        <f ca="1"/>
        <v>42982</v>
      </c>
      <c r="H29" s="374">
        <f ca="1"/>
        <v>94</v>
      </c>
      <c r="I29" s="394">
        <f ca="1"/>
        <v>0.26111111111111113</v>
      </c>
      <c r="J29" s="404">
        <f ca="1"/>
        <v>42982</v>
      </c>
      <c r="L29" s="383">
        <f t="shared" ca="1" si="4"/>
        <v>1000000</v>
      </c>
      <c r="M29" s="384">
        <f ca="1"/>
        <v>-3.0971457361312683E-3</v>
      </c>
      <c r="N29" s="385">
        <f t="shared" ca="1" si="5"/>
        <v>0</v>
      </c>
      <c r="O29" s="385">
        <f t="shared" ca="1" si="6"/>
        <v>-808.69916443427564</v>
      </c>
      <c r="P29" s="386">
        <f ca="1"/>
        <v>1.0059415138158758</v>
      </c>
      <c r="Q29" s="392">
        <f t="shared" ca="1" si="7"/>
        <v>-813.50406169264909</v>
      </c>
      <c r="S29" s="245" t="s">
        <v>341</v>
      </c>
      <c r="T29" s="260" t="s">
        <v>2</v>
      </c>
    </row>
    <row r="30" spans="1:20" x14ac:dyDescent="0.25">
      <c r="B30" s="397" t="s">
        <v>403</v>
      </c>
      <c r="C30" s="425" t="s">
        <v>28</v>
      </c>
      <c r="D30" s="358">
        <v>6</v>
      </c>
      <c r="E30" s="402">
        <f ca="1"/>
        <v>42982</v>
      </c>
      <c r="F30" s="403">
        <f ca="1"/>
        <v>42982</v>
      </c>
      <c r="G30" s="403">
        <f ca="1"/>
        <v>43073</v>
      </c>
      <c r="H30" s="374">
        <f ca="1"/>
        <v>91</v>
      </c>
      <c r="I30" s="394">
        <f ca="1"/>
        <v>0.25277777777777777</v>
      </c>
      <c r="J30" s="404">
        <f ca="1"/>
        <v>43073</v>
      </c>
      <c r="L30" s="383">
        <f t="shared" ca="1" si="4"/>
        <v>1000000</v>
      </c>
      <c r="M30" s="384">
        <f ca="1"/>
        <v>-3.0742416746623912E-3</v>
      </c>
      <c r="N30" s="385">
        <f t="shared" ca="1" si="5"/>
        <v>0</v>
      </c>
      <c r="O30" s="385">
        <f t="shared" ca="1" si="6"/>
        <v>-777.09997887299335</v>
      </c>
      <c r="P30" s="386">
        <f ca="1"/>
        <v>1.0069111748575079</v>
      </c>
      <c r="Q30" s="392">
        <f t="shared" ca="1" si="7"/>
        <v>-782.47065270875032</v>
      </c>
      <c r="S30" s="245" t="s">
        <v>342</v>
      </c>
      <c r="T30" s="260" t="s">
        <v>22</v>
      </c>
    </row>
    <row r="31" spans="1:20" x14ac:dyDescent="0.25">
      <c r="B31" s="397" t="s">
        <v>404</v>
      </c>
      <c r="C31" s="426" t="s">
        <v>22</v>
      </c>
      <c r="D31" s="358">
        <v>7</v>
      </c>
      <c r="E31" s="402">
        <f ca="1"/>
        <v>43073</v>
      </c>
      <c r="F31" s="403">
        <f ca="1"/>
        <v>43073</v>
      </c>
      <c r="G31" s="403">
        <f ca="1"/>
        <v>43161</v>
      </c>
      <c r="H31" s="374">
        <f ca="1"/>
        <v>88</v>
      </c>
      <c r="I31" s="394">
        <f ca="1"/>
        <v>0.24444444444444444</v>
      </c>
      <c r="J31" s="404">
        <f ca="1"/>
        <v>43161</v>
      </c>
      <c r="L31" s="383">
        <f t="shared" ca="1" si="4"/>
        <v>1000000</v>
      </c>
      <c r="M31" s="384">
        <f ca="1"/>
        <v>-3.6167805161500944E-3</v>
      </c>
      <c r="N31" s="385">
        <f t="shared" ca="1" si="5"/>
        <v>0</v>
      </c>
      <c r="O31" s="385">
        <f t="shared" ca="1" si="6"/>
        <v>-884.10190394780091</v>
      </c>
      <c r="P31" s="386">
        <f ca="1"/>
        <v>1.0077938954550001</v>
      </c>
      <c r="Q31" s="392">
        <f t="shared" ca="1" si="7"/>
        <v>-890.99250175873658</v>
      </c>
      <c r="S31" s="245" t="s">
        <v>343</v>
      </c>
      <c r="T31" s="260" t="s">
        <v>2</v>
      </c>
    </row>
    <row r="32" spans="1:20" x14ac:dyDescent="0.25">
      <c r="B32" s="397" t="s">
        <v>405</v>
      </c>
      <c r="C32" s="426" t="s">
        <v>2</v>
      </c>
      <c r="D32" s="358">
        <v>8</v>
      </c>
      <c r="E32" s="402">
        <f ca="1"/>
        <v>43161</v>
      </c>
      <c r="F32" s="403">
        <f ca="1"/>
        <v>43161</v>
      </c>
      <c r="G32" s="403">
        <f ca="1"/>
        <v>43255</v>
      </c>
      <c r="H32" s="374">
        <f ca="1"/>
        <v>94</v>
      </c>
      <c r="I32" s="394">
        <f ca="1"/>
        <v>0.26111111111111113</v>
      </c>
      <c r="J32" s="404">
        <f ca="1"/>
        <v>43255</v>
      </c>
      <c r="L32" s="383">
        <f t="shared" ca="1" si="4"/>
        <v>1000000</v>
      </c>
      <c r="M32" s="384">
        <f ca="1"/>
        <v>-2.2691195897351418E-3</v>
      </c>
      <c r="N32" s="385">
        <f t="shared" ca="1" si="5"/>
        <v>0</v>
      </c>
      <c r="O32" s="385">
        <f t="shared" ca="1" si="6"/>
        <v>-592.49233731973152</v>
      </c>
      <c r="P32" s="386">
        <f ca="1"/>
        <v>1.0086490010033942</v>
      </c>
      <c r="Q32" s="392">
        <f t="shared" ca="1" si="7"/>
        <v>-597.61680413971328</v>
      </c>
      <c r="S32" s="245" t="s">
        <v>241</v>
      </c>
      <c r="T32" s="261"/>
    </row>
    <row r="33" spans="2:20" x14ac:dyDescent="0.25">
      <c r="B33" s="397" t="s">
        <v>406</v>
      </c>
      <c r="C33" s="428" t="s">
        <v>172</v>
      </c>
      <c r="D33" s="358">
        <v>9</v>
      </c>
      <c r="E33" s="402" t="e">
        <f ca="1"/>
        <v>#N/A</v>
      </c>
      <c r="F33" s="403" t="e">
        <f ca="1"/>
        <v>#N/A</v>
      </c>
      <c r="G33" s="403" t="e">
        <f ca="1"/>
        <v>#N/A</v>
      </c>
      <c r="H33" s="374" t="e">
        <f ca="1"/>
        <v>#N/A</v>
      </c>
      <c r="I33" s="394" t="e">
        <f ca="1"/>
        <v>#N/A</v>
      </c>
      <c r="J33" s="404" t="e">
        <f ca="1"/>
        <v>#N/A</v>
      </c>
      <c r="L33" s="383" t="e">
        <f t="shared" ca="1" si="4"/>
        <v>#N/A</v>
      </c>
      <c r="M33" s="384" t="e">
        <f ca="1"/>
        <v>#N/A</v>
      </c>
      <c r="N33" s="385" t="e">
        <f t="shared" ca="1" si="5"/>
        <v>#N/A</v>
      </c>
      <c r="O33" s="385" t="e">
        <f t="shared" ca="1" si="6"/>
        <v>#N/A</v>
      </c>
      <c r="P33" s="386" t="e">
        <f>NA()</f>
        <v>#N/A</v>
      </c>
      <c r="Q33" s="392" t="e">
        <f t="shared" ca="1" si="7"/>
        <v>#N/A</v>
      </c>
      <c r="S33" s="245" t="s">
        <v>242</v>
      </c>
      <c r="T33" s="261"/>
    </row>
    <row r="34" spans="2:20" x14ac:dyDescent="0.25">
      <c r="B34" s="397" t="s">
        <v>407</v>
      </c>
      <c r="C34" s="429" t="s">
        <v>22</v>
      </c>
      <c r="D34" s="358">
        <v>10</v>
      </c>
      <c r="E34" s="402" t="e">
        <f ca="1"/>
        <v>#N/A</v>
      </c>
      <c r="F34" s="403" t="e">
        <f ca="1"/>
        <v>#N/A</v>
      </c>
      <c r="G34" s="403" t="e">
        <f ca="1"/>
        <v>#N/A</v>
      </c>
      <c r="H34" s="374" t="e">
        <f ca="1"/>
        <v>#N/A</v>
      </c>
      <c r="I34" s="394" t="e">
        <f ca="1"/>
        <v>#N/A</v>
      </c>
      <c r="J34" s="404" t="e">
        <f ca="1"/>
        <v>#N/A</v>
      </c>
      <c r="L34" s="383" t="e">
        <f t="shared" ca="1" si="4"/>
        <v>#N/A</v>
      </c>
      <c r="M34" s="384" t="e">
        <f ca="1"/>
        <v>#N/A</v>
      </c>
      <c r="N34" s="385" t="e">
        <f t="shared" ca="1" si="5"/>
        <v>#N/A</v>
      </c>
      <c r="O34" s="385" t="e">
        <f t="shared" ca="1" si="6"/>
        <v>#N/A</v>
      </c>
      <c r="P34" s="386" t="e">
        <f>NA()</f>
        <v>#N/A</v>
      </c>
      <c r="Q34" s="392" t="e">
        <f t="shared" ca="1" si="7"/>
        <v>#N/A</v>
      </c>
      <c r="S34" s="245" t="s">
        <v>224</v>
      </c>
      <c r="T34" s="260" t="s">
        <v>364</v>
      </c>
    </row>
    <row r="35" spans="2:20" x14ac:dyDescent="0.25">
      <c r="B35" s="397" t="s">
        <v>408</v>
      </c>
      <c r="C35" s="426" t="s">
        <v>2</v>
      </c>
      <c r="D35" s="358">
        <v>11</v>
      </c>
      <c r="E35" s="402" t="e">
        <f ca="1"/>
        <v>#N/A</v>
      </c>
      <c r="F35" s="403" t="e">
        <f ca="1"/>
        <v>#N/A</v>
      </c>
      <c r="G35" s="403" t="e">
        <f ca="1"/>
        <v>#N/A</v>
      </c>
      <c r="H35" s="374" t="e">
        <f ca="1"/>
        <v>#N/A</v>
      </c>
      <c r="I35" s="394" t="e">
        <f ca="1"/>
        <v>#N/A</v>
      </c>
      <c r="J35" s="404" t="e">
        <f ca="1"/>
        <v>#N/A</v>
      </c>
      <c r="L35" s="383" t="e">
        <f t="shared" ca="1" si="4"/>
        <v>#N/A</v>
      </c>
      <c r="M35" s="384" t="e">
        <f t="shared" ref="M35:M40" ca="1" si="8">IF(ISNA(E35),NA(),$M$2)</f>
        <v>#N/A</v>
      </c>
      <c r="N35" s="385" t="e">
        <f t="shared" ca="1" si="5"/>
        <v>#N/A</v>
      </c>
      <c r="O35" s="385" t="e">
        <f t="shared" ca="1" si="6"/>
        <v>#N/A</v>
      </c>
      <c r="P35" s="386" t="e">
        <f>NA()</f>
        <v>#N/A</v>
      </c>
      <c r="Q35" s="392" t="e">
        <f t="shared" ca="1" si="7"/>
        <v>#N/A</v>
      </c>
      <c r="S35" s="245" t="s">
        <v>225</v>
      </c>
      <c r="T35" s="259" t="s">
        <v>172</v>
      </c>
    </row>
    <row r="36" spans="2:20" x14ac:dyDescent="0.25">
      <c r="B36" s="397" t="s">
        <v>409</v>
      </c>
      <c r="C36" s="430" t="s">
        <v>172</v>
      </c>
      <c r="D36" s="358">
        <v>12</v>
      </c>
      <c r="E36" s="402" t="e">
        <f ca="1"/>
        <v>#N/A</v>
      </c>
      <c r="F36" s="403" t="e">
        <f ca="1"/>
        <v>#N/A</v>
      </c>
      <c r="G36" s="403" t="e">
        <f ca="1"/>
        <v>#N/A</v>
      </c>
      <c r="H36" s="374" t="e">
        <f ca="1"/>
        <v>#N/A</v>
      </c>
      <c r="I36" s="394" t="e">
        <f ca="1"/>
        <v>#N/A</v>
      </c>
      <c r="J36" s="404" t="e">
        <f ca="1"/>
        <v>#N/A</v>
      </c>
      <c r="L36" s="383" t="e">
        <f t="shared" ca="1" si="4"/>
        <v>#N/A</v>
      </c>
      <c r="M36" s="384" t="e">
        <f t="shared" ca="1" si="8"/>
        <v>#N/A</v>
      </c>
      <c r="N36" s="385" t="e">
        <f t="shared" ca="1" si="5"/>
        <v>#N/A</v>
      </c>
      <c r="O36" s="385" t="e">
        <f t="shared" ca="1" si="6"/>
        <v>#N/A</v>
      </c>
      <c r="P36" s="386" t="e">
        <f>NA()</f>
        <v>#N/A</v>
      </c>
      <c r="Q36" s="392" t="e">
        <f t="shared" ca="1" si="7"/>
        <v>#N/A</v>
      </c>
      <c r="S36" s="245" t="s">
        <v>226</v>
      </c>
      <c r="T36" s="263"/>
    </row>
    <row r="37" spans="2:20" x14ac:dyDescent="0.25">
      <c r="B37" s="397" t="s">
        <v>410</v>
      </c>
      <c r="C37" s="427" t="s">
        <v>411</v>
      </c>
      <c r="D37" s="358">
        <v>13</v>
      </c>
      <c r="E37" s="402" t="e">
        <f ca="1"/>
        <v>#N/A</v>
      </c>
      <c r="F37" s="403" t="e">
        <f ca="1"/>
        <v>#N/A</v>
      </c>
      <c r="G37" s="403" t="e">
        <f ca="1"/>
        <v>#N/A</v>
      </c>
      <c r="H37" s="374" t="e">
        <f ca="1"/>
        <v>#N/A</v>
      </c>
      <c r="I37" s="394" t="e">
        <f ca="1"/>
        <v>#N/A</v>
      </c>
      <c r="J37" s="404" t="e">
        <f ca="1"/>
        <v>#N/A</v>
      </c>
      <c r="L37" s="383" t="e">
        <f t="shared" ca="1" si="4"/>
        <v>#N/A</v>
      </c>
      <c r="M37" s="384" t="e">
        <f t="shared" ca="1" si="8"/>
        <v>#N/A</v>
      </c>
      <c r="N37" s="385" t="e">
        <f t="shared" ca="1" si="5"/>
        <v>#N/A</v>
      </c>
      <c r="O37" s="385" t="e">
        <f t="shared" ca="1" si="6"/>
        <v>#N/A</v>
      </c>
      <c r="P37" s="386" t="e">
        <f>NA()</f>
        <v>#N/A</v>
      </c>
      <c r="Q37" s="392" t="e">
        <f t="shared" ca="1" si="7"/>
        <v>#N/A</v>
      </c>
      <c r="S37" s="245" t="s">
        <v>227</v>
      </c>
      <c r="T37" s="263"/>
    </row>
    <row r="38" spans="2:20" x14ac:dyDescent="0.25">
      <c r="B38" s="397" t="s">
        <v>412</v>
      </c>
      <c r="C38" s="366"/>
      <c r="D38" s="358">
        <v>14</v>
      </c>
      <c r="E38" s="402" t="e">
        <f ca="1"/>
        <v>#N/A</v>
      </c>
      <c r="F38" s="403" t="e">
        <f ca="1"/>
        <v>#N/A</v>
      </c>
      <c r="G38" s="403" t="e">
        <f ca="1"/>
        <v>#N/A</v>
      </c>
      <c r="H38" s="374" t="e">
        <f ca="1"/>
        <v>#N/A</v>
      </c>
      <c r="I38" s="394" t="e">
        <f ca="1"/>
        <v>#N/A</v>
      </c>
      <c r="J38" s="404" t="e">
        <f ca="1"/>
        <v>#N/A</v>
      </c>
      <c r="L38" s="383" t="e">
        <f t="shared" ca="1" si="4"/>
        <v>#N/A</v>
      </c>
      <c r="M38" s="384" t="e">
        <f t="shared" ca="1" si="8"/>
        <v>#N/A</v>
      </c>
      <c r="N38" s="385" t="e">
        <f t="shared" ca="1" si="5"/>
        <v>#N/A</v>
      </c>
      <c r="O38" s="385" t="e">
        <f t="shared" ca="1" si="6"/>
        <v>#N/A</v>
      </c>
      <c r="P38" s="386" t="e">
        <f>NA()</f>
        <v>#N/A</v>
      </c>
      <c r="Q38" s="392" t="e">
        <f t="shared" ca="1" si="7"/>
        <v>#N/A</v>
      </c>
      <c r="S38" s="245" t="s">
        <v>228</v>
      </c>
      <c r="T38" s="259" t="s">
        <v>172</v>
      </c>
    </row>
    <row r="39" spans="2:20" x14ac:dyDescent="0.25">
      <c r="B39" s="397" t="s">
        <v>413</v>
      </c>
      <c r="C39" s="366"/>
      <c r="D39" s="358">
        <v>15</v>
      </c>
      <c r="E39" s="402" t="e">
        <f ca="1"/>
        <v>#N/A</v>
      </c>
      <c r="F39" s="403" t="e">
        <f ca="1"/>
        <v>#N/A</v>
      </c>
      <c r="G39" s="403" t="e">
        <f ca="1"/>
        <v>#N/A</v>
      </c>
      <c r="H39" s="374" t="e">
        <f ca="1"/>
        <v>#N/A</v>
      </c>
      <c r="I39" s="394" t="e">
        <f ca="1"/>
        <v>#N/A</v>
      </c>
      <c r="J39" s="404" t="e">
        <f ca="1"/>
        <v>#N/A</v>
      </c>
      <c r="L39" s="383" t="e">
        <f t="shared" ca="1" si="4"/>
        <v>#N/A</v>
      </c>
      <c r="M39" s="384" t="e">
        <f t="shared" ca="1" si="8"/>
        <v>#N/A</v>
      </c>
      <c r="N39" s="385" t="e">
        <f t="shared" ca="1" si="5"/>
        <v>#N/A</v>
      </c>
      <c r="O39" s="385" t="e">
        <f t="shared" ca="1" si="6"/>
        <v>#N/A</v>
      </c>
      <c r="P39" s="386" t="e">
        <f>NA()</f>
        <v>#N/A</v>
      </c>
      <c r="Q39" s="392" t="e">
        <f t="shared" ca="1" si="7"/>
        <v>#N/A</v>
      </c>
      <c r="S39" s="245" t="s">
        <v>230</v>
      </c>
      <c r="T39" s="259" t="s">
        <v>173</v>
      </c>
    </row>
    <row r="40" spans="2:20" x14ac:dyDescent="0.25">
      <c r="B40" s="398" t="s">
        <v>414</v>
      </c>
      <c r="C40" s="367"/>
      <c r="D40" s="358">
        <v>18</v>
      </c>
      <c r="E40" s="405" t="e">
        <f ca="1"/>
        <v>#N/A</v>
      </c>
      <c r="F40" s="406" t="e">
        <f ca="1"/>
        <v>#N/A</v>
      </c>
      <c r="G40" s="406" t="e">
        <f ca="1"/>
        <v>#N/A</v>
      </c>
      <c r="H40" s="435" t="e">
        <f ca="1"/>
        <v>#N/A</v>
      </c>
      <c r="I40" s="395" t="e">
        <f ca="1"/>
        <v>#N/A</v>
      </c>
      <c r="J40" s="407" t="e">
        <f ca="1"/>
        <v>#N/A</v>
      </c>
      <c r="L40" s="387" t="e">
        <f t="shared" ca="1" si="4"/>
        <v>#N/A</v>
      </c>
      <c r="M40" s="388" t="e">
        <f t="shared" ca="1" si="8"/>
        <v>#N/A</v>
      </c>
      <c r="N40" s="389" t="e">
        <f t="shared" ca="1" si="5"/>
        <v>#N/A</v>
      </c>
      <c r="O40" s="389" t="e">
        <f t="shared" ca="1" si="6"/>
        <v>#N/A</v>
      </c>
      <c r="P40" s="390" t="e">
        <f>NA()</f>
        <v>#N/A</v>
      </c>
      <c r="Q40" s="393" t="e">
        <f t="shared" ca="1" si="7"/>
        <v>#N/A</v>
      </c>
      <c r="S40" s="246" t="s">
        <v>229</v>
      </c>
      <c r="T40" s="312">
        <v>0</v>
      </c>
    </row>
    <row r="41" spans="2:20" x14ac:dyDescent="0.25">
      <c r="E41" s="368"/>
    </row>
    <row r="42" spans="2:20" x14ac:dyDescent="0.25">
      <c r="E42" s="112"/>
      <c r="G42" s="421"/>
      <c r="L42" s="378" t="s">
        <v>424</v>
      </c>
      <c r="S42" s="378" t="s">
        <v>425</v>
      </c>
    </row>
    <row r="43" spans="2:20" x14ac:dyDescent="0.25">
      <c r="E43" s="420"/>
      <c r="G43" s="102"/>
      <c r="L43" s="126" t="s">
        <v>329</v>
      </c>
      <c r="M43" s="373">
        <f ca="1">P44/P45</f>
        <v>-2.9463076894499338E-3</v>
      </c>
      <c r="N43" s="372"/>
      <c r="O43" s="198" t="s">
        <v>421</v>
      </c>
      <c r="P43" s="371">
        <f ca="1">SUMIF(P6:P21,"&lt;&gt;#N/A")</f>
        <v>20172.485571098143</v>
      </c>
      <c r="Q43" s="128"/>
      <c r="S43" s="247" t="s">
        <v>329</v>
      </c>
      <c r="T43" s="248">
        <f ca="1">IF(AND(NOW(),isEUR12MLLoaded),_xll.meProductSwapParRate($S$5:$T$40,FALSE),"Load Curve")</f>
        <v>-2.9430770551733421E-3</v>
      </c>
    </row>
    <row r="44" spans="2:20" x14ac:dyDescent="0.25">
      <c r="E44" s="420"/>
      <c r="G44" s="423"/>
      <c r="L44" s="129" t="s">
        <v>330</v>
      </c>
      <c r="M44" s="374">
        <f ca="1">IF(T6="RECEIVER",P43-P44,P44-P43)</f>
        <v>26115.920506442573</v>
      </c>
      <c r="N44" s="375"/>
      <c r="O44" s="199" t="s">
        <v>422</v>
      </c>
      <c r="P44" s="374">
        <f ca="1">SUMIF(Q25:Q40,"&lt;&gt;#N/A")</f>
        <v>-5943.4349353444304</v>
      </c>
      <c r="Q44" s="131"/>
      <c r="S44" s="249" t="s">
        <v>330</v>
      </c>
      <c r="T44" s="251">
        <f ca="1">IF(AND(NOW(),isEUR12MLLoaded),_xll.meProductSwapPV($S$5:$T$40,FALSE),"Load Curve")</f>
        <v>26115.646818577396</v>
      </c>
    </row>
    <row r="45" spans="2:20" x14ac:dyDescent="0.25">
      <c r="E45" s="419"/>
      <c r="L45" s="129" t="s">
        <v>175</v>
      </c>
      <c r="M45" s="374">
        <f ca="1">P45/10000</f>
        <v>201.72485571098147</v>
      </c>
      <c r="N45" s="375"/>
      <c r="O45" s="130" t="s">
        <v>423</v>
      </c>
      <c r="P45" s="374">
        <f t="array" aca="1" ref="P45" ca="1">SUMPRODUCT(I6:I7,O6:O7)*$T$5</f>
        <v>2017248.5571098146</v>
      </c>
      <c r="Q45" s="131"/>
      <c r="S45" s="249" t="s">
        <v>331</v>
      </c>
      <c r="T45" s="251">
        <f ca="1">IF(AND(NOW(),isEUR12MLLoaded),_xll.meProductSwapPV01($S$5:$T$40,FALSE),"Load Curve")</f>
        <v>201.77309234313017</v>
      </c>
    </row>
    <row r="46" spans="2:20" x14ac:dyDescent="0.25">
      <c r="G46" s="421"/>
      <c r="H46" s="421"/>
      <c r="L46" s="376"/>
      <c r="M46" s="377"/>
      <c r="N46" s="377"/>
      <c r="O46" s="134"/>
      <c r="P46" s="134"/>
      <c r="Q46" s="135"/>
      <c r="S46" s="250" t="s">
        <v>332</v>
      </c>
      <c r="T46" s="252">
        <f ca="1">IF(AND(NOW(),isEUR12MLLoaded),_xll.meProductSwapDV01($S$5:$T$40,FALSE),"Load Curve")</f>
        <v>206.12333291371368</v>
      </c>
    </row>
    <row r="47" spans="2:20" x14ac:dyDescent="0.25">
      <c r="G47" s="422"/>
      <c r="H47" s="421"/>
    </row>
    <row r="48" spans="2:20"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83" spans="22:34" x14ac:dyDescent="0.25">
      <c r="W83" s="449" t="s">
        <v>176</v>
      </c>
      <c r="X83" s="449"/>
      <c r="Y83" s="449"/>
      <c r="AA83" s="449" t="s">
        <v>94</v>
      </c>
      <c r="AB83" s="449"/>
      <c r="AC83" s="449"/>
      <c r="AE83" s="449" t="s">
        <v>176</v>
      </c>
      <c r="AF83" s="449"/>
      <c r="AG83" s="449"/>
    </row>
    <row r="84" spans="22:34" x14ac:dyDescent="0.25">
      <c r="W84" s="449"/>
      <c r="X84" s="449"/>
      <c r="Y84" s="449"/>
      <c r="AA84" s="449"/>
      <c r="AB84" s="449"/>
      <c r="AC84" s="449"/>
      <c r="AE84" s="449"/>
      <c r="AF84" s="449"/>
      <c r="AG84" s="449"/>
    </row>
    <row r="85" spans="22:34" ht="21.75" thickBot="1" x14ac:dyDescent="0.3">
      <c r="V85" s="414"/>
      <c r="W85" s="415"/>
      <c r="X85" s="415"/>
      <c r="Y85" s="415"/>
      <c r="Z85" s="412"/>
      <c r="AA85" s="411"/>
      <c r="AB85" s="411"/>
      <c r="AC85" s="411"/>
      <c r="AD85" s="414"/>
      <c r="AE85" s="415"/>
      <c r="AF85" s="415"/>
      <c r="AG85" s="415"/>
      <c r="AH85" s="412"/>
    </row>
    <row r="86" spans="22:34" ht="15.75" thickTop="1" x14ac:dyDescent="0.25">
      <c r="W86" s="413"/>
      <c r="X86" s="123"/>
      <c r="Z86" s="413"/>
      <c r="AE86" s="413"/>
      <c r="AF86" s="123"/>
      <c r="AG86" s="123"/>
      <c r="AH86" s="413"/>
    </row>
    <row r="87" spans="22:34" ht="18.75" x14ac:dyDescent="0.25">
      <c r="V87" s="448" t="s">
        <v>433</v>
      </c>
      <c r="W87" s="448"/>
      <c r="X87" s="448" t="s">
        <v>435</v>
      </c>
      <c r="Y87" s="448"/>
      <c r="Z87" s="448"/>
      <c r="AA87" s="448"/>
      <c r="AB87" s="416"/>
      <c r="AC87" s="448" t="s">
        <v>434</v>
      </c>
      <c r="AD87" s="448"/>
      <c r="AE87" s="448"/>
      <c r="AF87" s="448"/>
      <c r="AG87" s="448" t="s">
        <v>436</v>
      </c>
      <c r="AH87" s="448"/>
    </row>
  </sheetData>
  <mergeCells count="7">
    <mergeCell ref="X87:AA87"/>
    <mergeCell ref="AC87:AF87"/>
    <mergeCell ref="V87:W87"/>
    <mergeCell ref="AG87:AH87"/>
    <mergeCell ref="AA83:AC84"/>
    <mergeCell ref="W83:Y84"/>
    <mergeCell ref="AE83:AG84"/>
  </mergeCells>
  <dataValidations count="11">
    <dataValidation type="list" allowBlank="1" showInputMessage="1" showErrorMessage="1" sqref="C26 C7">
      <formula1>"ACT/365,ACT/365_ISDA,ACT/360,30/360,30E/360,ACT/365FJ"</formula1>
    </dataValidation>
    <dataValidation type="list" allowBlank="1" showInputMessage="1" showErrorMessage="1" sqref="C37 C18">
      <formula1>"ADVANCE,ARREARS"</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0 C27 C11 C8">
      <formula1>"Annual,Semi-Annual,Quarterly,Monthly,Weekly"</formula1>
    </dataValidation>
    <dataValidation type="list" allowBlank="1" showInputMessage="1" showErrorMessage="1" sqref="C40 C21">
      <formula1>"TRUE,FALSE"</formula1>
    </dataValidation>
    <dataValidation type="list" allowBlank="1" showInputMessage="1" showErrorMessage="1" sqref="T6">
      <formula1>"PAYER,RECEIVER"</formula1>
    </dataValidation>
    <dataValidation type="list" allowBlank="1" showInputMessage="1" showErrorMessage="1" sqref="T14 T16 T28 T30 T26">
      <formula1>"MOD_FOLLOWING,FOLLOWING,MOD_PRECEDING,PRECEDING,NO_CHANGE"</formula1>
    </dataValidation>
    <dataValidation type="list" allowBlank="1" showInputMessage="1" showErrorMessage="1" sqref="T24 T12">
      <formula1>"Annual,Semi-Annual,Quarterly,Monthly"</formula1>
    </dataValidation>
    <dataValidation type="list" allowBlank="1" showInputMessage="1" showErrorMessage="1" sqref="T13 T25">
      <formula1>"30/360,ACT/360,ACT/365"</formula1>
    </dataValidation>
    <dataValidation type="list" allowBlank="1" showInputMessage="1" showErrorMessage="1" sqref="T22 T39">
      <formula1>"None,ShortStart,ShortEnd,LongStart,LongEnd"</formula1>
    </dataValidation>
    <dataValidation type="list" allowBlank="1" showInputMessage="1" showErrorMessage="1" sqref="T15 T27 T29 T31 T17">
      <formula1>"TGT,NYB:LNB,LNB,TKB:LNB"</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65177.329369664345</v>
      </c>
    </row>
    <row r="48" spans="2:3" x14ac:dyDescent="0.25">
      <c r="B48" s="266" t="s">
        <v>174</v>
      </c>
      <c r="C48" s="292">
        <f ca="1">IF(AND(NOW(),isEUROISLoaded),_xll.meProductOISParRate(B8:C44,FALSE),"Load Curve")</f>
        <v>-2.7177051662461787E-3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1.7115177417533392E-4</v>
      </c>
      <c r="D48" s="253"/>
      <c r="E48" s="253"/>
      <c r="F48" s="253"/>
      <c r="G48" s="253"/>
      <c r="H48" s="253"/>
    </row>
    <row r="49" spans="2:8" x14ac:dyDescent="0.25">
      <c r="B49" s="249" t="s">
        <v>330</v>
      </c>
      <c r="C49" s="251">
        <f ca="1">IF(AND(NOW(),isEUR12MLLoaded),_xll.meProductSwapPV(B9:C44,FALSE),"Load Curve")</f>
        <v>49654.804373911073</v>
      </c>
      <c r="D49" s="253"/>
      <c r="E49" s="253"/>
      <c r="F49" s="253"/>
      <c r="G49" s="253"/>
      <c r="H49" s="253"/>
    </row>
    <row r="50" spans="2:8" x14ac:dyDescent="0.25">
      <c r="B50" s="249" t="s">
        <v>331</v>
      </c>
      <c r="C50" s="251">
        <f ca="1">IF(AND(NOW(),isEUR12MLLoaded),_xll.meProductSwapPV01(B9:C44,FALSE),"Load Curve")</f>
        <v>505.19453788538794</v>
      </c>
      <c r="D50" s="253"/>
      <c r="E50" s="253"/>
      <c r="F50" s="253"/>
      <c r="G50" s="253"/>
      <c r="H50" s="253"/>
    </row>
    <row r="51" spans="2:8" x14ac:dyDescent="0.25">
      <c r="B51" s="250" t="s">
        <v>332</v>
      </c>
      <c r="C51" s="252">
        <f ca="1">IF(AND(NOW(),isEUR12MLLoaded),_xll.meProductSwapDV01(B9:C44,FALSE),"Load Curve")</f>
        <v>521.43780289671406</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73</vt:i4>
      </vt:variant>
    </vt:vector>
  </HeadingPairs>
  <TitlesOfParts>
    <vt:vector size="84" baseType="lpstr">
      <vt:lpstr>Settings</vt:lpstr>
      <vt:lpstr>EUROIS</vt:lpstr>
      <vt:lpstr>EUR3ML</vt:lpstr>
      <vt:lpstr>EUR6ML</vt:lpstr>
      <vt:lpstr>EUR1ML</vt:lpstr>
      <vt:lpstr>EUR12ML</vt:lpstr>
      <vt:lpstr>Forwards</vt:lpstr>
      <vt:lpstr>DiscountFactors</vt:lpstr>
      <vt:lpstr>SwapSchedule</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2016-10-18T10:23:02Z</dcterms:modified>
</cp:coreProperties>
</file>