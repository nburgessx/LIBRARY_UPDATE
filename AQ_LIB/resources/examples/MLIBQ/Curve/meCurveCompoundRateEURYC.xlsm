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activeTab="1"/>
  </bookViews>
  <sheets>
    <sheet name="OIS Curve" sheetId="2" r:id="rId1"/>
    <sheet name="meCurveCompoundRate" sheetId="3" r:id="rId2"/>
  </sheets>
  <externalReferences>
    <externalReference r:id="rId3"/>
  </externalReferences>
  <definedNames>
    <definedName name="COB">[1]Settings!$C$2</definedName>
    <definedName name="Curve.BuildProperties">'OIS Curve'!$C$20:$D$24</definedName>
    <definedName name="Curve.CollectionName">'OIS Curve'!$D$11</definedName>
    <definedName name="Curve.MarketDataTable">'OIS Curve'!$D$12</definedName>
    <definedName name="Curve.OISIndexName">'OIS Curve'!$D$13</definedName>
    <definedName name="ForwardCurves.CurveID">#REF!</definedName>
    <definedName name="ForwardCurves.Interpolation">#REF!</definedName>
    <definedName name="ForwardCurves.Periodicity">#REF!</definedName>
    <definedName name="Forwards.EUR12ML">#REF!</definedName>
    <definedName name="Forwards.EUR1ML">#REF!</definedName>
    <definedName name="Forwards.EUR3ML">#REF!</definedName>
    <definedName name="Forwards.EUR6ML">#REF!</definedName>
    <definedName name="Forwards.OIS">#REF!</definedName>
    <definedName name="Forwards.StartDate">#REF!</definedName>
    <definedName name="FRA.Conventions">#REF!</definedName>
    <definedName name="FRA.MarketDataX3">#REF!</definedName>
    <definedName name="FRA.MarketDataX6">#REF!</definedName>
    <definedName name="Futures.Conventions">#REF!</definedName>
    <definedName name="Futures.MarketData">#REF!</definedName>
    <definedName name="Libor.Conventions">#REF!</definedName>
    <definedName name="Libor.MarketData">#REF!</definedName>
    <definedName name="LiborOISBasis.Conventions">'OIS Curve'!$C$64:$D$89</definedName>
    <definedName name="LiborOISBasis.MarketData">'OIS Curve'!$F$65:$G$89</definedName>
    <definedName name="LiborSwap.Conventions">'OIS Curve'!$I$64:$J$89</definedName>
    <definedName name="LiborSwap.MarketData">'OIS Curve'!$L$65:$M$89</definedName>
    <definedName name="MoneyMarket.Conventions">#REF!</definedName>
    <definedName name="OIS.Conventions">'OIS Curve'!$C$31:$D$57</definedName>
    <definedName name="OIS.FixingTable">'OIS Curve'!$L$32:$M$57</definedName>
    <definedName name="OIS.MarketData">'OIS Curve'!$F$32:$J$57</definedName>
    <definedName name="STDCurve.Buildproperties">#REF!</definedName>
    <definedName name="STDCurve.CollectionName">#REF!</definedName>
    <definedName name="STDCurve.IndexName">#REF!</definedName>
    <definedName name="STDCurve.StaticDataTable">#REF!</definedName>
    <definedName name="Swap.Conventions">#REF!</definedName>
    <definedName name="Swap.MarketData">#REF!</definedName>
    <definedName name="TenorBasisCurve3M6M.BuildProperties">#REF!</definedName>
    <definedName name="TenorBasisCurve3M6M.CollectionName">#REF!</definedName>
    <definedName name="TenorBasisCurve3M6M.IndexName">#REF!</definedName>
    <definedName name="TenorBasisCurve3M6M.StaticDataTable">#REF!</definedName>
    <definedName name="TenorBasisSwap3M6M.Conventions">#REF!</definedName>
    <definedName name="TenorBasisSwap3M6M.MarketData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J41" i="3" l="1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40" i="3"/>
  <c r="J63" i="3" s="1"/>
  <c r="C5" i="3"/>
  <c r="L5" i="3"/>
  <c r="I5" i="3"/>
  <c r="F5" i="3"/>
  <c r="I34" i="3"/>
  <c r="D7" i="2"/>
  <c r="I7" i="3"/>
  <c r="L7" i="3"/>
  <c r="L9" i="3"/>
  <c r="I9" i="3"/>
  <c r="F7" i="3"/>
  <c r="L22" i="3"/>
  <c r="I30" i="3"/>
  <c r="L23" i="3"/>
  <c r="C7" i="3"/>
  <c r="I23" i="3"/>
  <c r="I22" i="3"/>
  <c r="F9" i="3"/>
  <c r="F22" i="3"/>
  <c r="C9" i="3"/>
  <c r="C22" i="3" s="1"/>
  <c r="I24" i="3" l="1"/>
  <c r="L24" i="3"/>
  <c r="F23" i="3"/>
  <c r="C23" i="3"/>
  <c r="C24" i="3" l="1"/>
  <c r="F24" i="3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<sst xmlns="http://schemas.openxmlformats.org/spreadsheetml/2006/main" count="341" uniqueCount="146">
  <si>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</si>
  <si>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</si>
  <si>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</si>
  <si>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</si>
  <si>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</si>
  <si>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</si>
  <si>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</si>
  <si>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</si>
  <si>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</si>
  <si>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</si>
  <si>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</si>
  <si>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</si>
  <si>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</si>
  <si>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</si>
  <si>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</si>
  <si>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</si>
  <si>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</si>
  <si>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</si>
  <si>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</si>
  <si>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</si>
  <si>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</si>
  <si>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</si>
  <si>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</si>
  <si>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</si>
  <si>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</si>
  <si>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</si>
  <si>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</si>
  <si>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</si>
  <si>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</si>
  <si>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</si>
  <si>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</si>
  <si>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</si>
  <si>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</si>
  <si>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</si>
  <si>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</si>
  <si>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</si>
  <si>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</si>
  <si>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</si>
  <si>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</si>
  <si>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</si>
  <si>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</si>
  <si>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</si>
  <si>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</si>
  <si>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</si>
  <si>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</si>
  <si>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</si>
  <si>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</si>
  <si>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</si>
  <si>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</si>
  <si>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</si>
  <si>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</si>
  <si>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</si>
  <si>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</si>
  <si>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</si>
  <si>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</si>
  <si>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</si>
  <si>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</si>
  <si>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</si>
  <si>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</si>
  <si>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</si>
  <si>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</si>
  <si>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</si>
  <si>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</si>
  <si>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</si>
  <si>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</si>
  <si>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</si>
  <si>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</si>
  <si>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</si>
  <si>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</si>
  <si>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</si>
  <si>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</si>
  <si>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</si>
  <si>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</si>
  <si>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</si>
  <si>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</si>
  <si>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</si>
  <si>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</si>
  <si>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</si>
  <si>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</si>
  <si>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</si>
  <si>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</si>
  <si>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&lt;- This is a reference to a property file table and should remain fixed.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</si>
  <si>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</si>
  <si>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</si>
  <si>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</si>
  <si>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</si>
  <si>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</si>
  <si>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</si>
  <si>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</si>
  <si>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</si>
  <si>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</si>
  <si>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Epsilon</t>
  </si>
  <si>
    <t>MaxLoop</t>
  </si>
  <si>
    <t>OIS:EUROIS:EURDF</t>
  </si>
  <si>
    <t>meCurveCalibrateOIS(Curve.CollectionName,Curve.MarketDataTable,Curve.CollectionName,Curve.BuildProperties,OIS.Conventions,OIS.MarketData,OIS.FixingTable,LiborOISBasis.Conventions,LiborOISBasis.MarketData,LiborSwap.Conventions,LiborSwap.MarketData)</t>
  </si>
  <si>
    <t>meCurveCalibrateOIS</t>
  </si>
  <si>
    <t>Parameters</t>
  </si>
  <si>
    <t>CurveIndex</t>
  </si>
  <si>
    <t>TradeDate</t>
    <phoneticPr fontId="7"/>
  </si>
  <si>
    <t>SpotLag</t>
    <phoneticPr fontId="7"/>
  </si>
  <si>
    <t>2D</t>
    <phoneticPr fontId="7"/>
  </si>
  <si>
    <t>ValueDate</t>
    <phoneticPr fontId="7"/>
  </si>
  <si>
    <t>Term</t>
    <phoneticPr fontId="7"/>
  </si>
  <si>
    <t>1Y</t>
  </si>
  <si>
    <t>ExpiryDate</t>
    <phoneticPr fontId="7"/>
  </si>
  <si>
    <t>Frequency</t>
    <phoneticPr fontId="7"/>
  </si>
  <si>
    <t>Monthly</t>
  </si>
  <si>
    <t>DayCount</t>
    <phoneticPr fontId="7"/>
  </si>
  <si>
    <t>BusinessDayAdjustment</t>
  </si>
  <si>
    <t>Calendar</t>
    <phoneticPr fontId="7"/>
  </si>
  <si>
    <t>Interpolation</t>
    <phoneticPr fontId="7"/>
  </si>
  <si>
    <t>Spline</t>
    <phoneticPr fontId="7"/>
  </si>
  <si>
    <t>Spline</t>
  </si>
  <si>
    <t>Spread</t>
    <phoneticPr fontId="7"/>
  </si>
  <si>
    <t>RollDayInput</t>
  </si>
  <si>
    <t>StubType</t>
  </si>
  <si>
    <t>SS</t>
  </si>
  <si>
    <t>firstStubDate</t>
  </si>
  <si>
    <t>lastStubDate</t>
  </si>
  <si>
    <t>Compounding Type</t>
  </si>
  <si>
    <t>NORMAL</t>
  </si>
  <si>
    <t>meCurveCompoundRate</t>
  </si>
  <si>
    <t>Comment on Compounding Types</t>
  </si>
  <si>
    <t>NORMAL</t>
    <phoneticPr fontId="7"/>
  </si>
  <si>
    <t>Geometric Averaging ( for SONIA, EONIA )</t>
  </si>
  <si>
    <t>FLAT</t>
    <phoneticPr fontId="7"/>
  </si>
  <si>
    <t>Flat Compounding</t>
    <phoneticPr fontId="7"/>
  </si>
  <si>
    <t>SIMPLE</t>
    <phoneticPr fontId="7"/>
  </si>
  <si>
    <t>Compounding but simple interest applied to spread</t>
  </si>
  <si>
    <t>AVERAGE</t>
    <phoneticPr fontId="7"/>
  </si>
  <si>
    <t>Arithmetic Averaging ( FED Funds )</t>
  </si>
  <si>
    <t>CreateFixingTable</t>
  </si>
  <si>
    <t>Fixing Table &amp; Index Information</t>
  </si>
  <si>
    <t>TableName</t>
  </si>
  <si>
    <t>CurveTenor</t>
  </si>
  <si>
    <t>FixingDate</t>
  </si>
  <si>
    <t>FixingValue</t>
  </si>
  <si>
    <t>1D</t>
  </si>
  <si>
    <t>meCurveCompoundRateWithFixingTable</t>
  </si>
  <si>
    <t>Same Rate?</t>
  </si>
  <si>
    <t>AVERAGE</t>
  </si>
  <si>
    <t>1M</t>
  </si>
  <si>
    <t>-5W</t>
  </si>
  <si>
    <t>Business_Days</t>
  </si>
  <si>
    <t>yearFraction from mlib:</t>
  </si>
  <si>
    <t>Using average method: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</si>
</sst>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1" formatCode="_-* #,##0_-;\-* #,##0_-;_-* &quot;-&quot;_-;_-@_-"/>
    <numFmt numFmtId="164" formatCode="0.000%"/>
    <numFmt numFmtId="165" formatCode="#,##0_ ;[Red]\-#,##0\ "/>
    <numFmt numFmtId="166" formatCode="0.0"/>
    <numFmt numFmtId="167" formatCode="#,##0.00000"/>
    <numFmt numFmtId="168" formatCode="0.00000%"/>
    <numFmt numFmtId="169" formatCode="0.000000000000000%"/>
    <numFmt numFmtId="170" formatCode="0.0000%"/>
    <numFmt numFmtId="171" formatCode="0.00000000%"/>
  </numFmts>
  <fonts count="3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Geneva"/>
      <family val="2"/>
    </font>
    <font>
      <b/>
      <sz val="11"/>
      <color indexed="9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41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6" applyNumberFormat="0" applyFill="0" applyAlignment="0" applyProtection="0"/>
    <xf numFmtId="0" fontId="21" fillId="0" borderId="17" applyNumberFormat="0" applyFill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5" borderId="0" applyNumberFormat="0" applyBorder="0" applyAlignment="0" applyProtection="0"/>
    <xf numFmtId="0" fontId="26" fillId="6" borderId="19" applyNumberFormat="0" applyAlignment="0" applyProtection="0"/>
    <xf numFmtId="0" fontId="27" fillId="7" borderId="20" applyNumberFormat="0" applyAlignment="0" applyProtection="0"/>
    <xf numFmtId="0" fontId="28" fillId="7" borderId="19" applyNumberFormat="0" applyAlignment="0" applyProtection="0"/>
    <xf numFmtId="0" fontId="29" fillId="0" borderId="21" applyNumberFormat="0" applyFill="0" applyAlignment="0" applyProtection="0"/>
    <xf numFmtId="0" fontId="30" fillId="8" borderId="22" applyNumberFormat="0" applyAlignment="0" applyProtection="0"/>
    <xf numFmtId="0" fontId="1" fillId="0" borderId="0" applyNumberFormat="0" applyFill="0" applyBorder="0" applyAlignment="0" applyProtection="0"/>
    <xf numFmtId="0" fontId="18" fillId="9" borderId="23" applyNumberFormat="0" applyFont="0" applyAlignment="0" applyProtection="0"/>
    <xf numFmtId="0" fontId="31" fillId="0" borderId="0" applyNumberFormat="0" applyFill="0" applyBorder="0" applyAlignment="0" applyProtection="0"/>
    <xf numFmtId="0" fontId="2" fillId="0" borderId="24" applyNumberFormat="0" applyFill="0" applyAlignment="0" applyProtection="0"/>
    <xf numFmtId="0" fontId="3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18" fillId="15" borderId="0" applyNumberFormat="0" applyBorder="0" applyAlignment="0" applyProtection="0"/>
    <xf numFmtId="0" fontId="18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2" borderId="0" applyNumberFormat="0" applyBorder="0" applyAlignment="0" applyProtection="0"/>
    <xf numFmtId="0" fontId="3" fillId="33" borderId="0" applyNumberFormat="0" applyBorder="0" applyAlignment="0" applyProtection="0"/>
    <xf numFmtId="0" fontId="32" fillId="0" borderId="0">
      <alignment vertical="center"/>
    </xf>
    <xf numFmtId="0" fontId="33" fillId="0" borderId="0"/>
    <xf numFmtId="0" fontId="34" fillId="38" borderId="0"/>
  </cellStyleXfs>
  <cellXfs count="13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horizontal="left" vertical="center"/>
    </xf>
    <xf numFmtId="0" fontId="10" fillId="0" borderId="7" xfId="0" applyFont="1" applyFill="1" applyBorder="1" applyAlignment="1">
      <alignment horizontal="center" vertical="center"/>
    </xf>
    <xf numFmtId="0" fontId="10" fillId="0" borderId="8" xfId="0" applyFont="1" applyFill="1" applyBorder="1" applyAlignment="1">
      <alignment horizontal="center" vertical="center"/>
    </xf>
    <xf numFmtId="0" fontId="12" fillId="0" borderId="15" xfId="0" applyFont="1" applyFill="1" applyBorder="1"/>
    <xf numFmtId="0" fontId="11" fillId="0" borderId="0" xfId="0" applyFont="1"/>
    <xf numFmtId="0" fontId="13" fillId="2" borderId="2" xfId="0" applyFont="1" applyFill="1" applyBorder="1"/>
    <xf numFmtId="0" fontId="0" fillId="0" borderId="0" xfId="0" quotePrefix="1"/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6" fillId="34" borderId="1" xfId="44" applyFont="1" applyFill="1" applyBorder="1">
      <alignment vertical="center"/>
    </xf>
    <xf numFmtId="41" fontId="6" fillId="35" borderId="1" xfId="1" applyFont="1" applyFill="1" applyBorder="1" applyAlignment="1">
      <alignment horizontal="center" vertical="center"/>
    </xf>
    <xf numFmtId="0" fontId="6" fillId="34" borderId="4" xfId="44" applyFont="1" applyFill="1" applyBorder="1">
      <alignment vertical="center"/>
    </xf>
    <xf numFmtId="41" fontId="6" fillId="35" borderId="4" xfId="1" applyFont="1" applyFill="1" applyBorder="1" applyAlignment="1">
      <alignment horizontal="center" vertical="center"/>
    </xf>
    <xf numFmtId="15" fontId="6" fillId="35" borderId="4" xfId="44" applyNumberFormat="1" applyFont="1" applyFill="1" applyBorder="1" applyAlignment="1">
      <alignment horizontal="center" vertical="center"/>
    </xf>
    <xf numFmtId="0" fontId="6" fillId="36" borderId="4" xfId="45" applyFont="1" applyFill="1" applyBorder="1"/>
    <xf numFmtId="0" fontId="6" fillId="36" borderId="4" xfId="44" applyFont="1" applyFill="1" applyBorder="1">
      <alignment vertical="center"/>
    </xf>
    <xf numFmtId="165" fontId="6" fillId="35" borderId="4" xfId="1" applyNumberFormat="1" applyFont="1" applyFill="1" applyBorder="1" applyAlignment="1">
      <alignment horizontal="center" vertical="center"/>
    </xf>
    <xf numFmtId="1" fontId="6" fillId="35" borderId="10" xfId="1" applyNumberFormat="1" applyFont="1" applyFill="1" applyBorder="1" applyAlignment="1">
      <alignment horizontal="center" vertical="center"/>
    </xf>
    <xf numFmtId="0" fontId="18" fillId="0" borderId="0" xfId="0" quotePrefix="1" applyFont="1" applyAlignment="1">
      <alignment vertical="center"/>
    </xf>
    <xf numFmtId="166" fontId="6" fillId="35" borderId="10" xfId="1" applyNumberFormat="1" applyFont="1" applyFill="1" applyBorder="1" applyAlignment="1">
      <alignment horizontal="center" vertical="center"/>
    </xf>
    <xf numFmtId="15" fontId="6" fillId="35" borderId="4" xfId="1" applyNumberFormat="1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166" fontId="6" fillId="35" borderId="4" xfId="1" applyNumberFormat="1" applyFont="1" applyFill="1" applyBorder="1" applyAlignment="1">
      <alignment horizontal="center" vertical="center"/>
    </xf>
    <xf numFmtId="9" fontId="6" fillId="34" borderId="4" xfId="2" applyFont="1" applyFill="1" applyBorder="1" applyAlignment="1">
      <alignment vertical="center"/>
    </xf>
    <xf numFmtId="0" fontId="6" fillId="34" borderId="11" xfId="44" applyFont="1" applyFill="1" applyBorder="1">
      <alignment vertical="center"/>
    </xf>
    <xf numFmtId="166" fontId="6" fillId="35" borderId="11" xfId="1" applyNumberFormat="1" applyFont="1" applyFill="1" applyBorder="1" applyAlignment="1">
      <alignment horizontal="center" vertical="center"/>
    </xf>
    <xf numFmtId="41" fontId="6" fillId="0" borderId="0" xfId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18" fillId="0" borderId="0" xfId="0" applyNumberFormat="1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8" fontId="9" fillId="0" borderId="15" xfId="2" applyNumberFormat="1" applyFont="1" applyFill="1" applyBorder="1" applyAlignment="1">
      <alignment horizontal="center" vertical="center"/>
    </xf>
    <xf numFmtId="168" fontId="18" fillId="0" borderId="0" xfId="0" applyNumberFormat="1" applyFont="1" applyAlignment="1">
      <alignment vertical="center"/>
    </xf>
    <xf numFmtId="41" fontId="7" fillId="0" borderId="0" xfId="1" applyFont="1" applyFill="1" applyBorder="1" applyAlignment="1">
      <alignment horizontal="left" vertical="center"/>
    </xf>
    <xf numFmtId="41" fontId="6" fillId="0" borderId="0" xfId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169" fontId="6" fillId="35" borderId="5" xfId="2" applyNumberFormat="1" applyFont="1" applyFill="1" applyBorder="1" applyAlignment="1">
      <alignment horizontal="left" vertical="center"/>
    </xf>
    <xf numFmtId="0" fontId="18" fillId="0" borderId="3" xfId="0" applyFont="1" applyBorder="1" applyAlignment="1">
      <alignment vertical="center"/>
    </xf>
    <xf numFmtId="169" fontId="6" fillId="35" borderId="9" xfId="2" applyNumberFormat="1" applyFont="1" applyFill="1" applyBorder="1" applyAlignment="1">
      <alignment horizontal="left" vertical="center"/>
    </xf>
    <xf numFmtId="0" fontId="18" fillId="0" borderId="10" xfId="0" applyFont="1" applyBorder="1" applyAlignment="1">
      <alignment vertical="center"/>
    </xf>
    <xf numFmtId="41" fontId="6" fillId="35" borderId="11" xfId="1" applyFont="1" applyFill="1" applyBorder="1" applyAlignment="1">
      <alignment horizontal="center" vertical="center"/>
    </xf>
    <xf numFmtId="169" fontId="6" fillId="35" borderId="14" xfId="2" applyNumberFormat="1" applyFont="1" applyFill="1" applyBorder="1" applyAlignment="1">
      <alignment horizontal="left" vertical="center"/>
    </xf>
    <xf numFmtId="0" fontId="18" fillId="0" borderId="13" xfId="0" applyFont="1" applyBorder="1" applyAlignment="1">
      <alignment vertical="center"/>
    </xf>
    <xf numFmtId="41" fontId="6" fillId="35" borderId="0" xfId="1" applyFont="1" applyFill="1" applyBorder="1" applyAlignment="1">
      <alignment horizontal="center" vertical="center"/>
    </xf>
    <xf numFmtId="169" fontId="6" fillId="35" borderId="0" xfId="2" applyNumberFormat="1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 vertical="center"/>
    </xf>
    <xf numFmtId="0" fontId="9" fillId="0" borderId="15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0" fillId="37" borderId="11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1" fontId="6" fillId="35" borderId="4" xfId="1" quotePrefix="1" applyFont="1" applyFill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34" borderId="0" xfId="0" applyFont="1" applyFill="1" applyBorder="1" applyAlignment="1">
      <alignment horizontal="center" vertical="center"/>
    </xf>
    <xf numFmtId="170" fontId="0" fillId="0" borderId="0" xfId="0" applyNumberFormat="1" applyFont="1" applyAlignment="1">
      <alignment horizontal="center" vertical="center"/>
    </xf>
    <xf numFmtId="170" fontId="0" fillId="34" borderId="0" xfId="2" applyNumberFormat="1" applyFont="1" applyFill="1" applyBorder="1" applyAlignment="1">
      <alignment horizontal="center" vertical="center"/>
    </xf>
    <xf numFmtId="168" fontId="18" fillId="39" borderId="0" xfId="0" applyNumberFormat="1" applyFont="1" applyFill="1" applyAlignment="1">
      <alignment vertical="center"/>
    </xf>
    <xf numFmtId="170" fontId="18" fillId="0" borderId="0" xfId="0" applyNumberFormat="1" applyFont="1" applyAlignment="1">
      <alignment horizontal="center" vertical="center"/>
    </xf>
    <xf numFmtId="14" fontId="0" fillId="34" borderId="0" xfId="0" applyNumberFormat="1" applyFill="1" applyBorder="1" applyAlignment="1">
      <alignment horizontal="center" vertical="center"/>
    </xf>
    <xf numFmtId="14" fontId="18" fillId="34" borderId="0" xfId="0" applyNumberFormat="1" applyFont="1" applyFill="1" applyAlignment="1">
      <alignment horizontal="center" vertical="center"/>
    </xf>
    <xf numFmtId="15" fontId="6" fillId="39" borderId="4" xfId="44" applyNumberFormat="1" applyFont="1" applyFill="1" applyBorder="1" applyAlignment="1">
      <alignment horizontal="center" vertical="center"/>
    </xf>
    <xf numFmtId="171" fontId="9" fillId="0" borderId="15" xfId="2" applyNumberFormat="1" applyFont="1" applyFill="1" applyBorder="1" applyAlignment="1">
      <alignment horizontal="center" vertical="center"/>
    </xf>
  </cellXfs>
  <cellStyles count="47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blp_column_header" xfId="46"/>
    <cellStyle name="Calculation" xfId="13" builtinId="22" customBuiltin="1"/>
    <cellStyle name="Check Cell" xfId="15" builtinId="23" customBuiltin="1"/>
    <cellStyle name="Comma [0]" xfId="1" builtinId="6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  <cellStyle name="標準_DegitalOption_test" xfId="45"/>
    <cellStyle name="標準_VanillaSheetSample" xfId="44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DESKTOP\ExampleSwapGenera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Instruments"/>
      <sheetName val="Instrument Data"/>
      <sheetName val="EUR Market Data"/>
      <sheetName val="USD Market Data"/>
      <sheetName val="GBP Market Data"/>
      <sheetName val="JPY Market Data"/>
      <sheetName val="EUR Curve Config"/>
      <sheetName val="USD Curve Config"/>
      <sheetName val="GBP Curve Config"/>
      <sheetName val="JPY Curve Config"/>
      <sheetName val="Multi-Curves"/>
      <sheetName val="Display Curves"/>
      <sheetName val="Curve Charts"/>
      <sheetName val="Forward Charts"/>
      <sheetName val="EUR Swaps"/>
      <sheetName val="USD Swaps"/>
      <sheetName val="GBP Swaps"/>
      <sheetName val="JPY Swaps"/>
      <sheetName val="Custom EUR Swaps"/>
      <sheetName val="Custom USD Swaps"/>
      <sheetName val="Custom GBP Swaps"/>
      <sheetName val="Custom JPY Swaps"/>
      <sheetName val="EUR Asset Swaps"/>
      <sheetName val="USD Asset Swaps"/>
      <sheetName val="GBP Asset Swaps"/>
      <sheetName val="JPY Asset Swaps"/>
    </sheetNames>
    <sheetDataSet>
      <sheetData sheetId="0">
        <row r="2">
          <cell r="C2">
            <v>42445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N90"/>
  <sheetViews>
    <sheetView showGridLines="0" workbookViewId="0">
      <selection activeCell="Q14" sqref="Q14"/>
    </sheetView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94</v>
      </c>
    </row>
    <row r="3" spans="2:14">
      <c r="B3" s="65"/>
    </row>
    <row r="4" spans="2:14">
      <c r="B4" s="65"/>
    </row>
    <row r="5" spans="2:14">
      <c r="B5" s="65" t="s">
        <v>95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95</v>
      </c>
      <c r="D7" s="61" t="str">
        <f ca="1">IF(NOW(),_xll.meCurveCalibrateOIS(Curve.CollectionName,Curve.MarketDataTable,Curve.CollectionName,Curve.BuildProperties,OIS.Conventions,OIS.MarketData,OIS.FixingTable,LiborOISBasis.Conventions,LiborOISBasis.MarketData,LiborSwap.Conventions,LiborSwap.MarketData),"#Error: Not Loaded")</f>
        <v>EURYC OIS Curve has been set (0.12500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6"/>
      <c r="D8" s="60"/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89</v>
      </c>
      <c r="D11" s="69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88</v>
      </c>
      <c r="D12" s="70" t="s">
        <v>9</v>
      </c>
      <c r="E12" s="7" t="s">
        <v>81</v>
      </c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90</v>
      </c>
      <c r="D13" s="71" t="s">
        <v>93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69">
        <v>42726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70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72" t="s">
        <v>86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70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71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91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92</v>
      </c>
      <c r="D45" s="68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L63"/>
  <sheetViews>
    <sheetView tabSelected="1" topLeftCell="A4" workbookViewId="0">
      <selection activeCell="L43" sqref="L43"/>
    </sheetView>
  </sheetViews>
  <sheetFormatPr defaultRowHeight="15"/>
  <cols>
    <col min="1" max="1" width="2.5703125" style="73" customWidth="1"/>
    <col min="2" max="2" width="38.42578125" style="73" customWidth="1"/>
    <col min="3" max="3" width="18.7109375" style="73" customWidth="1"/>
    <col min="4" max="4" width="3.42578125" style="73" customWidth="1"/>
    <col min="5" max="5" width="38.5703125" style="73" customWidth="1"/>
    <col min="6" max="6" width="18.7109375" style="73" customWidth="1"/>
    <col min="7" max="7" width="5.28515625" style="73" customWidth="1"/>
    <col min="8" max="8" width="36.5703125" style="73" customWidth="1"/>
    <col min="9" max="9" width="20.7109375" style="73" customWidth="1"/>
    <col min="10" max="10" width="17.85546875" style="73" customWidth="1"/>
    <col min="11" max="11" width="36.42578125" style="73" customWidth="1"/>
    <col min="12" max="12" width="18.7109375" style="73" customWidth="1"/>
    <col min="13" max="16384" width="9.140625" style="73"/>
  </cols>
  <sheetData>
    <row r="2" spans="2:12">
      <c r="B2" s="73" t="s">
        <v>96</v>
      </c>
      <c r="E2" s="73" t="s">
        <v>96</v>
      </c>
      <c r="H2" s="73" t="s">
        <v>96</v>
      </c>
      <c r="K2" s="73" t="s">
        <v>96</v>
      </c>
    </row>
    <row r="3" spans="2:12">
      <c r="B3" s="74" t="s">
        <v>89</v>
      </c>
      <c r="C3" s="75" t="s">
        <v>80</v>
      </c>
      <c r="E3" s="74" t="s">
        <v>89</v>
      </c>
      <c r="F3" s="75" t="s">
        <v>80</v>
      </c>
      <c r="H3" s="74" t="s">
        <v>89</v>
      </c>
      <c r="I3" s="75" t="s">
        <v>80</v>
      </c>
      <c r="K3" s="74" t="s">
        <v>89</v>
      </c>
      <c r="L3" s="75" t="s">
        <v>80</v>
      </c>
    </row>
    <row r="4" spans="2:12">
      <c r="B4" s="76" t="s">
        <v>97</v>
      </c>
      <c r="C4" s="77" t="s">
        <v>9</v>
      </c>
      <c r="E4" s="76" t="s">
        <v>97</v>
      </c>
      <c r="F4" s="77" t="s">
        <v>9</v>
      </c>
      <c r="H4" s="76" t="s">
        <v>97</v>
      </c>
      <c r="I4" s="77" t="s">
        <v>9</v>
      </c>
      <c r="K4" s="76" t="s">
        <v>97</v>
      </c>
      <c r="L4" s="77" t="s">
        <v>9</v>
      </c>
    </row>
    <row r="5" spans="2:12">
      <c r="B5" s="76" t="s">
        <v>98</v>
      </c>
      <c r="C5" s="78">
        <f>'OIS Curve'!$D$20</f>
        <v>42726</v>
      </c>
      <c r="E5" s="76" t="s">
        <v>98</v>
      </c>
      <c r="F5" s="78">
        <f>'OIS Curve'!$D$20</f>
        <v>42726</v>
      </c>
      <c r="H5" s="76" t="s">
        <v>98</v>
      </c>
      <c r="I5" s="78">
        <f>'OIS Curve'!$D$20</f>
        <v>42726</v>
      </c>
      <c r="K5" s="76" t="s">
        <v>98</v>
      </c>
      <c r="L5" s="78">
        <f>'OIS Curve'!$D$20</f>
        <v>42726</v>
      </c>
    </row>
    <row r="6" spans="2:12">
      <c r="B6" s="76" t="s">
        <v>99</v>
      </c>
      <c r="C6" s="121" t="s">
        <v>142</v>
      </c>
      <c r="E6" s="76" t="s">
        <v>99</v>
      </c>
      <c r="F6" s="77" t="s">
        <v>100</v>
      </c>
      <c r="H6" s="76" t="s">
        <v>99</v>
      </c>
      <c r="I6" s="77" t="s">
        <v>100</v>
      </c>
      <c r="K6" s="76" t="s">
        <v>99</v>
      </c>
      <c r="L6" s="77" t="s">
        <v>100</v>
      </c>
    </row>
    <row r="7" spans="2:12">
      <c r="B7" s="79" t="s">
        <v>101</v>
      </c>
      <c r="C7" s="130">
        <f ca="1">_xll.meDateFromTenor(C5,C6,"FOLLOWING",C13)</f>
        <v>42691</v>
      </c>
      <c r="E7" s="79" t="s">
        <v>101</v>
      </c>
      <c r="F7" s="130">
        <f ca="1">_xll.meDateFromTenor(F5,F6,"FOLLOWING",F13)</f>
        <v>42731</v>
      </c>
      <c r="H7" s="79" t="s">
        <v>101</v>
      </c>
      <c r="I7" s="130">
        <f ca="1">_xll.meDateFromTenor(I5,I6,"FOLLOWING",I13)</f>
        <v>42731</v>
      </c>
      <c r="K7" s="79" t="s">
        <v>101</v>
      </c>
      <c r="L7" s="130">
        <f ca="1">_xll.meDateFromTenor(L5,L6,"FOLLOWING",L13)</f>
        <v>42731</v>
      </c>
    </row>
    <row r="8" spans="2:12">
      <c r="B8" s="79" t="s">
        <v>102</v>
      </c>
      <c r="C8" s="77" t="s">
        <v>141</v>
      </c>
      <c r="E8" s="79" t="s">
        <v>102</v>
      </c>
      <c r="F8" s="77" t="s">
        <v>103</v>
      </c>
      <c r="H8" s="79" t="s">
        <v>102</v>
      </c>
      <c r="I8" s="77" t="s">
        <v>103</v>
      </c>
      <c r="K8" s="79" t="s">
        <v>102</v>
      </c>
      <c r="L8" s="77" t="s">
        <v>103</v>
      </c>
    </row>
    <row r="9" spans="2:12">
      <c r="B9" s="80" t="s">
        <v>104</v>
      </c>
      <c r="C9" s="130">
        <f ca="1">_xll.meDateFromTenor(C7,C8,C12,C13)</f>
        <v>42723</v>
      </c>
      <c r="E9" s="80" t="s">
        <v>104</v>
      </c>
      <c r="F9" s="130">
        <f ca="1">_xll.meDateFromTenor(F7,F8,F12,F13)</f>
        <v>43096</v>
      </c>
      <c r="H9" s="80" t="s">
        <v>104</v>
      </c>
      <c r="I9" s="130">
        <f ca="1">_xll.meDateFromTenor(I7,I8,I12,I13)</f>
        <v>43096</v>
      </c>
      <c r="K9" s="80" t="s">
        <v>104</v>
      </c>
      <c r="L9" s="130">
        <f ca="1">_xll.meDateFromTenor(L7,L8,L12,L13)</f>
        <v>43096</v>
      </c>
    </row>
    <row r="10" spans="2:12">
      <c r="B10" s="76" t="s">
        <v>105</v>
      </c>
      <c r="C10" s="77" t="s">
        <v>143</v>
      </c>
      <c r="E10" s="76" t="s">
        <v>105</v>
      </c>
      <c r="F10" s="77" t="s">
        <v>106</v>
      </c>
      <c r="H10" s="76" t="s">
        <v>105</v>
      </c>
      <c r="I10" s="77" t="s">
        <v>106</v>
      </c>
      <c r="K10" s="76" t="s">
        <v>105</v>
      </c>
      <c r="L10" s="77" t="s">
        <v>106</v>
      </c>
    </row>
    <row r="11" spans="2:12">
      <c r="B11" s="76" t="s">
        <v>107</v>
      </c>
      <c r="C11" s="77" t="s">
        <v>6</v>
      </c>
      <c r="E11" s="76" t="s">
        <v>107</v>
      </c>
      <c r="F11" s="77" t="s">
        <v>6</v>
      </c>
      <c r="H11" s="76" t="s">
        <v>107</v>
      </c>
      <c r="I11" s="77" t="s">
        <v>6</v>
      </c>
      <c r="K11" s="76" t="s">
        <v>107</v>
      </c>
      <c r="L11" s="77" t="s">
        <v>6</v>
      </c>
    </row>
    <row r="12" spans="2:12">
      <c r="B12" s="76" t="s">
        <v>108</v>
      </c>
      <c r="C12" s="77" t="s">
        <v>22</v>
      </c>
      <c r="E12" s="76" t="s">
        <v>108</v>
      </c>
      <c r="F12" s="77" t="s">
        <v>22</v>
      </c>
      <c r="H12" s="76" t="s">
        <v>108</v>
      </c>
      <c r="I12" s="77" t="s">
        <v>22</v>
      </c>
      <c r="K12" s="76" t="s">
        <v>108</v>
      </c>
      <c r="L12" s="77" t="s">
        <v>22</v>
      </c>
    </row>
    <row r="13" spans="2:12">
      <c r="B13" s="76" t="s">
        <v>109</v>
      </c>
      <c r="C13" s="34" t="s">
        <v>2</v>
      </c>
      <c r="E13" s="76" t="s">
        <v>109</v>
      </c>
      <c r="F13" s="34" t="s">
        <v>2</v>
      </c>
      <c r="H13" s="76" t="s">
        <v>109</v>
      </c>
      <c r="I13" s="34" t="s">
        <v>2</v>
      </c>
      <c r="K13" s="76" t="s">
        <v>109</v>
      </c>
      <c r="L13" s="34" t="s">
        <v>2</v>
      </c>
    </row>
    <row r="14" spans="2:12">
      <c r="B14" s="76" t="s">
        <v>110</v>
      </c>
      <c r="C14" s="77" t="s">
        <v>111</v>
      </c>
      <c r="E14" s="76" t="s">
        <v>110</v>
      </c>
      <c r="F14" s="77" t="s">
        <v>111</v>
      </c>
      <c r="H14" s="76" t="s">
        <v>110</v>
      </c>
      <c r="I14" s="77" t="s">
        <v>112</v>
      </c>
      <c r="K14" s="76" t="s">
        <v>110</v>
      </c>
      <c r="L14" s="77" t="s">
        <v>111</v>
      </c>
    </row>
    <row r="15" spans="2:12">
      <c r="B15" s="76" t="s">
        <v>113</v>
      </c>
      <c r="C15" s="81">
        <v>0</v>
      </c>
      <c r="E15" s="76" t="s">
        <v>113</v>
      </c>
      <c r="F15" s="81">
        <v>0</v>
      </c>
      <c r="H15" s="76" t="s">
        <v>113</v>
      </c>
      <c r="I15" s="81">
        <v>0</v>
      </c>
      <c r="K15" s="76" t="s">
        <v>113</v>
      </c>
      <c r="L15" s="81">
        <v>0</v>
      </c>
    </row>
    <row r="16" spans="2:12">
      <c r="B16" s="76" t="s">
        <v>114</v>
      </c>
      <c r="C16" s="82"/>
      <c r="D16" s="83"/>
      <c r="E16" s="76" t="s">
        <v>114</v>
      </c>
      <c r="F16" s="82">
        <v>2</v>
      </c>
      <c r="H16" s="76" t="s">
        <v>114</v>
      </c>
      <c r="I16" s="82">
        <v>1</v>
      </c>
      <c r="K16" s="76" t="s">
        <v>114</v>
      </c>
      <c r="L16" s="82"/>
    </row>
    <row r="17" spans="2:12">
      <c r="B17" s="76" t="s">
        <v>115</v>
      </c>
      <c r="C17" s="84"/>
      <c r="E17" s="76" t="s">
        <v>115</v>
      </c>
      <c r="F17" s="84"/>
      <c r="H17" s="76" t="s">
        <v>115</v>
      </c>
      <c r="I17" s="84" t="s">
        <v>116</v>
      </c>
      <c r="K17" s="76" t="s">
        <v>115</v>
      </c>
      <c r="L17" s="84"/>
    </row>
    <row r="18" spans="2:12">
      <c r="B18" s="76" t="s">
        <v>117</v>
      </c>
      <c r="C18" s="78"/>
      <c r="E18" s="76" t="s">
        <v>117</v>
      </c>
      <c r="F18" s="78"/>
      <c r="H18" s="76" t="s">
        <v>117</v>
      </c>
      <c r="I18" s="78"/>
      <c r="K18" s="76" t="s">
        <v>117</v>
      </c>
      <c r="L18" s="78">
        <v>42732</v>
      </c>
    </row>
    <row r="19" spans="2:12">
      <c r="B19" s="76" t="s">
        <v>118</v>
      </c>
      <c r="C19" s="85"/>
      <c r="D19" s="86"/>
      <c r="E19" s="76" t="s">
        <v>118</v>
      </c>
      <c r="F19" s="87"/>
      <c r="H19" s="76" t="s">
        <v>118</v>
      </c>
      <c r="I19" s="87"/>
      <c r="K19" s="88" t="s">
        <v>118</v>
      </c>
      <c r="L19" s="78">
        <v>42736</v>
      </c>
    </row>
    <row r="20" spans="2:12">
      <c r="B20" s="89" t="s">
        <v>119</v>
      </c>
      <c r="C20" s="90" t="s">
        <v>140</v>
      </c>
      <c r="D20" s="86"/>
      <c r="E20" s="89" t="s">
        <v>119</v>
      </c>
      <c r="F20" s="90" t="s">
        <v>120</v>
      </c>
      <c r="H20" s="89" t="s">
        <v>119</v>
      </c>
      <c r="I20" s="90" t="s">
        <v>120</v>
      </c>
      <c r="K20" s="89" t="s">
        <v>119</v>
      </c>
      <c r="L20" s="90" t="s">
        <v>120</v>
      </c>
    </row>
    <row r="21" spans="2:12">
      <c r="B21" s="91"/>
      <c r="C21" s="92"/>
      <c r="E21" s="91"/>
      <c r="F21" s="92"/>
      <c r="H21" s="91"/>
      <c r="I21" s="92"/>
      <c r="J21" s="93"/>
      <c r="K21" s="91"/>
      <c r="L21" s="92"/>
    </row>
    <row r="22" spans="2:12">
      <c r="B22" s="94" t="s">
        <v>121</v>
      </c>
      <c r="C22" s="95">
        <f ca="1">IF(NOW(),_xll.meCurveCompoundRate(C7,C9,C3,C4,C10,C15,C17,C16,C13,C12,C11,C14,C20,C18,C19))</f>
        <v>0</v>
      </c>
      <c r="D22" s="93"/>
      <c r="E22" s="94" t="s">
        <v>121</v>
      </c>
      <c r="F22" s="95">
        <f ca="1">IF(NOW(),_xll.meCurveCompoundRate(F7,F9,F3,F4,F10,F15,F17,F16,F13,F12,F11,F14,F20,F18,F19))</f>
        <v>-3.7412499704811975E-3</v>
      </c>
      <c r="H22" s="94" t="s">
        <v>121</v>
      </c>
      <c r="I22" s="95">
        <f ca="1">IF(NOW(),_xll.meCurveCompoundRate(I7,I9,I3,I4,I10,I15,I17,I16,I13,I12,I11,I14,I20,I18,I19))</f>
        <v>-3.7412499704813085E-3</v>
      </c>
      <c r="J22" s="93"/>
      <c r="K22" s="94" t="s">
        <v>121</v>
      </c>
      <c r="L22" s="95">
        <f ca="1">IF(NOW(),_xll.meCurveCompoundRate(L7,L9,L3,L4,L10,L15,L17,L16,L13,L12,L11,L14,L20,L18,L19))</f>
        <v>-3.7412499704810864E-3</v>
      </c>
    </row>
    <row r="23" spans="2:12">
      <c r="B23" s="94" t="s">
        <v>138</v>
      </c>
      <c r="C23" s="131">
        <f ca="1">IF(NOW(),_xll.meCurveCompoundRateWithFixingTable(C7,C9,C3,C4,C10,C15,C17,C16,C13,C12,C11,C14,C20,C18,C19, $I$30))</f>
        <v>-3.108055555555556E-4</v>
      </c>
      <c r="E23" s="94" t="s">
        <v>138</v>
      </c>
      <c r="F23" s="95">
        <f ca="1">IF(NOW(),_xll.meCurveCompoundRateWithFixingTable(F7,F9,F3,F4,F10,F15,F17,F16,F13,F12,F11,F14,F20,F18,F19,$I$30))</f>
        <v>-3.7412499704811975E-3</v>
      </c>
      <c r="H23" s="94" t="s">
        <v>138</v>
      </c>
      <c r="I23" s="95">
        <f ca="1">IF(NOW(),_xll.meCurveCompoundRateWithFixingTable(I7,I9,I3,I4,I10,I15,I17,I16,I13,I12,I11,I14,I20,I18,I19,$I$30))</f>
        <v>-3.7412499704813085E-3</v>
      </c>
      <c r="J23" s="93"/>
      <c r="K23" s="94" t="s">
        <v>138</v>
      </c>
      <c r="L23" s="95">
        <f ca="1">IF(NOW(),_xll.meCurveCompoundRateWithFixingTable(L7,L9,L3,L4,L10,L15,L17,L16,L13,L12,L11,L14,L20,L18,L19,$I$30))</f>
        <v>-3.7412499704810864E-3</v>
      </c>
    </row>
    <row r="24" spans="2:12">
      <c r="B24" s="120" t="s">
        <v>139</v>
      </c>
      <c r="C24" s="126" t="b">
        <f ca="1">C22-C23 &lt; 0.0000000000000000001</f>
        <v>0</v>
      </c>
      <c r="E24" s="120" t="s">
        <v>139</v>
      </c>
      <c r="F24" s="96" t="b">
        <f ca="1">F22-F23 &lt; 0.0000000000000000001</f>
        <v>1</v>
      </c>
      <c r="H24" s="120" t="s">
        <v>139</v>
      </c>
      <c r="I24" s="96" t="b">
        <f ca="1">I22-I23 &lt; 0.0000000000000000001</f>
        <v>1</v>
      </c>
      <c r="J24" s="93"/>
      <c r="K24" s="120" t="s">
        <v>139</v>
      </c>
      <c r="L24" s="96" t="b">
        <f ca="1">L22-L23 &lt; 0.0000000000000000001</f>
        <v>1</v>
      </c>
    </row>
    <row r="25" spans="2:12">
      <c r="C25" s="96"/>
      <c r="J25" s="93"/>
      <c r="K25" s="93"/>
    </row>
    <row r="26" spans="2:12">
      <c r="C26" s="96"/>
      <c r="F26" s="96"/>
      <c r="J26" s="93"/>
      <c r="K26" s="93"/>
    </row>
    <row r="27" spans="2:12">
      <c r="B27" s="97"/>
      <c r="C27" s="96"/>
      <c r="J27" s="93"/>
      <c r="K27" s="93"/>
    </row>
    <row r="28" spans="2:12">
      <c r="B28" s="98" t="s">
        <v>122</v>
      </c>
      <c r="C28" s="99"/>
      <c r="J28" s="93"/>
      <c r="K28" s="93"/>
    </row>
    <row r="29" spans="2:12">
      <c r="B29" s="75" t="s">
        <v>123</v>
      </c>
      <c r="C29" s="100" t="s">
        <v>124</v>
      </c>
      <c r="D29" s="101"/>
      <c r="J29" s="93"/>
      <c r="K29" s="93"/>
    </row>
    <row r="30" spans="2:12">
      <c r="B30" s="77" t="s">
        <v>125</v>
      </c>
      <c r="C30" s="102" t="s">
        <v>126</v>
      </c>
      <c r="D30" s="103"/>
      <c r="H30" s="109" t="s">
        <v>131</v>
      </c>
      <c r="I30" s="110" t="str">
        <f ca="1">_xll.meLWOFixingTableCreate(I34,I35,I36,H40:H62,I40:I62)</f>
        <v>EUR1D_FIXINGS@1:0</v>
      </c>
      <c r="J30" s="93"/>
      <c r="K30" s="93"/>
    </row>
    <row r="31" spans="2:12">
      <c r="B31" s="77" t="s">
        <v>127</v>
      </c>
      <c r="C31" s="102" t="s">
        <v>128</v>
      </c>
      <c r="D31" s="103"/>
      <c r="H31" s="111"/>
      <c r="I31" s="112"/>
    </row>
    <row r="32" spans="2:12">
      <c r="B32" s="104" t="s">
        <v>129</v>
      </c>
      <c r="C32" s="105" t="s">
        <v>130</v>
      </c>
      <c r="D32" s="106"/>
      <c r="H32" s="111"/>
      <c r="I32" s="112"/>
    </row>
    <row r="33" spans="2:11">
      <c r="B33" s="107"/>
      <c r="C33" s="108"/>
      <c r="D33" s="86"/>
      <c r="H33" s="113" t="s">
        <v>132</v>
      </c>
      <c r="I33" s="112"/>
    </row>
    <row r="34" spans="2:11">
      <c r="H34" s="114" t="s">
        <v>133</v>
      </c>
      <c r="I34" s="115" t="str">
        <f>I35&amp;I36&amp;"_FIXINGS"</f>
        <v>EUR1D_FIXINGS</v>
      </c>
    </row>
    <row r="35" spans="2:11">
      <c r="H35" s="116" t="s">
        <v>16</v>
      </c>
      <c r="I35" s="117" t="s">
        <v>17</v>
      </c>
    </row>
    <row r="36" spans="2:11">
      <c r="H36" s="118" t="s">
        <v>134</v>
      </c>
      <c r="I36" s="119" t="s">
        <v>137</v>
      </c>
    </row>
    <row r="37" spans="2:11">
      <c r="H37" s="111"/>
      <c r="I37" s="112"/>
    </row>
    <row r="38" spans="2:11">
      <c r="H38" s="111"/>
      <c r="I38" s="112"/>
    </row>
    <row r="39" spans="2:11">
      <c r="F39" s="122" t="s">
        <v>144</v>
      </c>
      <c r="H39" s="123" t="s">
        <v>135</v>
      </c>
      <c r="I39" s="123" t="s">
        <v>136</v>
      </c>
    </row>
    <row r="40" spans="2:11">
      <c r="F40" s="73">
        <v>2.7777777777777701E-3</v>
      </c>
      <c r="H40" s="128">
        <v>42691</v>
      </c>
      <c r="I40" s="125">
        <v>-3.4899999999999996E-3</v>
      </c>
      <c r="J40" s="73">
        <f>F40*I40</f>
        <v>-9.6944444444444168E-6</v>
      </c>
      <c r="K40" s="124"/>
    </row>
    <row r="41" spans="2:11">
      <c r="F41" s="73">
        <v>8.3333333333333297E-3</v>
      </c>
      <c r="H41" s="128">
        <v>42692</v>
      </c>
      <c r="I41" s="125">
        <v>-3.4999999999999996E-3</v>
      </c>
      <c r="J41" s="73">
        <f t="shared" ref="J41:J62" si="0">F41*I41</f>
        <v>-2.9166666666666649E-5</v>
      </c>
      <c r="K41" s="127"/>
    </row>
    <row r="42" spans="2:11">
      <c r="F42" s="73">
        <v>2.7777777777777701E-3</v>
      </c>
      <c r="H42" s="128">
        <v>42695</v>
      </c>
      <c r="I42" s="125">
        <v>-3.4899999999999996E-3</v>
      </c>
      <c r="J42" s="73">
        <f t="shared" si="0"/>
        <v>-9.6944444444444168E-6</v>
      </c>
    </row>
    <row r="43" spans="2:11">
      <c r="F43" s="73">
        <v>2.7777777777777701E-3</v>
      </c>
      <c r="H43" s="128">
        <v>42696</v>
      </c>
      <c r="I43" s="125">
        <v>-3.5099999999999997E-3</v>
      </c>
      <c r="J43" s="73">
        <f t="shared" si="0"/>
        <v>-9.7499999999999727E-6</v>
      </c>
    </row>
    <row r="44" spans="2:11">
      <c r="F44" s="73">
        <v>2.7777777777777701E-3</v>
      </c>
      <c r="H44" s="129">
        <v>42697</v>
      </c>
      <c r="I44" s="125">
        <v>-3.4799999999999996E-3</v>
      </c>
      <c r="J44" s="73">
        <f t="shared" si="0"/>
        <v>-9.6666666666666379E-6</v>
      </c>
    </row>
    <row r="45" spans="2:11">
      <c r="F45" s="73">
        <v>2.7777777777777701E-3</v>
      </c>
      <c r="H45" s="129">
        <v>42698</v>
      </c>
      <c r="I45" s="125">
        <v>-3.5199999999999997E-3</v>
      </c>
      <c r="J45" s="73">
        <f t="shared" si="0"/>
        <v>-9.7777777777777499E-6</v>
      </c>
    </row>
    <row r="46" spans="2:11">
      <c r="F46" s="73">
        <v>8.3333333333333297E-3</v>
      </c>
      <c r="H46" s="129">
        <v>42699</v>
      </c>
      <c r="I46" s="125">
        <v>-3.4999999999999996E-3</v>
      </c>
      <c r="J46" s="73">
        <f t="shared" si="0"/>
        <v>-2.9166666666666649E-5</v>
      </c>
    </row>
    <row r="47" spans="2:11">
      <c r="F47" s="73">
        <v>2.7777777777777701E-3</v>
      </c>
      <c r="H47" s="129">
        <v>42702</v>
      </c>
      <c r="I47" s="125">
        <v>-3.5299999999999997E-3</v>
      </c>
      <c r="J47" s="73">
        <f t="shared" si="0"/>
        <v>-9.805555555555527E-6</v>
      </c>
    </row>
    <row r="48" spans="2:11">
      <c r="F48" s="73">
        <v>2.7777777777777701E-3</v>
      </c>
      <c r="H48" s="129">
        <v>42703</v>
      </c>
      <c r="I48" s="125">
        <v>-3.5099999999999997E-3</v>
      </c>
      <c r="J48" s="73">
        <f t="shared" si="0"/>
        <v>-9.7499999999999727E-6</v>
      </c>
    </row>
    <row r="49" spans="6:10">
      <c r="F49" s="73">
        <v>2.7777777777777701E-3</v>
      </c>
      <c r="H49" s="129">
        <v>42704</v>
      </c>
      <c r="I49" s="125">
        <v>-3.4300000000000003E-3</v>
      </c>
      <c r="J49" s="73">
        <f t="shared" si="0"/>
        <v>-9.5277777777777522E-6</v>
      </c>
    </row>
    <row r="50" spans="6:10">
      <c r="F50" s="73">
        <v>2.7777777777777701E-3</v>
      </c>
      <c r="H50" s="129">
        <v>42705</v>
      </c>
      <c r="I50" s="125">
        <v>-3.4399999999999999E-3</v>
      </c>
      <c r="J50" s="73">
        <f t="shared" si="0"/>
        <v>-9.5555555555555294E-6</v>
      </c>
    </row>
    <row r="51" spans="6:10">
      <c r="F51" s="73">
        <v>8.3333333333333297E-3</v>
      </c>
      <c r="H51" s="129">
        <v>42706</v>
      </c>
      <c r="I51" s="125">
        <v>-3.4699999999999996E-3</v>
      </c>
      <c r="J51" s="73">
        <f t="shared" si="0"/>
        <v>-2.891666666666665E-5</v>
      </c>
    </row>
    <row r="52" spans="6:10">
      <c r="F52" s="73">
        <v>2.7777777777777701E-3</v>
      </c>
      <c r="H52" s="129">
        <v>42709</v>
      </c>
      <c r="I52" s="125">
        <v>-3.4699999999999996E-3</v>
      </c>
      <c r="J52" s="73">
        <f t="shared" si="0"/>
        <v>-9.6388888888888608E-6</v>
      </c>
    </row>
    <row r="53" spans="6:10">
      <c r="F53" s="73">
        <v>2.7777777777777701E-3</v>
      </c>
      <c r="H53" s="129">
        <v>42710</v>
      </c>
      <c r="I53" s="125">
        <v>-3.5099999999999997E-3</v>
      </c>
      <c r="J53" s="73">
        <f t="shared" si="0"/>
        <v>-9.7499999999999727E-6</v>
      </c>
    </row>
    <row r="54" spans="6:10">
      <c r="F54" s="73">
        <v>2.7777777777777701E-3</v>
      </c>
      <c r="H54" s="129">
        <v>42711</v>
      </c>
      <c r="I54" s="125">
        <v>-3.4899999999999996E-3</v>
      </c>
      <c r="J54" s="73">
        <f t="shared" si="0"/>
        <v>-9.6944444444444168E-6</v>
      </c>
    </row>
    <row r="55" spans="6:10">
      <c r="F55" s="73">
        <v>2.7777777777777701E-3</v>
      </c>
      <c r="H55" s="129">
        <v>42712</v>
      </c>
      <c r="I55" s="125">
        <v>-3.4599999999999995E-3</v>
      </c>
      <c r="J55" s="73">
        <f t="shared" si="0"/>
        <v>-9.6111111111110837E-6</v>
      </c>
    </row>
    <row r="56" spans="6:10">
      <c r="F56" s="73">
        <v>8.3333333333333297E-3</v>
      </c>
      <c r="H56" s="129">
        <v>42713</v>
      </c>
      <c r="I56" s="125">
        <v>-3.4799999999999996E-3</v>
      </c>
      <c r="J56" s="73">
        <f t="shared" si="0"/>
        <v>-2.8999999999999983E-5</v>
      </c>
    </row>
    <row r="57" spans="6:10">
      <c r="F57" s="73">
        <v>2.7777777777777701E-3</v>
      </c>
      <c r="H57" s="129">
        <v>42716</v>
      </c>
      <c r="I57" s="125">
        <v>-3.4999999999999996E-3</v>
      </c>
      <c r="J57" s="73">
        <f t="shared" si="0"/>
        <v>-9.7222222222221939E-6</v>
      </c>
    </row>
    <row r="58" spans="6:10">
      <c r="F58" s="73">
        <v>2.7777777777777701E-3</v>
      </c>
      <c r="H58" s="129">
        <v>42717</v>
      </c>
      <c r="I58" s="125">
        <v>-3.5199999999999997E-3</v>
      </c>
      <c r="J58" s="73">
        <f t="shared" si="0"/>
        <v>-9.7777777777777499E-6</v>
      </c>
    </row>
    <row r="59" spans="6:10">
      <c r="F59" s="73">
        <v>2.7777777777777701E-3</v>
      </c>
      <c r="H59" s="129">
        <v>42718</v>
      </c>
      <c r="I59" s="125">
        <v>-3.5099999999999997E-3</v>
      </c>
      <c r="J59" s="73">
        <f t="shared" si="0"/>
        <v>-9.7499999999999727E-6</v>
      </c>
    </row>
    <row r="60" spans="6:10">
      <c r="F60" s="73">
        <v>2.7777777777777701E-3</v>
      </c>
      <c r="H60" s="129">
        <v>42719</v>
      </c>
      <c r="I60" s="125">
        <v>-3.5599999999999998E-3</v>
      </c>
      <c r="J60" s="73">
        <f t="shared" si="0"/>
        <v>-9.8888888888888601E-6</v>
      </c>
    </row>
    <row r="61" spans="6:10">
      <c r="F61" s="73">
        <v>8.3333333333333297E-3</v>
      </c>
      <c r="H61" s="129">
        <v>42720</v>
      </c>
      <c r="I61" s="125">
        <v>-3.5399999999999997E-3</v>
      </c>
      <c r="J61" s="73">
        <f t="shared" si="0"/>
        <v>-2.9499999999999985E-5</v>
      </c>
    </row>
    <row r="62" spans="6:10">
      <c r="H62" s="129">
        <v>42723</v>
      </c>
      <c r="I62" s="125">
        <v>-3.5399999999999997E-3</v>
      </c>
      <c r="J62" s="73">
        <f t="shared" si="0"/>
        <v>0</v>
      </c>
    </row>
    <row r="63" spans="6:10">
      <c r="I63" s="122" t="s">
        <v>145</v>
      </c>
      <c r="J63" s="131">
        <f>SUM(J40:J62)</f>
        <v>-3.1080555555555505E-4</v>
      </c>
    </row>
  </sheetData>
  <dataValidations count="7">
    <dataValidation type="list" allowBlank="1" showInputMessage="1" showErrorMessage="1" sqref="C20 F20 I20 L20">
      <formula1>"NORMAL,FLAT,SIMPLE,AVERAGE"</formula1>
    </dataValidation>
    <dataValidation type="list" allowBlank="1" showInputMessage="1" showErrorMessage="1" sqref="C16">
      <formula1>"NORMAL,STARTDATE,ENDDATE,LUNAR,EOM,IMM"</formula1>
    </dataValidation>
    <dataValidation type="list" allowBlank="1" showInputMessage="1" showErrorMessage="1" sqref="C12 F12 I12 L12">
      <formula1>"MOD_FOLLOWING,FOLLOWING,MOD_PRECEDING,PRECEDING,NO_CHANGE"</formula1>
    </dataValidation>
    <dataValidation type="list" allowBlank="1" showInputMessage="1" showErrorMessage="1" sqref="C11 F11 I11 L11">
      <formula1>" ACT/ACT, ACT/365,ACT/360, '30/360, 30E/360, ACT/365FJ,ACT/365_ISDA"</formula1>
    </dataValidation>
    <dataValidation type="list" allowBlank="1" showInputMessage="1" showErrorMessage="1" sqref="C10 F10 I10 L10">
      <formula1>"None,Business_Days,Weekly,Monthly,Quarterly,Semi-Annual,Annual,LIBOR_MODE,Simple"</formula1>
    </dataValidation>
    <dataValidation imeMode="halfAlpha" allowBlank="1" showInputMessage="1" showErrorMessage="1" sqref="C8 F8 I8 L8"/>
    <dataValidation type="list" allowBlank="1" showInputMessage="1" showErrorMessage="1" sqref="I36">
      <formula1>"1D,1M,3M,6M,12M"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OIS Curve</vt:lpstr>
      <vt:lpstr>meCurveCompoundRate</vt:lpstr>
      <vt:lpstr>Curve.BuildProperties</vt:lpstr>
      <vt:lpstr>Curve.CollectionName</vt:lpstr>
      <vt:lpstr>Curve.MarketDataTable</vt:lpstr>
      <vt:lpstr>Curve.OISIndexName</vt:lpstr>
      <vt:lpstr>LiborOISBasis.Conventions</vt:lpstr>
      <vt:lpstr>LiborOISBasis.MarketData</vt:lpstr>
      <vt:lpstr>LiborSwap.Conventions</vt:lpstr>
      <vt:lpstr>LiborSwap.MarketData</vt:lpstr>
      <vt:lpstr>OIS.Conventions</vt:lpstr>
      <vt:lpstr>OIS.FixingTable</vt:lpstr>
      <vt:lpstr>OIS.MarketData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Zheng Yongyan</cp:lastModifiedBy>
  <dcterms:created xsi:type="dcterms:W3CDTF">2016-03-11T11:47:18Z</dcterms:created>
  <dcterms:modified xsi:type="dcterms:W3CDTF">2016-12-22T16:36:54Z</dcterms:modified>
</cp:coreProperties>
</file>