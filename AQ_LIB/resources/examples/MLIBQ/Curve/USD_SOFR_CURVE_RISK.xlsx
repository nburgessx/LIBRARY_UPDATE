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8800" windowHeight="13575" activeTab="4"/>
  </bookViews>
  <sheets>
    <sheet name="USD_SOFR_CURVE" sheetId="1" r:id="rId1"/>
    <sheet name="USD_OIS" sheetId="2" r:id="rId2"/>
    <sheet name="SWAP_GENERATORS" sheetId="5" r:id="rId3"/>
    <sheet name="REPRICING" sheetId="4" r:id="rId4"/>
    <sheet name="RISK" sheetId="6" r:id="rId5"/>
    <sheet name="FORWARDS" sheetId="3" r:id="rId6"/>
  </sheets>
  <externalReferences>
    <externalReference r:id="rId7"/>
    <externalReference r:id="rId8"/>
  </externalReferences>
  <definedNames>
    <definedName name="calibrationTerms">[1]CURVE_SMOOTHING!$A$9:OFFSET([1]CURVE_SMOOTHING!$A$9,[1]CURVE_SMOOTHING!$B$7-1,0)</definedName>
    <definedName name="CurveCollection" localSheetId="1">USD_OIS!#REF!</definedName>
    <definedName name="CurveCollection" localSheetId="0">USD_SOFR_CURVE!#REF!</definedName>
    <definedName name="enableGlobalCalibration">[2]Settings!$E$4</definedName>
    <definedName name="PaymentDates">[1]CURVE_SMOOTHING!$B$9:OFFSET([1]CURVE_SMOOTHING!$B$9,[1]CURVE_SMOOTHING!$B$7-1,0)</definedName>
    <definedName name="PolynomialOrder">[1]CURVE_SMOOTHING!$C$5</definedName>
    <definedName name="Settings.COB" localSheetId="2">SWAP_GENERATORS!#REF!</definedName>
    <definedName name="Settings.COB">[2]Settings!$C$4</definedName>
    <definedName name="Settings.PulseFrequency">[2]Settings!$O$2</definedName>
    <definedName name="SmoothedForwards">[1]CURVE_SMOOTHING!$E$9:OFFSET([1]CURVE_SMOOTHING!$E$9,[1]CURVE_SMOOTHING!$B$7-1,0)</definedName>
    <definedName name="USD_SOFR_CURVE_GENERATOR">SWAP_GENERATORS!#REF!</definedName>
    <definedName name="USD_SOFR_SWAP_GENERATOR">SWAP_GENERATORS!$D$5</definedName>
    <definedName name="USD_SOFR_SWAP_GENERATOR_UNDER_1Y">SWAP_GENERATORS!$J$5</definedName>
    <definedName name="xValues">[1]CURVE_SMOOTHING!$H$9:$H$28</definedName>
    <definedName name="yValues">[1]CURVE_SMOOTHING!$K$9:$K$28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4" l="1"/>
  <c r="G24" i="4" s="1"/>
  <c r="S24" i="4"/>
  <c r="R25" i="4"/>
  <c r="G25" i="4" s="1"/>
  <c r="S25" i="4"/>
  <c r="R26" i="4"/>
  <c r="G26" i="4" s="1"/>
  <c r="S26" i="4"/>
  <c r="R27" i="4"/>
  <c r="G27" i="4" s="1"/>
  <c r="S27" i="4"/>
  <c r="R28" i="4"/>
  <c r="G28" i="4" s="1"/>
  <c r="S28" i="4"/>
  <c r="R29" i="4"/>
  <c r="G29" i="4" s="1"/>
  <c r="S29" i="4"/>
  <c r="R30" i="4"/>
  <c r="G30" i="4" s="1"/>
  <c r="S30" i="4"/>
  <c r="R31" i="4"/>
  <c r="G31" i="4" s="1"/>
  <c r="S31" i="4"/>
  <c r="R32" i="4"/>
  <c r="G32" i="4" s="1"/>
  <c r="S32" i="4"/>
  <c r="R33" i="4"/>
  <c r="G33" i="4" s="1"/>
  <c r="S33" i="4"/>
  <c r="R34" i="4"/>
  <c r="G34" i="4" s="1"/>
  <c r="S34" i="4"/>
  <c r="R22" i="4"/>
  <c r="G22" i="4" s="1"/>
  <c r="S22" i="4"/>
  <c r="R23" i="4"/>
  <c r="G23" i="4" s="1"/>
  <c r="S23" i="4"/>
  <c r="M23" i="4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R7" i="4"/>
  <c r="G7" i="4" s="1"/>
  <c r="S7" i="4"/>
  <c r="R8" i="4"/>
  <c r="S8" i="4"/>
  <c r="R9" i="4"/>
  <c r="G9" i="4" s="1"/>
  <c r="S9" i="4"/>
  <c r="R10" i="4"/>
  <c r="G10" i="4" s="1"/>
  <c r="S10" i="4"/>
  <c r="R11" i="4"/>
  <c r="G11" i="4" s="1"/>
  <c r="S11" i="4"/>
  <c r="R12" i="4"/>
  <c r="G12" i="4" s="1"/>
  <c r="S12" i="4"/>
  <c r="R13" i="4"/>
  <c r="G13" i="4" s="1"/>
  <c r="S13" i="4"/>
  <c r="R14" i="4"/>
  <c r="G14" i="4" s="1"/>
  <c r="S14" i="4"/>
  <c r="R15" i="4"/>
  <c r="G15" i="4" s="1"/>
  <c r="S15" i="4"/>
  <c r="R16" i="4"/>
  <c r="G16" i="4" s="1"/>
  <c r="S16" i="4"/>
  <c r="R17" i="4"/>
  <c r="G17" i="4" s="1"/>
  <c r="S17" i="4"/>
  <c r="R5" i="4"/>
  <c r="G5" i="4" s="1"/>
  <c r="S5" i="4"/>
  <c r="R6" i="4"/>
  <c r="G6" i="4" s="1"/>
  <c r="S6" i="4"/>
  <c r="M6" i="4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J5" i="5"/>
  <c r="B24" i="4"/>
  <c r="B22" i="4"/>
  <c r="B14" i="4"/>
  <c r="B9" i="4"/>
  <c r="B8" i="4"/>
  <c r="B6" i="4"/>
  <c r="J43" i="5"/>
  <c r="B27" i="4"/>
  <c r="B31" i="4"/>
  <c r="B17" i="4"/>
  <c r="D5" i="5"/>
  <c r="B12" i="4"/>
  <c r="B33" i="4"/>
  <c r="B25" i="4"/>
  <c r="C3" i="2"/>
  <c r="B7" i="4"/>
  <c r="B30" i="4"/>
  <c r="B29" i="4"/>
  <c r="B10" i="4"/>
  <c r="G13" i="2"/>
  <c r="B13" i="4"/>
  <c r="B5" i="4"/>
  <c r="B23" i="4"/>
  <c r="B34" i="4"/>
  <c r="B11" i="4"/>
  <c r="D43" i="5"/>
  <c r="B26" i="4"/>
  <c r="B28" i="4"/>
  <c r="B15" i="4"/>
  <c r="B32" i="4"/>
  <c r="B16" i="4"/>
  <c r="D34" i="4"/>
  <c r="G20" i="2" l="1"/>
  <c r="H24" i="4"/>
  <c r="H32" i="4"/>
  <c r="H25" i="4"/>
  <c r="H26" i="4"/>
  <c r="H27" i="4"/>
  <c r="H31" i="4"/>
  <c r="H28" i="4"/>
  <c r="H29" i="4"/>
  <c r="H30" i="4"/>
  <c r="H33" i="4"/>
  <c r="H34" i="4"/>
  <c r="H14" i="4"/>
  <c r="H7" i="4"/>
  <c r="H15" i="4"/>
  <c r="H8" i="4"/>
  <c r="H12" i="4"/>
  <c r="H9" i="4"/>
  <c r="H10" i="4"/>
  <c r="H13" i="4"/>
  <c r="H11" i="4"/>
  <c r="H16" i="4"/>
  <c r="H17" i="4"/>
  <c r="H5" i="4"/>
  <c r="H6" i="4"/>
  <c r="H22" i="4"/>
  <c r="H23" i="4"/>
  <c r="D14" i="4"/>
  <c r="D23" i="4"/>
  <c r="D10" i="4"/>
  <c r="D6" i="4"/>
  <c r="D7" i="4"/>
  <c r="D30" i="4"/>
  <c r="D27" i="4"/>
  <c r="E2" i="3" a="1"/>
  <c r="K7" i="1"/>
  <c r="N6" i="4"/>
  <c r="D9" i="4"/>
  <c r="D29" i="4"/>
  <c r="N23" i="4"/>
  <c r="D28" i="4"/>
  <c r="D24" i="4"/>
  <c r="D33" i="4"/>
  <c r="D17" i="4"/>
  <c r="N34" i="4"/>
  <c r="D22" i="4"/>
  <c r="N14" i="4"/>
  <c r="D26" i="4"/>
  <c r="N28" i="4"/>
  <c r="G27" i="2" a="1"/>
  <c r="D25" i="4"/>
  <c r="N25" i="4" s="1"/>
  <c r="D8" i="4"/>
  <c r="N8" i="4" s="1"/>
  <c r="D15" i="4"/>
  <c r="N27" i="4"/>
  <c r="D12" i="4"/>
  <c r="N12" i="4" s="1"/>
  <c r="D13" i="4"/>
  <c r="D31" i="4"/>
  <c r="D11" i="4"/>
  <c r="D32" i="4"/>
  <c r="D5" i="4"/>
  <c r="N24" i="4"/>
  <c r="D16" i="4"/>
  <c r="C3" i="6" l="1"/>
  <c r="G28" i="2"/>
  <c r="G27" i="2"/>
  <c r="G29" i="2"/>
  <c r="G30" i="2"/>
  <c r="H20" i="4"/>
  <c r="E112" i="3"/>
  <c r="G90" i="3"/>
  <c r="F69" i="3"/>
  <c r="E48" i="3"/>
  <c r="F5" i="3"/>
  <c r="G92" i="3"/>
  <c r="F71" i="3"/>
  <c r="E50" i="3"/>
  <c r="G28" i="3"/>
  <c r="F7" i="3"/>
  <c r="F116" i="3"/>
  <c r="E95" i="3"/>
  <c r="F52" i="3"/>
  <c r="G9" i="3"/>
  <c r="G72" i="3"/>
  <c r="F72" i="3"/>
  <c r="E45" i="3"/>
  <c r="F10" i="3"/>
  <c r="G48" i="3"/>
  <c r="E57" i="3"/>
  <c r="F6" i="3"/>
  <c r="F110" i="3"/>
  <c r="G130" i="3"/>
  <c r="F109" i="3"/>
  <c r="E88" i="3"/>
  <c r="G66" i="3"/>
  <c r="F45" i="3"/>
  <c r="E24" i="3"/>
  <c r="G2" i="3"/>
  <c r="F111" i="3"/>
  <c r="E90" i="3"/>
  <c r="G68" i="3"/>
  <c r="F47" i="3"/>
  <c r="E26" i="3"/>
  <c r="G4" i="3"/>
  <c r="G113" i="3"/>
  <c r="F92" i="3"/>
  <c r="E71" i="3"/>
  <c r="G49" i="3"/>
  <c r="F28" i="3"/>
  <c r="E7" i="3"/>
  <c r="G112" i="3"/>
  <c r="F91" i="3"/>
  <c r="E70" i="3"/>
  <c r="F112" i="3"/>
  <c r="E91" i="3"/>
  <c r="G69" i="3"/>
  <c r="F48" i="3"/>
  <c r="E27" i="3"/>
  <c r="G5" i="3"/>
  <c r="G87" i="3"/>
  <c r="G39" i="3"/>
  <c r="F105" i="3"/>
  <c r="F94" i="3"/>
  <c r="E44" i="3"/>
  <c r="E113" i="3"/>
  <c r="E129" i="3"/>
  <c r="G71" i="3"/>
  <c r="G27" i="3"/>
  <c r="F58" i="3"/>
  <c r="E92" i="3"/>
  <c r="F43" i="3"/>
  <c r="G126" i="3"/>
  <c r="F97" i="3"/>
  <c r="G46" i="3"/>
  <c r="E4" i="3"/>
  <c r="G8" i="3"/>
  <c r="G35" i="3"/>
  <c r="G19" i="3"/>
  <c r="E62" i="3"/>
  <c r="E14" i="3"/>
  <c r="G41" i="3"/>
  <c r="G104" i="3"/>
  <c r="F104" i="3"/>
  <c r="F40" i="3"/>
  <c r="G123" i="3"/>
  <c r="E73" i="3"/>
  <c r="G107" i="3"/>
  <c r="G127" i="3"/>
  <c r="E21" i="3"/>
  <c r="G67" i="3"/>
  <c r="G103" i="3"/>
  <c r="E59" i="3"/>
  <c r="F16" i="3"/>
  <c r="E61" i="3"/>
  <c r="E53" i="3"/>
  <c r="G64" i="3"/>
  <c r="F46" i="3"/>
  <c r="E128" i="3"/>
  <c r="G106" i="3"/>
  <c r="F85" i="3"/>
  <c r="E64" i="3"/>
  <c r="G42" i="3"/>
  <c r="F21" i="3"/>
  <c r="E130" i="3"/>
  <c r="G108" i="3"/>
  <c r="F87" i="3"/>
  <c r="E66" i="3"/>
  <c r="G44" i="3"/>
  <c r="F23" i="3"/>
  <c r="E2" i="3"/>
  <c r="E111" i="3"/>
  <c r="G89" i="3"/>
  <c r="F68" i="3"/>
  <c r="E47" i="3"/>
  <c r="G25" i="3"/>
  <c r="F4" i="3"/>
  <c r="E110" i="3"/>
  <c r="G88" i="3"/>
  <c r="F67" i="3"/>
  <c r="G109" i="3"/>
  <c r="F88" i="3"/>
  <c r="E67" i="3"/>
  <c r="G45" i="3"/>
  <c r="F24" i="3"/>
  <c r="E3" i="3"/>
  <c r="E81" i="3"/>
  <c r="F34" i="3"/>
  <c r="G31" i="3"/>
  <c r="G86" i="3"/>
  <c r="G38" i="3"/>
  <c r="F98" i="3"/>
  <c r="F121" i="3"/>
  <c r="E65" i="3"/>
  <c r="F22" i="3"/>
  <c r="E37" i="3"/>
  <c r="E85" i="3"/>
  <c r="E38" i="3"/>
  <c r="E77" i="3"/>
  <c r="F90" i="3"/>
  <c r="F41" i="3"/>
  <c r="E125" i="3"/>
  <c r="E124" i="3"/>
  <c r="G75" i="3"/>
  <c r="G110" i="3"/>
  <c r="G40" i="3"/>
  <c r="G51" i="3"/>
  <c r="E63" i="3"/>
  <c r="E83" i="3"/>
  <c r="E19" i="3"/>
  <c r="F129" i="3"/>
  <c r="G63" i="3"/>
  <c r="G11" i="3"/>
  <c r="F27" i="3"/>
  <c r="E68" i="3"/>
  <c r="F74" i="3"/>
  <c r="F125" i="3"/>
  <c r="E104" i="3"/>
  <c r="G82" i="3"/>
  <c r="F61" i="3"/>
  <c r="E40" i="3"/>
  <c r="G18" i="3"/>
  <c r="F127" i="3"/>
  <c r="E106" i="3"/>
  <c r="G84" i="3"/>
  <c r="F63" i="3"/>
  <c r="E42" i="3"/>
  <c r="G20" i="3"/>
  <c r="G129" i="3"/>
  <c r="F108" i="3"/>
  <c r="E87" i="3"/>
  <c r="G65" i="3"/>
  <c r="F44" i="3"/>
  <c r="E23" i="3"/>
  <c r="G128" i="3"/>
  <c r="F107" i="3"/>
  <c r="E86" i="3"/>
  <c r="F128" i="3"/>
  <c r="E107" i="3"/>
  <c r="G85" i="3"/>
  <c r="F64" i="3"/>
  <c r="E43" i="3"/>
  <c r="G21" i="3"/>
  <c r="F130" i="3"/>
  <c r="F73" i="3"/>
  <c r="E29" i="3"/>
  <c r="E5" i="3"/>
  <c r="G79" i="3"/>
  <c r="F33" i="3"/>
  <c r="E84" i="3"/>
  <c r="F114" i="3"/>
  <c r="G59" i="3"/>
  <c r="E17" i="3"/>
  <c r="G15" i="3"/>
  <c r="F78" i="3"/>
  <c r="G32" i="3"/>
  <c r="G47" i="3"/>
  <c r="G83" i="3"/>
  <c r="E36" i="3"/>
  <c r="E97" i="3"/>
  <c r="G95" i="3"/>
  <c r="F30" i="3"/>
  <c r="F14" i="3"/>
  <c r="F19" i="3"/>
  <c r="G102" i="3"/>
  <c r="G105" i="3"/>
  <c r="F83" i="3"/>
  <c r="G61" i="3"/>
  <c r="G23" i="3"/>
  <c r="E28" i="3"/>
  <c r="F54" i="3"/>
  <c r="G70" i="3"/>
  <c r="G30" i="3"/>
  <c r="E30" i="3"/>
  <c r="G37" i="3"/>
  <c r="E116" i="3"/>
  <c r="F18" i="3"/>
  <c r="F65" i="3"/>
  <c r="E100" i="3"/>
  <c r="E121" i="3"/>
  <c r="E69" i="3"/>
  <c r="G122" i="3"/>
  <c r="F101" i="3"/>
  <c r="E80" i="3"/>
  <c r="G58" i="3"/>
  <c r="F37" i="3"/>
  <c r="E16" i="3"/>
  <c r="G124" i="3"/>
  <c r="F103" i="3"/>
  <c r="E82" i="3"/>
  <c r="G60" i="3"/>
  <c r="F39" i="3"/>
  <c r="E18" i="3"/>
  <c r="E127" i="3"/>
  <c r="F84" i="3"/>
  <c r="F20" i="3"/>
  <c r="E126" i="3"/>
  <c r="G125" i="3"/>
  <c r="F66" i="3"/>
  <c r="E76" i="3"/>
  <c r="F122" i="3"/>
  <c r="E22" i="3"/>
  <c r="E46" i="3"/>
  <c r="E120" i="3"/>
  <c r="G98" i="3"/>
  <c r="F77" i="3"/>
  <c r="E56" i="3"/>
  <c r="G34" i="3"/>
  <c r="F13" i="3"/>
  <c r="E122" i="3"/>
  <c r="G100" i="3"/>
  <c r="F79" i="3"/>
  <c r="E58" i="3"/>
  <c r="G36" i="3"/>
  <c r="F15" i="3"/>
  <c r="F124" i="3"/>
  <c r="E103" i="3"/>
  <c r="G81" i="3"/>
  <c r="F60" i="3"/>
  <c r="E39" i="3"/>
  <c r="G17" i="3"/>
  <c r="F123" i="3"/>
  <c r="E102" i="3"/>
  <c r="G80" i="3"/>
  <c r="E123" i="3"/>
  <c r="G101" i="3"/>
  <c r="F80" i="3"/>
  <c r="F117" i="3"/>
  <c r="E96" i="3"/>
  <c r="G74" i="3"/>
  <c r="F53" i="3"/>
  <c r="E32" i="3"/>
  <c r="G10" i="3"/>
  <c r="F119" i="3"/>
  <c r="E98" i="3"/>
  <c r="G76" i="3"/>
  <c r="F55" i="3"/>
  <c r="E34" i="3"/>
  <c r="G12" i="3"/>
  <c r="G121" i="3"/>
  <c r="F100" i="3"/>
  <c r="E79" i="3"/>
  <c r="G57" i="3"/>
  <c r="F36" i="3"/>
  <c r="E15" i="3"/>
  <c r="G120" i="3"/>
  <c r="F99" i="3"/>
  <c r="E78" i="3"/>
  <c r="F120" i="3"/>
  <c r="E99" i="3"/>
  <c r="G77" i="3"/>
  <c r="F56" i="3"/>
  <c r="E35" i="3"/>
  <c r="G13" i="3"/>
  <c r="E109" i="3"/>
  <c r="G55" i="3"/>
  <c r="E13" i="3"/>
  <c r="G115" i="3"/>
  <c r="E60" i="3"/>
  <c r="F17" i="3"/>
  <c r="F42" i="3"/>
  <c r="E93" i="3"/>
  <c r="G43" i="3"/>
  <c r="G119" i="3"/>
  <c r="F113" i="3"/>
  <c r="F59" i="3"/>
  <c r="G16" i="3"/>
  <c r="G118" i="3"/>
  <c r="G62" i="3"/>
  <c r="E20" i="3"/>
  <c r="E25" i="3"/>
  <c r="G24" i="3"/>
  <c r="F89" i="3"/>
  <c r="F51" i="3"/>
  <c r="F81" i="3"/>
  <c r="G26" i="3"/>
  <c r="F115" i="3"/>
  <c r="G93" i="3"/>
  <c r="G29" i="3"/>
  <c r="G94" i="3"/>
  <c r="E101" i="3"/>
  <c r="G6" i="3"/>
  <c r="E33" i="3"/>
  <c r="F70" i="3"/>
  <c r="E6" i="3"/>
  <c r="E52" i="3"/>
  <c r="F82" i="3"/>
  <c r="E89" i="3"/>
  <c r="G22" i="3"/>
  <c r="F126" i="3"/>
  <c r="E9" i="3"/>
  <c r="G114" i="3"/>
  <c r="F93" i="3"/>
  <c r="E72" i="3"/>
  <c r="G50" i="3"/>
  <c r="F29" i="3"/>
  <c r="E8" i="3"/>
  <c r="G116" i="3"/>
  <c r="F95" i="3"/>
  <c r="E74" i="3"/>
  <c r="G52" i="3"/>
  <c r="F31" i="3"/>
  <c r="E10" i="3"/>
  <c r="E119" i="3"/>
  <c r="G97" i="3"/>
  <c r="F76" i="3"/>
  <c r="E55" i="3"/>
  <c r="G33" i="3"/>
  <c r="F12" i="3"/>
  <c r="E118" i="3"/>
  <c r="G96" i="3"/>
  <c r="F75" i="3"/>
  <c r="G117" i="3"/>
  <c r="F96" i="3"/>
  <c r="E75" i="3"/>
  <c r="G53" i="3"/>
  <c r="F32" i="3"/>
  <c r="E11" i="3"/>
  <c r="F102" i="3"/>
  <c r="F50" i="3"/>
  <c r="G7" i="3"/>
  <c r="E108" i="3"/>
  <c r="G54" i="3"/>
  <c r="E12" i="3"/>
  <c r="F26" i="3"/>
  <c r="F86" i="3"/>
  <c r="F38" i="3"/>
  <c r="G91" i="3"/>
  <c r="F106" i="3"/>
  <c r="E54" i="3"/>
  <c r="F11" i="3"/>
  <c r="G111" i="3"/>
  <c r="F57" i="3"/>
  <c r="G14" i="3"/>
  <c r="G3" i="3"/>
  <c r="F3" i="3"/>
  <c r="F62" i="3"/>
  <c r="E117" i="3"/>
  <c r="G56" i="3"/>
  <c r="E114" i="3"/>
  <c r="G73" i="3"/>
  <c r="E31" i="3"/>
  <c r="E94" i="3"/>
  <c r="E115" i="3"/>
  <c r="E51" i="3"/>
  <c r="F8" i="3"/>
  <c r="F2" i="3"/>
  <c r="F49" i="3"/>
  <c r="G78" i="3"/>
  <c r="G99" i="3"/>
  <c r="E105" i="3"/>
  <c r="F9" i="3"/>
  <c r="E41" i="3"/>
  <c r="F35" i="3"/>
  <c r="E49" i="3"/>
  <c r="F25" i="3"/>
  <c r="F118" i="3"/>
  <c r="C10" i="6" a="1"/>
  <c r="N5" i="4"/>
  <c r="N32" i="4"/>
  <c r="N31" i="4"/>
  <c r="N33" i="4"/>
  <c r="N30" i="4"/>
  <c r="L7" i="1"/>
  <c r="N17" i="4"/>
  <c r="N13" i="4"/>
  <c r="N22" i="4"/>
  <c r="N26" i="4"/>
  <c r="N9" i="4"/>
  <c r="N7" i="4"/>
  <c r="N29" i="4"/>
  <c r="N15" i="4"/>
  <c r="N16" i="4"/>
  <c r="N10" i="4"/>
  <c r="N11" i="4"/>
  <c r="F23" i="6" l="1"/>
  <c r="K14" i="6"/>
  <c r="C20" i="6"/>
  <c r="G25" i="6"/>
  <c r="D10" i="6"/>
  <c r="H15" i="6"/>
  <c r="L20" i="6"/>
  <c r="D26" i="6"/>
  <c r="M26" i="6"/>
  <c r="G10" i="6"/>
  <c r="C29" i="6"/>
  <c r="L27" i="6"/>
  <c r="F29" i="6"/>
  <c r="M14" i="6"/>
  <c r="E20" i="6"/>
  <c r="I27" i="6"/>
  <c r="C15" i="6"/>
  <c r="K29" i="6"/>
  <c r="L25" i="6"/>
  <c r="J28" i="6"/>
  <c r="N14" i="6"/>
  <c r="F20" i="6"/>
  <c r="G16" i="6"/>
  <c r="H16" i="6"/>
  <c r="J12" i="6"/>
  <c r="H20" i="6"/>
  <c r="N19" i="6"/>
  <c r="M13" i="6"/>
  <c r="E19" i="6"/>
  <c r="I24" i="6"/>
  <c r="K28" i="6"/>
  <c r="H29" i="6"/>
  <c r="D19" i="6"/>
  <c r="N17" i="6"/>
  <c r="C11" i="6"/>
  <c r="C23" i="6"/>
  <c r="J23" i="6"/>
  <c r="E29" i="6"/>
  <c r="G13" i="6"/>
  <c r="H19" i="6"/>
  <c r="E24" i="6"/>
  <c r="M18" i="6"/>
  <c r="D21" i="6"/>
  <c r="I26" i="6"/>
  <c r="J22" i="6"/>
  <c r="N15" i="6"/>
  <c r="C10" i="6"/>
  <c r="G15" i="6"/>
  <c r="K20" i="6"/>
  <c r="C26" i="6"/>
  <c r="L10" i="6"/>
  <c r="D16" i="6"/>
  <c r="H21" i="6"/>
  <c r="L26" i="6"/>
  <c r="E28" i="6"/>
  <c r="C13" i="6"/>
  <c r="H10" i="6"/>
  <c r="E25" i="6"/>
  <c r="E10" i="6"/>
  <c r="I15" i="6"/>
  <c r="M20" i="6"/>
  <c r="I29" i="6"/>
  <c r="C17" i="6"/>
  <c r="L11" i="6"/>
  <c r="H28" i="6"/>
  <c r="F10" i="6"/>
  <c r="J15" i="6"/>
  <c r="N20" i="6"/>
  <c r="C19" i="6"/>
  <c r="H18" i="6"/>
  <c r="F17" i="6"/>
  <c r="L23" i="6"/>
  <c r="N23" i="6"/>
  <c r="I14" i="6"/>
  <c r="M19" i="6"/>
  <c r="E27" i="6"/>
  <c r="M12" i="6"/>
  <c r="E17" i="6"/>
  <c r="K18" i="6"/>
  <c r="G24" i="6"/>
  <c r="G12" i="6"/>
  <c r="F26" i="6"/>
  <c r="F11" i="6"/>
  <c r="M23" i="6"/>
  <c r="K10" i="6"/>
  <c r="C16" i="6"/>
  <c r="G21" i="6"/>
  <c r="K26" i="6"/>
  <c r="H11" i="6"/>
  <c r="L16" i="6"/>
  <c r="D22" i="6"/>
  <c r="H27" i="6"/>
  <c r="M28" i="6"/>
  <c r="K15" i="6"/>
  <c r="H12" i="6"/>
  <c r="I28" i="6"/>
  <c r="M10" i="6"/>
  <c r="E16" i="6"/>
  <c r="I21" i="6"/>
  <c r="N24" i="6"/>
  <c r="G18" i="6"/>
  <c r="D13" i="6"/>
  <c r="M27" i="6"/>
  <c r="N10" i="6"/>
  <c r="F16" i="6"/>
  <c r="J21" i="6"/>
  <c r="C21" i="6"/>
  <c r="L21" i="6"/>
  <c r="F21" i="6"/>
  <c r="D27" i="6"/>
  <c r="J26" i="6"/>
  <c r="E15" i="6"/>
  <c r="I20" i="6"/>
  <c r="F13" i="6"/>
  <c r="G23" i="6"/>
  <c r="L19" i="6"/>
  <c r="M11" i="6"/>
  <c r="C24" i="6"/>
  <c r="N21" i="6"/>
  <c r="J13" i="6"/>
  <c r="I12" i="6"/>
  <c r="F27" i="6"/>
  <c r="G11" i="6"/>
  <c r="K16" i="6"/>
  <c r="C22" i="6"/>
  <c r="G27" i="6"/>
  <c r="D12" i="6"/>
  <c r="H17" i="6"/>
  <c r="L22" i="6"/>
  <c r="D28" i="6"/>
  <c r="F24" i="6"/>
  <c r="K17" i="6"/>
  <c r="H14" i="6"/>
  <c r="N11" i="6"/>
  <c r="I11" i="6"/>
  <c r="M16" i="6"/>
  <c r="E22" i="6"/>
  <c r="J27" i="6"/>
  <c r="K19" i="6"/>
  <c r="D15" i="6"/>
  <c r="J10" i="6"/>
  <c r="J11" i="6"/>
  <c r="N16" i="6"/>
  <c r="F22" i="6"/>
  <c r="K23" i="6"/>
  <c r="H24" i="6"/>
  <c r="N25" i="6"/>
  <c r="L29" i="6"/>
  <c r="I10" i="6"/>
  <c r="M15" i="6"/>
  <c r="E21" i="6"/>
  <c r="F15" i="6"/>
  <c r="C18" i="6"/>
  <c r="H13" i="6"/>
  <c r="L18" i="6"/>
  <c r="D24" i="6"/>
  <c r="N26" i="6"/>
  <c r="G22" i="6"/>
  <c r="I23" i="6"/>
  <c r="J16" i="6"/>
  <c r="K27" i="6"/>
  <c r="G14" i="6"/>
  <c r="J20" i="6"/>
  <c r="D14" i="6"/>
  <c r="H22" i="6"/>
  <c r="M24" i="6"/>
  <c r="F19" i="6"/>
  <c r="G28" i="6"/>
  <c r="E23" i="6"/>
  <c r="L15" i="6"/>
  <c r="C12" i="6"/>
  <c r="G17" i="6"/>
  <c r="K22" i="6"/>
  <c r="C28" i="6"/>
  <c r="L12" i="6"/>
  <c r="D18" i="6"/>
  <c r="H23" i="6"/>
  <c r="L28" i="6"/>
  <c r="J25" i="6"/>
  <c r="G20" i="6"/>
  <c r="D17" i="6"/>
  <c r="J14" i="6"/>
  <c r="E12" i="6"/>
  <c r="I17" i="6"/>
  <c r="M22" i="6"/>
  <c r="N28" i="6"/>
  <c r="K21" i="6"/>
  <c r="L17" i="6"/>
  <c r="N13" i="6"/>
  <c r="F12" i="6"/>
  <c r="J17" i="6"/>
  <c r="N22" i="6"/>
  <c r="K25" i="6"/>
  <c r="H26" i="6"/>
  <c r="N29" i="6"/>
  <c r="M25" i="6"/>
  <c r="E11" i="6"/>
  <c r="I16" i="6"/>
  <c r="M21" i="6"/>
  <c r="J18" i="6"/>
  <c r="K12" i="6"/>
  <c r="E18" i="6"/>
  <c r="F18" i="6"/>
  <c r="D29" i="6"/>
  <c r="I22" i="6"/>
  <c r="G29" i="6"/>
  <c r="L24" i="6"/>
  <c r="I13" i="6"/>
  <c r="C25" i="6"/>
  <c r="D11" i="6"/>
  <c r="M17" i="6"/>
  <c r="M29" i="6"/>
  <c r="N12" i="6"/>
  <c r="F28" i="6"/>
  <c r="N18" i="6"/>
  <c r="I18" i="6"/>
  <c r="C14" i="6"/>
  <c r="G19" i="6"/>
  <c r="K24" i="6"/>
  <c r="N27" i="6"/>
  <c r="L14" i="6"/>
  <c r="D20" i="6"/>
  <c r="H25" i="6"/>
  <c r="I25" i="6"/>
  <c r="J29" i="6"/>
  <c r="G26" i="6"/>
  <c r="D25" i="6"/>
  <c r="F25" i="6"/>
  <c r="E14" i="6"/>
  <c r="I19" i="6"/>
  <c r="E26" i="6"/>
  <c r="K13" i="6"/>
  <c r="C27" i="6"/>
  <c r="D23" i="6"/>
  <c r="J24" i="6"/>
  <c r="F14" i="6"/>
  <c r="J19" i="6"/>
  <c r="K11" i="6"/>
  <c r="L13" i="6"/>
  <c r="E13" i="6"/>
  <c r="K8" i="1"/>
  <c r="L8" i="1"/>
  <c r="G31" i="2"/>
  <c r="K9" i="1" l="1"/>
  <c r="O25" i="4"/>
  <c r="O33" i="4"/>
  <c r="O23" i="4"/>
  <c r="O31" i="4"/>
  <c r="O26" i="4"/>
  <c r="O34" i="4"/>
  <c r="O27" i="4"/>
  <c r="O29" i="4"/>
  <c r="O28" i="4"/>
  <c r="O32" i="4"/>
  <c r="O22" i="4"/>
  <c r="O30" i="4"/>
  <c r="O24" i="4"/>
  <c r="L9" i="1"/>
  <c r="P24" i="4"/>
  <c r="P26" i="4"/>
  <c r="P29" i="4"/>
  <c r="P33" i="4"/>
  <c r="P27" i="4"/>
  <c r="P31" i="4"/>
  <c r="P22" i="4"/>
  <c r="P34" i="4"/>
  <c r="P28" i="4"/>
  <c r="P32" i="4"/>
  <c r="P30" i="4"/>
  <c r="P25" i="4"/>
  <c r="P23" i="4"/>
  <c r="C13" i="1" l="1"/>
  <c r="K10" i="1"/>
  <c r="T32" i="4"/>
  <c r="T33" i="4"/>
  <c r="T25" i="4"/>
  <c r="T29" i="4"/>
  <c r="T27" i="4"/>
  <c r="T34" i="4"/>
  <c r="T24" i="4"/>
  <c r="T26" i="4"/>
  <c r="T30" i="4"/>
  <c r="T31" i="4"/>
  <c r="T22" i="4"/>
  <c r="T23" i="4"/>
  <c r="T28" i="4"/>
  <c r="L10" i="1"/>
  <c r="C3" i="1"/>
  <c r="G20" i="1" l="1"/>
  <c r="G13" i="1"/>
  <c r="G27" i="1" a="1"/>
  <c r="G28" i="1" l="1"/>
  <c r="O9" i="4" s="1"/>
  <c r="G29" i="1"/>
  <c r="G30" i="1"/>
  <c r="G27" i="1"/>
  <c r="G31" i="1"/>
  <c r="P9" i="4"/>
  <c r="O5" i="4" l="1"/>
  <c r="O15" i="4"/>
  <c r="O6" i="4"/>
  <c r="O12" i="4"/>
  <c r="O8" i="4"/>
  <c r="O7" i="4"/>
  <c r="O11" i="4"/>
  <c r="O10" i="4"/>
  <c r="O13" i="4"/>
  <c r="O14" i="4"/>
  <c r="O16" i="4"/>
  <c r="O17" i="4"/>
  <c r="T9" i="4"/>
  <c r="P5" i="4"/>
  <c r="P15" i="4"/>
  <c r="P6" i="4"/>
  <c r="P12" i="4"/>
  <c r="P17" i="4"/>
  <c r="P11" i="4"/>
  <c r="P10" i="4"/>
  <c r="P14" i="4"/>
  <c r="P13" i="4"/>
  <c r="P16" i="4"/>
  <c r="P8" i="4"/>
  <c r="P7" i="4"/>
  <c r="T15" i="4" l="1"/>
  <c r="T5" i="4"/>
  <c r="T12" i="4"/>
  <c r="T6" i="4"/>
  <c r="T17" i="4"/>
  <c r="T16" i="4"/>
  <c r="T14" i="4"/>
  <c r="T13" i="4"/>
  <c r="T10" i="4"/>
  <c r="T11" i="4"/>
  <c r="T7" i="4"/>
  <c r="T8" i="4"/>
</calcChain>
</file>

<file path=xl/sharedStrings.xml><?xml version="1.0" encoding="utf-8"?>
<sst xmlns="http://schemas.openxmlformats.org/spreadsheetml/2006/main" count="729" uniqueCount="168">
  <si>
    <t>Curve Generator Handle</t>
  </si>
  <si>
    <t>MARKETDATAPROPERTIES</t>
  </si>
  <si>
    <t xml:space="preserve"> </t>
  </si>
  <si>
    <t>OIS</t>
  </si>
  <si>
    <t>Term</t>
  </si>
  <si>
    <t>Rate</t>
  </si>
  <si>
    <t>StartDate</t>
  </si>
  <si>
    <t>EndDate</t>
  </si>
  <si>
    <t>Volatility</t>
  </si>
  <si>
    <t>CURVEPROPERTIES</t>
  </si>
  <si>
    <t>Currency</t>
  </si>
  <si>
    <t>USD</t>
  </si>
  <si>
    <t>ON</t>
  </si>
  <si>
    <t>CurveType</t>
  </si>
  <si>
    <t>ARR</t>
  </si>
  <si>
    <t>1W</t>
  </si>
  <si>
    <t>CurveIndexFrequency</t>
  </si>
  <si>
    <t>DAILY</t>
  </si>
  <si>
    <t>FUTURE1</t>
  </si>
  <si>
    <t>SOFR FUTURE</t>
  </si>
  <si>
    <t>StaticDataTable</t>
  </si>
  <si>
    <t>SOFR</t>
  </si>
  <si>
    <t>AsOfDate</t>
  </si>
  <si>
    <t>FUTURE2</t>
  </si>
  <si>
    <t>IndexName</t>
  </si>
  <si>
    <t>USDSOFR</t>
  </si>
  <si>
    <t>FUTURE3</t>
  </si>
  <si>
    <t>FUTURE4</t>
  </si>
  <si>
    <t>interpolation</t>
  </si>
  <si>
    <t>FN_SPLINEINTERPOLATION</t>
  </si>
  <si>
    <t>Create Market Data Handle</t>
  </si>
  <si>
    <t>2Y</t>
  </si>
  <si>
    <t>yieldgen.interpolation</t>
  </si>
  <si>
    <t>Handle Name</t>
  </si>
  <si>
    <t>USD_OIS_CURVE_MARKETDATA</t>
  </si>
  <si>
    <t>Market Data Handle</t>
  </si>
  <si>
    <t>5Y</t>
  </si>
  <si>
    <t>7Y</t>
  </si>
  <si>
    <t>calendar</t>
  </si>
  <si>
    <t>NYB</t>
  </si>
  <si>
    <t>10Y</t>
  </si>
  <si>
    <t>daycount</t>
  </si>
  <si>
    <t>ACT/360</t>
  </si>
  <si>
    <t>12Y</t>
  </si>
  <si>
    <t>frequency</t>
  </si>
  <si>
    <t>ANNUAL</t>
  </si>
  <si>
    <t>Curve Dictionary</t>
  </si>
  <si>
    <t>15Y</t>
  </si>
  <si>
    <t>generatemethod</t>
  </si>
  <si>
    <t>DAILYCOMPOUNDING</t>
  </si>
  <si>
    <t>CURVE_USDSOFR</t>
  </si>
  <si>
    <t>20Y</t>
  </si>
  <si>
    <t>resetlag</t>
  </si>
  <si>
    <t>2D</t>
  </si>
  <si>
    <t>Curve Generator</t>
  </si>
  <si>
    <t>25Y</t>
  </si>
  <si>
    <t>firstrate</t>
  </si>
  <si>
    <t>SHORTMARKET</t>
  </si>
  <si>
    <t>Domestic Curve Collection</t>
  </si>
  <si>
    <t>USDYC</t>
  </si>
  <si>
    <t>30Y</t>
  </si>
  <si>
    <t>slidingrule</t>
  </si>
  <si>
    <t>MOD_FOLLOWING</t>
  </si>
  <si>
    <t>Foreign Curve Collection</t>
  </si>
  <si>
    <t>40Y</t>
  </si>
  <si>
    <t>eomday</t>
  </si>
  <si>
    <t>31</t>
  </si>
  <si>
    <t>50Y</t>
  </si>
  <si>
    <t>iseomroll</t>
  </si>
  <si>
    <t>TRUE</t>
  </si>
  <si>
    <t>shorttermconvention</t>
  </si>
  <si>
    <t>ARITHMETICAVERAGE</t>
  </si>
  <si>
    <t>longterm.generatemethod</t>
  </si>
  <si>
    <t>NONE</t>
  </si>
  <si>
    <t>Curve Build</t>
  </si>
  <si>
    <t>Epsilon</t>
  </si>
  <si>
    <t>MaxLoop</t>
  </si>
  <si>
    <t>1000</t>
  </si>
  <si>
    <t>Curve Collection</t>
  </si>
  <si>
    <t>CompoundingMethod</t>
  </si>
  <si>
    <t>ARITHMETIC</t>
  </si>
  <si>
    <t>Curve Index</t>
  </si>
  <si>
    <t>SmoothShortEnd</t>
  </si>
  <si>
    <t>FALSE</t>
  </si>
  <si>
    <t>Calibration Time Taken</t>
  </si>
  <si>
    <t>Curve Loaded</t>
  </si>
  <si>
    <t>MPC1</t>
  </si>
  <si>
    <t>FED FUND MPC SWAP</t>
  </si>
  <si>
    <t>MPC2</t>
  </si>
  <si>
    <t>USDOIS</t>
  </si>
  <si>
    <t>MPC3</t>
  </si>
  <si>
    <t>MPC4</t>
  </si>
  <si>
    <t>dfCurveName</t>
  </si>
  <si>
    <t>CURVE_USDOIS</t>
  </si>
  <si>
    <t>CurveCollection</t>
  </si>
  <si>
    <t>CurveIndex</t>
  </si>
  <si>
    <t>FN_LINEARSPLINEINTERPOLATION</t>
  </si>
  <si>
    <t>InterpolationJoinDate</t>
  </si>
  <si>
    <t>Trade Dates</t>
  </si>
  <si>
    <t>USD SOFR SWAPS</t>
  </si>
  <si>
    <t>Trade Booking &amp; Pricing</t>
  </si>
  <si>
    <t>Bloomberg Calibration Data</t>
  </si>
  <si>
    <t>Unadjusted Date !</t>
  </si>
  <si>
    <t>Swap Template</t>
  </si>
  <si>
    <t>EffectiveDate</t>
  </si>
  <si>
    <t>Calendar</t>
  </si>
  <si>
    <t>MaturityDate</t>
  </si>
  <si>
    <t>Maturity</t>
  </si>
  <si>
    <t>Generator</t>
  </si>
  <si>
    <t>PayRec</t>
  </si>
  <si>
    <t>Notional</t>
  </si>
  <si>
    <t>FixedRate</t>
  </si>
  <si>
    <t>Libor Spread</t>
  </si>
  <si>
    <t>CreateSwap</t>
  </si>
  <si>
    <t>ParRate</t>
  </si>
  <si>
    <t>Tenor</t>
  </si>
  <si>
    <t>+/- Bps</t>
  </si>
  <si>
    <t>RECEIVE</t>
  </si>
  <si>
    <t>Create Template</t>
  </si>
  <si>
    <t>Object Name</t>
  </si>
  <si>
    <t>USD_SOFR_SWAP</t>
  </si>
  <si>
    <t>USD_SOFR_SWAP_UNDER_1Y</t>
  </si>
  <si>
    <t>LEGTYPE</t>
  </si>
  <si>
    <t>Leg1:Fixed</t>
  </si>
  <si>
    <t>Leg2:Float</t>
  </si>
  <si>
    <t>LEVERAGE</t>
  </si>
  <si>
    <t>1</t>
  </si>
  <si>
    <t>FORECASTCURVE</t>
  </si>
  <si>
    <t>DISCOUNTCURVE</t>
  </si>
  <si>
    <t>COMPOUNDMETHOD</t>
  </si>
  <si>
    <t>GEOMETRIC</t>
  </si>
  <si>
    <t>NOTIONALEXCHANGE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</si>
  <si>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</si>
  <si>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</si>
  <si>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</si>
  <si>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</si>
  <si>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</si>
  <si>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</si>
  <si>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</si>
  <si>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</si>
  <si>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</si>
  <si>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</si>
  <si>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</si>
  <si>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</si>
  <si>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/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</si>
  <si>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</si>
  <si>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</si>
  <si>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</si>
  <si>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</si>
  <si>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</si>
  <si>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</si>
  <si>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</si>
  <si>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</si>
  <si>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</si>
  <si>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</si>
  <si>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NATURAL</t>
  </si>
  <si>
    <t>LASTSTUBCURVEINDEX</t>
  </si>
  <si>
    <t>* Market Convention: OIS Swaps Under 1Y with Arithmetic Compounding Default to Simple or Geometric Compounding</t>
  </si>
  <si>
    <t>USD FED FUNDS SWAP GENERATOR TEMPLATE</t>
  </si>
  <si>
    <t>USD SOFR SWAP GENERATOR TEMPLATE</t>
  </si>
  <si>
    <t>USD_OIS_SWAP</t>
  </si>
  <si>
    <t>USD_OIS_SWAP_UNDER_1Y</t>
  </si>
  <si>
    <t>&lt;--- Fix</t>
  </si>
  <si>
    <t>USD OIS SWAPS - WITH RISK-FREE SOFR DISCOUNTING</t>
  </si>
  <si>
    <t>Trade</t>
  </si>
  <si>
    <t>OptimizeRisk</t>
  </si>
  <si>
    <t>RiskCutOffTenor</t>
  </si>
  <si>
    <t>Risk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</si>
</sst>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%"/>
    <numFmt numFmtId="165" formatCode="#,##0.000"/>
    <numFmt numFmtId="166" formatCode="ddd\,\ d\-mmm\-yy"/>
    <numFmt numFmtId="167" formatCode="0.0000%"/>
    <numFmt numFmtId="168" formatCode="#,##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0" xfId="0" applyFont="1"/>
    <xf numFmtId="0" fontId="0" fillId="2" borderId="4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6" fillId="2" borderId="6" xfId="0" applyFont="1" applyFill="1" applyBorder="1" applyAlignment="1">
      <alignment horizontal="center" vertical="center"/>
    </xf>
    <xf numFmtId="0" fontId="7" fillId="0" borderId="6" xfId="0" applyFont="1" applyFill="1" applyBorder="1"/>
    <xf numFmtId="0" fontId="2" fillId="0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6" fillId="0" borderId="3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15" fontId="6" fillId="0" borderId="7" xfId="0" applyNumberFormat="1" applyFont="1" applyFill="1" applyBorder="1" applyAlignment="1">
      <alignment horizontal="left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165" fontId="5" fillId="0" borderId="0" xfId="0" applyNumberFormat="1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/>
    <xf numFmtId="0" fontId="0" fillId="3" borderId="9" xfId="0" applyFont="1" applyFill="1" applyBorder="1"/>
    <xf numFmtId="166" fontId="5" fillId="3" borderId="9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6" fillId="0" borderId="9" xfId="0" applyFont="1" applyFill="1" applyBorder="1" applyAlignment="1">
      <alignment vertical="center"/>
    </xf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9" xfId="0" applyFill="1" applyBorder="1"/>
    <xf numFmtId="0" fontId="5" fillId="3" borderId="9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11" fontId="0" fillId="0" borderId="8" xfId="0" applyNumberFormat="1" applyBorder="1" applyAlignment="1">
      <alignment horizontal="left"/>
    </xf>
    <xf numFmtId="0" fontId="9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5" fontId="5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5" fillId="0" borderId="10" xfId="0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15" fontId="5" fillId="0" borderId="6" xfId="0" applyNumberFormat="1" applyFont="1" applyFill="1" applyBorder="1" applyAlignment="1">
      <alignment horizontal="center" vertical="center"/>
    </xf>
    <xf numFmtId="15" fontId="5" fillId="0" borderId="1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6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164" fontId="0" fillId="0" borderId="0" xfId="0" applyNumberFormat="1"/>
    <xf numFmtId="15" fontId="5" fillId="0" borderId="9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0" fillId="5" borderId="1" xfId="0" quotePrefix="1" applyNumberFormat="1" applyFill="1" applyBorder="1" applyAlignment="1">
      <alignment horizontal="center" vertical="center"/>
    </xf>
    <xf numFmtId="166" fontId="0" fillId="5" borderId="1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7" fontId="8" fillId="2" borderId="2" xfId="0" applyNumberFormat="1" applyFont="1" applyFill="1" applyBorder="1" applyAlignment="1">
      <alignment horizontal="center" vertical="center"/>
    </xf>
    <xf numFmtId="168" fontId="8" fillId="2" borderId="3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0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0" fillId="5" borderId="4" xfId="0" quotePrefix="1" applyNumberFormat="1" applyFill="1" applyBorder="1" applyAlignment="1">
      <alignment horizontal="center" vertical="center"/>
    </xf>
    <xf numFmtId="166" fontId="0" fillId="5" borderId="0" xfId="0" applyNumberForma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3" fontId="0" fillId="5" borderId="0" xfId="0" applyNumberFormat="1" applyFill="1" applyBorder="1" applyAlignment="1">
      <alignment horizontal="center" vertical="center"/>
    </xf>
    <xf numFmtId="10" fontId="0" fillId="5" borderId="0" xfId="0" applyNumberFormat="1" applyFill="1" applyBorder="1" applyAlignment="1">
      <alignment horizontal="center" vertical="center"/>
    </xf>
    <xf numFmtId="4" fontId="0" fillId="5" borderId="5" xfId="0" applyNumberForma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167" fontId="5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7" fontId="8" fillId="2" borderId="0" xfId="0" applyNumberFormat="1" applyFont="1" applyFill="1" applyBorder="1" applyAlignment="1">
      <alignment horizontal="center" vertical="center"/>
    </xf>
    <xf numFmtId="168" fontId="8" fillId="2" borderId="5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0" fontId="0" fillId="0" borderId="0" xfId="0" applyBorder="1"/>
    <xf numFmtId="166" fontId="0" fillId="5" borderId="10" xfId="0" quotePrefix="1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7" fontId="8" fillId="2" borderId="6" xfId="0" applyNumberFormat="1" applyFont="1" applyFill="1" applyBorder="1" applyAlignment="1">
      <alignment horizontal="center" vertical="center"/>
    </xf>
    <xf numFmtId="168" fontId="8" fillId="2" borderId="11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6" borderId="7" xfId="0" applyFont="1" applyFill="1" applyBorder="1" applyAlignment="1">
      <alignment horizontal="center" vertical="center"/>
    </xf>
    <xf numFmtId="0" fontId="0" fillId="3" borderId="8" xfId="0" applyFill="1" applyBorder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2" fillId="2" borderId="5" xfId="0" applyFont="1" applyFill="1" applyBorder="1"/>
    <xf numFmtId="0" fontId="0" fillId="0" borderId="4" xfId="0" applyBorder="1"/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4" fillId="2" borderId="0" xfId="0" applyFont="1" applyFill="1" applyAlignment="1">
      <alignment horizontal="left" vertical="center"/>
    </xf>
    <xf numFmtId="3" fontId="1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</a:t>
            </a:r>
            <a:r>
              <a:rPr lang="en-GB" baseline="0"/>
              <a:t> Rates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6192906054346E-2"/>
          <c:y val="7.1155875299760196E-2"/>
          <c:w val="0.89649537383246092"/>
          <c:h val="0.8163472875243114"/>
        </c:manualLayout>
      </c:layout>
      <c:lineChart>
        <c:grouping val="standard"/>
        <c:varyColors val="0"/>
        <c:ser>
          <c:idx val="0"/>
          <c:order val="0"/>
          <c:tx>
            <c:strRef>
              <c:f>FORWARDS!$F$2</c:f>
              <c:strCache>
                <c:ptCount val="1"/>
                <c:pt idx="0">
                  <c:v>USDSOFR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FORWARDS!$E$3:$E$130</c:f>
              <c:numCache>
                <c:formatCode>ddd\,\ d\-mmm\-yy</c:formatCode>
                <c:ptCount val="128"/>
                <c:pt idx="0">
                  <c:v>43776</c:v>
                </c:pt>
                <c:pt idx="1">
                  <c:v>43808</c:v>
                </c:pt>
                <c:pt idx="2">
                  <c:v>43837</c:v>
                </c:pt>
                <c:pt idx="3">
                  <c:v>43868</c:v>
                </c:pt>
                <c:pt idx="4">
                  <c:v>43899</c:v>
                </c:pt>
                <c:pt idx="5">
                  <c:v>43928</c:v>
                </c:pt>
                <c:pt idx="6">
                  <c:v>43958</c:v>
                </c:pt>
                <c:pt idx="7">
                  <c:v>43990</c:v>
                </c:pt>
                <c:pt idx="8">
                  <c:v>44019</c:v>
                </c:pt>
                <c:pt idx="9">
                  <c:v>44050</c:v>
                </c:pt>
                <c:pt idx="10">
                  <c:v>44082</c:v>
                </c:pt>
                <c:pt idx="11">
                  <c:v>44111</c:v>
                </c:pt>
                <c:pt idx="12">
                  <c:v>44144</c:v>
                </c:pt>
                <c:pt idx="13">
                  <c:v>44172</c:v>
                </c:pt>
                <c:pt idx="14">
                  <c:v>44203</c:v>
                </c:pt>
                <c:pt idx="15">
                  <c:v>44235</c:v>
                </c:pt>
                <c:pt idx="16">
                  <c:v>44263</c:v>
                </c:pt>
                <c:pt idx="17">
                  <c:v>44293</c:v>
                </c:pt>
                <c:pt idx="18">
                  <c:v>44323</c:v>
                </c:pt>
                <c:pt idx="19">
                  <c:v>44354</c:v>
                </c:pt>
                <c:pt idx="20">
                  <c:v>44384</c:v>
                </c:pt>
                <c:pt idx="21">
                  <c:v>44417</c:v>
                </c:pt>
                <c:pt idx="22">
                  <c:v>44446</c:v>
                </c:pt>
                <c:pt idx="23">
                  <c:v>44476</c:v>
                </c:pt>
                <c:pt idx="24">
                  <c:v>44508</c:v>
                </c:pt>
                <c:pt idx="25">
                  <c:v>44537</c:v>
                </c:pt>
                <c:pt idx="26">
                  <c:v>44568</c:v>
                </c:pt>
                <c:pt idx="27">
                  <c:v>44599</c:v>
                </c:pt>
                <c:pt idx="28">
                  <c:v>44627</c:v>
                </c:pt>
                <c:pt idx="29">
                  <c:v>44658</c:v>
                </c:pt>
                <c:pt idx="30">
                  <c:v>44690</c:v>
                </c:pt>
                <c:pt idx="31">
                  <c:v>44719</c:v>
                </c:pt>
                <c:pt idx="32">
                  <c:v>44749</c:v>
                </c:pt>
                <c:pt idx="33">
                  <c:v>44781</c:v>
                </c:pt>
                <c:pt idx="34">
                  <c:v>44811</c:v>
                </c:pt>
                <c:pt idx="35">
                  <c:v>44841</c:v>
                </c:pt>
                <c:pt idx="36">
                  <c:v>44872</c:v>
                </c:pt>
                <c:pt idx="37">
                  <c:v>44902</c:v>
                </c:pt>
                <c:pt idx="38">
                  <c:v>44935</c:v>
                </c:pt>
                <c:pt idx="39">
                  <c:v>44964</c:v>
                </c:pt>
                <c:pt idx="40">
                  <c:v>44992</c:v>
                </c:pt>
                <c:pt idx="41">
                  <c:v>45023</c:v>
                </c:pt>
                <c:pt idx="42">
                  <c:v>45054</c:v>
                </c:pt>
                <c:pt idx="43">
                  <c:v>45084</c:v>
                </c:pt>
                <c:pt idx="44">
                  <c:v>45114</c:v>
                </c:pt>
                <c:pt idx="45">
                  <c:v>45145</c:v>
                </c:pt>
                <c:pt idx="46">
                  <c:v>45176</c:v>
                </c:pt>
                <c:pt idx="47">
                  <c:v>45209</c:v>
                </c:pt>
                <c:pt idx="48">
                  <c:v>45237</c:v>
                </c:pt>
                <c:pt idx="49">
                  <c:v>45267</c:v>
                </c:pt>
                <c:pt idx="50">
                  <c:v>45299</c:v>
                </c:pt>
                <c:pt idx="51">
                  <c:v>45329</c:v>
                </c:pt>
                <c:pt idx="52">
                  <c:v>45358</c:v>
                </c:pt>
                <c:pt idx="53">
                  <c:v>45390</c:v>
                </c:pt>
                <c:pt idx="54">
                  <c:v>45419</c:v>
                </c:pt>
                <c:pt idx="55">
                  <c:v>45450</c:v>
                </c:pt>
                <c:pt idx="56">
                  <c:v>45481</c:v>
                </c:pt>
                <c:pt idx="57">
                  <c:v>45511</c:v>
                </c:pt>
                <c:pt idx="58">
                  <c:v>45544</c:v>
                </c:pt>
                <c:pt idx="59">
                  <c:v>45572</c:v>
                </c:pt>
                <c:pt idx="60">
                  <c:v>45603</c:v>
                </c:pt>
                <c:pt idx="61">
                  <c:v>45635</c:v>
                </c:pt>
                <c:pt idx="62">
                  <c:v>45664</c:v>
                </c:pt>
                <c:pt idx="63">
                  <c:v>45695</c:v>
                </c:pt>
                <c:pt idx="64">
                  <c:v>45723</c:v>
                </c:pt>
                <c:pt idx="65">
                  <c:v>45754</c:v>
                </c:pt>
                <c:pt idx="66">
                  <c:v>45784</c:v>
                </c:pt>
                <c:pt idx="67">
                  <c:v>45817</c:v>
                </c:pt>
                <c:pt idx="68">
                  <c:v>45845</c:v>
                </c:pt>
                <c:pt idx="69">
                  <c:v>45876</c:v>
                </c:pt>
                <c:pt idx="70">
                  <c:v>45908</c:v>
                </c:pt>
                <c:pt idx="71">
                  <c:v>45937</c:v>
                </c:pt>
                <c:pt idx="72">
                  <c:v>45968</c:v>
                </c:pt>
                <c:pt idx="73">
                  <c:v>45999</c:v>
                </c:pt>
                <c:pt idx="74">
                  <c:v>46029</c:v>
                </c:pt>
                <c:pt idx="75">
                  <c:v>46062</c:v>
                </c:pt>
                <c:pt idx="76">
                  <c:v>46090</c:v>
                </c:pt>
                <c:pt idx="77">
                  <c:v>46119</c:v>
                </c:pt>
                <c:pt idx="78">
                  <c:v>46149</c:v>
                </c:pt>
                <c:pt idx="79">
                  <c:v>46181</c:v>
                </c:pt>
                <c:pt idx="80">
                  <c:v>46210</c:v>
                </c:pt>
                <c:pt idx="81">
                  <c:v>46241</c:v>
                </c:pt>
                <c:pt idx="82">
                  <c:v>46273</c:v>
                </c:pt>
                <c:pt idx="83">
                  <c:v>46302</c:v>
                </c:pt>
                <c:pt idx="84">
                  <c:v>46335</c:v>
                </c:pt>
                <c:pt idx="85">
                  <c:v>46363</c:v>
                </c:pt>
                <c:pt idx="86">
                  <c:v>46394</c:v>
                </c:pt>
                <c:pt idx="87">
                  <c:v>46426</c:v>
                </c:pt>
                <c:pt idx="88">
                  <c:v>46454</c:v>
                </c:pt>
                <c:pt idx="89">
                  <c:v>46484</c:v>
                </c:pt>
                <c:pt idx="90">
                  <c:v>46514</c:v>
                </c:pt>
                <c:pt idx="91">
                  <c:v>46545</c:v>
                </c:pt>
                <c:pt idx="92">
                  <c:v>46575</c:v>
                </c:pt>
                <c:pt idx="93">
                  <c:v>46608</c:v>
                </c:pt>
                <c:pt idx="94">
                  <c:v>46637</c:v>
                </c:pt>
                <c:pt idx="95">
                  <c:v>46667</c:v>
                </c:pt>
                <c:pt idx="96">
                  <c:v>46699</c:v>
                </c:pt>
                <c:pt idx="97">
                  <c:v>46728</c:v>
                </c:pt>
                <c:pt idx="98">
                  <c:v>46759</c:v>
                </c:pt>
                <c:pt idx="99">
                  <c:v>46790</c:v>
                </c:pt>
                <c:pt idx="100">
                  <c:v>46819</c:v>
                </c:pt>
                <c:pt idx="101">
                  <c:v>46850</c:v>
                </c:pt>
                <c:pt idx="102">
                  <c:v>46881</c:v>
                </c:pt>
                <c:pt idx="103">
                  <c:v>46911</c:v>
                </c:pt>
                <c:pt idx="104">
                  <c:v>46941</c:v>
                </c:pt>
                <c:pt idx="105">
                  <c:v>46972</c:v>
                </c:pt>
                <c:pt idx="106">
                  <c:v>47003</c:v>
                </c:pt>
                <c:pt idx="107">
                  <c:v>47036</c:v>
                </c:pt>
                <c:pt idx="108">
                  <c:v>47064</c:v>
                </c:pt>
                <c:pt idx="109">
                  <c:v>47094</c:v>
                </c:pt>
                <c:pt idx="110">
                  <c:v>47126</c:v>
                </c:pt>
                <c:pt idx="111">
                  <c:v>47156</c:v>
                </c:pt>
                <c:pt idx="112">
                  <c:v>47184</c:v>
                </c:pt>
                <c:pt idx="113">
                  <c:v>47217</c:v>
                </c:pt>
                <c:pt idx="114">
                  <c:v>47245</c:v>
                </c:pt>
                <c:pt idx="115">
                  <c:v>47276</c:v>
                </c:pt>
                <c:pt idx="116">
                  <c:v>47308</c:v>
                </c:pt>
                <c:pt idx="117">
                  <c:v>47337</c:v>
                </c:pt>
                <c:pt idx="118">
                  <c:v>47368</c:v>
                </c:pt>
                <c:pt idx="119">
                  <c:v>47400</c:v>
                </c:pt>
                <c:pt idx="120">
                  <c:v>47429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FORWARDS!$F$3:$F$130</c:f>
              <c:numCache>
                <c:formatCode>0.00000%</c:formatCode>
                <c:ptCount val="128"/>
                <c:pt idx="0">
                  <c:v>1.569999999998295E-2</c:v>
                </c:pt>
                <c:pt idx="1">
                  <c:v>1.5499999999981695E-2</c:v>
                </c:pt>
                <c:pt idx="2">
                  <c:v>1.5423868131891949E-2</c:v>
                </c:pt>
                <c:pt idx="3">
                  <c:v>1.5305863736276801E-2</c:v>
                </c:pt>
                <c:pt idx="4">
                  <c:v>1.5187859340661856E-2</c:v>
                </c:pt>
                <c:pt idx="5">
                  <c:v>1.5077468131847791E-2</c:v>
                </c:pt>
                <c:pt idx="6">
                  <c:v>1.4963270329673204E-2</c:v>
                </c:pt>
                <c:pt idx="7">
                  <c:v>1.4841459340697635E-2</c:v>
                </c:pt>
                <c:pt idx="8">
                  <c:v>1.473106813188357E-2</c:v>
                </c:pt>
                <c:pt idx="9">
                  <c:v>1.461306373626833E-2</c:v>
                </c:pt>
                <c:pt idx="10">
                  <c:v>1.449125274721302E-2</c:v>
                </c:pt>
                <c:pt idx="11">
                  <c:v>1.4460800000009096E-2</c:v>
                </c:pt>
                <c:pt idx="12">
                  <c:v>1.4460800000009096E-2</c:v>
                </c:pt>
                <c:pt idx="13">
                  <c:v>1.4460800000009096E-2</c:v>
                </c:pt>
                <c:pt idx="14">
                  <c:v>1.4345863466038772E-2</c:v>
                </c:pt>
                <c:pt idx="15">
                  <c:v>1.4199480503007728E-2</c:v>
                </c:pt>
                <c:pt idx="16">
                  <c:v>1.4085798731970961E-2</c:v>
                </c:pt>
                <c:pt idx="17">
                  <c:v>1.3978989675891335E-2</c:v>
                </c:pt>
                <c:pt idx="18">
                  <c:v>1.3885535017053079E-2</c:v>
                </c:pt>
                <c:pt idx="19">
                  <c:v>1.3809952471657332E-2</c:v>
                </c:pt>
                <c:pt idx="20">
                  <c:v>1.3750648251083013E-2</c:v>
                </c:pt>
                <c:pt idx="21">
                  <c:v>1.370367792425393E-2</c:v>
                </c:pt>
                <c:pt idx="22">
                  <c:v>1.3678271560042581E-2</c:v>
                </c:pt>
                <c:pt idx="23">
                  <c:v>1.3667686031588792E-2</c:v>
                </c:pt>
                <c:pt idx="24">
                  <c:v>1.3674070963931632E-2</c:v>
                </c:pt>
                <c:pt idx="25">
                  <c:v>1.3692364941864148E-2</c:v>
                </c:pt>
                <c:pt idx="26">
                  <c:v>1.3720690372158777E-2</c:v>
                </c:pt>
                <c:pt idx="27">
                  <c:v>1.3753449023736812E-2</c:v>
                </c:pt>
                <c:pt idx="28">
                  <c:v>1.3790848594297293E-2</c:v>
                </c:pt>
                <c:pt idx="29">
                  <c:v>1.3839421801193956E-2</c:v>
                </c:pt>
                <c:pt idx="30">
                  <c:v>1.3897498253241429E-2</c:v>
                </c:pt>
                <c:pt idx="31">
                  <c:v>1.3957127358335037E-2</c:v>
                </c:pt>
                <c:pt idx="32">
                  <c:v>1.4025847330447811E-2</c:v>
                </c:pt>
                <c:pt idx="33">
                  <c:v>1.4107071854354608E-2</c:v>
                </c:pt>
                <c:pt idx="34">
                  <c:v>1.4190684454638053E-2</c:v>
                </c:pt>
                <c:pt idx="35">
                  <c:v>1.4287147212159785E-2</c:v>
                </c:pt>
                <c:pt idx="36">
                  <c:v>1.438312333890584E-2</c:v>
                </c:pt>
                <c:pt idx="37">
                  <c:v>1.448643106791719E-2</c:v>
                </c:pt>
                <c:pt idx="38">
                  <c:v>1.4599589194226378E-2</c:v>
                </c:pt>
                <c:pt idx="39">
                  <c:v>1.469843714397184E-2</c:v>
                </c:pt>
                <c:pt idx="40">
                  <c:v>1.4793348197548236E-2</c:v>
                </c:pt>
                <c:pt idx="41">
                  <c:v>1.490179763668392E-2</c:v>
                </c:pt>
                <c:pt idx="42">
                  <c:v>1.5001656003192974E-2</c:v>
                </c:pt>
                <c:pt idx="43">
                  <c:v>1.5101531136156919E-2</c:v>
                </c:pt>
                <c:pt idx="44">
                  <c:v>1.520474569121971E-2</c:v>
                </c:pt>
                <c:pt idx="45">
                  <c:v>1.5302754808921347E-2</c:v>
                </c:pt>
                <c:pt idx="46">
                  <c:v>1.5404059278054716E-2</c:v>
                </c:pt>
                <c:pt idx="47">
                  <c:v>1.5511188395231967E-2</c:v>
                </c:pt>
                <c:pt idx="48">
                  <c:v>1.5601509092315943E-2</c:v>
                </c:pt>
                <c:pt idx="49">
                  <c:v>1.569584224016406E-2</c:v>
                </c:pt>
                <c:pt idx="50">
                  <c:v>1.5789758479429514E-2</c:v>
                </c:pt>
                <c:pt idx="51">
                  <c:v>1.5871391788587028E-2</c:v>
                </c:pt>
                <c:pt idx="52">
                  <c:v>1.594437383307484E-2</c:v>
                </c:pt>
                <c:pt idx="53">
                  <c:v>1.6018104661637399E-2</c:v>
                </c:pt>
                <c:pt idx="54">
                  <c:v>1.6078727311657343E-2</c:v>
                </c:pt>
                <c:pt idx="55">
                  <c:v>1.6139468042527333E-2</c:v>
                </c:pt>
                <c:pt idx="56">
                  <c:v>1.6188429446468391E-2</c:v>
                </c:pt>
                <c:pt idx="57">
                  <c:v>1.6231703560365841E-2</c:v>
                </c:pt>
                <c:pt idx="58">
                  <c:v>1.6271861933472735E-2</c:v>
                </c:pt>
                <c:pt idx="59">
                  <c:v>1.6299787182625813E-2</c:v>
                </c:pt>
                <c:pt idx="60">
                  <c:v>1.6324083618129318E-2</c:v>
                </c:pt>
                <c:pt idx="61">
                  <c:v>1.6345017344316592E-2</c:v>
                </c:pt>
                <c:pt idx="62">
                  <c:v>1.6364924307439754E-2</c:v>
                </c:pt>
                <c:pt idx="63">
                  <c:v>1.6388761468429758E-2</c:v>
                </c:pt>
                <c:pt idx="64">
                  <c:v>1.640994071744924E-2</c:v>
                </c:pt>
                <c:pt idx="65">
                  <c:v>1.6432895457987783E-2</c:v>
                </c:pt>
                <c:pt idx="66">
                  <c:v>1.6457652129974944E-2</c:v>
                </c:pt>
                <c:pt idx="67">
                  <c:v>1.648610817085858E-2</c:v>
                </c:pt>
                <c:pt idx="68">
                  <c:v>1.6511263538167759E-2</c:v>
                </c:pt>
                <c:pt idx="69">
                  <c:v>1.6540202600833966E-2</c:v>
                </c:pt>
                <c:pt idx="70">
                  <c:v>1.6571281558406748E-2</c:v>
                </c:pt>
                <c:pt idx="71">
                  <c:v>1.6600511346037065E-2</c:v>
                </c:pt>
                <c:pt idx="72">
                  <c:v>1.6634715148517172E-2</c:v>
                </c:pt>
                <c:pt idx="73">
                  <c:v>1.6667333212631755E-2</c:v>
                </c:pt>
                <c:pt idx="74">
                  <c:v>1.6704145944140224E-2</c:v>
                </c:pt>
                <c:pt idx="75">
                  <c:v>1.6748637889223029E-2</c:v>
                </c:pt>
                <c:pt idx="76">
                  <c:v>1.6789691684951338E-2</c:v>
                </c:pt>
                <c:pt idx="77">
                  <c:v>1.6835426308639521E-2</c:v>
                </c:pt>
                <c:pt idx="78">
                  <c:v>1.6886198889259334E-2</c:v>
                </c:pt>
                <c:pt idx="79">
                  <c:v>1.6944257860564544E-2</c:v>
                </c:pt>
                <c:pt idx="80">
                  <c:v>1.7000372584472075E-2</c:v>
                </c:pt>
                <c:pt idx="81">
                  <c:v>1.7066986247061683E-2</c:v>
                </c:pt>
                <c:pt idx="82">
                  <c:v>1.7133831258344209E-2</c:v>
                </c:pt>
                <c:pt idx="83">
                  <c:v>1.720062466467007E-2</c:v>
                </c:pt>
                <c:pt idx="84">
                  <c:v>1.728077474964456E-2</c:v>
                </c:pt>
                <c:pt idx="85">
                  <c:v>1.7350680151905835E-2</c:v>
                </c:pt>
                <c:pt idx="86">
                  <c:v>1.742738109446312E-2</c:v>
                </c:pt>
                <c:pt idx="87">
                  <c:v>1.750576815114872E-2</c:v>
                </c:pt>
                <c:pt idx="88">
                  <c:v>1.7573696635591704E-2</c:v>
                </c:pt>
                <c:pt idx="89">
                  <c:v>1.7645789809416796E-2</c:v>
                </c:pt>
                <c:pt idx="90">
                  <c:v>1.7720407106186727E-2</c:v>
                </c:pt>
                <c:pt idx="91">
                  <c:v>1.7790171067565967E-2</c:v>
                </c:pt>
                <c:pt idx="92">
                  <c:v>1.7860084383428263E-2</c:v>
                </c:pt>
                <c:pt idx="93">
                  <c:v>1.7936149750787361E-2</c:v>
                </c:pt>
                <c:pt idx="94">
                  <c:v>1.800226513139765E-2</c:v>
                </c:pt>
                <c:pt idx="95">
                  <c:v>1.8069937677364596E-2</c:v>
                </c:pt>
                <c:pt idx="96">
                  <c:v>1.8141307059049091E-2</c:v>
                </c:pt>
                <c:pt idx="97">
                  <c:v>1.8204949937456402E-2</c:v>
                </c:pt>
                <c:pt idx="98">
                  <c:v>1.8274379987223071E-2</c:v>
                </c:pt>
                <c:pt idx="99">
                  <c:v>1.8336016308652579E-2</c:v>
                </c:pt>
                <c:pt idx="100">
                  <c:v>1.8394959393625464E-2</c:v>
                </c:pt>
                <c:pt idx="101">
                  <c:v>1.8459184191162929E-2</c:v>
                </c:pt>
                <c:pt idx="102">
                  <c:v>1.8515873433845746E-2</c:v>
                </c:pt>
                <c:pt idx="103">
                  <c:v>1.8571863746483876E-2</c:v>
                </c:pt>
                <c:pt idx="104">
                  <c:v>1.8628945015889829E-2</c:v>
                </c:pt>
                <c:pt idx="105">
                  <c:v>1.8680596290720351E-2</c:v>
                </c:pt>
                <c:pt idx="106">
                  <c:v>1.8733203931284151E-2</c:v>
                </c:pt>
                <c:pt idx="107">
                  <c:v>1.8787226208575709E-2</c:v>
                </c:pt>
                <c:pt idx="108">
                  <c:v>1.8831452215512356E-2</c:v>
                </c:pt>
                <c:pt idx="109">
                  <c:v>1.8876958513042542E-2</c:v>
                </c:pt>
                <c:pt idx="110">
                  <c:v>1.8922862705569681E-2</c:v>
                </c:pt>
                <c:pt idx="111">
                  <c:v>1.8963399176629515E-2</c:v>
                </c:pt>
                <c:pt idx="112">
                  <c:v>1.8999037621065057E-2</c:v>
                </c:pt>
                <c:pt idx="113">
                  <c:v>1.9038300942858875E-2</c:v>
                </c:pt>
                <c:pt idx="114">
                  <c:v>1.9069276414406606E-2</c:v>
                </c:pt>
                <c:pt idx="115">
                  <c:v>1.9101049663558311E-2</c:v>
                </c:pt>
                <c:pt idx="116">
                  <c:v>1.9131050971088831E-2</c:v>
                </c:pt>
                <c:pt idx="117">
                  <c:v>1.9155769253629648E-2</c:v>
                </c:pt>
                <c:pt idx="118">
                  <c:v>1.9181321411690912E-2</c:v>
                </c:pt>
                <c:pt idx="119">
                  <c:v>1.9201301304067383E-2</c:v>
                </c:pt>
                <c:pt idx="120">
                  <c:v>1.9218468696455042E-2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635-ADED-8D99E6FC6917}"/>
            </c:ext>
          </c:extLst>
        </c:ser>
        <c:ser>
          <c:idx val="1"/>
          <c:order val="1"/>
          <c:tx>
            <c:strRef>
              <c:f>FORWARDS!$G$2</c:f>
              <c:strCache>
                <c:ptCount val="1"/>
                <c:pt idx="0">
                  <c:v>USDOIS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FORWARDS!$E$3:$E$130</c:f>
              <c:numCache>
                <c:formatCode>ddd\,\ d\-mmm\-yy</c:formatCode>
                <c:ptCount val="128"/>
                <c:pt idx="0">
                  <c:v>43776</c:v>
                </c:pt>
                <c:pt idx="1">
                  <c:v>43808</c:v>
                </c:pt>
                <c:pt idx="2">
                  <c:v>43837</c:v>
                </c:pt>
                <c:pt idx="3">
                  <c:v>43868</c:v>
                </c:pt>
                <c:pt idx="4">
                  <c:v>43899</c:v>
                </c:pt>
                <c:pt idx="5">
                  <c:v>43928</c:v>
                </c:pt>
                <c:pt idx="6">
                  <c:v>43958</c:v>
                </c:pt>
                <c:pt idx="7">
                  <c:v>43990</c:v>
                </c:pt>
                <c:pt idx="8">
                  <c:v>44019</c:v>
                </c:pt>
                <c:pt idx="9">
                  <c:v>44050</c:v>
                </c:pt>
                <c:pt idx="10">
                  <c:v>44082</c:v>
                </c:pt>
                <c:pt idx="11">
                  <c:v>44111</c:v>
                </c:pt>
                <c:pt idx="12">
                  <c:v>44144</c:v>
                </c:pt>
                <c:pt idx="13">
                  <c:v>44172</c:v>
                </c:pt>
                <c:pt idx="14">
                  <c:v>44203</c:v>
                </c:pt>
                <c:pt idx="15">
                  <c:v>44235</c:v>
                </c:pt>
                <c:pt idx="16">
                  <c:v>44263</c:v>
                </c:pt>
                <c:pt idx="17">
                  <c:v>44293</c:v>
                </c:pt>
                <c:pt idx="18">
                  <c:v>44323</c:v>
                </c:pt>
                <c:pt idx="19">
                  <c:v>44354</c:v>
                </c:pt>
                <c:pt idx="20">
                  <c:v>44384</c:v>
                </c:pt>
                <c:pt idx="21">
                  <c:v>44417</c:v>
                </c:pt>
                <c:pt idx="22">
                  <c:v>44446</c:v>
                </c:pt>
                <c:pt idx="23">
                  <c:v>44476</c:v>
                </c:pt>
                <c:pt idx="24">
                  <c:v>44508</c:v>
                </c:pt>
                <c:pt idx="25">
                  <c:v>44537</c:v>
                </c:pt>
                <c:pt idx="26">
                  <c:v>44568</c:v>
                </c:pt>
                <c:pt idx="27">
                  <c:v>44599</c:v>
                </c:pt>
                <c:pt idx="28">
                  <c:v>44627</c:v>
                </c:pt>
                <c:pt idx="29">
                  <c:v>44658</c:v>
                </c:pt>
                <c:pt idx="30">
                  <c:v>44690</c:v>
                </c:pt>
                <c:pt idx="31">
                  <c:v>44719</c:v>
                </c:pt>
                <c:pt idx="32">
                  <c:v>44749</c:v>
                </c:pt>
                <c:pt idx="33">
                  <c:v>44781</c:v>
                </c:pt>
                <c:pt idx="34">
                  <c:v>44811</c:v>
                </c:pt>
                <c:pt idx="35">
                  <c:v>44841</c:v>
                </c:pt>
                <c:pt idx="36">
                  <c:v>44872</c:v>
                </c:pt>
                <c:pt idx="37">
                  <c:v>44902</c:v>
                </c:pt>
                <c:pt idx="38">
                  <c:v>44935</c:v>
                </c:pt>
                <c:pt idx="39">
                  <c:v>44964</c:v>
                </c:pt>
                <c:pt idx="40">
                  <c:v>44992</c:v>
                </c:pt>
                <c:pt idx="41">
                  <c:v>45023</c:v>
                </c:pt>
                <c:pt idx="42">
                  <c:v>45054</c:v>
                </c:pt>
                <c:pt idx="43">
                  <c:v>45084</c:v>
                </c:pt>
                <c:pt idx="44">
                  <c:v>45114</c:v>
                </c:pt>
                <c:pt idx="45">
                  <c:v>45145</c:v>
                </c:pt>
                <c:pt idx="46">
                  <c:v>45176</c:v>
                </c:pt>
                <c:pt idx="47">
                  <c:v>45209</c:v>
                </c:pt>
                <c:pt idx="48">
                  <c:v>45237</c:v>
                </c:pt>
                <c:pt idx="49">
                  <c:v>45267</c:v>
                </c:pt>
                <c:pt idx="50">
                  <c:v>45299</c:v>
                </c:pt>
                <c:pt idx="51">
                  <c:v>45329</c:v>
                </c:pt>
                <c:pt idx="52">
                  <c:v>45358</c:v>
                </c:pt>
                <c:pt idx="53">
                  <c:v>45390</c:v>
                </c:pt>
                <c:pt idx="54">
                  <c:v>45419</c:v>
                </c:pt>
                <c:pt idx="55">
                  <c:v>45450</c:v>
                </c:pt>
                <c:pt idx="56">
                  <c:v>45481</c:v>
                </c:pt>
                <c:pt idx="57">
                  <c:v>45511</c:v>
                </c:pt>
                <c:pt idx="58">
                  <c:v>45544</c:v>
                </c:pt>
                <c:pt idx="59">
                  <c:v>45572</c:v>
                </c:pt>
                <c:pt idx="60">
                  <c:v>45603</c:v>
                </c:pt>
                <c:pt idx="61">
                  <c:v>45635</c:v>
                </c:pt>
                <c:pt idx="62">
                  <c:v>45664</c:v>
                </c:pt>
                <c:pt idx="63">
                  <c:v>45695</c:v>
                </c:pt>
                <c:pt idx="64">
                  <c:v>45723</c:v>
                </c:pt>
                <c:pt idx="65">
                  <c:v>45754</c:v>
                </c:pt>
                <c:pt idx="66">
                  <c:v>45784</c:v>
                </c:pt>
                <c:pt idx="67">
                  <c:v>45817</c:v>
                </c:pt>
                <c:pt idx="68">
                  <c:v>45845</c:v>
                </c:pt>
                <c:pt idx="69">
                  <c:v>45876</c:v>
                </c:pt>
                <c:pt idx="70">
                  <c:v>45908</c:v>
                </c:pt>
                <c:pt idx="71">
                  <c:v>45937</c:v>
                </c:pt>
                <c:pt idx="72">
                  <c:v>45968</c:v>
                </c:pt>
                <c:pt idx="73">
                  <c:v>45999</c:v>
                </c:pt>
                <c:pt idx="74">
                  <c:v>46029</c:v>
                </c:pt>
                <c:pt idx="75">
                  <c:v>46062</c:v>
                </c:pt>
                <c:pt idx="76">
                  <c:v>46090</c:v>
                </c:pt>
                <c:pt idx="77">
                  <c:v>46119</c:v>
                </c:pt>
                <c:pt idx="78">
                  <c:v>46149</c:v>
                </c:pt>
                <c:pt idx="79">
                  <c:v>46181</c:v>
                </c:pt>
                <c:pt idx="80">
                  <c:v>46210</c:v>
                </c:pt>
                <c:pt idx="81">
                  <c:v>46241</c:v>
                </c:pt>
                <c:pt idx="82">
                  <c:v>46273</c:v>
                </c:pt>
                <c:pt idx="83">
                  <c:v>46302</c:v>
                </c:pt>
                <c:pt idx="84">
                  <c:v>46335</c:v>
                </c:pt>
                <c:pt idx="85">
                  <c:v>46363</c:v>
                </c:pt>
                <c:pt idx="86">
                  <c:v>46394</c:v>
                </c:pt>
                <c:pt idx="87">
                  <c:v>46426</c:v>
                </c:pt>
                <c:pt idx="88">
                  <c:v>46454</c:v>
                </c:pt>
                <c:pt idx="89">
                  <c:v>46484</c:v>
                </c:pt>
                <c:pt idx="90">
                  <c:v>46514</c:v>
                </c:pt>
                <c:pt idx="91">
                  <c:v>46545</c:v>
                </c:pt>
                <c:pt idx="92">
                  <c:v>46575</c:v>
                </c:pt>
                <c:pt idx="93">
                  <c:v>46608</c:v>
                </c:pt>
                <c:pt idx="94">
                  <c:v>46637</c:v>
                </c:pt>
                <c:pt idx="95">
                  <c:v>46667</c:v>
                </c:pt>
                <c:pt idx="96">
                  <c:v>46699</c:v>
                </c:pt>
                <c:pt idx="97">
                  <c:v>46728</c:v>
                </c:pt>
                <c:pt idx="98">
                  <c:v>46759</c:v>
                </c:pt>
                <c:pt idx="99">
                  <c:v>46790</c:v>
                </c:pt>
                <c:pt idx="100">
                  <c:v>46819</c:v>
                </c:pt>
                <c:pt idx="101">
                  <c:v>46850</c:v>
                </c:pt>
                <c:pt idx="102">
                  <c:v>46881</c:v>
                </c:pt>
                <c:pt idx="103">
                  <c:v>46911</c:v>
                </c:pt>
                <c:pt idx="104">
                  <c:v>46941</c:v>
                </c:pt>
                <c:pt idx="105">
                  <c:v>46972</c:v>
                </c:pt>
                <c:pt idx="106">
                  <c:v>47003</c:v>
                </c:pt>
                <c:pt idx="107">
                  <c:v>47036</c:v>
                </c:pt>
                <c:pt idx="108">
                  <c:v>47064</c:v>
                </c:pt>
                <c:pt idx="109">
                  <c:v>47094</c:v>
                </c:pt>
                <c:pt idx="110">
                  <c:v>47126</c:v>
                </c:pt>
                <c:pt idx="111">
                  <c:v>47156</c:v>
                </c:pt>
                <c:pt idx="112">
                  <c:v>47184</c:v>
                </c:pt>
                <c:pt idx="113">
                  <c:v>47217</c:v>
                </c:pt>
                <c:pt idx="114">
                  <c:v>47245</c:v>
                </c:pt>
                <c:pt idx="115">
                  <c:v>47276</c:v>
                </c:pt>
                <c:pt idx="116">
                  <c:v>47308</c:v>
                </c:pt>
                <c:pt idx="117">
                  <c:v>47337</c:v>
                </c:pt>
                <c:pt idx="118">
                  <c:v>47368</c:v>
                </c:pt>
                <c:pt idx="119">
                  <c:v>47400</c:v>
                </c:pt>
                <c:pt idx="120">
                  <c:v>47429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FORWARDS!$G$3:$G$130</c:f>
              <c:numCache>
                <c:formatCode>0.00000%</c:formatCode>
                <c:ptCount val="128"/>
                <c:pt idx="0">
                  <c:v>1.549999999998164E-2</c:v>
                </c:pt>
                <c:pt idx="1">
                  <c:v>1.5325406896566971E-2</c:v>
                </c:pt>
                <c:pt idx="2">
                  <c:v>1.519999999993976E-2</c:v>
                </c:pt>
                <c:pt idx="3">
                  <c:v>1.519999999999295E-2</c:v>
                </c:pt>
                <c:pt idx="4">
                  <c:v>1.5200000000019696E-2</c:v>
                </c:pt>
                <c:pt idx="5">
                  <c:v>1.4800000000017074E-2</c:v>
                </c:pt>
                <c:pt idx="6">
                  <c:v>1.4800000000017074E-2</c:v>
                </c:pt>
                <c:pt idx="7">
                  <c:v>1.4800000000017074E-2</c:v>
                </c:pt>
                <c:pt idx="8">
                  <c:v>1.449999999997514E-2</c:v>
                </c:pt>
                <c:pt idx="9">
                  <c:v>1.4500000000028237E-2</c:v>
                </c:pt>
                <c:pt idx="10">
                  <c:v>1.449999999997514E-2</c:v>
                </c:pt>
                <c:pt idx="11">
                  <c:v>1.4350000000034108E-2</c:v>
                </c:pt>
                <c:pt idx="12">
                  <c:v>1.4350000000034108E-2</c:v>
                </c:pt>
                <c:pt idx="13">
                  <c:v>1.4350000000034108E-2</c:v>
                </c:pt>
                <c:pt idx="14">
                  <c:v>1.4234890264690542E-2</c:v>
                </c:pt>
                <c:pt idx="15">
                  <c:v>1.4087338906758668E-2</c:v>
                </c:pt>
                <c:pt idx="16">
                  <c:v>1.3971744482805854E-2</c:v>
                </c:pt>
                <c:pt idx="17">
                  <c:v>1.3861959283554319E-2</c:v>
                </c:pt>
                <c:pt idx="18">
                  <c:v>1.3764407230212376E-2</c:v>
                </c:pt>
                <c:pt idx="19">
                  <c:v>1.3683893743081703E-2</c:v>
                </c:pt>
                <c:pt idx="20">
                  <c:v>1.3618675404911733E-2</c:v>
                </c:pt>
                <c:pt idx="21">
                  <c:v>1.3564069288402111E-2</c:v>
                </c:pt>
                <c:pt idx="22">
                  <c:v>1.3530970129469515E-2</c:v>
                </c:pt>
                <c:pt idx="23">
                  <c:v>1.351145421714333E-2</c:v>
                </c:pt>
                <c:pt idx="24">
                  <c:v>1.3507217788975061E-2</c:v>
                </c:pt>
                <c:pt idx="25">
                  <c:v>1.351523368516188E-2</c:v>
                </c:pt>
                <c:pt idx="26">
                  <c:v>1.3532099301372162E-2</c:v>
                </c:pt>
                <c:pt idx="27">
                  <c:v>1.3554048504040898E-2</c:v>
                </c:pt>
                <c:pt idx="28">
                  <c:v>1.3581263345381393E-2</c:v>
                </c:pt>
                <c:pt idx="29">
                  <c:v>1.3618466627036745E-2</c:v>
                </c:pt>
                <c:pt idx="30">
                  <c:v>1.3664701592732746E-2</c:v>
                </c:pt>
                <c:pt idx="31">
                  <c:v>1.3713506257602197E-2</c:v>
                </c:pt>
                <c:pt idx="32">
                  <c:v>1.377093418145852E-2</c:v>
                </c:pt>
                <c:pt idx="33">
                  <c:v>1.3840006657757135E-2</c:v>
                </c:pt>
                <c:pt idx="34">
                  <c:v>1.3912124771877692E-2</c:v>
                </c:pt>
                <c:pt idx="35">
                  <c:v>1.3996376190699206E-2</c:v>
                </c:pt>
                <c:pt idx="36">
                  <c:v>1.4080881107903004E-2</c:v>
                </c:pt>
                <c:pt idx="37">
                  <c:v>1.4172645720131933E-2</c:v>
                </c:pt>
                <c:pt idx="38">
                  <c:v>1.4273944630831587E-2</c:v>
                </c:pt>
                <c:pt idx="39">
                  <c:v>1.4363117952118693E-2</c:v>
                </c:pt>
                <c:pt idx="40">
                  <c:v>1.4449354063090832E-2</c:v>
                </c:pt>
                <c:pt idx="41">
                  <c:v>1.454866551180883E-2</c:v>
                </c:pt>
                <c:pt idx="42">
                  <c:v>1.4640795660065872E-2</c:v>
                </c:pt>
                <c:pt idx="43">
                  <c:v>1.4733675510516572E-2</c:v>
                </c:pt>
                <c:pt idx="44">
                  <c:v>1.4830434508610376E-2</c:v>
                </c:pt>
                <c:pt idx="45">
                  <c:v>1.4923038866872016E-2</c:v>
                </c:pt>
                <c:pt idx="46">
                  <c:v>1.5019538177973911E-2</c:v>
                </c:pt>
                <c:pt idx="47">
                  <c:v>1.5122463395522754E-2</c:v>
                </c:pt>
                <c:pt idx="48">
                  <c:v>1.5209957871909196E-2</c:v>
                </c:pt>
                <c:pt idx="49">
                  <c:v>1.5302297094812284E-2</c:v>
                </c:pt>
                <c:pt idx="50">
                  <c:v>1.5395855165622844E-2</c:v>
                </c:pt>
                <c:pt idx="51">
                  <c:v>1.5478834396314454E-2</c:v>
                </c:pt>
                <c:pt idx="52">
                  <c:v>1.5554673415858799E-2</c:v>
                </c:pt>
                <c:pt idx="53">
                  <c:v>1.5633342178323129E-2</c:v>
                </c:pt>
                <c:pt idx="54">
                  <c:v>1.5700067238280449E-2</c:v>
                </c:pt>
                <c:pt idx="55">
                  <c:v>1.5769316050456623E-2</c:v>
                </c:pt>
                <c:pt idx="56">
                  <c:v>1.5828047738952491E-2</c:v>
                </c:pt>
                <c:pt idx="57">
                  <c:v>1.5882745727256273E-2</c:v>
                </c:pt>
                <c:pt idx="58">
                  <c:v>1.5937429213475459E-2</c:v>
                </c:pt>
                <c:pt idx="59">
                  <c:v>1.5979297605508817E-2</c:v>
                </c:pt>
                <c:pt idx="60">
                  <c:v>1.6020774902625722E-2</c:v>
                </c:pt>
                <c:pt idx="61">
                  <c:v>1.6060436129643182E-2</c:v>
                </c:pt>
                <c:pt idx="62">
                  <c:v>1.6096836236337141E-2</c:v>
                </c:pt>
                <c:pt idx="63">
                  <c:v>1.6138293390898034E-2</c:v>
                </c:pt>
                <c:pt idx="64">
                  <c:v>1.6174429877073043E-2</c:v>
                </c:pt>
                <c:pt idx="65">
                  <c:v>1.6212928893344788E-2</c:v>
                </c:pt>
                <c:pt idx="66">
                  <c:v>1.6252686863135982E-2</c:v>
                </c:pt>
                <c:pt idx="67">
                  <c:v>1.6297038664007897E-2</c:v>
                </c:pt>
                <c:pt idx="68">
                  <c:v>1.6335181034709767E-2</c:v>
                </c:pt>
                <c:pt idx="69">
                  <c:v>1.6377959849200534E-2</c:v>
                </c:pt>
                <c:pt idx="70">
                  <c:v>1.6422727954988246E-2</c:v>
                </c:pt>
                <c:pt idx="71">
                  <c:v>1.6463836733609433E-2</c:v>
                </c:pt>
                <c:pt idx="72">
                  <c:v>1.6510552201659822E-2</c:v>
                </c:pt>
                <c:pt idx="73">
                  <c:v>1.6553964869039005E-2</c:v>
                </c:pt>
                <c:pt idx="74">
                  <c:v>1.6600000274132269E-2</c:v>
                </c:pt>
                <c:pt idx="75">
                  <c:v>1.6652816556914259E-2</c:v>
                </c:pt>
                <c:pt idx="76">
                  <c:v>1.6699429278202404E-2</c:v>
                </c:pt>
                <c:pt idx="77">
                  <c:v>1.6749457503125138E-2</c:v>
                </c:pt>
                <c:pt idx="78">
                  <c:v>1.6803095761040412E-2</c:v>
                </c:pt>
                <c:pt idx="79">
                  <c:v>1.6862434854354041E-2</c:v>
                </c:pt>
                <c:pt idx="80">
                  <c:v>1.6918116527386416E-2</c:v>
                </c:pt>
                <c:pt idx="81">
                  <c:v>1.6982475398955442E-2</c:v>
                </c:pt>
                <c:pt idx="82">
                  <c:v>1.7045373366852523E-2</c:v>
                </c:pt>
                <c:pt idx="83">
                  <c:v>1.7106871392324575E-2</c:v>
                </c:pt>
                <c:pt idx="84">
                  <c:v>1.7179108945709096E-2</c:v>
                </c:pt>
                <c:pt idx="85">
                  <c:v>1.724142735229869E-2</c:v>
                </c:pt>
                <c:pt idx="86">
                  <c:v>1.7310020532074824E-2</c:v>
                </c:pt>
                <c:pt idx="87">
                  <c:v>1.7380370483219335E-2</c:v>
                </c:pt>
                <c:pt idx="88">
                  <c:v>1.7441544833210552E-2</c:v>
                </c:pt>
                <c:pt idx="89">
                  <c:v>1.7506691272887769E-2</c:v>
                </c:pt>
                <c:pt idx="90">
                  <c:v>1.7574432781771968E-2</c:v>
                </c:pt>
                <c:pt idx="91">
                  <c:v>1.7637878898290622E-2</c:v>
                </c:pt>
                <c:pt idx="92">
                  <c:v>1.7701765046268088E-2</c:v>
                </c:pt>
                <c:pt idx="93">
                  <c:v>1.777155472365954E-2</c:v>
                </c:pt>
                <c:pt idx="94">
                  <c:v>1.7832463219986095E-2</c:v>
                </c:pt>
                <c:pt idx="95">
                  <c:v>1.7895054446507831E-2</c:v>
                </c:pt>
                <c:pt idx="96">
                  <c:v>1.7961347776373451E-2</c:v>
                </c:pt>
                <c:pt idx="97">
                  <c:v>1.8020824164747776E-2</c:v>
                </c:pt>
                <c:pt idx="98">
                  <c:v>1.80863548581566E-2</c:v>
                </c:pt>
                <c:pt idx="99">
                  <c:v>1.8145061675027212E-2</c:v>
                </c:pt>
                <c:pt idx="100">
                  <c:v>1.8201793309617284E-2</c:v>
                </c:pt>
                <c:pt idx="101">
                  <c:v>1.8264291284283345E-2</c:v>
                </c:pt>
                <c:pt idx="102">
                  <c:v>1.8320102539230356E-2</c:v>
                </c:pt>
                <c:pt idx="103">
                  <c:v>1.837587980940469E-2</c:v>
                </c:pt>
                <c:pt idx="104">
                  <c:v>1.8433444836351457E-2</c:v>
                </c:pt>
                <c:pt idx="105">
                  <c:v>1.8486308269768822E-2</c:v>
                </c:pt>
                <c:pt idx="106">
                  <c:v>1.854088109634654E-2</c:v>
                </c:pt>
                <c:pt idx="107">
                  <c:v>1.8597819652296656E-2</c:v>
                </c:pt>
                <c:pt idx="108">
                  <c:v>1.864519107883808E-2</c:v>
                </c:pt>
                <c:pt idx="109">
                  <c:v>1.86948569433791E-2</c:v>
                </c:pt>
                <c:pt idx="110">
                  <c:v>1.8746318613264545E-2</c:v>
                </c:pt>
                <c:pt idx="111">
                  <c:v>1.879312786597848E-2</c:v>
                </c:pt>
                <c:pt idx="112">
                  <c:v>1.883555472000847E-2</c:v>
                </c:pt>
                <c:pt idx="113">
                  <c:v>1.8883983735766097E-2</c:v>
                </c:pt>
                <c:pt idx="114">
                  <c:v>1.8923731036017227E-2</c:v>
                </c:pt>
                <c:pt idx="115">
                  <c:v>1.8966288366796622E-2</c:v>
                </c:pt>
                <c:pt idx="116">
                  <c:v>1.9008611434259439E-2</c:v>
                </c:pt>
                <c:pt idx="117">
                  <c:v>1.9045547252503389E-2</c:v>
                </c:pt>
                <c:pt idx="118">
                  <c:v>1.9085738480227852E-2</c:v>
                </c:pt>
                <c:pt idx="119">
                  <c:v>1.9121094895992237E-2</c:v>
                </c:pt>
                <c:pt idx="120">
                  <c:v>1.9153692033781259E-2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635-ADED-8D99E6FC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44335"/>
        <c:axId val="1885825615"/>
      </c:lineChart>
      <c:dateAx>
        <c:axId val="1885844335"/>
        <c:scaling>
          <c:orientation val="minMax"/>
        </c:scaling>
        <c:delete val="0"/>
        <c:axPos val="b"/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5615"/>
        <c:crosses val="autoZero"/>
        <c:auto val="1"/>
        <c:lblOffset val="100"/>
        <c:baseTimeUnit val="months"/>
      </c:dateAx>
      <c:valAx>
        <c:axId val="1885825615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27210076394073"/>
          <c:y val="0.62038346645518239"/>
          <c:w val="0.12351899587970498"/>
          <c:h val="0.10911293642251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2</xdr:row>
      <xdr:rowOff>19049</xdr:rowOff>
    </xdr:from>
    <xdr:to>
      <xdr:col>21</xdr:col>
      <xdr:colOff>590549</xdr:colOff>
      <xdr:row>36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2.85546875" bestFit="1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>_xll.meLWOCurveGeneratorCreate("CURVEGEN_USDSOFR",B5,B6:C13,B15,B16:C30)</f>
        <v>CURVEGEN_USDSOFR@34:3</v>
      </c>
      <c r="E3" s="7"/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1.5699999999999999E-2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14</v>
      </c>
      <c r="E6" s="7"/>
      <c r="F6" s="23" t="s">
        <v>13</v>
      </c>
      <c r="G6" s="24" t="s">
        <v>14</v>
      </c>
      <c r="H6" s="10" t="s">
        <v>2</v>
      </c>
      <c r="I6" s="25" t="s">
        <v>15</v>
      </c>
      <c r="J6" s="26">
        <v>1.55E-2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18</v>
      </c>
      <c r="J7" s="31">
        <v>98.45</v>
      </c>
      <c r="K7" s="27">
        <f>_xll.meDateIMMNext($G$8)</f>
        <v>43817</v>
      </c>
      <c r="L7" s="27">
        <f>_xll.meDateIMMNext(K7)</f>
        <v>43908</v>
      </c>
      <c r="M7" s="32">
        <v>0</v>
      </c>
      <c r="N7" s="33" t="s">
        <v>19</v>
      </c>
      <c r="Q7" s="31"/>
    </row>
    <row r="8" spans="2:17" x14ac:dyDescent="0.25">
      <c r="B8" s="29" t="s">
        <v>20</v>
      </c>
      <c r="C8" s="30" t="s">
        <v>21</v>
      </c>
      <c r="E8" s="7"/>
      <c r="F8" s="34" t="s">
        <v>22</v>
      </c>
      <c r="G8" s="35">
        <v>43776</v>
      </c>
      <c r="H8" s="10" t="s">
        <v>2</v>
      </c>
      <c r="I8" s="25" t="s">
        <v>23</v>
      </c>
      <c r="J8" s="31">
        <v>98.484639999999985</v>
      </c>
      <c r="K8" s="27">
        <f>L7</f>
        <v>43908</v>
      </c>
      <c r="L8" s="27">
        <f>_xll.meDateIMMNext(K8)</f>
        <v>43999</v>
      </c>
      <c r="M8" s="32">
        <v>0</v>
      </c>
      <c r="N8" s="33" t="s">
        <v>19</v>
      </c>
      <c r="Q8" s="31"/>
    </row>
    <row r="9" spans="2:17" x14ac:dyDescent="0.25">
      <c r="B9" s="29" t="s">
        <v>24</v>
      </c>
      <c r="C9" s="30" t="s">
        <v>25</v>
      </c>
      <c r="E9" s="7"/>
      <c r="F9" s="9"/>
      <c r="G9" s="9"/>
      <c r="H9" s="10" t="s">
        <v>2</v>
      </c>
      <c r="I9" s="25" t="s">
        <v>26</v>
      </c>
      <c r="J9" s="31">
        <v>98.519279999999995</v>
      </c>
      <c r="K9" s="27">
        <f>L8</f>
        <v>43999</v>
      </c>
      <c r="L9" s="27">
        <f>_xll.meDateIMMNext(K9)</f>
        <v>44090</v>
      </c>
      <c r="M9" s="32">
        <v>0</v>
      </c>
      <c r="N9" s="33" t="s">
        <v>19</v>
      </c>
      <c r="Q9" s="31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27</v>
      </c>
      <c r="J10" s="31">
        <v>98.553920000000005</v>
      </c>
      <c r="K10" s="27">
        <f>L9</f>
        <v>44090</v>
      </c>
      <c r="L10" s="27">
        <f>_xll.meDateIMMNext(K10)</f>
        <v>44181</v>
      </c>
      <c r="M10" s="32">
        <v>0</v>
      </c>
      <c r="N10" s="33" t="s">
        <v>19</v>
      </c>
      <c r="Q10" s="31"/>
    </row>
    <row r="11" spans="2:17" x14ac:dyDescent="0.25">
      <c r="B11" s="29" t="s">
        <v>28</v>
      </c>
      <c r="C11" s="72" t="s">
        <v>96</v>
      </c>
      <c r="E11" s="7"/>
      <c r="F11" s="36" t="s">
        <v>30</v>
      </c>
      <c r="G11" s="9"/>
      <c r="H11" s="10" t="s">
        <v>2</v>
      </c>
      <c r="I11" s="25" t="s">
        <v>31</v>
      </c>
      <c r="J11" s="26">
        <v>1.4460799999999999E-2</v>
      </c>
      <c r="K11" s="27"/>
      <c r="L11" s="27"/>
      <c r="M11" s="28"/>
      <c r="N11" s="11"/>
    </row>
    <row r="12" spans="2:17" x14ac:dyDescent="0.25">
      <c r="B12" s="29" t="s">
        <v>32</v>
      </c>
      <c r="C12" s="72" t="s">
        <v>96</v>
      </c>
      <c r="E12" s="7"/>
      <c r="F12" s="38" t="s">
        <v>33</v>
      </c>
      <c r="G12" s="39" t="s">
        <v>34</v>
      </c>
      <c r="H12" s="10" t="s">
        <v>2</v>
      </c>
      <c r="I12" s="25" t="s">
        <v>36</v>
      </c>
      <c r="J12" s="26">
        <v>1.47765E-2</v>
      </c>
      <c r="K12" s="27"/>
      <c r="L12" s="27"/>
      <c r="M12" s="28"/>
      <c r="N12" s="11"/>
    </row>
    <row r="13" spans="2:17" x14ac:dyDescent="0.25">
      <c r="B13" s="37" t="s">
        <v>97</v>
      </c>
      <c r="C13" s="74">
        <f>L9</f>
        <v>44090</v>
      </c>
      <c r="E13" s="7"/>
      <c r="F13" s="41" t="s">
        <v>35</v>
      </c>
      <c r="G13" s="42" t="str">
        <f>_xll.meLWOCurveMarketDataCreate(G12,F3,F5:G8,I3,I5:M30)</f>
        <v>USD_OIS_CURVE_MARKETDATA@35:3</v>
      </c>
      <c r="H13" s="10" t="s">
        <v>2</v>
      </c>
      <c r="I13" s="25" t="s">
        <v>37</v>
      </c>
      <c r="J13" s="26">
        <v>1.5301800000000001E-2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40</v>
      </c>
      <c r="J14" s="26">
        <v>1.6184500000000001E-2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43</v>
      </c>
      <c r="J15" s="26">
        <v>1.6668100000000002E-2</v>
      </c>
      <c r="K15" s="27"/>
      <c r="L15" s="27"/>
      <c r="M15" s="28"/>
      <c r="N15" s="11"/>
    </row>
    <row r="16" spans="2:17" x14ac:dyDescent="0.25">
      <c r="B16" s="44" t="s">
        <v>38</v>
      </c>
      <c r="C16" s="45" t="s">
        <v>39</v>
      </c>
      <c r="E16" s="7"/>
      <c r="F16" s="10"/>
      <c r="G16" s="10"/>
      <c r="H16" s="10" t="s">
        <v>2</v>
      </c>
      <c r="I16" s="25" t="s">
        <v>47</v>
      </c>
      <c r="J16" s="26">
        <v>1.7191000000000001E-2</v>
      </c>
      <c r="K16" s="27"/>
      <c r="L16" s="27"/>
      <c r="M16" s="28"/>
      <c r="N16" s="11"/>
    </row>
    <row r="17" spans="2:14" x14ac:dyDescent="0.25">
      <c r="B17" s="46" t="s">
        <v>41</v>
      </c>
      <c r="C17" s="47" t="s">
        <v>42</v>
      </c>
      <c r="E17" s="7"/>
      <c r="F17" s="10"/>
      <c r="G17" s="10"/>
      <c r="H17" s="10" t="s">
        <v>2</v>
      </c>
      <c r="I17" s="25" t="s">
        <v>51</v>
      </c>
      <c r="J17" s="26">
        <v>1.77368E-2</v>
      </c>
      <c r="K17" s="27"/>
      <c r="L17" s="27"/>
      <c r="M17" s="28"/>
      <c r="N17" s="33"/>
    </row>
    <row r="18" spans="2:14" x14ac:dyDescent="0.25">
      <c r="B18" s="46" t="s">
        <v>44</v>
      </c>
      <c r="C18" s="47" t="s">
        <v>45</v>
      </c>
      <c r="E18" s="7"/>
      <c r="F18" s="36" t="s">
        <v>46</v>
      </c>
      <c r="G18" s="9"/>
      <c r="H18" s="10" t="s">
        <v>2</v>
      </c>
      <c r="I18" s="25" t="s">
        <v>55</v>
      </c>
      <c r="J18" s="26">
        <v>1.7927999999999999E-2</v>
      </c>
      <c r="K18" s="27"/>
      <c r="L18" s="27"/>
      <c r="M18" s="28"/>
      <c r="N18" s="33"/>
    </row>
    <row r="19" spans="2:14" x14ac:dyDescent="0.25">
      <c r="B19" s="46" t="s">
        <v>48</v>
      </c>
      <c r="C19" s="47" t="s">
        <v>49</v>
      </c>
      <c r="E19" s="7"/>
      <c r="F19" s="48" t="s">
        <v>33</v>
      </c>
      <c r="G19" s="49" t="s">
        <v>50</v>
      </c>
      <c r="H19" s="10" t="s">
        <v>2</v>
      </c>
      <c r="I19" s="25" t="s">
        <v>60</v>
      </c>
      <c r="J19" s="26">
        <v>1.7939799999999999E-2</v>
      </c>
      <c r="K19" s="27"/>
      <c r="L19" s="27"/>
      <c r="M19" s="28"/>
      <c r="N19" s="11"/>
    </row>
    <row r="20" spans="2:14" x14ac:dyDescent="0.25">
      <c r="B20" s="46" t="s">
        <v>52</v>
      </c>
      <c r="C20" s="47" t="s">
        <v>53</v>
      </c>
      <c r="E20" s="7"/>
      <c r="F20" s="50" t="s">
        <v>54</v>
      </c>
      <c r="G20" s="51" t="str">
        <f>C3</f>
        <v>CURVEGEN_USDSOFR@34:3</v>
      </c>
      <c r="H20" s="10" t="s">
        <v>2</v>
      </c>
      <c r="I20" s="25" t="s">
        <v>64</v>
      </c>
      <c r="J20" s="26">
        <v>1.7733800000000001E-2</v>
      </c>
      <c r="K20" s="27"/>
      <c r="L20" s="27"/>
      <c r="M20" s="28"/>
      <c r="N20" s="11"/>
    </row>
    <row r="21" spans="2:14" x14ac:dyDescent="0.25">
      <c r="B21" s="46" t="s">
        <v>56</v>
      </c>
      <c r="C21" s="47" t="s">
        <v>57</v>
      </c>
      <c r="E21" s="7"/>
      <c r="F21" s="50" t="s">
        <v>58</v>
      </c>
      <c r="G21" s="51" t="s">
        <v>59</v>
      </c>
      <c r="H21" s="10" t="s">
        <v>2</v>
      </c>
      <c r="I21" s="25" t="s">
        <v>67</v>
      </c>
      <c r="J21" s="26">
        <v>1.73572E-2</v>
      </c>
      <c r="K21" s="27"/>
      <c r="L21" s="27"/>
      <c r="M21" s="28"/>
      <c r="N21" s="11"/>
    </row>
    <row r="22" spans="2:14" x14ac:dyDescent="0.25">
      <c r="B22" s="46" t="s">
        <v>61</v>
      </c>
      <c r="C22" s="47" t="s">
        <v>62</v>
      </c>
      <c r="E22" s="7"/>
      <c r="F22" s="52" t="s">
        <v>63</v>
      </c>
      <c r="G22" s="53"/>
      <c r="H22" s="10" t="s">
        <v>2</v>
      </c>
      <c r="N22" s="11"/>
    </row>
    <row r="23" spans="2:14" x14ac:dyDescent="0.25">
      <c r="B23" s="46" t="s">
        <v>65</v>
      </c>
      <c r="C23" s="47" t="s">
        <v>66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68</v>
      </c>
      <c r="C24" s="47" t="s">
        <v>69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70</v>
      </c>
      <c r="C25" s="47" t="s">
        <v>71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72</v>
      </c>
      <c r="C26" s="47" t="s">
        <v>73</v>
      </c>
      <c r="E26" s="7"/>
      <c r="F26" s="36" t="s">
        <v>74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75</v>
      </c>
      <c r="C27" s="54">
        <v>1E-10</v>
      </c>
      <c r="E27" s="7"/>
      <c r="F27" s="44" t="s">
        <v>33</v>
      </c>
      <c r="G27" s="55" t="str">
        <f t="array" ref="G27:G30">_xll.meLWOCurveCalibrate(G19,G20,G13,G21,G22)</f>
        <v>CURVE_USDSOFR@36:3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76</v>
      </c>
      <c r="C28" s="47" t="s">
        <v>77</v>
      </c>
      <c r="E28" s="7"/>
      <c r="F28" s="46" t="s">
        <v>78</v>
      </c>
      <c r="G28" s="47" t="str"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79</v>
      </c>
      <c r="C29" s="47" t="s">
        <v>80</v>
      </c>
      <c r="E29" s="7"/>
      <c r="F29" s="46" t="s">
        <v>81</v>
      </c>
      <c r="G29" s="47" t="str">
        <v>SOFR:USDSOFR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82</v>
      </c>
      <c r="C30" s="56" t="s">
        <v>83</v>
      </c>
      <c r="E30" s="7"/>
      <c r="F30" s="58" t="s">
        <v>84</v>
      </c>
      <c r="G30" s="56" t="str">
        <v>0.05800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85</v>
      </c>
      <c r="G31" s="64" t="b">
        <f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6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>_xll.meLWOCurveGeneratorCreate("CURVEGEN_USDSOIS_WITH_SOFR_DF",B5,B6:C13,B15,B16:C30)</f>
        <v>CURVEGEN_USDSOIS_WITH_SOFR_DF@4:3</v>
      </c>
      <c r="D3" t="s">
        <v>2</v>
      </c>
      <c r="E3" s="7" t="s">
        <v>2</v>
      </c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1.55E-2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3</v>
      </c>
      <c r="E6" s="7"/>
      <c r="F6" s="23" t="s">
        <v>13</v>
      </c>
      <c r="G6" s="24" t="s">
        <v>3</v>
      </c>
      <c r="H6" s="10" t="s">
        <v>2</v>
      </c>
      <c r="I6" s="25" t="s">
        <v>15</v>
      </c>
      <c r="J6" s="26">
        <v>1.5654600000000001E-2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86</v>
      </c>
      <c r="J7" s="26">
        <v>1.52E-2</v>
      </c>
      <c r="K7" s="27">
        <v>43817</v>
      </c>
      <c r="L7" s="27">
        <v>43908</v>
      </c>
      <c r="M7" s="32"/>
      <c r="N7" s="33" t="s">
        <v>87</v>
      </c>
    </row>
    <row r="8" spans="2:17" x14ac:dyDescent="0.25">
      <c r="B8" s="29" t="s">
        <v>20</v>
      </c>
      <c r="C8" s="30" t="s">
        <v>3</v>
      </c>
      <c r="E8" s="7"/>
      <c r="F8" s="34" t="s">
        <v>22</v>
      </c>
      <c r="G8" s="35">
        <v>43776</v>
      </c>
      <c r="H8" s="10" t="s">
        <v>2</v>
      </c>
      <c r="I8" s="25" t="s">
        <v>88</v>
      </c>
      <c r="J8" s="26">
        <v>1.4800000000000001E-2</v>
      </c>
      <c r="K8" s="27">
        <v>43908</v>
      </c>
      <c r="L8" s="27">
        <v>43999</v>
      </c>
      <c r="M8" s="32"/>
      <c r="N8" s="33" t="s">
        <v>87</v>
      </c>
      <c r="Q8" s="73"/>
    </row>
    <row r="9" spans="2:17" x14ac:dyDescent="0.25">
      <c r="B9" s="29" t="s">
        <v>24</v>
      </c>
      <c r="C9" s="30" t="s">
        <v>89</v>
      </c>
      <c r="E9" s="7"/>
      <c r="F9" s="9"/>
      <c r="G9" s="9"/>
      <c r="H9" s="10" t="s">
        <v>2</v>
      </c>
      <c r="I9" s="25" t="s">
        <v>90</v>
      </c>
      <c r="J9" s="26">
        <v>1.4500000000000001E-2</v>
      </c>
      <c r="K9" s="27">
        <v>43999</v>
      </c>
      <c r="L9" s="27">
        <v>44090</v>
      </c>
      <c r="M9" s="32"/>
      <c r="N9" s="33" t="s">
        <v>87</v>
      </c>
      <c r="Q9" s="73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91</v>
      </c>
      <c r="J10" s="26">
        <v>1.435E-2</v>
      </c>
      <c r="K10" s="27">
        <v>44090</v>
      </c>
      <c r="L10" s="27">
        <v>44181</v>
      </c>
      <c r="M10" s="32"/>
      <c r="N10" s="33" t="s">
        <v>87</v>
      </c>
      <c r="Q10" s="73"/>
    </row>
    <row r="11" spans="2:17" x14ac:dyDescent="0.25">
      <c r="B11" s="29" t="s">
        <v>28</v>
      </c>
      <c r="C11" s="30" t="s">
        <v>29</v>
      </c>
      <c r="E11" s="7"/>
      <c r="F11" s="36" t="s">
        <v>30</v>
      </c>
      <c r="G11" s="9"/>
      <c r="H11" s="10" t="s">
        <v>2</v>
      </c>
      <c r="I11" s="25" t="s">
        <v>31</v>
      </c>
      <c r="J11" s="26">
        <v>1.4330000000000001E-2</v>
      </c>
      <c r="K11" s="27"/>
      <c r="L11" s="27"/>
      <c r="M11" s="28"/>
      <c r="N11" s="11"/>
    </row>
    <row r="12" spans="2:17" x14ac:dyDescent="0.25">
      <c r="B12" s="29" t="s">
        <v>32</v>
      </c>
      <c r="C12" s="30" t="s">
        <v>29</v>
      </c>
      <c r="E12" s="7"/>
      <c r="F12" s="38" t="s">
        <v>33</v>
      </c>
      <c r="G12" s="39" t="s">
        <v>34</v>
      </c>
      <c r="H12" s="10" t="s">
        <v>2</v>
      </c>
      <c r="I12" s="25" t="s">
        <v>36</v>
      </c>
      <c r="J12" s="26">
        <v>1.4534399999999999E-2</v>
      </c>
      <c r="K12" s="27"/>
      <c r="L12" s="27"/>
      <c r="M12" s="28"/>
      <c r="N12" s="11"/>
    </row>
    <row r="13" spans="2:17" x14ac:dyDescent="0.25">
      <c r="B13" s="37" t="s">
        <v>92</v>
      </c>
      <c r="C13" s="68" t="s">
        <v>21</v>
      </c>
      <c r="E13" s="7"/>
      <c r="F13" s="41" t="s">
        <v>35</v>
      </c>
      <c r="G13" s="42" t="str">
        <f>_xll.meLWOCurveMarketDataCreate(G12,F3,F5:G8,I3,I5:M30)</f>
        <v>USD_OIS_CURVE_MARKETDATA@5:3</v>
      </c>
      <c r="H13" s="10" t="s">
        <v>2</v>
      </c>
      <c r="I13" s="25" t="s">
        <v>37</v>
      </c>
      <c r="J13" s="26">
        <v>1.5085100000000001E-2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40</v>
      </c>
      <c r="J14" s="26">
        <v>1.5984399999999999E-2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43</v>
      </c>
      <c r="J15" s="26">
        <v>1.6479299999999999E-2</v>
      </c>
      <c r="K15" s="27"/>
      <c r="L15" s="27"/>
      <c r="M15" s="28"/>
      <c r="N15" s="11"/>
    </row>
    <row r="16" spans="2:17" x14ac:dyDescent="0.25">
      <c r="B16" s="44" t="s">
        <v>38</v>
      </c>
      <c r="C16" s="45" t="s">
        <v>39</v>
      </c>
      <c r="E16" s="7"/>
      <c r="F16" s="10"/>
      <c r="G16" s="10"/>
      <c r="H16" s="10" t="s">
        <v>2</v>
      </c>
      <c r="I16" s="25" t="s">
        <v>47</v>
      </c>
      <c r="J16" s="26">
        <v>1.7012300000000001E-2</v>
      </c>
      <c r="K16" s="27"/>
      <c r="L16" s="27"/>
      <c r="M16" s="28"/>
      <c r="N16" s="11"/>
    </row>
    <row r="17" spans="2:14" x14ac:dyDescent="0.25">
      <c r="B17" s="46" t="s">
        <v>41</v>
      </c>
      <c r="C17" s="47" t="s">
        <v>42</v>
      </c>
      <c r="E17" s="7"/>
      <c r="F17" s="10"/>
      <c r="G17" s="10"/>
      <c r="H17" s="10" t="s">
        <v>2</v>
      </c>
      <c r="I17" s="25" t="s">
        <v>51</v>
      </c>
      <c r="J17" s="26">
        <v>1.75687E-2</v>
      </c>
      <c r="K17" s="27"/>
      <c r="L17" s="27"/>
      <c r="M17" s="28"/>
      <c r="N17" s="33"/>
    </row>
    <row r="18" spans="2:14" x14ac:dyDescent="0.25">
      <c r="B18" s="46" t="s">
        <v>44</v>
      </c>
      <c r="C18" s="47" t="s">
        <v>45</v>
      </c>
      <c r="E18" s="7"/>
      <c r="F18" s="36" t="s">
        <v>46</v>
      </c>
      <c r="G18" s="9"/>
      <c r="H18" s="10" t="s">
        <v>2</v>
      </c>
      <c r="I18" s="25" t="s">
        <v>55</v>
      </c>
      <c r="J18" s="26">
        <v>1.3831423343814556E-2</v>
      </c>
      <c r="K18" s="27"/>
      <c r="L18" s="27"/>
      <c r="M18" s="28"/>
      <c r="N18" s="33"/>
    </row>
    <row r="19" spans="2:14" x14ac:dyDescent="0.25">
      <c r="B19" s="46" t="s">
        <v>48</v>
      </c>
      <c r="C19" s="47" t="s">
        <v>49</v>
      </c>
      <c r="E19" s="7"/>
      <c r="F19" s="48" t="s">
        <v>33</v>
      </c>
      <c r="G19" s="49" t="s">
        <v>93</v>
      </c>
      <c r="H19" s="10" t="s">
        <v>2</v>
      </c>
      <c r="I19" s="25" t="s">
        <v>60</v>
      </c>
      <c r="J19" s="26">
        <v>1.7790199999999999E-2</v>
      </c>
      <c r="K19" s="27"/>
      <c r="L19" s="27"/>
      <c r="M19" s="28"/>
      <c r="N19" s="11"/>
    </row>
    <row r="20" spans="2:14" x14ac:dyDescent="0.25">
      <c r="B20" s="46" t="s">
        <v>52</v>
      </c>
      <c r="C20" s="47" t="s">
        <v>53</v>
      </c>
      <c r="E20" s="7"/>
      <c r="F20" s="50" t="s">
        <v>54</v>
      </c>
      <c r="G20" s="51" t="str">
        <f>C3</f>
        <v>CURVEGEN_USDSOIS_WITH_SOFR_DF@4:3</v>
      </c>
      <c r="H20" s="10" t="s">
        <v>2</v>
      </c>
      <c r="I20" s="25" t="s">
        <v>64</v>
      </c>
      <c r="J20" s="26">
        <v>1.7577760000000001E-2</v>
      </c>
      <c r="K20" s="27"/>
      <c r="L20" s="27"/>
      <c r="M20" s="28"/>
      <c r="N20" s="11"/>
    </row>
    <row r="21" spans="2:14" x14ac:dyDescent="0.25">
      <c r="B21" s="46" t="s">
        <v>56</v>
      </c>
      <c r="C21" s="47" t="s">
        <v>57</v>
      </c>
      <c r="E21" s="7"/>
      <c r="F21" s="50" t="s">
        <v>58</v>
      </c>
      <c r="G21" s="51" t="s">
        <v>59</v>
      </c>
      <c r="H21" s="10" t="s">
        <v>2</v>
      </c>
      <c r="I21" s="25" t="s">
        <v>67</v>
      </c>
      <c r="J21" s="26">
        <v>1.7205100000000001E-2</v>
      </c>
      <c r="K21" s="27"/>
      <c r="L21" s="27"/>
      <c r="M21" s="28"/>
      <c r="N21" s="11"/>
    </row>
    <row r="22" spans="2:14" x14ac:dyDescent="0.25">
      <c r="B22" s="46" t="s">
        <v>61</v>
      </c>
      <c r="C22" s="47" t="s">
        <v>62</v>
      </c>
      <c r="E22" s="7"/>
      <c r="F22" s="52" t="s">
        <v>63</v>
      </c>
      <c r="G22" s="53"/>
      <c r="H22" s="10" t="s">
        <v>2</v>
      </c>
      <c r="N22" s="11"/>
    </row>
    <row r="23" spans="2:14" x14ac:dyDescent="0.25">
      <c r="B23" s="46" t="s">
        <v>65</v>
      </c>
      <c r="C23" s="47" t="s">
        <v>66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68</v>
      </c>
      <c r="C24" s="47" t="s">
        <v>69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70</v>
      </c>
      <c r="C25" s="47" t="s">
        <v>71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72</v>
      </c>
      <c r="C26" s="47" t="s">
        <v>73</v>
      </c>
      <c r="E26" s="7"/>
      <c r="F26" s="36" t="s">
        <v>74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75</v>
      </c>
      <c r="C27" s="54">
        <v>1E-10</v>
      </c>
      <c r="E27" s="7"/>
      <c r="F27" s="44" t="s">
        <v>33</v>
      </c>
      <c r="G27" s="55" t="str">
        <f t="array" ref="G27:G30">_xll.meLWOCurveCalibrate(G19,G20,G13,G21,G22)</f>
        <v>CURVE_USDOIS@12:2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76</v>
      </c>
      <c r="C28" s="47" t="s">
        <v>77</v>
      </c>
      <c r="E28" s="7"/>
      <c r="F28" s="46" t="s">
        <v>78</v>
      </c>
      <c r="G28" s="47" t="str"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79</v>
      </c>
      <c r="C29" s="47" t="s">
        <v>80</v>
      </c>
      <c r="E29" s="7"/>
      <c r="F29" s="46" t="s">
        <v>81</v>
      </c>
      <c r="G29" s="47" t="str">
        <v>OIS:USDOIS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82</v>
      </c>
      <c r="C30" s="56" t="s">
        <v>83</v>
      </c>
      <c r="E30" s="7"/>
      <c r="F30" s="58" t="s">
        <v>84</v>
      </c>
      <c r="G30" s="56" t="str">
        <v>0.04500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85</v>
      </c>
      <c r="G31" s="64" t="b">
        <f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3:L77"/>
  <sheetViews>
    <sheetView showGridLines="0" zoomScaleNormal="100" workbookViewId="0"/>
  </sheetViews>
  <sheetFormatPr defaultRowHeight="15" x14ac:dyDescent="0.25"/>
  <cols>
    <col min="1" max="1" width="9.140625" customWidth="1"/>
    <col min="2" max="2" width="2.7109375" customWidth="1"/>
    <col min="3" max="3" width="34" customWidth="1"/>
    <col min="4" max="5" width="25.7109375" customWidth="1"/>
    <col min="6" max="6" width="2.7109375" customWidth="1"/>
    <col min="8" max="8" width="2.7109375" customWidth="1"/>
    <col min="9" max="9" width="38" bestFit="1" customWidth="1"/>
    <col min="10" max="10" width="32.7109375" bestFit="1" customWidth="1"/>
    <col min="11" max="11" width="25.7109375" customWidth="1"/>
    <col min="12" max="12" width="2.7109375" customWidth="1"/>
  </cols>
  <sheetData>
    <row r="3" spans="2:12" x14ac:dyDescent="0.25">
      <c r="B3" s="1"/>
      <c r="C3" s="4"/>
      <c r="D3" s="4"/>
      <c r="E3" s="4"/>
      <c r="F3" s="5"/>
      <c r="H3" s="1"/>
      <c r="I3" s="4"/>
      <c r="J3" s="4"/>
      <c r="K3" s="4"/>
      <c r="L3" s="5"/>
    </row>
    <row r="4" spans="2:12" x14ac:dyDescent="0.25">
      <c r="B4" s="7"/>
      <c r="C4" s="132" t="s">
        <v>159</v>
      </c>
      <c r="D4" s="10"/>
      <c r="E4" s="10"/>
      <c r="F4" s="11"/>
      <c r="H4" s="7"/>
      <c r="I4" s="132" t="s">
        <v>159</v>
      </c>
      <c r="J4" s="10"/>
      <c r="K4" s="10"/>
      <c r="L4" s="11"/>
    </row>
    <row r="5" spans="2:12" x14ac:dyDescent="0.25">
      <c r="B5" s="7"/>
      <c r="C5" s="38" t="s">
        <v>118</v>
      </c>
      <c r="D5" s="133" t="str">
        <f>_xll.meLWOSwapGeneratorCreate(D6,C10:E37)</f>
        <v>USD_SOFR_SWAP@3:3</v>
      </c>
      <c r="E5" s="10"/>
      <c r="F5" s="11"/>
      <c r="H5" s="7"/>
      <c r="I5" s="38" t="s">
        <v>118</v>
      </c>
      <c r="J5" s="133" t="str">
        <f>_xll.meLWOSwapGeneratorCreate(J6,I10:K37)</f>
        <v>USD_SOFR_SWAP_UNDER_1Y@1:3</v>
      </c>
      <c r="K5" s="10"/>
      <c r="L5" s="11"/>
    </row>
    <row r="6" spans="2:12" x14ac:dyDescent="0.25">
      <c r="B6" s="7"/>
      <c r="C6" s="134" t="s">
        <v>119</v>
      </c>
      <c r="D6" s="135" t="s">
        <v>120</v>
      </c>
      <c r="E6" s="10"/>
      <c r="F6" s="11"/>
      <c r="H6" s="7"/>
      <c r="I6" s="134" t="s">
        <v>119</v>
      </c>
      <c r="J6" s="135" t="s">
        <v>121</v>
      </c>
      <c r="K6" s="10"/>
      <c r="L6" s="11"/>
    </row>
    <row r="7" spans="2:12" x14ac:dyDescent="0.25">
      <c r="B7" s="7"/>
      <c r="C7" s="41"/>
      <c r="D7" s="136"/>
      <c r="E7" s="10"/>
      <c r="F7" s="11" t="s">
        <v>2</v>
      </c>
      <c r="H7" s="7"/>
      <c r="I7" s="41"/>
      <c r="J7" s="136"/>
      <c r="K7" s="10"/>
      <c r="L7" s="11" t="s">
        <v>2</v>
      </c>
    </row>
    <row r="8" spans="2:12" x14ac:dyDescent="0.25">
      <c r="B8" s="7"/>
      <c r="C8" s="10"/>
      <c r="D8" s="10"/>
      <c r="E8" s="10"/>
      <c r="F8" s="11"/>
      <c r="H8" s="7"/>
      <c r="I8" s="10"/>
      <c r="J8" s="10"/>
      <c r="K8" s="10"/>
      <c r="L8" s="11"/>
    </row>
    <row r="9" spans="2:12" x14ac:dyDescent="0.25">
      <c r="B9" s="7"/>
      <c r="C9" s="10"/>
      <c r="D9" s="10"/>
      <c r="E9" s="10"/>
      <c r="F9" s="11"/>
      <c r="H9" s="7"/>
      <c r="I9" s="10"/>
      <c r="J9" s="10"/>
      <c r="K9" s="10"/>
      <c r="L9" s="11"/>
    </row>
    <row r="10" spans="2:12" x14ac:dyDescent="0.25">
      <c r="B10" s="7"/>
      <c r="C10" s="44" t="s">
        <v>122</v>
      </c>
      <c r="D10" s="138" t="s">
        <v>123</v>
      </c>
      <c r="E10" s="139" t="s">
        <v>124</v>
      </c>
      <c r="F10" s="11"/>
      <c r="H10" s="7"/>
      <c r="I10" s="44" t="s">
        <v>122</v>
      </c>
      <c r="J10" s="138" t="s">
        <v>123</v>
      </c>
      <c r="K10" s="139" t="s">
        <v>124</v>
      </c>
      <c r="L10" s="11"/>
    </row>
    <row r="11" spans="2:12" x14ac:dyDescent="0.25">
      <c r="B11" s="7"/>
      <c r="C11" s="46" t="s">
        <v>125</v>
      </c>
      <c r="D11" s="140" t="s">
        <v>126</v>
      </c>
      <c r="E11" s="141" t="s">
        <v>126</v>
      </c>
      <c r="F11" s="11"/>
      <c r="H11" s="7"/>
      <c r="I11" s="46" t="s">
        <v>125</v>
      </c>
      <c r="J11" s="140" t="s">
        <v>126</v>
      </c>
      <c r="K11" s="141" t="s">
        <v>126</v>
      </c>
      <c r="L11" s="11"/>
    </row>
    <row r="12" spans="2:12" x14ac:dyDescent="0.25">
      <c r="B12" s="7"/>
      <c r="C12" s="46" t="s">
        <v>127</v>
      </c>
      <c r="D12" s="142"/>
      <c r="E12" s="143" t="s">
        <v>25</v>
      </c>
      <c r="F12" s="11"/>
      <c r="H12" s="7"/>
      <c r="I12" s="46" t="s">
        <v>127</v>
      </c>
      <c r="J12" s="142"/>
      <c r="K12" s="143" t="s">
        <v>25</v>
      </c>
      <c r="L12" s="11"/>
    </row>
    <row r="13" spans="2:12" x14ac:dyDescent="0.25">
      <c r="B13" s="7"/>
      <c r="C13" s="46" t="s">
        <v>128</v>
      </c>
      <c r="D13" s="142" t="s">
        <v>25</v>
      </c>
      <c r="E13" s="143" t="s">
        <v>25</v>
      </c>
      <c r="F13" s="11" t="s">
        <v>2</v>
      </c>
      <c r="H13" s="7"/>
      <c r="I13" s="46" t="s">
        <v>128</v>
      </c>
      <c r="J13" s="142" t="s">
        <v>25</v>
      </c>
      <c r="K13" s="143" t="s">
        <v>25</v>
      </c>
      <c r="L13" s="11" t="s">
        <v>2</v>
      </c>
    </row>
    <row r="14" spans="2:12" x14ac:dyDescent="0.25">
      <c r="B14" s="7"/>
      <c r="C14" s="46" t="s">
        <v>129</v>
      </c>
      <c r="D14" s="140" t="s">
        <v>73</v>
      </c>
      <c r="E14" s="144" t="s">
        <v>80</v>
      </c>
      <c r="F14" s="145"/>
      <c r="H14" s="7"/>
      <c r="I14" s="46" t="s">
        <v>129</v>
      </c>
      <c r="J14" s="140" t="s">
        <v>73</v>
      </c>
      <c r="K14" s="144" t="s">
        <v>130</v>
      </c>
      <c r="L14" s="145"/>
    </row>
    <row r="15" spans="2:12" x14ac:dyDescent="0.25">
      <c r="B15" s="7"/>
      <c r="C15" s="46" t="s">
        <v>131</v>
      </c>
      <c r="D15" s="140" t="s">
        <v>73</v>
      </c>
      <c r="E15" s="141" t="s">
        <v>73</v>
      </c>
      <c r="F15" s="145"/>
      <c r="H15" s="7"/>
      <c r="I15" s="46" t="s">
        <v>131</v>
      </c>
      <c r="J15" s="140" t="s">
        <v>73</v>
      </c>
      <c r="K15" s="141" t="s">
        <v>73</v>
      </c>
      <c r="L15" s="145"/>
    </row>
    <row r="16" spans="2:12" x14ac:dyDescent="0.25">
      <c r="B16" s="7"/>
      <c r="C16" s="46" t="s">
        <v>132</v>
      </c>
      <c r="D16" s="140" t="s">
        <v>11</v>
      </c>
      <c r="E16" s="141" t="s">
        <v>11</v>
      </c>
      <c r="F16" s="11"/>
      <c r="H16" s="7"/>
      <c r="I16" s="46" t="s">
        <v>132</v>
      </c>
      <c r="J16" s="140" t="s">
        <v>11</v>
      </c>
      <c r="K16" s="141" t="s">
        <v>11</v>
      </c>
      <c r="L16" s="11"/>
    </row>
    <row r="17" spans="2:12" x14ac:dyDescent="0.25">
      <c r="B17" s="7"/>
      <c r="C17" s="46" t="s">
        <v>133</v>
      </c>
      <c r="D17" s="140" t="s">
        <v>11</v>
      </c>
      <c r="E17" s="141" t="s">
        <v>11</v>
      </c>
      <c r="F17" s="11"/>
      <c r="H17" s="7"/>
      <c r="I17" s="46" t="s">
        <v>133</v>
      </c>
      <c r="J17" s="140" t="s">
        <v>11</v>
      </c>
      <c r="K17" s="141" t="s">
        <v>11</v>
      </c>
      <c r="L17" s="11"/>
    </row>
    <row r="18" spans="2:12" x14ac:dyDescent="0.25">
      <c r="B18" s="7"/>
      <c r="C18" s="46" t="s">
        <v>134</v>
      </c>
      <c r="D18" s="140" t="s">
        <v>45</v>
      </c>
      <c r="E18" s="141" t="s">
        <v>45</v>
      </c>
      <c r="F18" s="11"/>
      <c r="H18" s="7"/>
      <c r="I18" s="46" t="s">
        <v>134</v>
      </c>
      <c r="J18" s="140" t="s">
        <v>45</v>
      </c>
      <c r="K18" s="141" t="s">
        <v>45</v>
      </c>
      <c r="L18" s="11"/>
    </row>
    <row r="19" spans="2:12" x14ac:dyDescent="0.25">
      <c r="B19" s="7"/>
      <c r="C19" s="46" t="s">
        <v>135</v>
      </c>
      <c r="D19" s="140" t="s">
        <v>62</v>
      </c>
      <c r="E19" s="141" t="s">
        <v>62</v>
      </c>
      <c r="F19" s="11"/>
      <c r="H19" s="7"/>
      <c r="I19" s="46" t="s">
        <v>135</v>
      </c>
      <c r="J19" s="140" t="s">
        <v>62</v>
      </c>
      <c r="K19" s="141" t="s">
        <v>62</v>
      </c>
      <c r="L19" s="11"/>
    </row>
    <row r="20" spans="2:12" x14ac:dyDescent="0.25">
      <c r="B20" s="7"/>
      <c r="C20" s="46" t="s">
        <v>136</v>
      </c>
      <c r="D20" s="140" t="s">
        <v>39</v>
      </c>
      <c r="E20" s="141" t="s">
        <v>39</v>
      </c>
      <c r="F20" s="11"/>
      <c r="H20" s="7"/>
      <c r="I20" s="46" t="s">
        <v>136</v>
      </c>
      <c r="J20" s="140" t="s">
        <v>39</v>
      </c>
      <c r="K20" s="141" t="s">
        <v>39</v>
      </c>
      <c r="L20" s="11"/>
    </row>
    <row r="21" spans="2:12" x14ac:dyDescent="0.25">
      <c r="B21" s="7"/>
      <c r="C21" s="46" t="s">
        <v>137</v>
      </c>
      <c r="D21" s="140" t="s">
        <v>42</v>
      </c>
      <c r="E21" s="141" t="s">
        <v>42</v>
      </c>
      <c r="F21" s="11"/>
      <c r="H21" s="7"/>
      <c r="I21" s="46" t="s">
        <v>137</v>
      </c>
      <c r="J21" s="140" t="s">
        <v>42</v>
      </c>
      <c r="K21" s="141" t="s">
        <v>42</v>
      </c>
      <c r="L21" s="11"/>
    </row>
    <row r="22" spans="2:12" x14ac:dyDescent="0.25">
      <c r="B22" s="7"/>
      <c r="C22" s="46" t="s">
        <v>138</v>
      </c>
      <c r="D22" s="140" t="s">
        <v>45</v>
      </c>
      <c r="E22" s="141" t="s">
        <v>45</v>
      </c>
      <c r="F22" s="11"/>
      <c r="H22" s="7"/>
      <c r="I22" s="46" t="s">
        <v>138</v>
      </c>
      <c r="J22" s="140" t="s">
        <v>45</v>
      </c>
      <c r="K22" s="141" t="s">
        <v>45</v>
      </c>
      <c r="L22" s="11"/>
    </row>
    <row r="23" spans="2:12" x14ac:dyDescent="0.25">
      <c r="B23" s="7"/>
      <c r="C23" s="46" t="s">
        <v>139</v>
      </c>
      <c r="D23" s="140" t="s">
        <v>62</v>
      </c>
      <c r="E23" s="141" t="s">
        <v>62</v>
      </c>
      <c r="F23" s="11"/>
      <c r="H23" s="7"/>
      <c r="I23" s="46" t="s">
        <v>139</v>
      </c>
      <c r="J23" s="140" t="s">
        <v>62</v>
      </c>
      <c r="K23" s="141" t="s">
        <v>62</v>
      </c>
      <c r="L23" s="11"/>
    </row>
    <row r="24" spans="2:12" x14ac:dyDescent="0.25">
      <c r="B24" s="7"/>
      <c r="C24" s="46" t="s">
        <v>140</v>
      </c>
      <c r="D24" s="140" t="s">
        <v>39</v>
      </c>
      <c r="E24" s="141" t="s">
        <v>39</v>
      </c>
      <c r="F24" s="11"/>
      <c r="H24" s="7"/>
      <c r="I24" s="46" t="s">
        <v>140</v>
      </c>
      <c r="J24" s="140" t="s">
        <v>39</v>
      </c>
      <c r="K24" s="141" t="s">
        <v>39</v>
      </c>
      <c r="L24" s="11"/>
    </row>
    <row r="25" spans="2:12" x14ac:dyDescent="0.25">
      <c r="B25" s="7"/>
      <c r="C25" s="46" t="s">
        <v>141</v>
      </c>
      <c r="D25" s="140" t="s">
        <v>142</v>
      </c>
      <c r="E25" s="141" t="s">
        <v>142</v>
      </c>
      <c r="F25" s="11"/>
      <c r="H25" s="7"/>
      <c r="I25" s="46" t="s">
        <v>141</v>
      </c>
      <c r="J25" s="140" t="s">
        <v>142</v>
      </c>
      <c r="K25" s="141" t="s">
        <v>142</v>
      </c>
      <c r="L25" s="11"/>
    </row>
    <row r="26" spans="2:12" x14ac:dyDescent="0.25">
      <c r="B26" s="7"/>
      <c r="C26" s="46" t="s">
        <v>143</v>
      </c>
      <c r="D26" s="140" t="s">
        <v>144</v>
      </c>
      <c r="E26" s="141" t="s">
        <v>144</v>
      </c>
      <c r="F26" s="11"/>
      <c r="H26" s="7"/>
      <c r="I26" s="46" t="s">
        <v>143</v>
      </c>
      <c r="J26" s="140" t="s">
        <v>144</v>
      </c>
      <c r="K26" s="141" t="s">
        <v>144</v>
      </c>
      <c r="L26" s="11"/>
    </row>
    <row r="27" spans="2:12" x14ac:dyDescent="0.25">
      <c r="B27" s="7"/>
      <c r="C27" s="46" t="s">
        <v>145</v>
      </c>
      <c r="D27" s="140" t="s">
        <v>144</v>
      </c>
      <c r="E27" s="141" t="s">
        <v>144</v>
      </c>
      <c r="F27" s="11"/>
      <c r="H27" s="7"/>
      <c r="I27" s="46" t="s">
        <v>145</v>
      </c>
      <c r="J27" s="140" t="s">
        <v>144</v>
      </c>
      <c r="K27" s="141" t="s">
        <v>144</v>
      </c>
      <c r="L27" s="11"/>
    </row>
    <row r="28" spans="2:12" x14ac:dyDescent="0.25">
      <c r="B28" s="7"/>
      <c r="C28" s="46" t="s">
        <v>146</v>
      </c>
      <c r="D28" s="140" t="s">
        <v>147</v>
      </c>
      <c r="E28" s="141" t="s">
        <v>147</v>
      </c>
      <c r="F28" s="11"/>
      <c r="H28" s="7"/>
      <c r="I28" s="46" t="s">
        <v>146</v>
      </c>
      <c r="J28" s="140" t="s">
        <v>147</v>
      </c>
      <c r="K28" s="141" t="s">
        <v>147</v>
      </c>
      <c r="L28" s="11"/>
    </row>
    <row r="29" spans="2:12" x14ac:dyDescent="0.25">
      <c r="B29" s="7"/>
      <c r="C29" s="46" t="s">
        <v>148</v>
      </c>
      <c r="D29" s="140" t="s">
        <v>149</v>
      </c>
      <c r="E29" s="141" t="s">
        <v>149</v>
      </c>
      <c r="F29" s="11"/>
      <c r="H29" s="7"/>
      <c r="I29" s="46" t="s">
        <v>148</v>
      </c>
      <c r="J29" s="140" t="s">
        <v>149</v>
      </c>
      <c r="K29" s="141" t="s">
        <v>149</v>
      </c>
      <c r="L29" s="11"/>
    </row>
    <row r="30" spans="2:12" x14ac:dyDescent="0.25">
      <c r="B30" s="7"/>
      <c r="C30" s="46" t="s">
        <v>150</v>
      </c>
      <c r="D30" s="140" t="s">
        <v>144</v>
      </c>
      <c r="E30" s="141" t="s">
        <v>62</v>
      </c>
      <c r="F30" s="11"/>
      <c r="H30" s="7"/>
      <c r="I30" s="46" t="s">
        <v>150</v>
      </c>
      <c r="J30" s="140" t="s">
        <v>144</v>
      </c>
      <c r="K30" s="141" t="s">
        <v>62</v>
      </c>
      <c r="L30" s="11"/>
    </row>
    <row r="31" spans="2:12" x14ac:dyDescent="0.25">
      <c r="B31" s="7"/>
      <c r="C31" s="46" t="s">
        <v>151</v>
      </c>
      <c r="D31" s="140" t="s">
        <v>144</v>
      </c>
      <c r="E31" s="141" t="s">
        <v>39</v>
      </c>
      <c r="F31" s="11"/>
      <c r="H31" s="7"/>
      <c r="I31" s="46" t="s">
        <v>151</v>
      </c>
      <c r="J31" s="140" t="s">
        <v>144</v>
      </c>
      <c r="K31" s="141" t="s">
        <v>39</v>
      </c>
      <c r="L31" s="11"/>
    </row>
    <row r="32" spans="2:12" x14ac:dyDescent="0.25">
      <c r="B32" s="7"/>
      <c r="C32" s="46" t="s">
        <v>152</v>
      </c>
      <c r="D32" s="140" t="s">
        <v>144</v>
      </c>
      <c r="E32" s="141" t="s">
        <v>142</v>
      </c>
      <c r="F32" s="11"/>
      <c r="H32" s="7"/>
      <c r="I32" s="46" t="s">
        <v>152</v>
      </c>
      <c r="J32" s="140" t="s">
        <v>144</v>
      </c>
      <c r="K32" s="141" t="s">
        <v>142</v>
      </c>
      <c r="L32" s="11"/>
    </row>
    <row r="33" spans="2:12" x14ac:dyDescent="0.25">
      <c r="B33" s="7"/>
      <c r="C33" s="46" t="s">
        <v>153</v>
      </c>
      <c r="D33" s="140" t="s">
        <v>144</v>
      </c>
      <c r="E33" s="141" t="s">
        <v>144</v>
      </c>
      <c r="F33" s="11"/>
      <c r="H33" s="7"/>
      <c r="I33" s="46" t="s">
        <v>153</v>
      </c>
      <c r="J33" s="140" t="s">
        <v>144</v>
      </c>
      <c r="K33" s="141" t="s">
        <v>144</v>
      </c>
      <c r="L33" s="11"/>
    </row>
    <row r="34" spans="2:12" x14ac:dyDescent="0.25">
      <c r="B34" s="7"/>
      <c r="C34" s="46" t="s">
        <v>154</v>
      </c>
      <c r="D34" s="140" t="s">
        <v>144</v>
      </c>
      <c r="E34" s="141" t="s">
        <v>155</v>
      </c>
      <c r="F34" s="11"/>
      <c r="H34" s="7"/>
      <c r="I34" s="46" t="s">
        <v>154</v>
      </c>
      <c r="J34" s="140" t="s">
        <v>144</v>
      </c>
      <c r="K34" s="141" t="s">
        <v>155</v>
      </c>
      <c r="L34" s="11"/>
    </row>
    <row r="35" spans="2:12" x14ac:dyDescent="0.25">
      <c r="B35" s="7"/>
      <c r="C35" s="46" t="s">
        <v>156</v>
      </c>
      <c r="D35" s="140" t="s">
        <v>144</v>
      </c>
      <c r="E35" s="141" t="s">
        <v>155</v>
      </c>
      <c r="F35" s="11"/>
      <c r="H35" s="7"/>
      <c r="I35" s="46" t="s">
        <v>156</v>
      </c>
      <c r="J35" s="140" t="s">
        <v>144</v>
      </c>
      <c r="K35" s="141" t="s">
        <v>155</v>
      </c>
      <c r="L35" s="11"/>
    </row>
    <row r="36" spans="2:12" x14ac:dyDescent="0.25">
      <c r="B36" s="7"/>
      <c r="C36" s="46"/>
      <c r="D36" s="146"/>
      <c r="E36" s="147"/>
      <c r="F36" s="11"/>
      <c r="H36" s="7"/>
      <c r="I36" s="46"/>
      <c r="J36" s="146"/>
      <c r="K36" s="147"/>
      <c r="L36" s="11"/>
    </row>
    <row r="37" spans="2:12" x14ac:dyDescent="0.25">
      <c r="B37" s="7"/>
      <c r="C37" s="58"/>
      <c r="D37" s="148"/>
      <c r="E37" s="149"/>
      <c r="F37" s="11"/>
      <c r="H37" s="7"/>
      <c r="I37" s="58"/>
      <c r="J37" s="148"/>
      <c r="K37" s="149"/>
      <c r="L37" s="11"/>
    </row>
    <row r="38" spans="2:12" x14ac:dyDescent="0.25">
      <c r="B38" s="65"/>
      <c r="C38" s="66"/>
      <c r="D38" s="66"/>
      <c r="E38" s="66"/>
      <c r="F38" s="67"/>
      <c r="H38" s="65"/>
      <c r="I38" s="66"/>
      <c r="J38" s="66"/>
      <c r="K38" s="66"/>
      <c r="L38" s="67"/>
    </row>
    <row r="39" spans="2:12" x14ac:dyDescent="0.25">
      <c r="B39" s="137" t="s">
        <v>157</v>
      </c>
      <c r="C39" s="137"/>
    </row>
    <row r="41" spans="2:12" x14ac:dyDescent="0.25">
      <c r="B41" s="1"/>
      <c r="C41" s="4"/>
      <c r="D41" s="4"/>
      <c r="E41" s="4"/>
      <c r="F41" s="5"/>
      <c r="H41" s="1"/>
      <c r="I41" s="4"/>
      <c r="J41" s="4"/>
      <c r="K41" s="4"/>
      <c r="L41" s="5"/>
    </row>
    <row r="42" spans="2:12" x14ac:dyDescent="0.25">
      <c r="B42" s="7"/>
      <c r="C42" s="132" t="s">
        <v>158</v>
      </c>
      <c r="D42" s="10"/>
      <c r="E42" s="10"/>
      <c r="F42" s="11"/>
      <c r="H42" s="7"/>
      <c r="I42" s="132" t="s">
        <v>158</v>
      </c>
      <c r="J42" s="10"/>
      <c r="K42" s="10"/>
      <c r="L42" s="11"/>
    </row>
    <row r="43" spans="2:12" x14ac:dyDescent="0.25">
      <c r="B43" s="7"/>
      <c r="C43" s="38" t="s">
        <v>118</v>
      </c>
      <c r="D43" s="133" t="str">
        <f>_xll.meLWOSwapGeneratorCreate(D44,C48:E75)</f>
        <v>USD_OIS_SWAP@6:3</v>
      </c>
      <c r="E43" s="10"/>
      <c r="F43" s="11"/>
      <c r="H43" s="7"/>
      <c r="I43" s="38" t="s">
        <v>118</v>
      </c>
      <c r="J43" s="133" t="str">
        <f>_xll.meLWOSwapGeneratorCreate(J44,I48:K75)</f>
        <v>USD_OIS_SWAP_UNDER_1Y@2:3</v>
      </c>
      <c r="K43" s="10"/>
      <c r="L43" s="11"/>
    </row>
    <row r="44" spans="2:12" x14ac:dyDescent="0.25">
      <c r="B44" s="7"/>
      <c r="C44" s="134" t="s">
        <v>119</v>
      </c>
      <c r="D44" s="135" t="s">
        <v>160</v>
      </c>
      <c r="E44" s="10"/>
      <c r="F44" s="11"/>
      <c r="H44" s="7"/>
      <c r="I44" s="134" t="s">
        <v>119</v>
      </c>
      <c r="J44" s="135" t="s">
        <v>161</v>
      </c>
      <c r="K44" s="10"/>
      <c r="L44" s="11"/>
    </row>
    <row r="45" spans="2:12" x14ac:dyDescent="0.25">
      <c r="B45" s="7"/>
      <c r="C45" s="41"/>
      <c r="D45" s="136"/>
      <c r="E45" s="10"/>
      <c r="F45" s="11" t="s">
        <v>2</v>
      </c>
      <c r="H45" s="7"/>
      <c r="I45" s="41"/>
      <c r="J45" s="136"/>
      <c r="K45" s="10"/>
      <c r="L45" s="11" t="s">
        <v>2</v>
      </c>
    </row>
    <row r="46" spans="2:12" x14ac:dyDescent="0.25">
      <c r="B46" s="7"/>
      <c r="C46" s="10"/>
      <c r="D46" s="10"/>
      <c r="E46" s="10"/>
      <c r="F46" s="11"/>
      <c r="H46" s="7"/>
      <c r="I46" s="10"/>
      <c r="J46" s="10"/>
      <c r="K46" s="10"/>
      <c r="L46" s="11"/>
    </row>
    <row r="47" spans="2:12" x14ac:dyDescent="0.25">
      <c r="B47" s="7"/>
      <c r="C47" s="10"/>
      <c r="D47" s="10"/>
      <c r="E47" s="10"/>
      <c r="F47" s="11"/>
      <c r="H47" s="7"/>
      <c r="I47" s="10"/>
      <c r="J47" s="10"/>
      <c r="K47" s="10"/>
      <c r="L47" s="11"/>
    </row>
    <row r="48" spans="2:12" x14ac:dyDescent="0.25">
      <c r="B48" s="7"/>
      <c r="C48" s="44" t="s">
        <v>122</v>
      </c>
      <c r="D48" s="138" t="s">
        <v>123</v>
      </c>
      <c r="E48" s="139" t="s">
        <v>124</v>
      </c>
      <c r="F48" s="11"/>
      <c r="H48" s="7"/>
      <c r="I48" s="44" t="s">
        <v>122</v>
      </c>
      <c r="J48" s="138" t="s">
        <v>123</v>
      </c>
      <c r="K48" s="139" t="s">
        <v>124</v>
      </c>
      <c r="L48" s="11"/>
    </row>
    <row r="49" spans="2:12" x14ac:dyDescent="0.25">
      <c r="B49" s="7"/>
      <c r="C49" s="46" t="s">
        <v>125</v>
      </c>
      <c r="D49" s="140" t="s">
        <v>126</v>
      </c>
      <c r="E49" s="141" t="s">
        <v>126</v>
      </c>
      <c r="F49" s="11"/>
      <c r="H49" s="7"/>
      <c r="I49" s="46" t="s">
        <v>125</v>
      </c>
      <c r="J49" s="140" t="s">
        <v>126</v>
      </c>
      <c r="K49" s="141" t="s">
        <v>126</v>
      </c>
      <c r="L49" s="11"/>
    </row>
    <row r="50" spans="2:12" x14ac:dyDescent="0.25">
      <c r="B50" s="7"/>
      <c r="C50" s="46" t="s">
        <v>127</v>
      </c>
      <c r="D50" s="142"/>
      <c r="E50" s="143" t="s">
        <v>89</v>
      </c>
      <c r="F50" s="11"/>
      <c r="H50" s="7"/>
      <c r="I50" s="46" t="s">
        <v>127</v>
      </c>
      <c r="J50" s="142"/>
      <c r="K50" s="143" t="s">
        <v>89</v>
      </c>
      <c r="L50" s="11"/>
    </row>
    <row r="51" spans="2:12" x14ac:dyDescent="0.25">
      <c r="B51" s="7"/>
      <c r="C51" s="46" t="s">
        <v>128</v>
      </c>
      <c r="D51" s="142" t="s">
        <v>25</v>
      </c>
      <c r="E51" s="143" t="s">
        <v>25</v>
      </c>
      <c r="F51" s="11" t="s">
        <v>2</v>
      </c>
      <c r="H51" s="7"/>
      <c r="I51" s="46" t="s">
        <v>128</v>
      </c>
      <c r="J51" s="142" t="s">
        <v>25</v>
      </c>
      <c r="K51" s="143" t="s">
        <v>25</v>
      </c>
      <c r="L51" s="11" t="s">
        <v>2</v>
      </c>
    </row>
    <row r="52" spans="2:12" x14ac:dyDescent="0.25">
      <c r="B52" s="7"/>
      <c r="C52" s="46" t="s">
        <v>129</v>
      </c>
      <c r="D52" s="140" t="s">
        <v>73</v>
      </c>
      <c r="E52" s="144" t="s">
        <v>80</v>
      </c>
      <c r="F52" s="145"/>
      <c r="H52" s="7"/>
      <c r="I52" s="46" t="s">
        <v>129</v>
      </c>
      <c r="J52" s="140" t="s">
        <v>73</v>
      </c>
      <c r="K52" s="144" t="s">
        <v>130</v>
      </c>
      <c r="L52" s="145"/>
    </row>
    <row r="53" spans="2:12" x14ac:dyDescent="0.25">
      <c r="B53" s="7"/>
      <c r="C53" s="46" t="s">
        <v>131</v>
      </c>
      <c r="D53" s="140" t="s">
        <v>73</v>
      </c>
      <c r="E53" s="141" t="s">
        <v>73</v>
      </c>
      <c r="F53" s="145"/>
      <c r="H53" s="7"/>
      <c r="I53" s="46" t="s">
        <v>131</v>
      </c>
      <c r="J53" s="140" t="s">
        <v>73</v>
      </c>
      <c r="K53" s="141" t="s">
        <v>73</v>
      </c>
      <c r="L53" s="145"/>
    </row>
    <row r="54" spans="2:12" x14ac:dyDescent="0.25">
      <c r="B54" s="7"/>
      <c r="C54" s="46" t="s">
        <v>132</v>
      </c>
      <c r="D54" s="140" t="s">
        <v>11</v>
      </c>
      <c r="E54" s="141" t="s">
        <v>11</v>
      </c>
      <c r="F54" s="11"/>
      <c r="H54" s="7"/>
      <c r="I54" s="46" t="s">
        <v>132</v>
      </c>
      <c r="J54" s="140" t="s">
        <v>11</v>
      </c>
      <c r="K54" s="141" t="s">
        <v>11</v>
      </c>
      <c r="L54" s="11"/>
    </row>
    <row r="55" spans="2:12" x14ac:dyDescent="0.25">
      <c r="B55" s="7"/>
      <c r="C55" s="46" t="s">
        <v>133</v>
      </c>
      <c r="D55" s="140" t="s">
        <v>11</v>
      </c>
      <c r="E55" s="141" t="s">
        <v>11</v>
      </c>
      <c r="F55" s="11"/>
      <c r="H55" s="7"/>
      <c r="I55" s="46" t="s">
        <v>133</v>
      </c>
      <c r="J55" s="140" t="s">
        <v>11</v>
      </c>
      <c r="K55" s="141" t="s">
        <v>11</v>
      </c>
      <c r="L55" s="11"/>
    </row>
    <row r="56" spans="2:12" x14ac:dyDescent="0.25">
      <c r="B56" s="7"/>
      <c r="C56" s="46" t="s">
        <v>134</v>
      </c>
      <c r="D56" s="140" t="s">
        <v>45</v>
      </c>
      <c r="E56" s="141" t="s">
        <v>45</v>
      </c>
      <c r="F56" s="11"/>
      <c r="H56" s="7"/>
      <c r="I56" s="46" t="s">
        <v>134</v>
      </c>
      <c r="J56" s="140" t="s">
        <v>45</v>
      </c>
      <c r="K56" s="141" t="s">
        <v>45</v>
      </c>
      <c r="L56" s="11"/>
    </row>
    <row r="57" spans="2:12" x14ac:dyDescent="0.25">
      <c r="B57" s="7"/>
      <c r="C57" s="46" t="s">
        <v>135</v>
      </c>
      <c r="D57" s="140" t="s">
        <v>62</v>
      </c>
      <c r="E57" s="141" t="s">
        <v>62</v>
      </c>
      <c r="F57" s="11"/>
      <c r="H57" s="7"/>
      <c r="I57" s="46" t="s">
        <v>135</v>
      </c>
      <c r="J57" s="140" t="s">
        <v>62</v>
      </c>
      <c r="K57" s="141" t="s">
        <v>62</v>
      </c>
      <c r="L57" s="11"/>
    </row>
    <row r="58" spans="2:12" x14ac:dyDescent="0.25">
      <c r="B58" s="7"/>
      <c r="C58" s="46" t="s">
        <v>136</v>
      </c>
      <c r="D58" s="140" t="s">
        <v>39</v>
      </c>
      <c r="E58" s="141" t="s">
        <v>39</v>
      </c>
      <c r="F58" s="11"/>
      <c r="H58" s="7"/>
      <c r="I58" s="46" t="s">
        <v>136</v>
      </c>
      <c r="J58" s="140" t="s">
        <v>39</v>
      </c>
      <c r="K58" s="141" t="s">
        <v>39</v>
      </c>
      <c r="L58" s="11"/>
    </row>
    <row r="59" spans="2:12" x14ac:dyDescent="0.25">
      <c r="B59" s="7"/>
      <c r="C59" s="46" t="s">
        <v>137</v>
      </c>
      <c r="D59" s="140" t="s">
        <v>42</v>
      </c>
      <c r="E59" s="141" t="s">
        <v>42</v>
      </c>
      <c r="F59" s="11"/>
      <c r="H59" s="7"/>
      <c r="I59" s="46" t="s">
        <v>137</v>
      </c>
      <c r="J59" s="140" t="s">
        <v>42</v>
      </c>
      <c r="K59" s="141" t="s">
        <v>42</v>
      </c>
      <c r="L59" s="11"/>
    </row>
    <row r="60" spans="2:12" x14ac:dyDescent="0.25">
      <c r="B60" s="7"/>
      <c r="C60" s="46" t="s">
        <v>138</v>
      </c>
      <c r="D60" s="140" t="s">
        <v>45</v>
      </c>
      <c r="E60" s="141" t="s">
        <v>45</v>
      </c>
      <c r="F60" s="11"/>
      <c r="H60" s="7"/>
      <c r="I60" s="46" t="s">
        <v>138</v>
      </c>
      <c r="J60" s="140" t="s">
        <v>45</v>
      </c>
      <c r="K60" s="141" t="s">
        <v>45</v>
      </c>
      <c r="L60" s="11"/>
    </row>
    <row r="61" spans="2:12" x14ac:dyDescent="0.25">
      <c r="B61" s="7"/>
      <c r="C61" s="46" t="s">
        <v>139</v>
      </c>
      <c r="D61" s="140" t="s">
        <v>62</v>
      </c>
      <c r="E61" s="141" t="s">
        <v>62</v>
      </c>
      <c r="F61" s="11"/>
      <c r="H61" s="7"/>
      <c r="I61" s="46" t="s">
        <v>139</v>
      </c>
      <c r="J61" s="140" t="s">
        <v>62</v>
      </c>
      <c r="K61" s="141" t="s">
        <v>62</v>
      </c>
      <c r="L61" s="11"/>
    </row>
    <row r="62" spans="2:12" x14ac:dyDescent="0.25">
      <c r="B62" s="7"/>
      <c r="C62" s="46" t="s">
        <v>140</v>
      </c>
      <c r="D62" s="140" t="s">
        <v>39</v>
      </c>
      <c r="E62" s="141" t="s">
        <v>39</v>
      </c>
      <c r="F62" s="11"/>
      <c r="H62" s="7"/>
      <c r="I62" s="46" t="s">
        <v>140</v>
      </c>
      <c r="J62" s="140" t="s">
        <v>39</v>
      </c>
      <c r="K62" s="141" t="s">
        <v>39</v>
      </c>
      <c r="L62" s="11"/>
    </row>
    <row r="63" spans="2:12" x14ac:dyDescent="0.25">
      <c r="B63" s="7"/>
      <c r="C63" s="46" t="s">
        <v>141</v>
      </c>
      <c r="D63" s="140" t="s">
        <v>142</v>
      </c>
      <c r="E63" s="141" t="s">
        <v>142</v>
      </c>
      <c r="F63" s="11"/>
      <c r="H63" s="7"/>
      <c r="I63" s="46" t="s">
        <v>141</v>
      </c>
      <c r="J63" s="140" t="s">
        <v>142</v>
      </c>
      <c r="K63" s="141" t="s">
        <v>142</v>
      </c>
      <c r="L63" s="11"/>
    </row>
    <row r="64" spans="2:12" x14ac:dyDescent="0.25">
      <c r="B64" s="7"/>
      <c r="C64" s="46" t="s">
        <v>143</v>
      </c>
      <c r="D64" s="140" t="s">
        <v>144</v>
      </c>
      <c r="E64" s="141" t="s">
        <v>144</v>
      </c>
      <c r="F64" s="11"/>
      <c r="H64" s="7"/>
      <c r="I64" s="46" t="s">
        <v>143</v>
      </c>
      <c r="J64" s="140" t="s">
        <v>144</v>
      </c>
      <c r="K64" s="141" t="s">
        <v>144</v>
      </c>
      <c r="L64" s="11"/>
    </row>
    <row r="65" spans="2:12" x14ac:dyDescent="0.25">
      <c r="B65" s="7"/>
      <c r="C65" s="46" t="s">
        <v>145</v>
      </c>
      <c r="D65" s="140" t="s">
        <v>144</v>
      </c>
      <c r="E65" s="141" t="s">
        <v>144</v>
      </c>
      <c r="F65" s="11"/>
      <c r="H65" s="7"/>
      <c r="I65" s="46" t="s">
        <v>145</v>
      </c>
      <c r="J65" s="140" t="s">
        <v>144</v>
      </c>
      <c r="K65" s="141" t="s">
        <v>144</v>
      </c>
      <c r="L65" s="11"/>
    </row>
    <row r="66" spans="2:12" x14ac:dyDescent="0.25">
      <c r="B66" s="7"/>
      <c r="C66" s="46" t="s">
        <v>146</v>
      </c>
      <c r="D66" s="140" t="s">
        <v>147</v>
      </c>
      <c r="E66" s="141" t="s">
        <v>147</v>
      </c>
      <c r="F66" s="11"/>
      <c r="H66" s="7"/>
      <c r="I66" s="46" t="s">
        <v>146</v>
      </c>
      <c r="J66" s="140" t="s">
        <v>147</v>
      </c>
      <c r="K66" s="141" t="s">
        <v>147</v>
      </c>
      <c r="L66" s="11"/>
    </row>
    <row r="67" spans="2:12" x14ac:dyDescent="0.25">
      <c r="B67" s="7"/>
      <c r="C67" s="46" t="s">
        <v>148</v>
      </c>
      <c r="D67" s="140" t="s">
        <v>149</v>
      </c>
      <c r="E67" s="141" t="s">
        <v>149</v>
      </c>
      <c r="F67" s="11"/>
      <c r="H67" s="7"/>
      <c r="I67" s="46" t="s">
        <v>148</v>
      </c>
      <c r="J67" s="140" t="s">
        <v>149</v>
      </c>
      <c r="K67" s="141" t="s">
        <v>149</v>
      </c>
      <c r="L67" s="11"/>
    </row>
    <row r="68" spans="2:12" x14ac:dyDescent="0.25">
      <c r="B68" s="7"/>
      <c r="C68" s="46" t="s">
        <v>150</v>
      </c>
      <c r="D68" s="140" t="s">
        <v>144</v>
      </c>
      <c r="E68" s="141" t="s">
        <v>62</v>
      </c>
      <c r="F68" s="11"/>
      <c r="H68" s="7"/>
      <c r="I68" s="46" t="s">
        <v>150</v>
      </c>
      <c r="J68" s="140" t="s">
        <v>144</v>
      </c>
      <c r="K68" s="141" t="s">
        <v>62</v>
      </c>
      <c r="L68" s="11"/>
    </row>
    <row r="69" spans="2:12" x14ac:dyDescent="0.25">
      <c r="B69" s="7"/>
      <c r="C69" s="46" t="s">
        <v>151</v>
      </c>
      <c r="D69" s="140" t="s">
        <v>144</v>
      </c>
      <c r="E69" s="141" t="s">
        <v>39</v>
      </c>
      <c r="F69" s="11"/>
      <c r="H69" s="7"/>
      <c r="I69" s="46" t="s">
        <v>151</v>
      </c>
      <c r="J69" s="140" t="s">
        <v>144</v>
      </c>
      <c r="K69" s="141" t="s">
        <v>39</v>
      </c>
      <c r="L69" s="11"/>
    </row>
    <row r="70" spans="2:12" x14ac:dyDescent="0.25">
      <c r="B70" s="7"/>
      <c r="C70" s="46" t="s">
        <v>152</v>
      </c>
      <c r="D70" s="140" t="s">
        <v>144</v>
      </c>
      <c r="E70" s="141" t="s">
        <v>142</v>
      </c>
      <c r="F70" s="11"/>
      <c r="H70" s="7"/>
      <c r="I70" s="46" t="s">
        <v>152</v>
      </c>
      <c r="J70" s="140" t="s">
        <v>144</v>
      </c>
      <c r="K70" s="141" t="s">
        <v>142</v>
      </c>
      <c r="L70" s="11"/>
    </row>
    <row r="71" spans="2:12" x14ac:dyDescent="0.25">
      <c r="B71" s="7"/>
      <c r="C71" s="46" t="s">
        <v>153</v>
      </c>
      <c r="D71" s="140" t="s">
        <v>144</v>
      </c>
      <c r="E71" s="141" t="s">
        <v>144</v>
      </c>
      <c r="F71" s="11"/>
      <c r="H71" s="7"/>
      <c r="I71" s="46" t="s">
        <v>153</v>
      </c>
      <c r="J71" s="140" t="s">
        <v>144</v>
      </c>
      <c r="K71" s="141" t="s">
        <v>144</v>
      </c>
      <c r="L71" s="11"/>
    </row>
    <row r="72" spans="2:12" x14ac:dyDescent="0.25">
      <c r="B72" s="7"/>
      <c r="C72" s="46" t="s">
        <v>154</v>
      </c>
      <c r="D72" s="140" t="s">
        <v>144</v>
      </c>
      <c r="E72" s="141" t="s">
        <v>155</v>
      </c>
      <c r="F72" s="11"/>
      <c r="H72" s="7"/>
      <c r="I72" s="46" t="s">
        <v>154</v>
      </c>
      <c r="J72" s="140" t="s">
        <v>144</v>
      </c>
      <c r="K72" s="141" t="s">
        <v>155</v>
      </c>
      <c r="L72" s="11"/>
    </row>
    <row r="73" spans="2:12" x14ac:dyDescent="0.25">
      <c r="B73" s="7"/>
      <c r="C73" s="46" t="s">
        <v>156</v>
      </c>
      <c r="D73" s="140" t="s">
        <v>144</v>
      </c>
      <c r="E73" s="141" t="s">
        <v>155</v>
      </c>
      <c r="F73" s="11"/>
      <c r="H73" s="7"/>
      <c r="I73" s="46" t="s">
        <v>156</v>
      </c>
      <c r="J73" s="140" t="s">
        <v>144</v>
      </c>
      <c r="K73" s="141" t="s">
        <v>155</v>
      </c>
      <c r="L73" s="11"/>
    </row>
    <row r="74" spans="2:12" x14ac:dyDescent="0.25">
      <c r="B74" s="7"/>
      <c r="C74" s="46"/>
      <c r="D74" s="146"/>
      <c r="E74" s="147"/>
      <c r="F74" s="11"/>
      <c r="H74" s="7"/>
      <c r="I74" s="46"/>
      <c r="J74" s="146"/>
      <c r="K74" s="147"/>
      <c r="L74" s="11"/>
    </row>
    <row r="75" spans="2:12" x14ac:dyDescent="0.25">
      <c r="B75" s="7"/>
      <c r="C75" s="58"/>
      <c r="D75" s="148"/>
      <c r="E75" s="149"/>
      <c r="F75" s="11"/>
      <c r="H75" s="7"/>
      <c r="I75" s="58"/>
      <c r="J75" s="148"/>
      <c r="K75" s="149"/>
      <c r="L75" s="11"/>
    </row>
    <row r="76" spans="2:12" x14ac:dyDescent="0.25">
      <c r="B76" s="65"/>
      <c r="C76" s="66"/>
      <c r="D76" s="66"/>
      <c r="E76" s="66"/>
      <c r="F76" s="67"/>
      <c r="H76" s="65"/>
      <c r="I76" s="66"/>
      <c r="J76" s="66"/>
      <c r="K76" s="66"/>
      <c r="L76" s="67"/>
    </row>
    <row r="77" spans="2:12" x14ac:dyDescent="0.25">
      <c r="B77" s="137" t="s">
        <v>157</v>
      </c>
      <c r="C77" s="137"/>
    </row>
  </sheetData>
  <dataValidations count="1">
    <dataValidation type="list" allowBlank="1" showInputMessage="1" showErrorMessage="1" sqref="K14 K52">
      <formula1>$E$44:$E$45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4"/>
  <sheetViews>
    <sheetView showGridLines="0" workbookViewId="0"/>
  </sheetViews>
  <sheetFormatPr defaultRowHeight="15" x14ac:dyDescent="0.25"/>
  <cols>
    <col min="2" max="2" width="14.42578125" bestFit="1" customWidth="1"/>
    <col min="4" max="4" width="17" bestFit="1" customWidth="1"/>
    <col min="8" max="8" width="32.7109375" bestFit="1" customWidth="1"/>
    <col min="14" max="14" width="26.42578125" bestFit="1" customWidth="1"/>
    <col min="15" max="15" width="15.28515625" bestFit="1" customWidth="1"/>
  </cols>
  <sheetData>
    <row r="1" spans="2:21" x14ac:dyDescent="0.25">
      <c r="P1" s="79"/>
    </row>
    <row r="2" spans="2:21" x14ac:dyDescent="0.25">
      <c r="B2" s="75" t="s">
        <v>98</v>
      </c>
      <c r="C2" s="75"/>
      <c r="F2" s="76" t="s">
        <v>99</v>
      </c>
      <c r="M2" s="77"/>
      <c r="N2" s="75" t="s">
        <v>100</v>
      </c>
      <c r="R2" s="75" t="s">
        <v>101</v>
      </c>
    </row>
    <row r="3" spans="2:21" x14ac:dyDescent="0.25">
      <c r="D3" s="78" t="s">
        <v>102</v>
      </c>
      <c r="H3" s="78" t="s">
        <v>103</v>
      </c>
      <c r="M3" s="77"/>
      <c r="P3" s="79"/>
    </row>
    <row r="4" spans="2:21" x14ac:dyDescent="0.25">
      <c r="B4" s="80" t="s">
        <v>104</v>
      </c>
      <c r="C4" s="80" t="s">
        <v>105</v>
      </c>
      <c r="D4" s="81" t="s">
        <v>106</v>
      </c>
      <c r="E4" s="81"/>
      <c r="F4" s="81" t="s">
        <v>104</v>
      </c>
      <c r="G4" s="80" t="s">
        <v>107</v>
      </c>
      <c r="H4" s="80" t="s">
        <v>108</v>
      </c>
      <c r="I4" s="80" t="s">
        <v>109</v>
      </c>
      <c r="J4" s="80" t="s">
        <v>110</v>
      </c>
      <c r="K4" s="80" t="s">
        <v>111</v>
      </c>
      <c r="L4" s="80" t="s">
        <v>112</v>
      </c>
      <c r="M4" s="77"/>
      <c r="N4" s="80" t="s">
        <v>113</v>
      </c>
      <c r="O4" s="80" t="s">
        <v>94</v>
      </c>
      <c r="P4" s="80" t="s">
        <v>114</v>
      </c>
      <c r="R4" s="80" t="s">
        <v>115</v>
      </c>
      <c r="S4" s="80" t="s">
        <v>114</v>
      </c>
      <c r="T4" s="82" t="s">
        <v>116</v>
      </c>
    </row>
    <row r="5" spans="2:21" x14ac:dyDescent="0.25">
      <c r="B5" s="83">
        <f>_xll.meDateFromTenor(USD_SOFR_CURVE!$G$8,F5,"MOD_FOLLOWING",C5,"")</f>
        <v>43781</v>
      </c>
      <c r="C5" s="84" t="s">
        <v>39</v>
      </c>
      <c r="D5" s="85">
        <f>_xll.meDateFromTenor(B5,G5,)</f>
        <v>43782</v>
      </c>
      <c r="E5" s="86"/>
      <c r="F5" s="87" t="s">
        <v>53</v>
      </c>
      <c r="G5" s="88" t="str">
        <f t="shared" ref="G5:G17" si="0">R5</f>
        <v>ON</v>
      </c>
      <c r="H5" s="150" t="str">
        <f>USD_SOFR_SWAP_GENERATOR_UNDER_1Y</f>
        <v>USD_SOFR_SWAP_UNDER_1Y@1:3</v>
      </c>
      <c r="I5" s="89" t="s">
        <v>117</v>
      </c>
      <c r="J5" s="90">
        <v>1000000</v>
      </c>
      <c r="K5" s="91">
        <v>0.01</v>
      </c>
      <c r="L5" s="92">
        <v>0</v>
      </c>
      <c r="M5" s="77">
        <v>1</v>
      </c>
      <c r="N5" s="93" t="str">
        <f>_xll.meLWOSwapCreateFromGenerator("USD_SOFR_SWAP_"&amp;G5,H5,I5,J5,B5,D5,K5,L5)</f>
        <v>USD_SOFR_SWAP_ON@18:3</v>
      </c>
      <c r="O5" s="94" t="str">
        <f>USD_SOFR_CURVE!$G$28</f>
        <v>USDYC</v>
      </c>
      <c r="P5" s="95">
        <f ca="1">_xll.meLWOSwapParRate(N5,O5)</f>
        <v>1.5495996868075677E-2</v>
      </c>
      <c r="R5" s="96" t="str">
        <f>USD_SOFR_CURVE!I5</f>
        <v>ON</v>
      </c>
      <c r="S5" s="97">
        <f>USD_SOFR_CURVE!J5</f>
        <v>1.5699999999999999E-2</v>
      </c>
      <c r="T5" s="98">
        <f ca="1">(P5-S5)*10000</f>
        <v>-2.0400313192432162</v>
      </c>
      <c r="U5" t="s">
        <v>162</v>
      </c>
    </row>
    <row r="6" spans="2:21" x14ac:dyDescent="0.25">
      <c r="B6" s="99">
        <f>_xll.meDateFromTenor(USD_SOFR_CURVE!$G$8,F6,"MOD_FOLLOWING",C6,"")</f>
        <v>43781</v>
      </c>
      <c r="C6" s="100" t="s">
        <v>39</v>
      </c>
      <c r="D6" s="101">
        <f>_xll.meDateFromTenor(B6,G6,)</f>
        <v>43788</v>
      </c>
      <c r="F6" s="102" t="s">
        <v>53</v>
      </c>
      <c r="G6" s="103" t="str">
        <f t="shared" si="0"/>
        <v>1W</v>
      </c>
      <c r="H6" s="151" t="str">
        <f>USD_SOFR_SWAP_GENERATOR_UNDER_1Y</f>
        <v>USD_SOFR_SWAP_UNDER_1Y@1:3</v>
      </c>
      <c r="I6" s="105" t="s">
        <v>117</v>
      </c>
      <c r="J6" s="106">
        <v>1000000</v>
      </c>
      <c r="K6" s="107">
        <v>0.01</v>
      </c>
      <c r="L6" s="108">
        <v>0</v>
      </c>
      <c r="M6" s="77">
        <f t="shared" ref="M6:M17" si="1">M5+1</f>
        <v>2</v>
      </c>
      <c r="N6" s="109" t="str">
        <f>_xll.meLWOSwapCreateFromGenerator("USD_SOFR_SWAP_"&amp;G6,H6,I6,J6,B6,D6,K6,L6)</f>
        <v>USD_SOFR_SWAP_1W@7:3</v>
      </c>
      <c r="O6" s="110" t="str">
        <f>USD_SOFR_CURVE!$G$28</f>
        <v>USDYC</v>
      </c>
      <c r="P6" s="111">
        <f ca="1">_xll.meLWOSwapParRate(N6,O6)</f>
        <v>1.5500000000598289E-2</v>
      </c>
      <c r="R6" s="112" t="str">
        <f>USD_SOFR_CURVE!I6</f>
        <v>1W</v>
      </c>
      <c r="S6" s="113">
        <f>USD_SOFR_CURVE!J6</f>
        <v>1.55E-2</v>
      </c>
      <c r="T6" s="114">
        <f t="shared" ref="T6:T17" ca="1" si="2">(P6-S6)*10000</f>
        <v>5.98288779629641E-9</v>
      </c>
    </row>
    <row r="7" spans="2:21" x14ac:dyDescent="0.25">
      <c r="B7" s="99">
        <f>_xll.meDateFromTenor(USD_SOFR_CURVE!$G$8,F7,"MOD_FOLLOWING",C7,"")</f>
        <v>43781</v>
      </c>
      <c r="C7" s="100" t="s">
        <v>39</v>
      </c>
      <c r="D7" s="101">
        <f>_xll.meDateFromTenor(B7,G7,)</f>
        <v>44512</v>
      </c>
      <c r="F7" s="102" t="s">
        <v>53</v>
      </c>
      <c r="G7" s="103" t="str">
        <f t="shared" si="0"/>
        <v>2Y</v>
      </c>
      <c r="H7" s="104" t="str">
        <f t="shared" ref="H7:H17" si="3">USD_SOFR_SWAP_GENERATOR</f>
        <v>USD_SOFR_SWAP@3:3</v>
      </c>
      <c r="I7" s="105" t="s">
        <v>117</v>
      </c>
      <c r="J7" s="106">
        <v>1000000</v>
      </c>
      <c r="K7" s="107">
        <v>0.01</v>
      </c>
      <c r="L7" s="108">
        <v>0</v>
      </c>
      <c r="M7" s="77">
        <f t="shared" si="1"/>
        <v>3</v>
      </c>
      <c r="N7" s="109" t="str">
        <f>_xll.meLWOSwapCreateFromGenerator("USD_SOFR_SWAP_"&amp;G7,H7,I7,J7,B7,D7,K7,L7)</f>
        <v>USD_SOFR_SWAP_2Y@28:3</v>
      </c>
      <c r="O7" s="110" t="str">
        <f>USD_SOFR_CURVE!$G$28</f>
        <v>USDYC</v>
      </c>
      <c r="P7" s="111">
        <f ca="1">_xll.meLWOSwapParRate(N7,O7)</f>
        <v>1.4460797204332677E-2</v>
      </c>
      <c r="R7" s="112" t="str">
        <f>USD_SOFR_CURVE!I11</f>
        <v>2Y</v>
      </c>
      <c r="S7" s="113">
        <f>USD_SOFR_CURVE!J11</f>
        <v>1.4460799999999999E-2</v>
      </c>
      <c r="T7" s="114">
        <f t="shared" ca="1" si="2"/>
        <v>-2.7956673226414708E-5</v>
      </c>
    </row>
    <row r="8" spans="2:21" x14ac:dyDescent="0.25">
      <c r="B8" s="99">
        <f>_xll.meDateFromTenor(USD_SOFR_CURVE!$G$8,F8,"MOD_FOLLOWING",C8,"")</f>
        <v>43781</v>
      </c>
      <c r="C8" s="100" t="s">
        <v>39</v>
      </c>
      <c r="D8" s="101">
        <f>_xll.meDateFromTenor(B8,G8,)</f>
        <v>45608</v>
      </c>
      <c r="F8" s="102" t="s">
        <v>53</v>
      </c>
      <c r="G8" s="103" t="s">
        <v>36</v>
      </c>
      <c r="H8" s="104" t="str">
        <f t="shared" si="3"/>
        <v>USD_SOFR_SWAP@3:3</v>
      </c>
      <c r="I8" s="105" t="s">
        <v>117</v>
      </c>
      <c r="J8" s="106">
        <v>1000000</v>
      </c>
      <c r="K8" s="107">
        <v>0.01</v>
      </c>
      <c r="L8" s="108">
        <v>0</v>
      </c>
      <c r="M8" s="77">
        <f t="shared" si="1"/>
        <v>4</v>
      </c>
      <c r="N8" s="109" t="str">
        <f>_xll.meLWOSwapCreateFromGenerator("USD_SOFR_SWAP_"&amp;G8,H8,I8,J8,B8,D8,K8,L8)</f>
        <v>USD_SOFR_SWAP_5Y@37:0</v>
      </c>
      <c r="O8" s="110" t="str">
        <f>USD_SOFR_CURVE!$G$28</f>
        <v>USDYC</v>
      </c>
      <c r="P8" s="111">
        <f ca="1">_xll.meLWOSwapParRate(N8,O8)</f>
        <v>1.4776498846540535E-2</v>
      </c>
      <c r="R8" s="112" t="str">
        <f>USD_SOFR_CURVE!I12</f>
        <v>5Y</v>
      </c>
      <c r="S8" s="113">
        <f>USD_SOFR_CURVE!J12</f>
        <v>1.47765E-2</v>
      </c>
      <c r="T8" s="114">
        <f t="shared" ca="1" si="2"/>
        <v>-1.1534594650947083E-5</v>
      </c>
    </row>
    <row r="9" spans="2:21" x14ac:dyDescent="0.25">
      <c r="B9" s="99">
        <f>_xll.meDateFromTenor(USD_SOFR_CURVE!$G$8,F9,"MOD_FOLLOWING",C9,"")</f>
        <v>43781</v>
      </c>
      <c r="C9" s="100" t="s">
        <v>39</v>
      </c>
      <c r="D9" s="101">
        <f>_xll.meDateFromTenor(B9,G9,)</f>
        <v>46338</v>
      </c>
      <c r="F9" s="102" t="s">
        <v>53</v>
      </c>
      <c r="G9" s="103" t="str">
        <f t="shared" si="0"/>
        <v>7Y</v>
      </c>
      <c r="H9" s="104" t="str">
        <f t="shared" si="3"/>
        <v>USD_SOFR_SWAP@3:3</v>
      </c>
      <c r="I9" s="105" t="s">
        <v>117</v>
      </c>
      <c r="J9" s="106">
        <v>1000000</v>
      </c>
      <c r="K9" s="107">
        <v>0.01</v>
      </c>
      <c r="L9" s="108">
        <v>0</v>
      </c>
      <c r="M9" s="77">
        <f t="shared" si="1"/>
        <v>5</v>
      </c>
      <c r="N9" s="109" t="str">
        <f>_xll.meLWOSwapCreateFromGenerator("USD_SOFR_SWAP_"&amp;G9,H9,I9,J9,B9,D9,K9,L9)</f>
        <v>USD_SOFR_SWAP_7Y@27:3</v>
      </c>
      <c r="O9" s="110" t="str">
        <f>USD_SOFR_CURVE!$G$28</f>
        <v>USDYC</v>
      </c>
      <c r="P9" s="111">
        <f ca="1">_xll.meLWOSwapParRate(N9,O9)</f>
        <v>1.5301799163553646E-2</v>
      </c>
      <c r="R9" s="112" t="str">
        <f>USD_SOFR_CURVE!I13</f>
        <v>7Y</v>
      </c>
      <c r="S9" s="113">
        <f>USD_SOFR_CURVE!J13</f>
        <v>1.5301800000000001E-2</v>
      </c>
      <c r="T9" s="114">
        <f t="shared" ca="1" si="2"/>
        <v>-8.364463548876655E-6</v>
      </c>
    </row>
    <row r="10" spans="2:21" x14ac:dyDescent="0.25">
      <c r="B10" s="99">
        <f>_xll.meDateFromTenor(USD_SOFR_CURVE!$G$8,F10,"MOD_FOLLOWING",C10,"")</f>
        <v>43781</v>
      </c>
      <c r="C10" s="100" t="s">
        <v>39</v>
      </c>
      <c r="D10" s="101">
        <f>_xll.meDateFromTenor(B10,G10,)</f>
        <v>47434</v>
      </c>
      <c r="F10" s="102" t="s">
        <v>53</v>
      </c>
      <c r="G10" s="103" t="str">
        <f t="shared" si="0"/>
        <v>10Y</v>
      </c>
      <c r="H10" s="104" t="str">
        <f t="shared" si="3"/>
        <v>USD_SOFR_SWAP@3:3</v>
      </c>
      <c r="I10" s="105" t="s">
        <v>117</v>
      </c>
      <c r="J10" s="106">
        <v>1000000</v>
      </c>
      <c r="K10" s="107">
        <v>0.01</v>
      </c>
      <c r="L10" s="108">
        <v>0</v>
      </c>
      <c r="M10" s="77">
        <f t="shared" si="1"/>
        <v>6</v>
      </c>
      <c r="N10" s="109" t="str">
        <f>_xll.meLWOSwapCreateFromGenerator("USD_SOFR_SWAP_"&amp;G10,H10,I10,J10,B10,D10,K10,L10)</f>
        <v>USD_SOFR_SWAP_10Y@32:3</v>
      </c>
      <c r="O10" s="110" t="str">
        <f>USD_SOFR_CURVE!$G$28</f>
        <v>USDYC</v>
      </c>
      <c r="P10" s="111">
        <f ca="1">_xll.meLWOSwapParRate(N10,O10)</f>
        <v>1.6184499399885855E-2</v>
      </c>
      <c r="R10" s="112" t="str">
        <f>USD_SOFR_CURVE!I14</f>
        <v>10Y</v>
      </c>
      <c r="S10" s="113">
        <f>USD_SOFR_CURVE!J14</f>
        <v>1.6184500000000001E-2</v>
      </c>
      <c r="T10" s="114">
        <f t="shared" ca="1" si="2"/>
        <v>-6.0011414587668455E-6</v>
      </c>
    </row>
    <row r="11" spans="2:21" x14ac:dyDescent="0.25">
      <c r="B11" s="99">
        <f>_xll.meDateFromTenor(USD_SOFR_CURVE!$G$8,F11,"MOD_FOLLOWING",C11,"")</f>
        <v>43781</v>
      </c>
      <c r="C11" s="100" t="s">
        <v>39</v>
      </c>
      <c r="D11" s="101">
        <f>_xll.meDateFromTenor(B11,G11,)</f>
        <v>48164</v>
      </c>
      <c r="F11" s="102" t="s">
        <v>53</v>
      </c>
      <c r="G11" s="103" t="str">
        <f t="shared" si="0"/>
        <v>12Y</v>
      </c>
      <c r="H11" s="104" t="str">
        <f t="shared" si="3"/>
        <v>USD_SOFR_SWAP@3:3</v>
      </c>
      <c r="I11" s="105" t="s">
        <v>117</v>
      </c>
      <c r="J11" s="106">
        <v>1000000</v>
      </c>
      <c r="K11" s="107">
        <v>0.01</v>
      </c>
      <c r="L11" s="108">
        <v>0</v>
      </c>
      <c r="M11" s="77">
        <f t="shared" si="1"/>
        <v>7</v>
      </c>
      <c r="N11" s="109" t="str">
        <f>_xll.meLWOSwapCreateFromGenerator("USD_SOFR_SWAP_"&amp;G11,H11,I11,J11,B11,D11,K11,L11)</f>
        <v>USD_SOFR_SWAP_12Y@33:3</v>
      </c>
      <c r="O11" s="110" t="str">
        <f>USD_SOFR_CURVE!$G$28</f>
        <v>USDYC</v>
      </c>
      <c r="P11" s="111">
        <f ca="1">_xll.meLWOSwapParRate(N11,O11)</f>
        <v>1.6668099490928776E-2</v>
      </c>
      <c r="R11" s="112" t="str">
        <f>USD_SOFR_CURVE!I15</f>
        <v>12Y</v>
      </c>
      <c r="S11" s="113">
        <f>USD_SOFR_CURVE!J15</f>
        <v>1.6668100000000002E-2</v>
      </c>
      <c r="T11" s="114">
        <f t="shared" ca="1" si="2"/>
        <v>-5.0907122614574085E-6</v>
      </c>
    </row>
    <row r="12" spans="2:21" x14ac:dyDescent="0.25">
      <c r="B12" s="99">
        <f>_xll.meDateFromTenor(USD_SOFR_CURVE!$G$8,F12,"MOD_FOLLOWING",C12,"")</f>
        <v>43781</v>
      </c>
      <c r="C12" s="100" t="s">
        <v>39</v>
      </c>
      <c r="D12" s="101">
        <f>_xll.meDateFromTenor(B12,G12,)</f>
        <v>49260</v>
      </c>
      <c r="F12" s="102" t="s">
        <v>53</v>
      </c>
      <c r="G12" s="103" t="str">
        <f t="shared" si="0"/>
        <v>15Y</v>
      </c>
      <c r="H12" s="104" t="str">
        <f t="shared" si="3"/>
        <v>USD_SOFR_SWAP@3:3</v>
      </c>
      <c r="I12" s="105" t="s">
        <v>117</v>
      </c>
      <c r="J12" s="106">
        <v>1000000</v>
      </c>
      <c r="K12" s="107">
        <v>0.01</v>
      </c>
      <c r="L12" s="108">
        <v>0</v>
      </c>
      <c r="M12" s="77">
        <f t="shared" si="1"/>
        <v>8</v>
      </c>
      <c r="N12" s="109" t="str">
        <f>_xll.meLWOSwapCreateFromGenerator("USD_SOFR_SWAP_"&amp;G12,H12,I12,J12,B12,D12,K12,L12)</f>
        <v>USD_SOFR_SWAP_15Y@16:3</v>
      </c>
      <c r="O12" s="110" t="str">
        <f>USD_SOFR_CURVE!$G$28</f>
        <v>USDYC</v>
      </c>
      <c r="P12" s="111">
        <f ca="1">_xll.meLWOSwapParRate(N12,O12)</f>
        <v>1.7190999581769981E-2</v>
      </c>
      <c r="R12" s="112" t="str">
        <f>USD_SOFR_CURVE!I16</f>
        <v>15Y</v>
      </c>
      <c r="S12" s="113">
        <f>USD_SOFR_CURVE!J16</f>
        <v>1.7191000000000001E-2</v>
      </c>
      <c r="T12" s="114">
        <f t="shared" ca="1" si="2"/>
        <v>-4.1823002006058374E-6</v>
      </c>
    </row>
    <row r="13" spans="2:21" x14ac:dyDescent="0.25">
      <c r="B13" s="99">
        <f>_xll.meDateFromTenor(USD_SOFR_CURVE!$G$8,F13,"MOD_FOLLOWING",C13,"")</f>
        <v>43781</v>
      </c>
      <c r="C13" s="100" t="s">
        <v>39</v>
      </c>
      <c r="D13" s="101">
        <f>_xll.meDateFromTenor(B13,G13,)</f>
        <v>51086</v>
      </c>
      <c r="F13" s="102" t="s">
        <v>53</v>
      </c>
      <c r="G13" s="103" t="str">
        <f t="shared" si="0"/>
        <v>20Y</v>
      </c>
      <c r="H13" s="104" t="str">
        <f t="shared" si="3"/>
        <v>USD_SOFR_SWAP@3:3</v>
      </c>
      <c r="I13" s="105" t="s">
        <v>117</v>
      </c>
      <c r="J13" s="106">
        <v>1000000</v>
      </c>
      <c r="K13" s="107">
        <v>0.01</v>
      </c>
      <c r="L13" s="108">
        <v>0</v>
      </c>
      <c r="M13" s="77">
        <f t="shared" si="1"/>
        <v>9</v>
      </c>
      <c r="N13" s="109" t="str">
        <f>_xll.meLWOSwapCreateFromGenerator("USD_SOFR_SWAP_"&amp;G13,H13,I13,J13,B13,D13,K13,L13)</f>
        <v>USD_SOFR_SWAP_20Y@24:3</v>
      </c>
      <c r="O13" s="110" t="str">
        <f>USD_SOFR_CURVE!$G$28</f>
        <v>USDYC</v>
      </c>
      <c r="P13" s="111">
        <f ca="1">_xll.meLWOSwapParRate(N13,O13)</f>
        <v>1.7736799671824073E-2</v>
      </c>
      <c r="R13" s="112" t="str">
        <f>USD_SOFR_CURVE!I17</f>
        <v>20Y</v>
      </c>
      <c r="S13" s="113">
        <f>USD_SOFR_CURVE!J17</f>
        <v>1.77368E-2</v>
      </c>
      <c r="T13" s="114">
        <f t="shared" ca="1" si="2"/>
        <v>-3.2817592740541635E-6</v>
      </c>
    </row>
    <row r="14" spans="2:21" x14ac:dyDescent="0.25">
      <c r="B14" s="99">
        <f>_xll.meDateFromTenor(USD_SOFR_CURVE!$G$8,F14,"MOD_FOLLOWING",C14,"")</f>
        <v>43781</v>
      </c>
      <c r="C14" s="100" t="s">
        <v>39</v>
      </c>
      <c r="D14" s="101">
        <f>_xll.meDateFromTenor(B14,G14,)</f>
        <v>52913</v>
      </c>
      <c r="F14" s="102" t="s">
        <v>53</v>
      </c>
      <c r="G14" s="103" t="str">
        <f t="shared" si="0"/>
        <v>25Y</v>
      </c>
      <c r="H14" s="104" t="str">
        <f t="shared" si="3"/>
        <v>USD_SOFR_SWAP@3:3</v>
      </c>
      <c r="I14" s="105" t="s">
        <v>117</v>
      </c>
      <c r="J14" s="106">
        <v>1000000</v>
      </c>
      <c r="K14" s="107">
        <v>0.01</v>
      </c>
      <c r="L14" s="108">
        <v>0</v>
      </c>
      <c r="M14" s="77">
        <f t="shared" si="1"/>
        <v>10</v>
      </c>
      <c r="N14" s="109" t="str">
        <f>_xll.meLWOSwapCreateFromGenerator("USD_SOFR_SWAP_"&amp;G14,H14,I14,J14,B14,D14,K14,L14)</f>
        <v>USD_SOFR_SWAP_25Y@10:3</v>
      </c>
      <c r="O14" s="110" t="str">
        <f>USD_SOFR_CURVE!$G$28</f>
        <v>USDYC</v>
      </c>
      <c r="P14" s="111">
        <f ca="1">_xll.meLWOSwapParRate(N14,O14)</f>
        <v>1.7927999725419662E-2</v>
      </c>
      <c r="R14" s="112" t="str">
        <f>USD_SOFR_CURVE!I18</f>
        <v>25Y</v>
      </c>
      <c r="S14" s="113">
        <f>USD_SOFR_CURVE!J18</f>
        <v>1.7927999999999999E-2</v>
      </c>
      <c r="T14" s="114">
        <f t="shared" ca="1" si="2"/>
        <v>-2.74580337633612E-6</v>
      </c>
    </row>
    <row r="15" spans="2:21" x14ac:dyDescent="0.25">
      <c r="B15" s="99">
        <f>_xll.meDateFromTenor(USD_SOFR_CURVE!$G$8,F15,"MOD_FOLLOWING",C15,"")</f>
        <v>43781</v>
      </c>
      <c r="C15" s="100" t="s">
        <v>39</v>
      </c>
      <c r="D15" s="101">
        <f>_xll.meDateFromTenor(B15,G15,)</f>
        <v>54739</v>
      </c>
      <c r="F15" s="102" t="s">
        <v>53</v>
      </c>
      <c r="G15" s="103" t="str">
        <f t="shared" si="0"/>
        <v>30Y</v>
      </c>
      <c r="H15" s="104" t="str">
        <f t="shared" si="3"/>
        <v>USD_SOFR_SWAP@3:3</v>
      </c>
      <c r="I15" s="105" t="s">
        <v>117</v>
      </c>
      <c r="J15" s="106">
        <v>1000000</v>
      </c>
      <c r="K15" s="107">
        <v>0.01</v>
      </c>
      <c r="L15" s="108">
        <v>0</v>
      </c>
      <c r="M15" s="77">
        <f t="shared" si="1"/>
        <v>11</v>
      </c>
      <c r="N15" s="109" t="str">
        <f>_xll.meLWOSwapCreateFromGenerator("USD_SOFR_SWAP_"&amp;G15,H15,I15,J15,B15,D15,K15,L15)</f>
        <v>USD_SOFR_SWAP_30Y@30:3</v>
      </c>
      <c r="O15" s="110" t="str">
        <f>USD_SOFR_CURVE!$G$28</f>
        <v>USDYC</v>
      </c>
      <c r="P15" s="111">
        <f ca="1">_xll.meLWOSwapParRate(N15,O15)</f>
        <v>1.7939799760938815E-2</v>
      </c>
      <c r="R15" s="112" t="str">
        <f>USD_SOFR_CURVE!I19</f>
        <v>30Y</v>
      </c>
      <c r="S15" s="113">
        <f>USD_SOFR_CURVE!J19</f>
        <v>1.7939799999999999E-2</v>
      </c>
      <c r="T15" s="114">
        <f t="shared" ca="1" si="2"/>
        <v>-2.3906118404304344E-6</v>
      </c>
    </row>
    <row r="16" spans="2:21" x14ac:dyDescent="0.25">
      <c r="B16" s="99">
        <f>_xll.meDateFromTenor(USD_SOFR_CURVE!$G$8,F16,"MOD_FOLLOWING",C16,"")</f>
        <v>43781</v>
      </c>
      <c r="C16" s="100" t="s">
        <v>39</v>
      </c>
      <c r="D16" s="101">
        <f>_xll.meDateFromTenor(B16,G16,)</f>
        <v>58391</v>
      </c>
      <c r="F16" s="102" t="s">
        <v>53</v>
      </c>
      <c r="G16" s="103" t="str">
        <f t="shared" si="0"/>
        <v>40Y</v>
      </c>
      <c r="H16" s="104" t="str">
        <f t="shared" si="3"/>
        <v>USD_SOFR_SWAP@3:3</v>
      </c>
      <c r="I16" s="105" t="s">
        <v>117</v>
      </c>
      <c r="J16" s="106">
        <v>1000000</v>
      </c>
      <c r="K16" s="107">
        <v>0.01</v>
      </c>
      <c r="L16" s="108">
        <v>0</v>
      </c>
      <c r="M16" s="77">
        <f t="shared" si="1"/>
        <v>12</v>
      </c>
      <c r="N16" s="109" t="str">
        <f>_xll.meLWOSwapCreateFromGenerator("USD_SOFR_SWAP_"&amp;G16,H16,I16,J16,B16,D16,K16,L16)</f>
        <v>USD_SOFR_SWAP_40Y@31:3</v>
      </c>
      <c r="O16" s="110" t="str">
        <f>USD_SOFR_CURVE!$G$28</f>
        <v>USDYC</v>
      </c>
      <c r="P16" s="111">
        <f ca="1">_xll.meLWOSwapParRate(N16,O16)</f>
        <v>1.7733799805214993E-2</v>
      </c>
      <c r="R16" s="112" t="str">
        <f>USD_SOFR_CURVE!I20</f>
        <v>40Y</v>
      </c>
      <c r="S16" s="113">
        <f>USD_SOFR_CURVE!J20</f>
        <v>1.7733800000000001E-2</v>
      </c>
      <c r="T16" s="114">
        <f t="shared" ca="1" si="2"/>
        <v>-1.9478500756786588E-6</v>
      </c>
    </row>
    <row r="17" spans="2:21" x14ac:dyDescent="0.25">
      <c r="B17" s="115">
        <f>_xll.meDateFromTenor(USD_SOFR_CURVE!$G$8,F17,"MOD_FOLLOWING",C17,"")</f>
        <v>43781</v>
      </c>
      <c r="C17" s="116" t="s">
        <v>39</v>
      </c>
      <c r="D17" s="117">
        <f>_xll.meDateFromTenor(B17,G17,)</f>
        <v>62044</v>
      </c>
      <c r="E17" s="118"/>
      <c r="F17" s="119" t="s">
        <v>53</v>
      </c>
      <c r="G17" s="120" t="str">
        <f t="shared" si="0"/>
        <v>50Y</v>
      </c>
      <c r="H17" s="121" t="str">
        <f t="shared" si="3"/>
        <v>USD_SOFR_SWAP@3:3</v>
      </c>
      <c r="I17" s="122" t="s">
        <v>117</v>
      </c>
      <c r="J17" s="123">
        <v>1000000</v>
      </c>
      <c r="K17" s="124">
        <v>0.01</v>
      </c>
      <c r="L17" s="125">
        <v>0</v>
      </c>
      <c r="M17" s="77">
        <f t="shared" si="1"/>
        <v>13</v>
      </c>
      <c r="N17" s="126" t="str">
        <f>_xll.meLWOSwapCreateFromGenerator("USD_SOFR_SWAP_"&amp;G17,H17,I17,J17,B17,D17,K17,L17)</f>
        <v>USD_SOFR_SWAP_50Y@23:3</v>
      </c>
      <c r="O17" s="127" t="str">
        <f>USD_SOFR_CURVE!$G$28</f>
        <v>USDYC</v>
      </c>
      <c r="P17" s="128">
        <f ca="1">_xll.meLWOSwapParRate(N17,O17)</f>
        <v>1.7357199831587507E-2</v>
      </c>
      <c r="R17" s="129" t="str">
        <f>USD_SOFR_CURVE!I21</f>
        <v>50Y</v>
      </c>
      <c r="S17" s="130">
        <f>USD_SOFR_CURVE!J21</f>
        <v>1.73572E-2</v>
      </c>
      <c r="T17" s="131">
        <f t="shared" ca="1" si="2"/>
        <v>-1.6841249228516375E-6</v>
      </c>
    </row>
    <row r="18" spans="2:21" x14ac:dyDescent="0.25">
      <c r="P18" s="79"/>
    </row>
    <row r="19" spans="2:21" x14ac:dyDescent="0.25">
      <c r="B19" s="75" t="s">
        <v>98</v>
      </c>
      <c r="C19" s="75"/>
      <c r="F19" s="76" t="s">
        <v>163</v>
      </c>
      <c r="M19" s="77"/>
      <c r="N19" s="75" t="s">
        <v>100</v>
      </c>
      <c r="R19" s="75" t="s">
        <v>101</v>
      </c>
    </row>
    <row r="20" spans="2:21" x14ac:dyDescent="0.25">
      <c r="D20" s="78" t="s">
        <v>102</v>
      </c>
      <c r="H20" s="78" t="str">
        <f>H22</f>
        <v>USD_OIS_SWAP_UNDER_1Y@2:3</v>
      </c>
      <c r="M20" s="77"/>
      <c r="P20" s="79"/>
    </row>
    <row r="21" spans="2:21" x14ac:dyDescent="0.25">
      <c r="B21" s="80" t="s">
        <v>104</v>
      </c>
      <c r="C21" s="80" t="s">
        <v>105</v>
      </c>
      <c r="D21" s="81" t="s">
        <v>106</v>
      </c>
      <c r="E21" s="81"/>
      <c r="F21" s="81" t="s">
        <v>104</v>
      </c>
      <c r="G21" s="80" t="s">
        <v>107</v>
      </c>
      <c r="H21" s="80" t="s">
        <v>108</v>
      </c>
      <c r="I21" s="80" t="s">
        <v>109</v>
      </c>
      <c r="J21" s="80" t="s">
        <v>110</v>
      </c>
      <c r="K21" s="80" t="s">
        <v>111</v>
      </c>
      <c r="L21" s="80" t="s">
        <v>112</v>
      </c>
      <c r="M21" s="77"/>
      <c r="N21" s="80" t="s">
        <v>113</v>
      </c>
      <c r="O21" s="80" t="s">
        <v>94</v>
      </c>
      <c r="P21" s="80" t="s">
        <v>114</v>
      </c>
      <c r="R21" s="80" t="s">
        <v>115</v>
      </c>
      <c r="S21" s="80" t="s">
        <v>114</v>
      </c>
      <c r="T21" s="82" t="s">
        <v>116</v>
      </c>
    </row>
    <row r="22" spans="2:21" x14ac:dyDescent="0.25">
      <c r="B22" s="83">
        <f>_xll.meDateFromTenor(USD_OIS!$G$8,F22,"MOD_FOLLOWING",C22,"")</f>
        <v>43781</v>
      </c>
      <c r="C22" s="84" t="s">
        <v>39</v>
      </c>
      <c r="D22" s="85">
        <f>_xll.meDateFromTenor(B22,G22,)</f>
        <v>43782</v>
      </c>
      <c r="E22" s="86"/>
      <c r="F22" s="87" t="s">
        <v>53</v>
      </c>
      <c r="G22" s="88" t="str">
        <f t="shared" ref="G22:G34" si="4">R22</f>
        <v>ON</v>
      </c>
      <c r="H22" s="150" t="str">
        <f>SWAP_GENERATORS!$J$43</f>
        <v>USD_OIS_SWAP_UNDER_1Y@2:3</v>
      </c>
      <c r="I22" s="89" t="s">
        <v>117</v>
      </c>
      <c r="J22" s="90">
        <v>1000000</v>
      </c>
      <c r="K22" s="91">
        <v>0.01</v>
      </c>
      <c r="L22" s="92">
        <v>0</v>
      </c>
      <c r="M22" s="77">
        <v>1</v>
      </c>
      <c r="N22" s="93" t="str">
        <f>_xll.meLWOSwapCreateFromGenerator("USD_OIS_SWAP_"&amp;G22,H22,I22,J22,B22,D22,K22,L22)</f>
        <v>USD_OIS_SWAP_ON@25:3</v>
      </c>
      <c r="O22" s="94" t="str">
        <f>USD_OIS!$G$28</f>
        <v>USDYC</v>
      </c>
      <c r="P22" s="95">
        <f ca="1">_xll.meLWOSwapParRate(N22,O22)</f>
        <v>1.5582750491880404E-2</v>
      </c>
      <c r="R22" s="96" t="str">
        <f>USD_OIS!I5</f>
        <v>ON</v>
      </c>
      <c r="S22" s="97">
        <f>USD_OIS!J5</f>
        <v>1.55E-2</v>
      </c>
      <c r="T22" s="98">
        <f ca="1">(P22-S22)*10000</f>
        <v>0.82750491880403954</v>
      </c>
      <c r="U22" t="s">
        <v>162</v>
      </c>
    </row>
    <row r="23" spans="2:21" x14ac:dyDescent="0.25">
      <c r="B23" s="99">
        <f>_xll.meDateFromTenor(USD_OIS!$G$8,F23,"MOD_FOLLOWING",C23,"")</f>
        <v>43781</v>
      </c>
      <c r="C23" s="100" t="s">
        <v>39</v>
      </c>
      <c r="D23" s="101">
        <f>_xll.meDateFromTenor(B23,G23,)</f>
        <v>43788</v>
      </c>
      <c r="F23" s="102" t="s">
        <v>53</v>
      </c>
      <c r="G23" s="103" t="str">
        <f t="shared" si="4"/>
        <v>1W</v>
      </c>
      <c r="H23" s="151" t="str">
        <f>SWAP_GENERATORS!$J$43</f>
        <v>USD_OIS_SWAP_UNDER_1Y@2:3</v>
      </c>
      <c r="I23" s="105" t="s">
        <v>117</v>
      </c>
      <c r="J23" s="106">
        <v>1000000</v>
      </c>
      <c r="K23" s="107">
        <v>0.01</v>
      </c>
      <c r="L23" s="108">
        <v>0</v>
      </c>
      <c r="M23" s="77">
        <f t="shared" ref="M23:M34" si="5">M22+1</f>
        <v>2</v>
      </c>
      <c r="N23" s="109" t="str">
        <f>_xll.meLWOSwapCreateFromGenerator("USD_OIS_SWAP_"&amp;G23,H23,I23,J23,B23,D23,K23,L23)</f>
        <v>USD_OIS_SWAP_1W@8:3</v>
      </c>
      <c r="O23" s="110" t="str">
        <f>USD_OIS!$G$28</f>
        <v>USDYC</v>
      </c>
      <c r="P23" s="111">
        <f ca="1">_xll.meLWOSwapParRate(N23,O23)</f>
        <v>1.5654600000623017E-2</v>
      </c>
      <c r="R23" s="112" t="str">
        <f>USD_OIS!I6</f>
        <v>1W</v>
      </c>
      <c r="S23" s="113">
        <f>USD_OIS!J6</f>
        <v>1.5654600000000001E-2</v>
      </c>
      <c r="T23" s="114">
        <f t="shared" ref="T23:T34" ca="1" si="6">(P23-S23)*10000</f>
        <v>6.2301552805621441E-9</v>
      </c>
    </row>
    <row r="24" spans="2:21" x14ac:dyDescent="0.25">
      <c r="B24" s="99">
        <f>_xll.meDateFromTenor(USD_OIS!$G$8,F24,"MOD_FOLLOWING",C24,"")</f>
        <v>43781</v>
      </c>
      <c r="C24" s="100" t="s">
        <v>39</v>
      </c>
      <c r="D24" s="101">
        <f>_xll.meDateFromTenor(B24,G24,)</f>
        <v>44512</v>
      </c>
      <c r="F24" s="102" t="s">
        <v>53</v>
      </c>
      <c r="G24" s="103" t="str">
        <f t="shared" si="4"/>
        <v>2Y</v>
      </c>
      <c r="H24" s="104" t="str">
        <f>SWAP_GENERATORS!$D$43</f>
        <v>USD_OIS_SWAP@6:3</v>
      </c>
      <c r="I24" s="105" t="s">
        <v>117</v>
      </c>
      <c r="J24" s="106">
        <v>1000000</v>
      </c>
      <c r="K24" s="107">
        <v>0.01</v>
      </c>
      <c r="L24" s="108">
        <v>0</v>
      </c>
      <c r="M24" s="77">
        <f t="shared" si="5"/>
        <v>3</v>
      </c>
      <c r="N24" s="109" t="str">
        <f>_xll.meLWOSwapCreateFromGenerator("USD_OIS_SWAP_"&amp;G24,H24,I24,J24,B24,D24,K24,L24)</f>
        <v>USD_OIS_SWAP_2Y@17:3</v>
      </c>
      <c r="O24" s="110" t="str">
        <f>USD_OIS!$G$28</f>
        <v>USDYC</v>
      </c>
      <c r="P24" s="111">
        <f ca="1">_xll.meLWOSwapParRate(N24,O24)</f>
        <v>1.4329997250655957E-2</v>
      </c>
      <c r="R24" s="112" t="str">
        <f>USD_OIS!I11</f>
        <v>2Y</v>
      </c>
      <c r="S24" s="113">
        <f>USD_OIS!J11</f>
        <v>1.4330000000000001E-2</v>
      </c>
      <c r="T24" s="114">
        <f t="shared" ca="1" si="6"/>
        <v>-2.7493440440951034E-5</v>
      </c>
    </row>
    <row r="25" spans="2:21" x14ac:dyDescent="0.25">
      <c r="B25" s="99">
        <f>_xll.meDateFromTenor(USD_OIS!$G$8,F25,"MOD_FOLLOWING",C25,"")</f>
        <v>43781</v>
      </c>
      <c r="C25" s="100" t="s">
        <v>39</v>
      </c>
      <c r="D25" s="101">
        <f>_xll.meDateFromTenor(B25,G25,)</f>
        <v>45608</v>
      </c>
      <c r="F25" s="102" t="s">
        <v>53</v>
      </c>
      <c r="G25" s="103" t="str">
        <f t="shared" si="4"/>
        <v>5Y</v>
      </c>
      <c r="H25" s="104" t="str">
        <f>SWAP_GENERATORS!$D$43</f>
        <v>USD_OIS_SWAP@6:3</v>
      </c>
      <c r="I25" s="105" t="s">
        <v>117</v>
      </c>
      <c r="J25" s="106">
        <v>1000000</v>
      </c>
      <c r="K25" s="107">
        <v>0.01</v>
      </c>
      <c r="L25" s="108">
        <v>0</v>
      </c>
      <c r="M25" s="77">
        <f t="shared" si="5"/>
        <v>4</v>
      </c>
      <c r="N25" s="109" t="str">
        <f>_xll.meLWOSwapCreateFromGenerator("USD_OIS_SWAP_"&amp;G25,H25,I25,J25,B25,D25,K25,L25)</f>
        <v>USD_OIS_SWAP_5Y@13:3</v>
      </c>
      <c r="O25" s="110" t="str">
        <f>USD_OIS!$G$28</f>
        <v>USDYC</v>
      </c>
      <c r="P25" s="111">
        <f ca="1">_xll.meLWOSwapParRate(N25,O25)</f>
        <v>1.4534398866918369E-2</v>
      </c>
      <c r="R25" s="112" t="str">
        <f>USD_OIS!I12</f>
        <v>5Y</v>
      </c>
      <c r="S25" s="113">
        <f>USD_OIS!J12</f>
        <v>1.4534399999999999E-2</v>
      </c>
      <c r="T25" s="114">
        <f t="shared" ca="1" si="6"/>
        <v>-1.1330816302584923E-5</v>
      </c>
    </row>
    <row r="26" spans="2:21" x14ac:dyDescent="0.25">
      <c r="B26" s="99">
        <f>_xll.meDateFromTenor(USD_OIS!$G$8,F26,"MOD_FOLLOWING",C26,"")</f>
        <v>43781</v>
      </c>
      <c r="C26" s="100" t="s">
        <v>39</v>
      </c>
      <c r="D26" s="101">
        <f>_xll.meDateFromTenor(B26,G26,)</f>
        <v>46338</v>
      </c>
      <c r="F26" s="102" t="s">
        <v>53</v>
      </c>
      <c r="G26" s="103" t="str">
        <f t="shared" si="4"/>
        <v>7Y</v>
      </c>
      <c r="H26" s="104" t="str">
        <f>SWAP_GENERATORS!$D$43</f>
        <v>USD_OIS_SWAP@6:3</v>
      </c>
      <c r="I26" s="105" t="s">
        <v>117</v>
      </c>
      <c r="J26" s="106">
        <v>1000000</v>
      </c>
      <c r="K26" s="107">
        <v>0.01</v>
      </c>
      <c r="L26" s="108">
        <v>0</v>
      </c>
      <c r="M26" s="77">
        <f t="shared" si="5"/>
        <v>5</v>
      </c>
      <c r="N26" s="109" t="str">
        <f>_xll.meLWOSwapCreateFromGenerator("USD_OIS_SWAP_"&amp;G26,H26,I26,J26,B26,D26,K26,L26)</f>
        <v>USD_OIS_SWAP_7Y@26:3</v>
      </c>
      <c r="O26" s="110" t="str">
        <f>USD_OIS!$G$28</f>
        <v>USDYC</v>
      </c>
      <c r="P26" s="111">
        <f ca="1">_xll.meLWOSwapParRate(N26,O26)</f>
        <v>1.508509917879502E-2</v>
      </c>
      <c r="R26" s="112" t="str">
        <f>USD_OIS!I13</f>
        <v>7Y</v>
      </c>
      <c r="S26" s="113">
        <f>USD_OIS!J13</f>
        <v>1.5085100000000001E-2</v>
      </c>
      <c r="T26" s="114">
        <f t="shared" ca="1" si="6"/>
        <v>-8.2120498075266557E-6</v>
      </c>
    </row>
    <row r="27" spans="2:21" x14ac:dyDescent="0.25">
      <c r="B27" s="99">
        <f>_xll.meDateFromTenor(USD_OIS!$G$8,F27,"MOD_FOLLOWING",C27,"")</f>
        <v>43781</v>
      </c>
      <c r="C27" s="100" t="s">
        <v>39</v>
      </c>
      <c r="D27" s="101">
        <f>_xll.meDateFromTenor(B27,G27,)</f>
        <v>47434</v>
      </c>
      <c r="F27" s="102" t="s">
        <v>53</v>
      </c>
      <c r="G27" s="103" t="str">
        <f t="shared" si="4"/>
        <v>10Y</v>
      </c>
      <c r="H27" s="104" t="str">
        <f>SWAP_GENERATORS!$D$43</f>
        <v>USD_OIS_SWAP@6:3</v>
      </c>
      <c r="I27" s="105" t="s">
        <v>117</v>
      </c>
      <c r="J27" s="106">
        <v>1000000</v>
      </c>
      <c r="K27" s="107">
        <v>0.01</v>
      </c>
      <c r="L27" s="108">
        <v>0</v>
      </c>
      <c r="M27" s="77">
        <f t="shared" si="5"/>
        <v>6</v>
      </c>
      <c r="N27" s="109" t="str">
        <f>_xll.meLWOSwapCreateFromGenerator("USD_OIS_SWAP_"&amp;G27,H27,I27,J27,B27,D27,K27,L27)</f>
        <v>USD_OIS_SWAP_10Y@15:3</v>
      </c>
      <c r="O27" s="110" t="str">
        <f>USD_OIS!$G$28</f>
        <v>USDYC</v>
      </c>
      <c r="P27" s="111">
        <f ca="1">_xll.meLWOSwapParRate(N27,O27)</f>
        <v>1.5984399410642322E-2</v>
      </c>
      <c r="R27" s="112" t="str">
        <f>USD_OIS!I14</f>
        <v>10Y</v>
      </c>
      <c r="S27" s="113">
        <f>USD_OIS!J14</f>
        <v>1.5984399999999999E-2</v>
      </c>
      <c r="T27" s="114">
        <f t="shared" ca="1" si="6"/>
        <v>-5.8935767724421773E-6</v>
      </c>
    </row>
    <row r="28" spans="2:21" x14ac:dyDescent="0.25">
      <c r="B28" s="99">
        <f>_xll.meDateFromTenor(USD_OIS!$G$8,F28,"MOD_FOLLOWING",C28,"")</f>
        <v>43781</v>
      </c>
      <c r="C28" s="100" t="s">
        <v>39</v>
      </c>
      <c r="D28" s="101">
        <f>_xll.meDateFromTenor(B28,G28,)</f>
        <v>48164</v>
      </c>
      <c r="F28" s="102" t="s">
        <v>53</v>
      </c>
      <c r="G28" s="103" t="str">
        <f t="shared" si="4"/>
        <v>12Y</v>
      </c>
      <c r="H28" s="104" t="str">
        <f>SWAP_GENERATORS!$D$43</f>
        <v>USD_OIS_SWAP@6:3</v>
      </c>
      <c r="I28" s="105" t="s">
        <v>117</v>
      </c>
      <c r="J28" s="106">
        <v>1000000</v>
      </c>
      <c r="K28" s="107">
        <v>0.01</v>
      </c>
      <c r="L28" s="108">
        <v>0</v>
      </c>
      <c r="M28" s="77">
        <f t="shared" si="5"/>
        <v>7</v>
      </c>
      <c r="N28" s="109" t="str">
        <f>_xll.meLWOSwapCreateFromGenerator("USD_OIS_SWAP_"&amp;G28,H28,I28,J28,B28,D28,K28,L28)</f>
        <v>USD_OIS_SWAP_12Y@11:3</v>
      </c>
      <c r="O28" s="110" t="str">
        <f>USD_OIS!$G$28</f>
        <v>USDYC</v>
      </c>
      <c r="P28" s="111">
        <f ca="1">_xll.meLWOSwapParRate(N28,O28)</f>
        <v>1.647929950020938E-2</v>
      </c>
      <c r="R28" s="112" t="str">
        <f>USD_OIS!I15</f>
        <v>12Y</v>
      </c>
      <c r="S28" s="113">
        <f>USD_OIS!J15</f>
        <v>1.6479299999999999E-2</v>
      </c>
      <c r="T28" s="114">
        <f t="shared" ca="1" si="6"/>
        <v>-4.9979061861327168E-6</v>
      </c>
    </row>
    <row r="29" spans="2:21" x14ac:dyDescent="0.25">
      <c r="B29" s="99">
        <f>_xll.meDateFromTenor(USD_OIS!$G$8,F29,"MOD_FOLLOWING",C29,"")</f>
        <v>43781</v>
      </c>
      <c r="C29" s="100" t="s">
        <v>39</v>
      </c>
      <c r="D29" s="101">
        <f>_xll.meDateFromTenor(B29,G29,)</f>
        <v>49260</v>
      </c>
      <c r="F29" s="102" t="s">
        <v>53</v>
      </c>
      <c r="G29" s="103" t="str">
        <f t="shared" si="4"/>
        <v>15Y</v>
      </c>
      <c r="H29" s="104" t="str">
        <f>SWAP_GENERATORS!$D$43</f>
        <v>USD_OIS_SWAP@6:3</v>
      </c>
      <c r="I29" s="105" t="s">
        <v>117</v>
      </c>
      <c r="J29" s="106">
        <v>1000000</v>
      </c>
      <c r="K29" s="107">
        <v>0.01</v>
      </c>
      <c r="L29" s="108">
        <v>0</v>
      </c>
      <c r="M29" s="77">
        <f t="shared" si="5"/>
        <v>8</v>
      </c>
      <c r="N29" s="109" t="str">
        <f>_xll.meLWOSwapCreateFromGenerator("USD_OIS_SWAP_"&amp;G29,H29,I29,J29,B29,D29,K29,L29)</f>
        <v>USD_OIS_SWAP_15Y@29:3</v>
      </c>
      <c r="O29" s="110" t="str">
        <f>USD_OIS!$G$28</f>
        <v>USDYC</v>
      </c>
      <c r="P29" s="111">
        <f ca="1">_xll.meLWOSwapParRate(N29,O29)</f>
        <v>1.7012299589976753E-2</v>
      </c>
      <c r="R29" s="112" t="str">
        <f>USD_OIS!I16</f>
        <v>15Y</v>
      </c>
      <c r="S29" s="113">
        <f>USD_OIS!J16</f>
        <v>1.7012300000000001E-2</v>
      </c>
      <c r="T29" s="114">
        <f t="shared" ca="1" si="6"/>
        <v>-4.1002324799310763E-6</v>
      </c>
    </row>
    <row r="30" spans="2:21" x14ac:dyDescent="0.25">
      <c r="B30" s="99">
        <f>_xll.meDateFromTenor(USD_OIS!$G$8,F30,"MOD_FOLLOWING",C30,"")</f>
        <v>43781</v>
      </c>
      <c r="C30" s="100" t="s">
        <v>39</v>
      </c>
      <c r="D30" s="101">
        <f>_xll.meDateFromTenor(B30,G30,)</f>
        <v>51086</v>
      </c>
      <c r="F30" s="102" t="s">
        <v>53</v>
      </c>
      <c r="G30" s="103" t="str">
        <f t="shared" si="4"/>
        <v>20Y</v>
      </c>
      <c r="H30" s="104" t="str">
        <f>SWAP_GENERATORS!$D$43</f>
        <v>USD_OIS_SWAP@6:3</v>
      </c>
      <c r="I30" s="105" t="s">
        <v>117</v>
      </c>
      <c r="J30" s="106">
        <v>1000000</v>
      </c>
      <c r="K30" s="107">
        <v>0.01</v>
      </c>
      <c r="L30" s="108">
        <v>0</v>
      </c>
      <c r="M30" s="77">
        <f t="shared" si="5"/>
        <v>9</v>
      </c>
      <c r="N30" s="109" t="str">
        <f>_xll.meLWOSwapCreateFromGenerator("USD_OIS_SWAP_"&amp;G30,H30,I30,J30,B30,D30,K30,L30)</f>
        <v>USD_OIS_SWAP_20Y@22:3</v>
      </c>
      <c r="O30" s="110" t="str">
        <f>USD_OIS!$G$28</f>
        <v>USDYC</v>
      </c>
      <c r="P30" s="111">
        <f ca="1">_xll.meLWOSwapParRate(N30,O30)</f>
        <v>1.7568699685717303E-2</v>
      </c>
      <c r="R30" s="112" t="str">
        <f>USD_OIS!I17</f>
        <v>20Y</v>
      </c>
      <c r="S30" s="113">
        <f>USD_OIS!J17</f>
        <v>1.75687E-2</v>
      </c>
      <c r="T30" s="114">
        <f t="shared" ca="1" si="6"/>
        <v>-3.1428269708921874E-6</v>
      </c>
    </row>
    <row r="31" spans="2:21" x14ac:dyDescent="0.25">
      <c r="B31" s="99">
        <f>_xll.meDateFromTenor(USD_OIS!$G$8,F31,"MOD_FOLLOWING",C31,"")</f>
        <v>43781</v>
      </c>
      <c r="C31" s="100" t="s">
        <v>39</v>
      </c>
      <c r="D31" s="101">
        <f>_xll.meDateFromTenor(B31,G31,)</f>
        <v>52913</v>
      </c>
      <c r="F31" s="102" t="s">
        <v>53</v>
      </c>
      <c r="G31" s="103" t="str">
        <f t="shared" si="4"/>
        <v>25Y</v>
      </c>
      <c r="H31" s="104" t="str">
        <f>SWAP_GENERATORS!$D$43</f>
        <v>USD_OIS_SWAP@6:3</v>
      </c>
      <c r="I31" s="105" t="s">
        <v>117</v>
      </c>
      <c r="J31" s="106">
        <v>1000000</v>
      </c>
      <c r="K31" s="107">
        <v>0.01</v>
      </c>
      <c r="L31" s="108">
        <v>0</v>
      </c>
      <c r="M31" s="77">
        <f t="shared" si="5"/>
        <v>10</v>
      </c>
      <c r="N31" s="109" t="str">
        <f>_xll.meLWOSwapCreateFromGenerator("USD_OIS_SWAP_"&amp;G31,H31,I31,J31,B31,D31,K31,L31)</f>
        <v>USD_OIS_SWAP_25Y@20:3</v>
      </c>
      <c r="O31" s="110" t="str">
        <f>USD_OIS!$G$28</f>
        <v>USDYC</v>
      </c>
      <c r="P31" s="111">
        <f ca="1">_xll.meLWOSwapParRate(N31,O31)</f>
        <v>1.3831423082260359E-2</v>
      </c>
      <c r="R31" s="112" t="str">
        <f>USD_OIS!I18</f>
        <v>25Y</v>
      </c>
      <c r="S31" s="113">
        <f>USD_OIS!J18</f>
        <v>1.3831423343814556E-2</v>
      </c>
      <c r="T31" s="114">
        <f t="shared" ca="1" si="6"/>
        <v>-2.6155419670381708E-6</v>
      </c>
    </row>
    <row r="32" spans="2:21" x14ac:dyDescent="0.25">
      <c r="B32" s="99">
        <f>_xll.meDateFromTenor(USD_OIS!$G$8,F32,"MOD_FOLLOWING",C32,"")</f>
        <v>43781</v>
      </c>
      <c r="C32" s="100" t="s">
        <v>39</v>
      </c>
      <c r="D32" s="101">
        <f>_xll.meDateFromTenor(B32,G32,)</f>
        <v>54739</v>
      </c>
      <c r="F32" s="102" t="s">
        <v>53</v>
      </c>
      <c r="G32" s="103" t="str">
        <f t="shared" si="4"/>
        <v>30Y</v>
      </c>
      <c r="H32" s="104" t="str">
        <f>SWAP_GENERATORS!$D$43</f>
        <v>USD_OIS_SWAP@6:3</v>
      </c>
      <c r="I32" s="105" t="s">
        <v>117</v>
      </c>
      <c r="J32" s="106">
        <v>1000000</v>
      </c>
      <c r="K32" s="107">
        <v>0.01</v>
      </c>
      <c r="L32" s="108">
        <v>0</v>
      </c>
      <c r="M32" s="77">
        <f t="shared" si="5"/>
        <v>11</v>
      </c>
      <c r="N32" s="109" t="str">
        <f>_xll.meLWOSwapCreateFromGenerator("USD_OIS_SWAP_"&amp;G32,H32,I32,J32,B32,D32,K32,L32)</f>
        <v>USD_OIS_SWAP_30Y@19:3</v>
      </c>
      <c r="O32" s="110" t="str">
        <f>USD_OIS!$G$28</f>
        <v>USDYC</v>
      </c>
      <c r="P32" s="111">
        <f ca="1">_xll.meLWOSwapParRate(N32,O32)</f>
        <v>1.7790199757261024E-2</v>
      </c>
      <c r="R32" s="112" t="str">
        <f>USD_OIS!I19</f>
        <v>30Y</v>
      </c>
      <c r="S32" s="113">
        <f>USD_OIS!J19</f>
        <v>1.7790199999999999E-2</v>
      </c>
      <c r="T32" s="114">
        <f t="shared" ca="1" si="6"/>
        <v>-2.4273897475390882E-6</v>
      </c>
    </row>
    <row r="33" spans="2:20" x14ac:dyDescent="0.25">
      <c r="B33" s="99">
        <f>_xll.meDateFromTenor(USD_OIS!$G$8,F33,"MOD_FOLLOWING",C33,"")</f>
        <v>43781</v>
      </c>
      <c r="C33" s="100" t="s">
        <v>39</v>
      </c>
      <c r="D33" s="101">
        <f>_xll.meDateFromTenor(B33,G33,)</f>
        <v>58391</v>
      </c>
      <c r="F33" s="102" t="s">
        <v>53</v>
      </c>
      <c r="G33" s="103" t="str">
        <f t="shared" si="4"/>
        <v>40Y</v>
      </c>
      <c r="H33" s="104" t="str">
        <f>SWAP_GENERATORS!$D$43</f>
        <v>USD_OIS_SWAP@6:3</v>
      </c>
      <c r="I33" s="105" t="s">
        <v>117</v>
      </c>
      <c r="J33" s="106">
        <v>1000000</v>
      </c>
      <c r="K33" s="107">
        <v>0.01</v>
      </c>
      <c r="L33" s="108">
        <v>0</v>
      </c>
      <c r="M33" s="77">
        <f t="shared" si="5"/>
        <v>12</v>
      </c>
      <c r="N33" s="109" t="str">
        <f>_xll.meLWOSwapCreateFromGenerator("USD_OIS_SWAP_"&amp;G33,H33,I33,J33,B33,D33,K33,L33)</f>
        <v>USD_OIS_SWAP_40Y@21:3</v>
      </c>
      <c r="O33" s="110" t="str">
        <f>USD_OIS!$G$28</f>
        <v>USDYC</v>
      </c>
      <c r="P33" s="111">
        <f ca="1">_xll.meLWOSwapParRate(N33,O33)</f>
        <v>1.757775980377169E-2</v>
      </c>
      <c r="R33" s="112" t="str">
        <f>USD_OIS!I20</f>
        <v>40Y</v>
      </c>
      <c r="S33" s="113">
        <f>USD_OIS!J20</f>
        <v>1.7577760000000001E-2</v>
      </c>
      <c r="T33" s="114">
        <f t="shared" ca="1" si="6"/>
        <v>-1.9622831137766639E-6</v>
      </c>
    </row>
    <row r="34" spans="2:20" x14ac:dyDescent="0.25">
      <c r="B34" s="115">
        <f>_xll.meDateFromTenor(USD_OIS!$G$8,F34,"MOD_FOLLOWING",C34,"")</f>
        <v>43781</v>
      </c>
      <c r="C34" s="116" t="s">
        <v>39</v>
      </c>
      <c r="D34" s="117">
        <f>_xll.meDateFromTenor(B34,G34,)</f>
        <v>62044</v>
      </c>
      <c r="E34" s="118"/>
      <c r="F34" s="119" t="s">
        <v>53</v>
      </c>
      <c r="G34" s="120" t="str">
        <f t="shared" si="4"/>
        <v>50Y</v>
      </c>
      <c r="H34" s="121" t="str">
        <f>SWAP_GENERATORS!$D$43</f>
        <v>USD_OIS_SWAP@6:3</v>
      </c>
      <c r="I34" s="122" t="s">
        <v>117</v>
      </c>
      <c r="J34" s="123">
        <v>1000000</v>
      </c>
      <c r="K34" s="124">
        <v>0.01</v>
      </c>
      <c r="L34" s="125">
        <v>0</v>
      </c>
      <c r="M34" s="77">
        <f t="shared" si="5"/>
        <v>13</v>
      </c>
      <c r="N34" s="126" t="str">
        <f>_xll.meLWOSwapCreateFromGenerator("USD_OIS_SWAP_"&amp;G34,H34,I34,J34,B34,D34,K34,L34)</f>
        <v>USD_OIS_SWAP_50Y@9:3</v>
      </c>
      <c r="O34" s="127" t="str">
        <f>USD_OIS!$G$28</f>
        <v>USDYC</v>
      </c>
      <c r="P34" s="128">
        <f ca="1">_xll.meLWOSwapParRate(N34,O34)</f>
        <v>1.7205099830378563E-2</v>
      </c>
      <c r="R34" s="129" t="str">
        <f>USD_OIS!I21</f>
        <v>50Y</v>
      </c>
      <c r="S34" s="130">
        <f>USD_OIS!J21</f>
        <v>1.7205100000000001E-2</v>
      </c>
      <c r="T34" s="131">
        <f t="shared" ca="1" si="6"/>
        <v>-1.6962143842280675E-6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9"/>
  <sheetViews>
    <sheetView showGridLines="0" tabSelected="1" workbookViewId="0"/>
  </sheetViews>
  <sheetFormatPr defaultRowHeight="15" x14ac:dyDescent="0.25"/>
  <cols>
    <col min="1" max="1" width="2.7109375" customWidth="1"/>
    <col min="2" max="2" width="16.85546875" customWidth="1"/>
    <col min="3" max="3" width="45.140625" customWidth="1"/>
    <col min="4" max="5" width="30.7109375" customWidth="1"/>
    <col min="6" max="6" width="10.42578125" bestFit="1" customWidth="1"/>
  </cols>
  <sheetData>
    <row r="3" spans="2:14" x14ac:dyDescent="0.25">
      <c r="B3" s="156" t="s">
        <v>164</v>
      </c>
      <c r="C3" s="81" t="str">
        <f>REPRICING!N8</f>
        <v>USD_SOFR_SWAP_5Y@37:0</v>
      </c>
    </row>
    <row r="4" spans="2:14" x14ac:dyDescent="0.25">
      <c r="B4" s="156" t="s">
        <v>94</v>
      </c>
      <c r="C4" s="81" t="s">
        <v>59</v>
      </c>
    </row>
    <row r="5" spans="2:14" x14ac:dyDescent="0.25">
      <c r="B5" s="156" t="s">
        <v>165</v>
      </c>
      <c r="C5" s="81" t="b">
        <v>1</v>
      </c>
    </row>
    <row r="6" spans="2:14" x14ac:dyDescent="0.25">
      <c r="B6" s="156" t="s">
        <v>166</v>
      </c>
      <c r="C6" s="81" t="s">
        <v>60</v>
      </c>
    </row>
    <row r="9" spans="2:14" x14ac:dyDescent="0.25">
      <c r="C9" s="152" t="s">
        <v>167</v>
      </c>
    </row>
    <row r="10" spans="2:14" x14ac:dyDescent="0.25">
      <c r="C10" s="157" t="str">
        <f t="array" aca="1" ref="C10:N29" ca="1">_xll.meUtilityResize(_xll.meLWOSwapDeltaLadder(C3,C4,,,,,,FALSE,,$C$6),100,100)</f>
        <v>Pillars</v>
      </c>
      <c r="D10" s="158" t="str">
        <f ca="1"/>
        <v>USD : Total</v>
      </c>
      <c r="E10" s="158" t="str">
        <f ca="1"/>
        <v>USD : USD_SOFR_SWAP_5Y@37</v>
      </c>
      <c r="F10" s="154" t="str">
        <f ca="1"/>
        <v/>
      </c>
      <c r="G10" s="154" t="str">
        <f ca="1"/>
        <v/>
      </c>
      <c r="H10" s="154" t="str">
        <f ca="1"/>
        <v/>
      </c>
      <c r="I10" s="153" t="str">
        <f ca="1"/>
        <v/>
      </c>
      <c r="J10" s="153" t="str">
        <f ca="1"/>
        <v/>
      </c>
      <c r="K10" t="str">
        <f ca="1"/>
        <v/>
      </c>
      <c r="L10" t="str">
        <f ca="1"/>
        <v/>
      </c>
      <c r="M10" t="str">
        <f ca="1"/>
        <v/>
      </c>
      <c r="N10" t="str">
        <f ca="1"/>
        <v/>
      </c>
    </row>
    <row r="11" spans="2:14" x14ac:dyDescent="0.25">
      <c r="C11" s="157" t="str">
        <f ca="1"/>
        <v>USDYC.SOFR.OUTRIGHTOISSWAP.ON</v>
      </c>
      <c r="D11" s="158">
        <f ca="1"/>
        <v>3.2603433646727402E-2</v>
      </c>
      <c r="E11" s="158">
        <f ca="1"/>
        <v>3.2603433646727402E-2</v>
      </c>
      <c r="F11" s="155" t="str">
        <f ca="1"/>
        <v/>
      </c>
      <c r="G11" s="154" t="str">
        <f ca="1"/>
        <v/>
      </c>
      <c r="H11" s="154" t="str">
        <f ca="1"/>
        <v/>
      </c>
      <c r="I11" s="153" t="str">
        <f ca="1"/>
        <v/>
      </c>
      <c r="J11" s="153" t="str">
        <f ca="1"/>
        <v/>
      </c>
      <c r="K11" t="str">
        <f ca="1"/>
        <v/>
      </c>
      <c r="L11" t="str">
        <f ca="1"/>
        <v/>
      </c>
      <c r="M11" t="str">
        <f ca="1"/>
        <v/>
      </c>
      <c r="N11" t="str">
        <f ca="1"/>
        <v/>
      </c>
    </row>
    <row r="12" spans="2:14" x14ac:dyDescent="0.25">
      <c r="C12" s="157" t="str">
        <f ca="1"/>
        <v>USDYC.SOFR.OUTRIGHTOISSWAP.1W</v>
      </c>
      <c r="D12" s="158">
        <f ca="1"/>
        <v>-3.5498769284458803E-2</v>
      </c>
      <c r="E12" s="158">
        <f ca="1"/>
        <v>-3.5498769284458803E-2</v>
      </c>
      <c r="F12" s="155" t="str">
        <f ca="1"/>
        <v/>
      </c>
      <c r="G12" s="154" t="str">
        <f ca="1"/>
        <v/>
      </c>
      <c r="H12" s="154" t="str">
        <f ca="1"/>
        <v/>
      </c>
      <c r="I12" s="153" t="str">
        <f ca="1"/>
        <v/>
      </c>
      <c r="J12" s="153" t="str">
        <f ca="1"/>
        <v/>
      </c>
      <c r="K12" t="str">
        <f ca="1"/>
        <v/>
      </c>
      <c r="L12" t="str">
        <f ca="1"/>
        <v/>
      </c>
      <c r="M12" t="str">
        <f ca="1"/>
        <v/>
      </c>
      <c r="N12" t="str">
        <f ca="1"/>
        <v/>
      </c>
    </row>
    <row r="13" spans="2:14" x14ac:dyDescent="0.25">
      <c r="C13" s="157" t="str">
        <f ca="1"/>
        <v>USDYC.SOFR.FUTURE.FUTURE1.20191218.20200318</v>
      </c>
      <c r="D13" s="158">
        <f ca="1"/>
        <v>-0.108056577300886</v>
      </c>
      <c r="E13" s="158">
        <f ca="1"/>
        <v>-0.108056577300886</v>
      </c>
      <c r="F13" s="155" t="str">
        <f ca="1"/>
        <v/>
      </c>
      <c r="G13" s="154" t="str">
        <f ca="1"/>
        <v/>
      </c>
      <c r="H13" s="154" t="str">
        <f ca="1"/>
        <v/>
      </c>
      <c r="I13" s="153" t="str">
        <f ca="1"/>
        <v/>
      </c>
      <c r="J13" s="153" t="str">
        <f ca="1"/>
        <v/>
      </c>
      <c r="K13" t="str">
        <f ca="1"/>
        <v/>
      </c>
      <c r="L13" t="str">
        <f ca="1"/>
        <v/>
      </c>
      <c r="M13" t="str">
        <f ca="1"/>
        <v/>
      </c>
      <c r="N13" t="str">
        <f ca="1"/>
        <v/>
      </c>
    </row>
    <row r="14" spans="2:14" x14ac:dyDescent="0.25">
      <c r="C14" s="157" t="str">
        <f ca="1"/>
        <v>USDYC.SOFR.FUTURE.FUTURE2.20200318.20200617</v>
      </c>
      <c r="D14" s="158">
        <f ca="1"/>
        <v>-0.15877709156484299</v>
      </c>
      <c r="E14" s="158">
        <f ca="1"/>
        <v>-0.15877709156484299</v>
      </c>
      <c r="F14" s="155" t="str">
        <f ca="1"/>
        <v/>
      </c>
      <c r="G14" s="154" t="str">
        <f ca="1"/>
        <v/>
      </c>
      <c r="H14" s="154" t="str">
        <f ca="1"/>
        <v/>
      </c>
      <c r="I14" s="153" t="str">
        <f ca="1"/>
        <v/>
      </c>
      <c r="J14" s="153" t="str">
        <f ca="1"/>
        <v/>
      </c>
      <c r="K14" t="str">
        <f ca="1"/>
        <v/>
      </c>
      <c r="L14" t="str">
        <f ca="1"/>
        <v/>
      </c>
      <c r="M14" t="str">
        <f ca="1"/>
        <v/>
      </c>
      <c r="N14" t="str">
        <f ca="1"/>
        <v/>
      </c>
    </row>
    <row r="15" spans="2:14" x14ac:dyDescent="0.25">
      <c r="C15" s="157" t="str">
        <f ca="1"/>
        <v>USDYC.SOFR.FUTURE.FUTURE3.20200617.20200916</v>
      </c>
      <c r="D15" s="158">
        <f ca="1"/>
        <v>-0.15887225235928801</v>
      </c>
      <c r="E15" s="158">
        <f ca="1"/>
        <v>-0.15887225235928801</v>
      </c>
      <c r="F15" s="155" t="str">
        <f ca="1"/>
        <v/>
      </c>
      <c r="G15" s="154" t="str">
        <f ca="1"/>
        <v/>
      </c>
      <c r="H15" s="154" t="str">
        <f ca="1"/>
        <v/>
      </c>
      <c r="I15" s="153" t="str">
        <f ca="1"/>
        <v/>
      </c>
      <c r="J15" s="153" t="str">
        <f ca="1"/>
        <v/>
      </c>
      <c r="K15" t="str">
        <f ca="1"/>
        <v/>
      </c>
      <c r="L15" t="str">
        <f ca="1"/>
        <v/>
      </c>
      <c r="M15" t="str">
        <f ca="1"/>
        <v/>
      </c>
      <c r="N15" t="str">
        <f ca="1"/>
        <v/>
      </c>
    </row>
    <row r="16" spans="2:14" x14ac:dyDescent="0.25">
      <c r="C16" s="157" t="str">
        <f ca="1"/>
        <v>USDYC.SOFR.FUTURE.FUTURE4.20200916.20201216</v>
      </c>
      <c r="D16" s="158">
        <f ca="1"/>
        <v>-0.73022802607738402</v>
      </c>
      <c r="E16" s="158">
        <f ca="1"/>
        <v>-0.73022802607738402</v>
      </c>
      <c r="F16" s="155" t="str">
        <f ca="1"/>
        <v/>
      </c>
      <c r="G16" s="154" t="str">
        <f ca="1"/>
        <v/>
      </c>
      <c r="H16" s="154" t="str">
        <f ca="1"/>
        <v/>
      </c>
      <c r="I16" s="153" t="str">
        <f ca="1"/>
        <v/>
      </c>
      <c r="J16" s="153" t="str">
        <f ca="1"/>
        <v/>
      </c>
      <c r="K16" t="str">
        <f ca="1"/>
        <v/>
      </c>
      <c r="L16" t="str">
        <f ca="1"/>
        <v/>
      </c>
      <c r="M16" t="str">
        <f ca="1"/>
        <v/>
      </c>
      <c r="N16" t="str">
        <f ca="1"/>
        <v/>
      </c>
    </row>
    <row r="17" spans="3:14" x14ac:dyDescent="0.25">
      <c r="C17" s="157" t="str">
        <f ca="1"/>
        <v>USDYC.SOFR.OUTRIGHTOISSWAP.2Y</v>
      </c>
      <c r="D17" s="158">
        <f ca="1"/>
        <v>4.2111366848985199</v>
      </c>
      <c r="E17" s="158">
        <f ca="1"/>
        <v>4.2111366848985199</v>
      </c>
      <c r="F17" s="155" t="str">
        <f ca="1"/>
        <v/>
      </c>
      <c r="G17" s="154" t="str">
        <f ca="1"/>
        <v/>
      </c>
      <c r="H17" s="154" t="str">
        <f ca="1"/>
        <v/>
      </c>
      <c r="I17" s="153" t="str">
        <f ca="1"/>
        <v/>
      </c>
      <c r="J17" s="153" t="str">
        <f ca="1"/>
        <v/>
      </c>
      <c r="K17" t="str">
        <f ca="1"/>
        <v/>
      </c>
      <c r="L17" t="str">
        <f ca="1"/>
        <v/>
      </c>
      <c r="M17" t="str">
        <f ca="1"/>
        <v/>
      </c>
      <c r="N17" t="str">
        <f ca="1"/>
        <v/>
      </c>
    </row>
    <row r="18" spans="3:14" x14ac:dyDescent="0.25">
      <c r="C18" s="157" t="str">
        <f ca="1"/>
        <v>USDYC.SOFR.OUTRIGHTOISSWAP.5Y</v>
      </c>
      <c r="D18" s="158">
        <f ca="1"/>
        <v>-481.05513083573902</v>
      </c>
      <c r="E18" s="158">
        <f ca="1"/>
        <v>-481.05513083573902</v>
      </c>
      <c r="F18" s="155" t="str">
        <f ca="1"/>
        <v/>
      </c>
      <c r="G18" s="154" t="str">
        <f ca="1"/>
        <v/>
      </c>
      <c r="H18" s="154" t="str">
        <f ca="1"/>
        <v/>
      </c>
      <c r="I18" s="153" t="str">
        <f ca="1"/>
        <v/>
      </c>
      <c r="J18" s="153" t="str">
        <f ca="1"/>
        <v/>
      </c>
      <c r="K18" t="str">
        <f ca="1"/>
        <v/>
      </c>
      <c r="L18" t="str">
        <f ca="1"/>
        <v/>
      </c>
      <c r="M18" t="str">
        <f ca="1"/>
        <v/>
      </c>
      <c r="N18" t="str">
        <f ca="1"/>
        <v/>
      </c>
    </row>
    <row r="19" spans="3:14" x14ac:dyDescent="0.25">
      <c r="C19" s="157" t="str">
        <f ca="1"/>
        <v>USDYC.SOFR.OUTRIGHTOISSWAP.7Y</v>
      </c>
      <c r="D19" s="158">
        <f ca="1"/>
        <v>-0.52137851889710896</v>
      </c>
      <c r="E19" s="158">
        <f ca="1"/>
        <v>-0.52137851889710896</v>
      </c>
      <c r="F19" s="155" t="str">
        <f ca="1"/>
        <v/>
      </c>
      <c r="G19" s="154" t="str">
        <f ca="1"/>
        <v/>
      </c>
      <c r="H19" s="154" t="str">
        <f ca="1"/>
        <v/>
      </c>
      <c r="I19" s="153" t="str">
        <f ca="1"/>
        <v/>
      </c>
      <c r="J19" s="153" t="str">
        <f ca="1"/>
        <v/>
      </c>
      <c r="K19" t="str">
        <f ca="1"/>
        <v/>
      </c>
      <c r="L19" t="str">
        <f ca="1"/>
        <v/>
      </c>
      <c r="M19" t="str">
        <f ca="1"/>
        <v/>
      </c>
      <c r="N19" t="str">
        <f ca="1"/>
        <v/>
      </c>
    </row>
    <row r="20" spans="3:14" x14ac:dyDescent="0.25">
      <c r="C20" s="157" t="str">
        <f ca="1"/>
        <v>USDYC.SOFR.OUTRIGHTOISSWAP.10Y</v>
      </c>
      <c r="D20" s="158">
        <f ca="1"/>
        <v>0.104958938027266</v>
      </c>
      <c r="E20" s="158">
        <f ca="1"/>
        <v>0.104958938027266</v>
      </c>
      <c r="F20" s="155" t="str">
        <f ca="1"/>
        <v/>
      </c>
      <c r="G20" s="154" t="str">
        <f ca="1"/>
        <v/>
      </c>
      <c r="H20" s="154" t="str">
        <f ca="1"/>
        <v/>
      </c>
      <c r="I20" s="153" t="str">
        <f ca="1"/>
        <v/>
      </c>
      <c r="J20" s="153" t="str">
        <f ca="1"/>
        <v/>
      </c>
      <c r="K20" t="str">
        <f ca="1"/>
        <v/>
      </c>
      <c r="L20" t="str">
        <f ca="1"/>
        <v/>
      </c>
      <c r="M20" t="str">
        <f ca="1"/>
        <v/>
      </c>
      <c r="N20" t="str">
        <f ca="1"/>
        <v/>
      </c>
    </row>
    <row r="21" spans="3:14" x14ac:dyDescent="0.25">
      <c r="C21" s="157" t="str">
        <f ca="1"/>
        <v>USDYC.SOFR.OUTRIGHTOISSWAP.12Y</v>
      </c>
      <c r="D21" s="158">
        <f ca="1"/>
        <v>-3.6338374775368699E-2</v>
      </c>
      <c r="E21" s="158">
        <f ca="1"/>
        <v>-3.6338374775368699E-2</v>
      </c>
      <c r="F21" s="155" t="str">
        <f ca="1"/>
        <v/>
      </c>
      <c r="G21" s="154" t="str">
        <f ca="1"/>
        <v/>
      </c>
      <c r="H21" s="154" t="str">
        <f ca="1"/>
        <v/>
      </c>
      <c r="I21" t="str">
        <f ca="1"/>
        <v/>
      </c>
      <c r="J21" t="str">
        <f ca="1"/>
        <v/>
      </c>
      <c r="K21" t="str">
        <f ca="1"/>
        <v/>
      </c>
      <c r="L21" t="str">
        <f ca="1"/>
        <v/>
      </c>
      <c r="M21" t="str">
        <f ca="1"/>
        <v/>
      </c>
      <c r="N21" t="str">
        <f ca="1"/>
        <v/>
      </c>
    </row>
    <row r="22" spans="3:14" x14ac:dyDescent="0.25">
      <c r="C22" s="157" t="str">
        <f ca="1"/>
        <v>USDYC.SOFR.OUTRIGHTOISSWAP.15Y</v>
      </c>
      <c r="D22" s="158">
        <f ca="1"/>
        <v>5.6222212151624297E-3</v>
      </c>
      <c r="E22" s="158">
        <f ca="1"/>
        <v>5.6222212151624297E-3</v>
      </c>
      <c r="F22" s="155" t="str">
        <f ca="1"/>
        <v/>
      </c>
      <c r="G22" s="154" t="str">
        <f ca="1"/>
        <v/>
      </c>
      <c r="H22" s="154" t="str">
        <f ca="1"/>
        <v/>
      </c>
      <c r="I22" t="str">
        <f ca="1"/>
        <v/>
      </c>
      <c r="J22" t="str">
        <f ca="1"/>
        <v/>
      </c>
      <c r="K22" t="str">
        <f ca="1"/>
        <v/>
      </c>
      <c r="L22" t="str">
        <f ca="1"/>
        <v/>
      </c>
      <c r="M22" t="str">
        <f ca="1"/>
        <v/>
      </c>
      <c r="N22" t="str">
        <f ca="1"/>
        <v/>
      </c>
    </row>
    <row r="23" spans="3:14" x14ac:dyDescent="0.25">
      <c r="C23" s="157" t="str">
        <f ca="1"/>
        <v>USDYC.SOFR.OUTRIGHTOISSWAP.20Y</v>
      </c>
      <c r="D23" s="158">
        <f ca="1"/>
        <v>-3.8018770283088099E-4</v>
      </c>
      <c r="E23" s="158">
        <f ca="1"/>
        <v>-3.8018770283088099E-4</v>
      </c>
      <c r="F23" s="155" t="str">
        <f ca="1"/>
        <v/>
      </c>
      <c r="G23" s="154" t="str">
        <f ca="1"/>
        <v/>
      </c>
      <c r="H23" s="154" t="str">
        <f ca="1"/>
        <v/>
      </c>
      <c r="I23" t="str">
        <f ca="1"/>
        <v/>
      </c>
      <c r="J23" t="str">
        <f ca="1"/>
        <v/>
      </c>
      <c r="K23" t="str">
        <f ca="1"/>
        <v/>
      </c>
      <c r="L23" t="str">
        <f ca="1"/>
        <v/>
      </c>
      <c r="M23" t="str">
        <f ca="1"/>
        <v/>
      </c>
      <c r="N23" t="str">
        <f ca="1"/>
        <v/>
      </c>
    </row>
    <row r="24" spans="3:14" x14ac:dyDescent="0.25">
      <c r="C24" s="157" t="str">
        <f ca="1"/>
        <v>USDYC.SOFR.OUTRIGHTOISSWAP.25Y</v>
      </c>
      <c r="D24" s="158">
        <f ca="1"/>
        <v>6.01071224082261E-4</v>
      </c>
      <c r="E24" s="158">
        <f ca="1"/>
        <v>6.01071224082261E-4</v>
      </c>
      <c r="F24" s="155" t="str">
        <f ca="1"/>
        <v/>
      </c>
      <c r="G24" s="154" t="str">
        <f ca="1"/>
        <v/>
      </c>
      <c r="H24" s="154" t="str">
        <f ca="1"/>
        <v/>
      </c>
      <c r="I24" t="str">
        <f ca="1"/>
        <v/>
      </c>
      <c r="J24" t="str">
        <f ca="1"/>
        <v/>
      </c>
      <c r="K24" t="str">
        <f ca="1"/>
        <v/>
      </c>
      <c r="L24" t="str">
        <f ca="1"/>
        <v/>
      </c>
      <c r="M24" t="str">
        <f ca="1"/>
        <v/>
      </c>
      <c r="N24" t="str">
        <f ca="1"/>
        <v/>
      </c>
    </row>
    <row r="25" spans="3:14" x14ac:dyDescent="0.25">
      <c r="C25" s="157" t="str">
        <f ca="1"/>
        <v>USDYC.SOFR.OUTRIGHTOISSWAP.30Y</v>
      </c>
      <c r="D25" s="158">
        <f ca="1"/>
        <v>3.6564233596436701E-4</v>
      </c>
      <c r="E25" s="158">
        <f ca="1"/>
        <v>3.6564233596436701E-4</v>
      </c>
      <c r="F25" s="155" t="str">
        <f ca="1"/>
        <v/>
      </c>
      <c r="G25" s="154" t="str">
        <f ca="1"/>
        <v/>
      </c>
      <c r="H25" s="154" t="str">
        <f ca="1"/>
        <v/>
      </c>
      <c r="I25" t="str">
        <f ca="1"/>
        <v/>
      </c>
      <c r="J25" t="str">
        <f ca="1"/>
        <v/>
      </c>
      <c r="K25" t="str">
        <f ca="1"/>
        <v/>
      </c>
      <c r="L25" t="str">
        <f ca="1"/>
        <v/>
      </c>
      <c r="M25" t="str">
        <f ca="1"/>
        <v/>
      </c>
      <c r="N25" t="str">
        <f ca="1"/>
        <v/>
      </c>
    </row>
    <row r="26" spans="3:14" x14ac:dyDescent="0.25">
      <c r="C26" s="157" t="str">
        <f ca="1"/>
        <v/>
      </c>
      <c r="D26" s="158" t="str">
        <f ca="1"/>
        <v/>
      </c>
      <c r="E26" s="158" t="str">
        <f ca="1"/>
        <v/>
      </c>
      <c r="F26" s="154" t="str">
        <f ca="1"/>
        <v/>
      </c>
      <c r="G26" s="154" t="str">
        <f ca="1"/>
        <v/>
      </c>
      <c r="H26" s="154" t="str">
        <f ca="1"/>
        <v/>
      </c>
      <c r="I26" t="str">
        <f ca="1"/>
        <v/>
      </c>
      <c r="J26" t="str">
        <f ca="1"/>
        <v/>
      </c>
      <c r="K26" t="str">
        <f ca="1"/>
        <v/>
      </c>
      <c r="L26" t="str">
        <f ca="1"/>
        <v/>
      </c>
      <c r="M26" t="str">
        <f ca="1"/>
        <v/>
      </c>
      <c r="N26" t="str">
        <f ca="1"/>
        <v/>
      </c>
    </row>
    <row r="27" spans="3:14" x14ac:dyDescent="0.25">
      <c r="C27" s="157" t="str">
        <f ca="1"/>
        <v/>
      </c>
      <c r="D27" s="158" t="str">
        <f ca="1"/>
        <v/>
      </c>
      <c r="E27" s="158" t="str">
        <f ca="1"/>
        <v/>
      </c>
      <c r="F27" s="154" t="str">
        <f ca="1"/>
        <v/>
      </c>
      <c r="G27" s="154" t="str">
        <f ca="1"/>
        <v/>
      </c>
      <c r="H27" s="154" t="str">
        <f ca="1"/>
        <v/>
      </c>
      <c r="I27" t="str">
        <f ca="1"/>
        <v/>
      </c>
      <c r="J27" t="str">
        <f ca="1"/>
        <v/>
      </c>
      <c r="K27" t="str">
        <f ca="1"/>
        <v/>
      </c>
      <c r="L27" t="str">
        <f ca="1"/>
        <v/>
      </c>
      <c r="M27" t="str">
        <f ca="1"/>
        <v/>
      </c>
      <c r="N27" t="str">
        <f ca="1"/>
        <v/>
      </c>
    </row>
    <row r="28" spans="3:14" x14ac:dyDescent="0.25">
      <c r="C28" s="157" t="str">
        <f ca="1"/>
        <v/>
      </c>
      <c r="D28" s="158" t="str">
        <f ca="1"/>
        <v/>
      </c>
      <c r="E28" s="158" t="str">
        <f ca="1"/>
        <v/>
      </c>
      <c r="F28" t="str">
        <f ca="1"/>
        <v/>
      </c>
      <c r="G28" t="str">
        <f ca="1"/>
        <v/>
      </c>
      <c r="H28" t="str">
        <f ca="1"/>
        <v/>
      </c>
      <c r="I28" t="str">
        <f ca="1"/>
        <v/>
      </c>
      <c r="J28" t="str">
        <f ca="1"/>
        <v/>
      </c>
      <c r="K28" t="str">
        <f ca="1"/>
        <v/>
      </c>
      <c r="L28" t="str">
        <f ca="1"/>
        <v/>
      </c>
      <c r="M28" t="str">
        <f ca="1"/>
        <v/>
      </c>
      <c r="N28" t="str">
        <f ca="1"/>
        <v/>
      </c>
    </row>
    <row r="29" spans="3:14" x14ac:dyDescent="0.25">
      <c r="C29" s="157" t="str">
        <f ca="1"/>
        <v/>
      </c>
      <c r="D29" s="158" t="str">
        <f ca="1"/>
        <v/>
      </c>
      <c r="E29" s="158" t="str">
        <f ca="1"/>
        <v/>
      </c>
      <c r="F29" t="str">
        <f ca="1"/>
        <v/>
      </c>
      <c r="G29" t="str">
        <f ca="1"/>
        <v/>
      </c>
      <c r="H29" t="str">
        <f ca="1"/>
        <v/>
      </c>
      <c r="I29" t="str">
        <f ca="1"/>
        <v/>
      </c>
      <c r="J29" t="str">
        <f ca="1"/>
        <v/>
      </c>
      <c r="K29" t="str">
        <f ca="1"/>
        <v/>
      </c>
      <c r="L29" t="str">
        <f ca="1"/>
        <v/>
      </c>
      <c r="M29" t="str">
        <f ca="1"/>
        <v/>
      </c>
      <c r="N29" t="str">
        <f ca="1"/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0"/>
  <sheetViews>
    <sheetView showGridLines="0" workbookViewId="0"/>
  </sheetViews>
  <sheetFormatPr defaultRowHeight="15" x14ac:dyDescent="0.25"/>
  <cols>
    <col min="2" max="2" width="15.7109375" customWidth="1"/>
    <col min="5" max="5" width="15.7109375" customWidth="1"/>
    <col min="6" max="7" width="12.7109375" customWidth="1"/>
  </cols>
  <sheetData>
    <row r="2" spans="2:7" x14ac:dyDescent="0.25">
      <c r="B2" t="s">
        <v>94</v>
      </c>
      <c r="C2" t="s">
        <v>59</v>
      </c>
      <c r="E2" s="69" t="str">
        <f t="array" aca="1" ref="E2:G130" ca="1">_xll.meLWOCurveForwardRatesTable(C2,C3:C4)</f>
        <v>Fixing Dates</v>
      </c>
      <c r="F2" s="69" t="str">
        <f ca="1"/>
        <v>USDSOFR</v>
      </c>
      <c r="G2" s="69" t="str">
        <f ca="1"/>
        <v>USDOIS</v>
      </c>
    </row>
    <row r="3" spans="2:7" x14ac:dyDescent="0.25">
      <c r="B3" t="s">
        <v>95</v>
      </c>
      <c r="C3" t="s">
        <v>25</v>
      </c>
      <c r="E3" s="70">
        <f ca="1"/>
        <v>43776</v>
      </c>
      <c r="F3" s="71">
        <f ca="1"/>
        <v>1.569999999998295E-2</v>
      </c>
      <c r="G3" s="71">
        <f ca="1"/>
        <v>1.549999999998164E-2</v>
      </c>
    </row>
    <row r="4" spans="2:7" x14ac:dyDescent="0.25">
      <c r="C4" t="s">
        <v>89</v>
      </c>
      <c r="E4" s="70">
        <f ca="1"/>
        <v>43808</v>
      </c>
      <c r="F4" s="71">
        <f ca="1"/>
        <v>1.5499999999981695E-2</v>
      </c>
      <c r="G4" s="71">
        <f ca="1"/>
        <v>1.5325406896566971E-2</v>
      </c>
    </row>
    <row r="5" spans="2:7" x14ac:dyDescent="0.25">
      <c r="E5" s="70">
        <f ca="1"/>
        <v>43837</v>
      </c>
      <c r="F5" s="71">
        <f ca="1"/>
        <v>1.5423868131891949E-2</v>
      </c>
      <c r="G5" s="71">
        <f ca="1"/>
        <v>1.519999999993976E-2</v>
      </c>
    </row>
    <row r="6" spans="2:7" x14ac:dyDescent="0.25">
      <c r="E6" s="70">
        <f ca="1"/>
        <v>43868</v>
      </c>
      <c r="F6" s="71">
        <f ca="1"/>
        <v>1.5305863736276801E-2</v>
      </c>
      <c r="G6" s="71">
        <f ca="1"/>
        <v>1.519999999999295E-2</v>
      </c>
    </row>
    <row r="7" spans="2:7" x14ac:dyDescent="0.25">
      <c r="E7" s="70">
        <f ca="1"/>
        <v>43899</v>
      </c>
      <c r="F7" s="71">
        <f ca="1"/>
        <v>1.5187859340661856E-2</v>
      </c>
      <c r="G7" s="71">
        <f ca="1"/>
        <v>1.5200000000019696E-2</v>
      </c>
    </row>
    <row r="8" spans="2:7" x14ac:dyDescent="0.25">
      <c r="E8" s="70">
        <f ca="1"/>
        <v>43928</v>
      </c>
      <c r="F8" s="71">
        <f ca="1"/>
        <v>1.5077468131847791E-2</v>
      </c>
      <c r="G8" s="71">
        <f ca="1"/>
        <v>1.4800000000017074E-2</v>
      </c>
    </row>
    <row r="9" spans="2:7" x14ac:dyDescent="0.25">
      <c r="E9" s="70">
        <f ca="1"/>
        <v>43958</v>
      </c>
      <c r="F9" s="71">
        <f ca="1"/>
        <v>1.4963270329673204E-2</v>
      </c>
      <c r="G9" s="71">
        <f ca="1"/>
        <v>1.4800000000017074E-2</v>
      </c>
    </row>
    <row r="10" spans="2:7" x14ac:dyDescent="0.25">
      <c r="E10" s="70">
        <f ca="1"/>
        <v>43990</v>
      </c>
      <c r="F10" s="71">
        <f ca="1"/>
        <v>1.4841459340697635E-2</v>
      </c>
      <c r="G10" s="71">
        <f ca="1"/>
        <v>1.4800000000017074E-2</v>
      </c>
    </row>
    <row r="11" spans="2:7" x14ac:dyDescent="0.25">
      <c r="E11" s="70">
        <f ca="1"/>
        <v>44019</v>
      </c>
      <c r="F11" s="71">
        <f ca="1"/>
        <v>1.473106813188357E-2</v>
      </c>
      <c r="G11" s="71">
        <f ca="1"/>
        <v>1.449999999997514E-2</v>
      </c>
    </row>
    <row r="12" spans="2:7" x14ac:dyDescent="0.25">
      <c r="E12" s="70">
        <f ca="1"/>
        <v>44050</v>
      </c>
      <c r="F12" s="71">
        <f ca="1"/>
        <v>1.461306373626833E-2</v>
      </c>
      <c r="G12" s="71">
        <f ca="1"/>
        <v>1.4500000000028237E-2</v>
      </c>
    </row>
    <row r="13" spans="2:7" x14ac:dyDescent="0.25">
      <c r="E13" s="70">
        <f ca="1"/>
        <v>44082</v>
      </c>
      <c r="F13" s="71">
        <f ca="1"/>
        <v>1.449125274721302E-2</v>
      </c>
      <c r="G13" s="71">
        <f ca="1"/>
        <v>1.449999999997514E-2</v>
      </c>
    </row>
    <row r="14" spans="2:7" x14ac:dyDescent="0.25">
      <c r="E14" s="70">
        <f ca="1"/>
        <v>44111</v>
      </c>
      <c r="F14" s="71">
        <f ca="1"/>
        <v>1.4460800000009096E-2</v>
      </c>
      <c r="G14" s="71">
        <f ca="1"/>
        <v>1.4350000000034108E-2</v>
      </c>
    </row>
    <row r="15" spans="2:7" x14ac:dyDescent="0.25">
      <c r="E15" s="70">
        <f ca="1"/>
        <v>44144</v>
      </c>
      <c r="F15" s="71">
        <f ca="1"/>
        <v>1.4460800000009096E-2</v>
      </c>
      <c r="G15" s="71">
        <f ca="1"/>
        <v>1.4350000000034108E-2</v>
      </c>
    </row>
    <row r="16" spans="2:7" x14ac:dyDescent="0.25">
      <c r="E16" s="70">
        <f ca="1"/>
        <v>44172</v>
      </c>
      <c r="F16" s="71">
        <f ca="1"/>
        <v>1.4460800000009096E-2</v>
      </c>
      <c r="G16" s="71">
        <f ca="1"/>
        <v>1.4350000000034108E-2</v>
      </c>
    </row>
    <row r="17" spans="5:7" x14ac:dyDescent="0.25">
      <c r="E17" s="70">
        <f ca="1"/>
        <v>44203</v>
      </c>
      <c r="F17" s="71">
        <f ca="1"/>
        <v>1.4345863466038772E-2</v>
      </c>
      <c r="G17" s="71">
        <f ca="1"/>
        <v>1.4234890264690542E-2</v>
      </c>
    </row>
    <row r="18" spans="5:7" x14ac:dyDescent="0.25">
      <c r="E18" s="70">
        <f ca="1"/>
        <v>44235</v>
      </c>
      <c r="F18" s="71">
        <f ca="1"/>
        <v>1.4199480503007728E-2</v>
      </c>
      <c r="G18" s="71">
        <f ca="1"/>
        <v>1.4087338906758668E-2</v>
      </c>
    </row>
    <row r="19" spans="5:7" x14ac:dyDescent="0.25">
      <c r="E19" s="70">
        <f ca="1"/>
        <v>44263</v>
      </c>
      <c r="F19" s="71">
        <f ca="1"/>
        <v>1.4085798731970961E-2</v>
      </c>
      <c r="G19" s="71">
        <f ca="1"/>
        <v>1.3971744482805854E-2</v>
      </c>
    </row>
    <row r="20" spans="5:7" x14ac:dyDescent="0.25">
      <c r="E20" s="70">
        <f ca="1"/>
        <v>44293</v>
      </c>
      <c r="F20" s="71">
        <f ca="1"/>
        <v>1.3978989675891335E-2</v>
      </c>
      <c r="G20" s="71">
        <f ca="1"/>
        <v>1.3861959283554319E-2</v>
      </c>
    </row>
    <row r="21" spans="5:7" x14ac:dyDescent="0.25">
      <c r="E21" s="70">
        <f ca="1"/>
        <v>44323</v>
      </c>
      <c r="F21" s="71">
        <f ca="1"/>
        <v>1.3885535017053079E-2</v>
      </c>
      <c r="G21" s="71">
        <f ca="1"/>
        <v>1.3764407230212376E-2</v>
      </c>
    </row>
    <row r="22" spans="5:7" x14ac:dyDescent="0.25">
      <c r="E22" s="70">
        <f ca="1"/>
        <v>44354</v>
      </c>
      <c r="F22" s="71">
        <f ca="1"/>
        <v>1.3809952471657332E-2</v>
      </c>
      <c r="G22" s="71">
        <f ca="1"/>
        <v>1.3683893743081703E-2</v>
      </c>
    </row>
    <row r="23" spans="5:7" x14ac:dyDescent="0.25">
      <c r="E23" s="70">
        <f ca="1"/>
        <v>44384</v>
      </c>
      <c r="F23" s="71">
        <f ca="1"/>
        <v>1.3750648251083013E-2</v>
      </c>
      <c r="G23" s="71">
        <f ca="1"/>
        <v>1.3618675404911733E-2</v>
      </c>
    </row>
    <row r="24" spans="5:7" x14ac:dyDescent="0.25">
      <c r="E24" s="70">
        <f ca="1"/>
        <v>44417</v>
      </c>
      <c r="F24" s="71">
        <f ca="1"/>
        <v>1.370367792425393E-2</v>
      </c>
      <c r="G24" s="71">
        <f ca="1"/>
        <v>1.3564069288402111E-2</v>
      </c>
    </row>
    <row r="25" spans="5:7" x14ac:dyDescent="0.25">
      <c r="E25" s="70">
        <f ca="1"/>
        <v>44446</v>
      </c>
      <c r="F25" s="71">
        <f ca="1"/>
        <v>1.3678271560042581E-2</v>
      </c>
      <c r="G25" s="71">
        <f ca="1"/>
        <v>1.3530970129469515E-2</v>
      </c>
    </row>
    <row r="26" spans="5:7" x14ac:dyDescent="0.25">
      <c r="E26" s="70">
        <f ca="1"/>
        <v>44476</v>
      </c>
      <c r="F26" s="71">
        <f ca="1"/>
        <v>1.3667686031588792E-2</v>
      </c>
      <c r="G26" s="71">
        <f ca="1"/>
        <v>1.351145421714333E-2</v>
      </c>
    </row>
    <row r="27" spans="5:7" x14ac:dyDescent="0.25">
      <c r="E27" s="70">
        <f ca="1"/>
        <v>44508</v>
      </c>
      <c r="F27" s="71">
        <f ca="1"/>
        <v>1.3674070963931632E-2</v>
      </c>
      <c r="G27" s="71">
        <f ca="1"/>
        <v>1.3507217788975061E-2</v>
      </c>
    </row>
    <row r="28" spans="5:7" x14ac:dyDescent="0.25">
      <c r="E28" s="70">
        <f ca="1"/>
        <v>44537</v>
      </c>
      <c r="F28" s="71">
        <f ca="1"/>
        <v>1.3692364941864148E-2</v>
      </c>
      <c r="G28" s="71">
        <f ca="1"/>
        <v>1.351523368516188E-2</v>
      </c>
    </row>
    <row r="29" spans="5:7" x14ac:dyDescent="0.25">
      <c r="E29" s="70">
        <f ca="1"/>
        <v>44568</v>
      </c>
      <c r="F29" s="71">
        <f ca="1"/>
        <v>1.3720690372158777E-2</v>
      </c>
      <c r="G29" s="71">
        <f ca="1"/>
        <v>1.3532099301372162E-2</v>
      </c>
    </row>
    <row r="30" spans="5:7" x14ac:dyDescent="0.25">
      <c r="E30" s="70">
        <f ca="1"/>
        <v>44599</v>
      </c>
      <c r="F30" s="71">
        <f ca="1"/>
        <v>1.3753449023736812E-2</v>
      </c>
      <c r="G30" s="71">
        <f ca="1"/>
        <v>1.3554048504040898E-2</v>
      </c>
    </row>
    <row r="31" spans="5:7" x14ac:dyDescent="0.25">
      <c r="E31" s="70">
        <f ca="1"/>
        <v>44627</v>
      </c>
      <c r="F31" s="71">
        <f ca="1"/>
        <v>1.3790848594297293E-2</v>
      </c>
      <c r="G31" s="71">
        <f ca="1"/>
        <v>1.3581263345381393E-2</v>
      </c>
    </row>
    <row r="32" spans="5:7" x14ac:dyDescent="0.25">
      <c r="E32" s="70">
        <f ca="1"/>
        <v>44658</v>
      </c>
      <c r="F32" s="71">
        <f ca="1"/>
        <v>1.3839421801193956E-2</v>
      </c>
      <c r="G32" s="71">
        <f ca="1"/>
        <v>1.3618466627036745E-2</v>
      </c>
    </row>
    <row r="33" spans="5:7" x14ac:dyDescent="0.25">
      <c r="E33" s="70">
        <f ca="1"/>
        <v>44690</v>
      </c>
      <c r="F33" s="71">
        <f ca="1"/>
        <v>1.3897498253241429E-2</v>
      </c>
      <c r="G33" s="71">
        <f ca="1"/>
        <v>1.3664701592732746E-2</v>
      </c>
    </row>
    <row r="34" spans="5:7" x14ac:dyDescent="0.25">
      <c r="E34" s="70">
        <f ca="1"/>
        <v>44719</v>
      </c>
      <c r="F34" s="71">
        <f ca="1"/>
        <v>1.3957127358335037E-2</v>
      </c>
      <c r="G34" s="71">
        <f ca="1"/>
        <v>1.3713506257602197E-2</v>
      </c>
    </row>
    <row r="35" spans="5:7" x14ac:dyDescent="0.25">
      <c r="E35" s="70">
        <f ca="1"/>
        <v>44749</v>
      </c>
      <c r="F35" s="71">
        <f ca="1"/>
        <v>1.4025847330447811E-2</v>
      </c>
      <c r="G35" s="71">
        <f ca="1"/>
        <v>1.377093418145852E-2</v>
      </c>
    </row>
    <row r="36" spans="5:7" x14ac:dyDescent="0.25">
      <c r="E36" s="70">
        <f ca="1"/>
        <v>44781</v>
      </c>
      <c r="F36" s="71">
        <f ca="1"/>
        <v>1.4107071854354608E-2</v>
      </c>
      <c r="G36" s="71">
        <f ca="1"/>
        <v>1.3840006657757135E-2</v>
      </c>
    </row>
    <row r="37" spans="5:7" x14ac:dyDescent="0.25">
      <c r="E37" s="70">
        <f ca="1"/>
        <v>44811</v>
      </c>
      <c r="F37" s="71">
        <f ca="1"/>
        <v>1.4190684454638053E-2</v>
      </c>
      <c r="G37" s="71">
        <f ca="1"/>
        <v>1.3912124771877692E-2</v>
      </c>
    </row>
    <row r="38" spans="5:7" x14ac:dyDescent="0.25">
      <c r="E38" s="70">
        <f ca="1"/>
        <v>44841</v>
      </c>
      <c r="F38" s="71">
        <f ca="1"/>
        <v>1.4287147212159785E-2</v>
      </c>
      <c r="G38" s="71">
        <f ca="1"/>
        <v>1.3996376190699206E-2</v>
      </c>
    </row>
    <row r="39" spans="5:7" x14ac:dyDescent="0.25">
      <c r="E39" s="70">
        <f ca="1"/>
        <v>44872</v>
      </c>
      <c r="F39" s="71">
        <f ca="1"/>
        <v>1.438312333890584E-2</v>
      </c>
      <c r="G39" s="71">
        <f ca="1"/>
        <v>1.4080881107903004E-2</v>
      </c>
    </row>
    <row r="40" spans="5:7" x14ac:dyDescent="0.25">
      <c r="E40" s="70">
        <f ca="1"/>
        <v>44902</v>
      </c>
      <c r="F40" s="71">
        <f ca="1"/>
        <v>1.448643106791719E-2</v>
      </c>
      <c r="G40" s="71">
        <f ca="1"/>
        <v>1.4172645720131933E-2</v>
      </c>
    </row>
    <row r="41" spans="5:7" x14ac:dyDescent="0.25">
      <c r="E41" s="70">
        <f ca="1"/>
        <v>44935</v>
      </c>
      <c r="F41" s="71">
        <f ca="1"/>
        <v>1.4599589194226378E-2</v>
      </c>
      <c r="G41" s="71">
        <f ca="1"/>
        <v>1.4273944630831587E-2</v>
      </c>
    </row>
    <row r="42" spans="5:7" x14ac:dyDescent="0.25">
      <c r="E42" s="70">
        <f ca="1"/>
        <v>44964</v>
      </c>
      <c r="F42" s="71">
        <f ca="1"/>
        <v>1.469843714397184E-2</v>
      </c>
      <c r="G42" s="71">
        <f ca="1"/>
        <v>1.4363117952118693E-2</v>
      </c>
    </row>
    <row r="43" spans="5:7" x14ac:dyDescent="0.25">
      <c r="E43" s="70">
        <f ca="1"/>
        <v>44992</v>
      </c>
      <c r="F43" s="71">
        <f ca="1"/>
        <v>1.4793348197548236E-2</v>
      </c>
      <c r="G43" s="71">
        <f ca="1"/>
        <v>1.4449354063090832E-2</v>
      </c>
    </row>
    <row r="44" spans="5:7" x14ac:dyDescent="0.25">
      <c r="E44" s="70">
        <f ca="1"/>
        <v>45023</v>
      </c>
      <c r="F44" s="71">
        <f ca="1"/>
        <v>1.490179763668392E-2</v>
      </c>
      <c r="G44" s="71">
        <f ca="1"/>
        <v>1.454866551180883E-2</v>
      </c>
    </row>
    <row r="45" spans="5:7" x14ac:dyDescent="0.25">
      <c r="E45" s="70">
        <f ca="1"/>
        <v>45054</v>
      </c>
      <c r="F45" s="71">
        <f ca="1"/>
        <v>1.5001656003192974E-2</v>
      </c>
      <c r="G45" s="71">
        <f ca="1"/>
        <v>1.4640795660065872E-2</v>
      </c>
    </row>
    <row r="46" spans="5:7" x14ac:dyDescent="0.25">
      <c r="E46" s="70">
        <f ca="1"/>
        <v>45084</v>
      </c>
      <c r="F46" s="71">
        <f ca="1"/>
        <v>1.5101531136156919E-2</v>
      </c>
      <c r="G46" s="71">
        <f ca="1"/>
        <v>1.4733675510516572E-2</v>
      </c>
    </row>
    <row r="47" spans="5:7" x14ac:dyDescent="0.25">
      <c r="E47" s="70">
        <f ca="1"/>
        <v>45114</v>
      </c>
      <c r="F47" s="71">
        <f ca="1"/>
        <v>1.520474569121971E-2</v>
      </c>
      <c r="G47" s="71">
        <f ca="1"/>
        <v>1.4830434508610376E-2</v>
      </c>
    </row>
    <row r="48" spans="5:7" x14ac:dyDescent="0.25">
      <c r="E48" s="70">
        <f ca="1"/>
        <v>45145</v>
      </c>
      <c r="F48" s="71">
        <f ca="1"/>
        <v>1.5302754808921347E-2</v>
      </c>
      <c r="G48" s="71">
        <f ca="1"/>
        <v>1.4923038866872016E-2</v>
      </c>
    </row>
    <row r="49" spans="5:7" x14ac:dyDescent="0.25">
      <c r="E49" s="70">
        <f ca="1"/>
        <v>45176</v>
      </c>
      <c r="F49" s="71">
        <f ca="1"/>
        <v>1.5404059278054716E-2</v>
      </c>
      <c r="G49" s="71">
        <f ca="1"/>
        <v>1.5019538177973911E-2</v>
      </c>
    </row>
    <row r="50" spans="5:7" x14ac:dyDescent="0.25">
      <c r="E50" s="70">
        <f ca="1"/>
        <v>45209</v>
      </c>
      <c r="F50" s="71">
        <f ca="1"/>
        <v>1.5511188395231967E-2</v>
      </c>
      <c r="G50" s="71">
        <f ca="1"/>
        <v>1.5122463395522754E-2</v>
      </c>
    </row>
    <row r="51" spans="5:7" x14ac:dyDescent="0.25">
      <c r="E51" s="70">
        <f ca="1"/>
        <v>45237</v>
      </c>
      <c r="F51" s="71">
        <f ca="1"/>
        <v>1.5601509092315943E-2</v>
      </c>
      <c r="G51" s="71">
        <f ca="1"/>
        <v>1.5209957871909196E-2</v>
      </c>
    </row>
    <row r="52" spans="5:7" x14ac:dyDescent="0.25">
      <c r="E52" s="70">
        <f ca="1"/>
        <v>45267</v>
      </c>
      <c r="F52" s="71">
        <f ca="1"/>
        <v>1.569584224016406E-2</v>
      </c>
      <c r="G52" s="71">
        <f ca="1"/>
        <v>1.5302297094812284E-2</v>
      </c>
    </row>
    <row r="53" spans="5:7" x14ac:dyDescent="0.25">
      <c r="E53" s="70">
        <f ca="1"/>
        <v>45299</v>
      </c>
      <c r="F53" s="71">
        <f ca="1"/>
        <v>1.5789758479429514E-2</v>
      </c>
      <c r="G53" s="71">
        <f ca="1"/>
        <v>1.5395855165622844E-2</v>
      </c>
    </row>
    <row r="54" spans="5:7" x14ac:dyDescent="0.25">
      <c r="E54" s="70">
        <f ca="1"/>
        <v>45329</v>
      </c>
      <c r="F54" s="71">
        <f ca="1"/>
        <v>1.5871391788587028E-2</v>
      </c>
      <c r="G54" s="71">
        <f ca="1"/>
        <v>1.5478834396314454E-2</v>
      </c>
    </row>
    <row r="55" spans="5:7" x14ac:dyDescent="0.25">
      <c r="E55" s="70">
        <f ca="1"/>
        <v>45358</v>
      </c>
      <c r="F55" s="71">
        <f ca="1"/>
        <v>1.594437383307484E-2</v>
      </c>
      <c r="G55" s="71">
        <f ca="1"/>
        <v>1.5554673415858799E-2</v>
      </c>
    </row>
    <row r="56" spans="5:7" x14ac:dyDescent="0.25">
      <c r="E56" s="70">
        <f ca="1"/>
        <v>45390</v>
      </c>
      <c r="F56" s="71">
        <f ca="1"/>
        <v>1.6018104661637399E-2</v>
      </c>
      <c r="G56" s="71">
        <f ca="1"/>
        <v>1.5633342178323129E-2</v>
      </c>
    </row>
    <row r="57" spans="5:7" x14ac:dyDescent="0.25">
      <c r="E57" s="70">
        <f ca="1"/>
        <v>45419</v>
      </c>
      <c r="F57" s="71">
        <f ca="1"/>
        <v>1.6078727311657343E-2</v>
      </c>
      <c r="G57" s="71">
        <f ca="1"/>
        <v>1.5700067238280449E-2</v>
      </c>
    </row>
    <row r="58" spans="5:7" x14ac:dyDescent="0.25">
      <c r="E58" s="70">
        <f ca="1"/>
        <v>45450</v>
      </c>
      <c r="F58" s="71">
        <f ca="1"/>
        <v>1.6139468042527333E-2</v>
      </c>
      <c r="G58" s="71">
        <f ca="1"/>
        <v>1.5769316050456623E-2</v>
      </c>
    </row>
    <row r="59" spans="5:7" x14ac:dyDescent="0.25">
      <c r="E59" s="70">
        <f ca="1"/>
        <v>45481</v>
      </c>
      <c r="F59" s="71">
        <f ca="1"/>
        <v>1.6188429446468391E-2</v>
      </c>
      <c r="G59" s="71">
        <f ca="1"/>
        <v>1.5828047738952491E-2</v>
      </c>
    </row>
    <row r="60" spans="5:7" x14ac:dyDescent="0.25">
      <c r="E60" s="70">
        <f ca="1"/>
        <v>45511</v>
      </c>
      <c r="F60" s="71">
        <f ca="1"/>
        <v>1.6231703560365841E-2</v>
      </c>
      <c r="G60" s="71">
        <f ca="1"/>
        <v>1.5882745727256273E-2</v>
      </c>
    </row>
    <row r="61" spans="5:7" x14ac:dyDescent="0.25">
      <c r="E61" s="70">
        <f ca="1"/>
        <v>45544</v>
      </c>
      <c r="F61" s="71">
        <f ca="1"/>
        <v>1.6271861933472735E-2</v>
      </c>
      <c r="G61" s="71">
        <f ca="1"/>
        <v>1.5937429213475459E-2</v>
      </c>
    </row>
    <row r="62" spans="5:7" x14ac:dyDescent="0.25">
      <c r="E62" s="70">
        <f ca="1"/>
        <v>45572</v>
      </c>
      <c r="F62" s="71">
        <f ca="1"/>
        <v>1.6299787182625813E-2</v>
      </c>
      <c r="G62" s="71">
        <f ca="1"/>
        <v>1.5979297605508817E-2</v>
      </c>
    </row>
    <row r="63" spans="5:7" x14ac:dyDescent="0.25">
      <c r="E63" s="70">
        <f ca="1"/>
        <v>45603</v>
      </c>
      <c r="F63" s="71">
        <f ca="1"/>
        <v>1.6324083618129318E-2</v>
      </c>
      <c r="G63" s="71">
        <f ca="1"/>
        <v>1.6020774902625722E-2</v>
      </c>
    </row>
    <row r="64" spans="5:7" x14ac:dyDescent="0.25">
      <c r="E64" s="70">
        <f ca="1"/>
        <v>45635</v>
      </c>
      <c r="F64" s="71">
        <f ca="1"/>
        <v>1.6345017344316592E-2</v>
      </c>
      <c r="G64" s="71">
        <f ca="1"/>
        <v>1.6060436129643182E-2</v>
      </c>
    </row>
    <row r="65" spans="5:7" x14ac:dyDescent="0.25">
      <c r="E65" s="70">
        <f ca="1"/>
        <v>45664</v>
      </c>
      <c r="F65" s="71">
        <f ca="1"/>
        <v>1.6364924307439754E-2</v>
      </c>
      <c r="G65" s="71">
        <f ca="1"/>
        <v>1.6096836236337141E-2</v>
      </c>
    </row>
    <row r="66" spans="5:7" x14ac:dyDescent="0.25">
      <c r="E66" s="70">
        <f ca="1"/>
        <v>45695</v>
      </c>
      <c r="F66" s="71">
        <f ca="1"/>
        <v>1.6388761468429758E-2</v>
      </c>
      <c r="G66" s="71">
        <f ca="1"/>
        <v>1.6138293390898034E-2</v>
      </c>
    </row>
    <row r="67" spans="5:7" x14ac:dyDescent="0.25">
      <c r="E67" s="70">
        <f ca="1"/>
        <v>45723</v>
      </c>
      <c r="F67" s="71">
        <f ca="1"/>
        <v>1.640994071744924E-2</v>
      </c>
      <c r="G67" s="71">
        <f ca="1"/>
        <v>1.6174429877073043E-2</v>
      </c>
    </row>
    <row r="68" spans="5:7" x14ac:dyDescent="0.25">
      <c r="E68" s="70">
        <f ca="1"/>
        <v>45754</v>
      </c>
      <c r="F68" s="71">
        <f ca="1"/>
        <v>1.6432895457987783E-2</v>
      </c>
      <c r="G68" s="71">
        <f ca="1"/>
        <v>1.6212928893344788E-2</v>
      </c>
    </row>
    <row r="69" spans="5:7" x14ac:dyDescent="0.25">
      <c r="E69" s="70">
        <f ca="1"/>
        <v>45784</v>
      </c>
      <c r="F69" s="71">
        <f ca="1"/>
        <v>1.6457652129974944E-2</v>
      </c>
      <c r="G69" s="71">
        <f ca="1"/>
        <v>1.6252686863135982E-2</v>
      </c>
    </row>
    <row r="70" spans="5:7" x14ac:dyDescent="0.25">
      <c r="E70" s="70">
        <f ca="1"/>
        <v>45817</v>
      </c>
      <c r="F70" s="71">
        <f ca="1"/>
        <v>1.648610817085858E-2</v>
      </c>
      <c r="G70" s="71">
        <f ca="1"/>
        <v>1.6297038664007897E-2</v>
      </c>
    </row>
    <row r="71" spans="5:7" x14ac:dyDescent="0.25">
      <c r="E71" s="70">
        <f ca="1"/>
        <v>45845</v>
      </c>
      <c r="F71" s="71">
        <f ca="1"/>
        <v>1.6511263538167759E-2</v>
      </c>
      <c r="G71" s="71">
        <f ca="1"/>
        <v>1.6335181034709767E-2</v>
      </c>
    </row>
    <row r="72" spans="5:7" x14ac:dyDescent="0.25">
      <c r="E72" s="70">
        <f ca="1"/>
        <v>45876</v>
      </c>
      <c r="F72" s="71">
        <f ca="1"/>
        <v>1.6540202600833966E-2</v>
      </c>
      <c r="G72" s="71">
        <f ca="1"/>
        <v>1.6377959849200534E-2</v>
      </c>
    </row>
    <row r="73" spans="5:7" x14ac:dyDescent="0.25">
      <c r="E73" s="70">
        <f ca="1"/>
        <v>45908</v>
      </c>
      <c r="F73" s="71">
        <f ca="1"/>
        <v>1.6571281558406748E-2</v>
      </c>
      <c r="G73" s="71">
        <f ca="1"/>
        <v>1.6422727954988246E-2</v>
      </c>
    </row>
    <row r="74" spans="5:7" x14ac:dyDescent="0.25">
      <c r="E74" s="70">
        <f ca="1"/>
        <v>45937</v>
      </c>
      <c r="F74" s="71">
        <f ca="1"/>
        <v>1.6600511346037065E-2</v>
      </c>
      <c r="G74" s="71">
        <f ca="1"/>
        <v>1.6463836733609433E-2</v>
      </c>
    </row>
    <row r="75" spans="5:7" x14ac:dyDescent="0.25">
      <c r="E75" s="70">
        <f ca="1"/>
        <v>45968</v>
      </c>
      <c r="F75" s="71">
        <f ca="1"/>
        <v>1.6634715148517172E-2</v>
      </c>
      <c r="G75" s="71">
        <f ca="1"/>
        <v>1.6510552201659822E-2</v>
      </c>
    </row>
    <row r="76" spans="5:7" x14ac:dyDescent="0.25">
      <c r="E76" s="70">
        <f ca="1"/>
        <v>45999</v>
      </c>
      <c r="F76" s="71">
        <f ca="1"/>
        <v>1.6667333212631755E-2</v>
      </c>
      <c r="G76" s="71">
        <f ca="1"/>
        <v>1.6553964869039005E-2</v>
      </c>
    </row>
    <row r="77" spans="5:7" x14ac:dyDescent="0.25">
      <c r="E77" s="70">
        <f ca="1"/>
        <v>46029</v>
      </c>
      <c r="F77" s="71">
        <f ca="1"/>
        <v>1.6704145944140224E-2</v>
      </c>
      <c r="G77" s="71">
        <f ca="1"/>
        <v>1.6600000274132269E-2</v>
      </c>
    </row>
    <row r="78" spans="5:7" x14ac:dyDescent="0.25">
      <c r="E78" s="70">
        <f ca="1"/>
        <v>46062</v>
      </c>
      <c r="F78" s="71">
        <f ca="1"/>
        <v>1.6748637889223029E-2</v>
      </c>
      <c r="G78" s="71">
        <f ca="1"/>
        <v>1.6652816556914259E-2</v>
      </c>
    </row>
    <row r="79" spans="5:7" x14ac:dyDescent="0.25">
      <c r="E79" s="70">
        <f ca="1"/>
        <v>46090</v>
      </c>
      <c r="F79" s="71">
        <f ca="1"/>
        <v>1.6789691684951338E-2</v>
      </c>
      <c r="G79" s="71">
        <f ca="1"/>
        <v>1.6699429278202404E-2</v>
      </c>
    </row>
    <row r="80" spans="5:7" x14ac:dyDescent="0.25">
      <c r="E80" s="70">
        <f ca="1"/>
        <v>46119</v>
      </c>
      <c r="F80" s="71">
        <f ca="1"/>
        <v>1.6835426308639521E-2</v>
      </c>
      <c r="G80" s="71">
        <f ca="1"/>
        <v>1.6749457503125138E-2</v>
      </c>
    </row>
    <row r="81" spans="5:7" x14ac:dyDescent="0.25">
      <c r="E81" s="70">
        <f ca="1"/>
        <v>46149</v>
      </c>
      <c r="F81" s="71">
        <f ca="1"/>
        <v>1.6886198889259334E-2</v>
      </c>
      <c r="G81" s="71">
        <f ca="1"/>
        <v>1.6803095761040412E-2</v>
      </c>
    </row>
    <row r="82" spans="5:7" x14ac:dyDescent="0.25">
      <c r="E82" s="70">
        <f ca="1"/>
        <v>46181</v>
      </c>
      <c r="F82" s="71">
        <f ca="1"/>
        <v>1.6944257860564544E-2</v>
      </c>
      <c r="G82" s="71">
        <f ca="1"/>
        <v>1.6862434854354041E-2</v>
      </c>
    </row>
    <row r="83" spans="5:7" x14ac:dyDescent="0.25">
      <c r="E83" s="70">
        <f ca="1"/>
        <v>46210</v>
      </c>
      <c r="F83" s="71">
        <f ca="1"/>
        <v>1.7000372584472075E-2</v>
      </c>
      <c r="G83" s="71">
        <f ca="1"/>
        <v>1.6918116527386416E-2</v>
      </c>
    </row>
    <row r="84" spans="5:7" x14ac:dyDescent="0.25">
      <c r="E84" s="70">
        <f ca="1"/>
        <v>46241</v>
      </c>
      <c r="F84" s="71">
        <f ca="1"/>
        <v>1.7066986247061683E-2</v>
      </c>
      <c r="G84" s="71">
        <f ca="1"/>
        <v>1.6982475398955442E-2</v>
      </c>
    </row>
    <row r="85" spans="5:7" x14ac:dyDescent="0.25">
      <c r="E85" s="70">
        <f ca="1"/>
        <v>46273</v>
      </c>
      <c r="F85" s="71">
        <f ca="1"/>
        <v>1.7133831258344209E-2</v>
      </c>
      <c r="G85" s="71">
        <f ca="1"/>
        <v>1.7045373366852523E-2</v>
      </c>
    </row>
    <row r="86" spans="5:7" x14ac:dyDescent="0.25">
      <c r="E86" s="70">
        <f ca="1"/>
        <v>46302</v>
      </c>
      <c r="F86" s="71">
        <f ca="1"/>
        <v>1.720062466467007E-2</v>
      </c>
      <c r="G86" s="71">
        <f ca="1"/>
        <v>1.7106871392324575E-2</v>
      </c>
    </row>
    <row r="87" spans="5:7" x14ac:dyDescent="0.25">
      <c r="E87" s="70">
        <f ca="1"/>
        <v>46335</v>
      </c>
      <c r="F87" s="71">
        <f ca="1"/>
        <v>1.728077474964456E-2</v>
      </c>
      <c r="G87" s="71">
        <f ca="1"/>
        <v>1.7179108945709096E-2</v>
      </c>
    </row>
    <row r="88" spans="5:7" x14ac:dyDescent="0.25">
      <c r="E88" s="70">
        <f ca="1"/>
        <v>46363</v>
      </c>
      <c r="F88" s="71">
        <f ca="1"/>
        <v>1.7350680151905835E-2</v>
      </c>
      <c r="G88" s="71">
        <f ca="1"/>
        <v>1.724142735229869E-2</v>
      </c>
    </row>
    <row r="89" spans="5:7" x14ac:dyDescent="0.25">
      <c r="E89" s="70">
        <f ca="1"/>
        <v>46394</v>
      </c>
      <c r="F89" s="71">
        <f ca="1"/>
        <v>1.742738109446312E-2</v>
      </c>
      <c r="G89" s="71">
        <f ca="1"/>
        <v>1.7310020532074824E-2</v>
      </c>
    </row>
    <row r="90" spans="5:7" x14ac:dyDescent="0.25">
      <c r="E90" s="70">
        <f ca="1"/>
        <v>46426</v>
      </c>
      <c r="F90" s="71">
        <f ca="1"/>
        <v>1.750576815114872E-2</v>
      </c>
      <c r="G90" s="71">
        <f ca="1"/>
        <v>1.7380370483219335E-2</v>
      </c>
    </row>
    <row r="91" spans="5:7" x14ac:dyDescent="0.25">
      <c r="E91" s="70">
        <f ca="1"/>
        <v>46454</v>
      </c>
      <c r="F91" s="71">
        <f ca="1"/>
        <v>1.7573696635591704E-2</v>
      </c>
      <c r="G91" s="71">
        <f ca="1"/>
        <v>1.7441544833210552E-2</v>
      </c>
    </row>
    <row r="92" spans="5:7" x14ac:dyDescent="0.25">
      <c r="E92" s="70">
        <f ca="1"/>
        <v>46484</v>
      </c>
      <c r="F92" s="71">
        <f ca="1"/>
        <v>1.7645789809416796E-2</v>
      </c>
      <c r="G92" s="71">
        <f ca="1"/>
        <v>1.7506691272887769E-2</v>
      </c>
    </row>
    <row r="93" spans="5:7" x14ac:dyDescent="0.25">
      <c r="E93" s="70">
        <f ca="1"/>
        <v>46514</v>
      </c>
      <c r="F93" s="71">
        <f ca="1"/>
        <v>1.7720407106186727E-2</v>
      </c>
      <c r="G93" s="71">
        <f ca="1"/>
        <v>1.7574432781771968E-2</v>
      </c>
    </row>
    <row r="94" spans="5:7" x14ac:dyDescent="0.25">
      <c r="E94" s="70">
        <f ca="1"/>
        <v>46545</v>
      </c>
      <c r="F94" s="71">
        <f ca="1"/>
        <v>1.7790171067565967E-2</v>
      </c>
      <c r="G94" s="71">
        <f ca="1"/>
        <v>1.7637878898290622E-2</v>
      </c>
    </row>
    <row r="95" spans="5:7" x14ac:dyDescent="0.25">
      <c r="E95" s="70">
        <f ca="1"/>
        <v>46575</v>
      </c>
      <c r="F95" s="71">
        <f ca="1"/>
        <v>1.7860084383428263E-2</v>
      </c>
      <c r="G95" s="71">
        <f ca="1"/>
        <v>1.7701765046268088E-2</v>
      </c>
    </row>
    <row r="96" spans="5:7" x14ac:dyDescent="0.25">
      <c r="E96" s="70">
        <f ca="1"/>
        <v>46608</v>
      </c>
      <c r="F96" s="71">
        <f ca="1"/>
        <v>1.7936149750787361E-2</v>
      </c>
      <c r="G96" s="71">
        <f ca="1"/>
        <v>1.777155472365954E-2</v>
      </c>
    </row>
    <row r="97" spans="5:7" x14ac:dyDescent="0.25">
      <c r="E97" s="70">
        <f ca="1"/>
        <v>46637</v>
      </c>
      <c r="F97" s="71">
        <f ca="1"/>
        <v>1.800226513139765E-2</v>
      </c>
      <c r="G97" s="71">
        <f ca="1"/>
        <v>1.7832463219986095E-2</v>
      </c>
    </row>
    <row r="98" spans="5:7" x14ac:dyDescent="0.25">
      <c r="E98" s="70">
        <f ca="1"/>
        <v>46667</v>
      </c>
      <c r="F98" s="71">
        <f ca="1"/>
        <v>1.8069937677364596E-2</v>
      </c>
      <c r="G98" s="71">
        <f ca="1"/>
        <v>1.7895054446507831E-2</v>
      </c>
    </row>
    <row r="99" spans="5:7" x14ac:dyDescent="0.25">
      <c r="E99" s="70">
        <f ca="1"/>
        <v>46699</v>
      </c>
      <c r="F99" s="71">
        <f ca="1"/>
        <v>1.8141307059049091E-2</v>
      </c>
      <c r="G99" s="71">
        <f ca="1"/>
        <v>1.7961347776373451E-2</v>
      </c>
    </row>
    <row r="100" spans="5:7" x14ac:dyDescent="0.25">
      <c r="E100" s="70">
        <f ca="1"/>
        <v>46728</v>
      </c>
      <c r="F100" s="71">
        <f ca="1"/>
        <v>1.8204949937456402E-2</v>
      </c>
      <c r="G100" s="71">
        <f ca="1"/>
        <v>1.8020824164747776E-2</v>
      </c>
    </row>
    <row r="101" spans="5:7" x14ac:dyDescent="0.25">
      <c r="E101" s="70">
        <f ca="1"/>
        <v>46759</v>
      </c>
      <c r="F101" s="71">
        <f ca="1"/>
        <v>1.8274379987223071E-2</v>
      </c>
      <c r="G101" s="71">
        <f ca="1"/>
        <v>1.80863548581566E-2</v>
      </c>
    </row>
    <row r="102" spans="5:7" x14ac:dyDescent="0.25">
      <c r="E102" s="70">
        <f ca="1"/>
        <v>46790</v>
      </c>
      <c r="F102" s="71">
        <f ca="1"/>
        <v>1.8336016308652579E-2</v>
      </c>
      <c r="G102" s="71">
        <f ca="1"/>
        <v>1.8145061675027212E-2</v>
      </c>
    </row>
    <row r="103" spans="5:7" x14ac:dyDescent="0.25">
      <c r="E103" s="70">
        <f ca="1"/>
        <v>46819</v>
      </c>
      <c r="F103" s="71">
        <f ca="1"/>
        <v>1.8394959393625464E-2</v>
      </c>
      <c r="G103" s="71">
        <f ca="1"/>
        <v>1.8201793309617284E-2</v>
      </c>
    </row>
    <row r="104" spans="5:7" x14ac:dyDescent="0.25">
      <c r="E104" s="70">
        <f ca="1"/>
        <v>46850</v>
      </c>
      <c r="F104" s="71">
        <f ca="1"/>
        <v>1.8459184191162929E-2</v>
      </c>
      <c r="G104" s="71">
        <f ca="1"/>
        <v>1.8264291284283345E-2</v>
      </c>
    </row>
    <row r="105" spans="5:7" x14ac:dyDescent="0.25">
      <c r="E105" s="70">
        <f ca="1"/>
        <v>46881</v>
      </c>
      <c r="F105" s="71">
        <f ca="1"/>
        <v>1.8515873433845746E-2</v>
      </c>
      <c r="G105" s="71">
        <f ca="1"/>
        <v>1.8320102539230356E-2</v>
      </c>
    </row>
    <row r="106" spans="5:7" x14ac:dyDescent="0.25">
      <c r="E106" s="70">
        <f ca="1"/>
        <v>46911</v>
      </c>
      <c r="F106" s="71">
        <f ca="1"/>
        <v>1.8571863746483876E-2</v>
      </c>
      <c r="G106" s="71">
        <f ca="1"/>
        <v>1.837587980940469E-2</v>
      </c>
    </row>
    <row r="107" spans="5:7" x14ac:dyDescent="0.25">
      <c r="E107" s="70">
        <f ca="1"/>
        <v>46941</v>
      </c>
      <c r="F107" s="71">
        <f ca="1"/>
        <v>1.8628945015889829E-2</v>
      </c>
      <c r="G107" s="71">
        <f ca="1"/>
        <v>1.8433444836351457E-2</v>
      </c>
    </row>
    <row r="108" spans="5:7" x14ac:dyDescent="0.25">
      <c r="E108" s="70">
        <f ca="1"/>
        <v>46972</v>
      </c>
      <c r="F108" s="71">
        <f ca="1"/>
        <v>1.8680596290720351E-2</v>
      </c>
      <c r="G108" s="71">
        <f ca="1"/>
        <v>1.8486308269768822E-2</v>
      </c>
    </row>
    <row r="109" spans="5:7" x14ac:dyDescent="0.25">
      <c r="E109" s="70">
        <f ca="1"/>
        <v>47003</v>
      </c>
      <c r="F109" s="71">
        <f ca="1"/>
        <v>1.8733203931284151E-2</v>
      </c>
      <c r="G109" s="71">
        <f ca="1"/>
        <v>1.854088109634654E-2</v>
      </c>
    </row>
    <row r="110" spans="5:7" x14ac:dyDescent="0.25">
      <c r="E110" s="70">
        <f ca="1"/>
        <v>47036</v>
      </c>
      <c r="F110" s="71">
        <f ca="1"/>
        <v>1.8787226208575709E-2</v>
      </c>
      <c r="G110" s="71">
        <f ca="1"/>
        <v>1.8597819652296656E-2</v>
      </c>
    </row>
    <row r="111" spans="5:7" x14ac:dyDescent="0.25">
      <c r="E111" s="70">
        <f ca="1"/>
        <v>47064</v>
      </c>
      <c r="F111" s="71">
        <f ca="1"/>
        <v>1.8831452215512356E-2</v>
      </c>
      <c r="G111" s="71">
        <f ca="1"/>
        <v>1.864519107883808E-2</v>
      </c>
    </row>
    <row r="112" spans="5:7" x14ac:dyDescent="0.25">
      <c r="E112" s="70">
        <f ca="1"/>
        <v>47094</v>
      </c>
      <c r="F112" s="71">
        <f ca="1"/>
        <v>1.8876958513042542E-2</v>
      </c>
      <c r="G112" s="71">
        <f ca="1"/>
        <v>1.86948569433791E-2</v>
      </c>
    </row>
    <row r="113" spans="5:7" x14ac:dyDescent="0.25">
      <c r="E113" s="70">
        <f ca="1"/>
        <v>47126</v>
      </c>
      <c r="F113" s="71">
        <f ca="1"/>
        <v>1.8922862705569681E-2</v>
      </c>
      <c r="G113" s="71">
        <f ca="1"/>
        <v>1.8746318613264545E-2</v>
      </c>
    </row>
    <row r="114" spans="5:7" x14ac:dyDescent="0.25">
      <c r="E114" s="70">
        <f ca="1"/>
        <v>47156</v>
      </c>
      <c r="F114" s="71">
        <f ca="1"/>
        <v>1.8963399176629515E-2</v>
      </c>
      <c r="G114" s="71">
        <f ca="1"/>
        <v>1.879312786597848E-2</v>
      </c>
    </row>
    <row r="115" spans="5:7" x14ac:dyDescent="0.25">
      <c r="E115" s="70">
        <f ca="1"/>
        <v>47184</v>
      </c>
      <c r="F115" s="71">
        <f ca="1"/>
        <v>1.8999037621065057E-2</v>
      </c>
      <c r="G115" s="71">
        <f ca="1"/>
        <v>1.883555472000847E-2</v>
      </c>
    </row>
    <row r="116" spans="5:7" x14ac:dyDescent="0.25">
      <c r="E116" s="70">
        <f ca="1"/>
        <v>47217</v>
      </c>
      <c r="F116" s="71">
        <f ca="1"/>
        <v>1.9038300942858875E-2</v>
      </c>
      <c r="G116" s="71">
        <f ca="1"/>
        <v>1.8883983735766097E-2</v>
      </c>
    </row>
    <row r="117" spans="5:7" x14ac:dyDescent="0.25">
      <c r="E117" s="70">
        <f ca="1"/>
        <v>47245</v>
      </c>
      <c r="F117" s="71">
        <f ca="1"/>
        <v>1.9069276414406606E-2</v>
      </c>
      <c r="G117" s="71">
        <f ca="1"/>
        <v>1.8923731036017227E-2</v>
      </c>
    </row>
    <row r="118" spans="5:7" x14ac:dyDescent="0.25">
      <c r="E118" s="70">
        <f ca="1"/>
        <v>47276</v>
      </c>
      <c r="F118" s="71">
        <f ca="1"/>
        <v>1.9101049663558311E-2</v>
      </c>
      <c r="G118" s="71">
        <f ca="1"/>
        <v>1.8966288366796622E-2</v>
      </c>
    </row>
    <row r="119" spans="5:7" x14ac:dyDescent="0.25">
      <c r="E119" s="70">
        <f ca="1"/>
        <v>47308</v>
      </c>
      <c r="F119" s="71">
        <f ca="1"/>
        <v>1.9131050971088831E-2</v>
      </c>
      <c r="G119" s="71">
        <f ca="1"/>
        <v>1.9008611434259439E-2</v>
      </c>
    </row>
    <row r="120" spans="5:7" x14ac:dyDescent="0.25">
      <c r="E120" s="70">
        <f ca="1"/>
        <v>47337</v>
      </c>
      <c r="F120" s="71">
        <f ca="1"/>
        <v>1.9155769253629648E-2</v>
      </c>
      <c r="G120" s="71">
        <f ca="1"/>
        <v>1.9045547252503389E-2</v>
      </c>
    </row>
    <row r="121" spans="5:7" x14ac:dyDescent="0.25">
      <c r="E121" s="70">
        <f ca="1"/>
        <v>47368</v>
      </c>
      <c r="F121" s="71">
        <f ca="1"/>
        <v>1.9181321411690912E-2</v>
      </c>
      <c r="G121" s="71">
        <f ca="1"/>
        <v>1.9085738480227852E-2</v>
      </c>
    </row>
    <row r="122" spans="5:7" x14ac:dyDescent="0.25">
      <c r="E122" s="70">
        <f ca="1"/>
        <v>47400</v>
      </c>
      <c r="F122" s="71">
        <f ca="1"/>
        <v>1.9201301304067383E-2</v>
      </c>
      <c r="G122" s="71">
        <f ca="1"/>
        <v>1.9121094895992237E-2</v>
      </c>
    </row>
    <row r="123" spans="5:7" x14ac:dyDescent="0.25">
      <c r="E123" s="70">
        <f ca="1"/>
        <v>47429</v>
      </c>
      <c r="F123" s="71">
        <f ca="1"/>
        <v>1.9218468696455042E-2</v>
      </c>
      <c r="G123" s="71">
        <f ca="1"/>
        <v>1.9153692033781259E-2</v>
      </c>
    </row>
    <row r="124" spans="5:7" x14ac:dyDescent="0.25">
      <c r="E124" s="70" t="e">
        <f ca="1"/>
        <v>#N/A</v>
      </c>
      <c r="F124" s="71" t="e">
        <f ca="1"/>
        <v>#N/A</v>
      </c>
      <c r="G124" s="71" t="e">
        <f ca="1"/>
        <v>#N/A</v>
      </c>
    </row>
    <row r="125" spans="5:7" x14ac:dyDescent="0.25">
      <c r="E125" s="70" t="e">
        <f ca="1"/>
        <v>#N/A</v>
      </c>
      <c r="F125" s="71" t="e">
        <f ca="1"/>
        <v>#N/A</v>
      </c>
      <c r="G125" s="71" t="e">
        <f ca="1"/>
        <v>#N/A</v>
      </c>
    </row>
    <row r="126" spans="5:7" x14ac:dyDescent="0.25">
      <c r="E126" s="70" t="e">
        <f ca="1"/>
        <v>#N/A</v>
      </c>
      <c r="F126" s="71" t="e">
        <f ca="1"/>
        <v>#N/A</v>
      </c>
      <c r="G126" s="71" t="e">
        <f ca="1"/>
        <v>#N/A</v>
      </c>
    </row>
    <row r="127" spans="5:7" x14ac:dyDescent="0.25">
      <c r="E127" s="70" t="e">
        <f ca="1"/>
        <v>#N/A</v>
      </c>
      <c r="F127" s="71" t="e">
        <f ca="1"/>
        <v>#N/A</v>
      </c>
      <c r="G127" s="71" t="e">
        <f ca="1"/>
        <v>#N/A</v>
      </c>
    </row>
    <row r="128" spans="5:7" x14ac:dyDescent="0.25">
      <c r="E128" s="70" t="e">
        <f ca="1"/>
        <v>#N/A</v>
      </c>
      <c r="F128" s="71" t="e">
        <f ca="1"/>
        <v>#N/A</v>
      </c>
      <c r="G128" s="71" t="e">
        <f ca="1"/>
        <v>#N/A</v>
      </c>
    </row>
    <row r="129" spans="5:7" x14ac:dyDescent="0.25">
      <c r="E129" s="70" t="e">
        <f ca="1"/>
        <v>#N/A</v>
      </c>
      <c r="F129" s="71" t="e">
        <f ca="1"/>
        <v>#N/A</v>
      </c>
      <c r="G129" s="71" t="e">
        <f ca="1"/>
        <v>#N/A</v>
      </c>
    </row>
    <row r="130" spans="5:7" x14ac:dyDescent="0.25">
      <c r="E130" s="70" t="e">
        <f ca="1"/>
        <v>#N/A</v>
      </c>
      <c r="F130" s="71" t="e">
        <f ca="1"/>
        <v>#N/A</v>
      </c>
      <c r="G130" s="71" t="e">
        <f ca="1"/>
        <v>#N/A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USD_SOFR_CURVE</vt:lpstr>
      <vt:lpstr>USD_OIS</vt:lpstr>
      <vt:lpstr>SWAP_GENERATORS</vt:lpstr>
      <vt:lpstr>REPRICING</vt:lpstr>
      <vt:lpstr>RISK</vt:lpstr>
      <vt:lpstr>FORWARDS</vt:lpstr>
      <vt:lpstr>USD_SOFR_SWAP_GENERATOR</vt:lpstr>
      <vt:lpstr>USD_SOFR_SWAP_GENERATOR_UNDER_1Y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2019-11-07T17:11:32Z</dcterms:created>
  <dcterms:modified xsi:type="dcterms:W3CDTF">2020-04-09T15:34:08Z</dcterms:modified>
</cp:coreProperties>
</file>