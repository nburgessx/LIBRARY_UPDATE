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LIB\MLIBQ_DEV1\resource\examples\MLIBQ\Curve\"/>
    </mc:Choice>
  </mc:AlternateContent>
  <bookViews>
    <workbookView xWindow="480" yWindow="90" windowWidth="20700" windowHeight="11760" activeTab="2"/>
  </bookViews>
  <sheets>
    <sheet name="Settings" sheetId="6" r:id="rId1"/>
    <sheet name="DiscountFactors" sheetId="1" r:id="rId2"/>
    <sheet name="JacobianRiskMetrics" sheetId="2" r:id="rId3"/>
    <sheet name="EX - Original Curve" sheetId="4" r:id="rId4"/>
    <sheet name="EX - Shifted Curve" sheetId="5" r:id="rId5"/>
    <sheet name="EX - Ultra-Fast Curve Rebuild" sheetId="7" r:id="rId6"/>
  </sheets>
  <externalReferences>
    <externalReference r:id="rId7"/>
  </externalReferences>
  <definedNames>
    <definedName name="BUMP_SIZE">[1]Settings!$B$6</definedName>
    <definedName name="CurveJacobian_DiscountFactors">[1]USD_CURVE_OIS_DF_JACOBIAN!$J$16:$P$24</definedName>
    <definedName name="CurveJacobian_FlatShift_DiscountFactors">[1]USD_CURVE_OIS_DF_JACOBIAN!$AF$4:$AG$11</definedName>
    <definedName name="Settings.COB">Settings!$C$2</definedName>
    <definedName name="Settings.GradientShiftSize">Settings!$C$6</definedName>
    <definedName name="Settings.MarketDataShiftSize">Settings!$C$5</definedName>
  </definedNames>
  <calcPr calcId="162913" calcMode="manual" calcCompleted="0" calcOnSave="0" concurrentCalc="0"/>
</workbook>
</file>

<file path=xl/calcChain.xml><?xml version="1.0" encoding="utf-8"?>
<calcChain xmlns="http://schemas.openxmlformats.org/spreadsheetml/2006/main">
  <c r="E6" i="7" l="1" a="1"/>
  <c r="E6" i="7"/>
  <c r="E7" i="7" a="1"/>
  <c r="E7" i="7"/>
  <c r="I5" i="7"/>
  <c r="I6" i="7"/>
  <c r="I11" i="7"/>
  <c r="I13" i="7"/>
  <c r="L18" i="7"/>
  <c r="M18" i="7"/>
  <c r="N18" i="7"/>
  <c r="O18" i="7"/>
  <c r="P18" i="7"/>
  <c r="Q18" i="7"/>
  <c r="K21" i="7"/>
  <c r="K22" i="7"/>
  <c r="L22" i="7"/>
  <c r="M22" i="7"/>
  <c r="N22" i="7"/>
  <c r="O22" i="7"/>
  <c r="P22" i="7"/>
  <c r="Q22" i="7"/>
  <c r="K23" i="7"/>
  <c r="M23" i="7"/>
  <c r="N23" i="7"/>
  <c r="O23" i="7"/>
  <c r="P23" i="7"/>
  <c r="Q23" i="7"/>
  <c r="K24" i="7"/>
  <c r="M24" i="7"/>
  <c r="N24" i="7"/>
  <c r="O24" i="7"/>
  <c r="P24" i="7"/>
  <c r="Q24" i="7"/>
  <c r="K25" i="7"/>
  <c r="M25" i="7"/>
  <c r="N25" i="7"/>
  <c r="O25" i="7"/>
  <c r="P25" i="7"/>
  <c r="Q25" i="7"/>
  <c r="K26" i="7"/>
  <c r="M26" i="7"/>
  <c r="N26" i="7"/>
  <c r="O26" i="7"/>
  <c r="P26" i="7"/>
  <c r="Q26" i="7"/>
  <c r="K27" i="7"/>
  <c r="M27" i="7"/>
  <c r="N27" i="7"/>
  <c r="O27" i="7"/>
  <c r="P27" i="7"/>
  <c r="Q27" i="7"/>
  <c r="K28" i="7"/>
  <c r="M28" i="7"/>
  <c r="N28" i="7"/>
  <c r="O28" i="7"/>
  <c r="P28" i="7"/>
  <c r="Q28" i="7"/>
  <c r="K29" i="7"/>
  <c r="L29" i="7"/>
  <c r="M29" i="7"/>
  <c r="N29" i="7"/>
  <c r="O29" i="7"/>
  <c r="P29" i="7"/>
  <c r="Q29" i="7"/>
  <c r="I7" i="7"/>
  <c r="I8" i="7"/>
  <c r="D12" i="7" a="1"/>
  <c r="D12" i="7"/>
  <c r="D13" i="7"/>
  <c r="F3" i="2" a="1"/>
  <c r="F3" i="2"/>
  <c r="G3" i="2"/>
  <c r="H3" i="2"/>
  <c r="I3" i="2"/>
  <c r="J3" i="2"/>
  <c r="K3" i="2"/>
  <c r="L3" i="2"/>
  <c r="F4" i="2"/>
  <c r="G4" i="2"/>
  <c r="H4" i="2"/>
  <c r="I4" i="2"/>
  <c r="J4" i="2"/>
  <c r="K4" i="2"/>
  <c r="L4" i="2"/>
  <c r="F5" i="2"/>
  <c r="G5" i="2"/>
  <c r="H5" i="2"/>
  <c r="I5" i="2"/>
  <c r="J5" i="2"/>
  <c r="K5" i="2"/>
  <c r="L5" i="2"/>
  <c r="F6" i="2"/>
  <c r="G6" i="2"/>
  <c r="H6" i="2"/>
  <c r="I6" i="2"/>
  <c r="J6" i="2"/>
  <c r="K6" i="2"/>
  <c r="L6" i="2"/>
  <c r="F7" i="2"/>
  <c r="G7" i="2"/>
  <c r="H7" i="2"/>
  <c r="I7" i="2"/>
  <c r="J7" i="2"/>
  <c r="K7" i="2"/>
  <c r="L7" i="2"/>
  <c r="F8" i="2"/>
  <c r="G8" i="2"/>
  <c r="H8" i="2"/>
  <c r="I8" i="2"/>
  <c r="J8" i="2"/>
  <c r="K8" i="2"/>
  <c r="L8" i="2"/>
  <c r="F9" i="2"/>
  <c r="G9" i="2"/>
  <c r="H9" i="2"/>
  <c r="I9" i="2"/>
  <c r="J9" i="2"/>
  <c r="K9" i="2"/>
  <c r="L9" i="2"/>
  <c r="F10" i="2"/>
  <c r="G10" i="2"/>
  <c r="H10" i="2"/>
  <c r="I10" i="2"/>
  <c r="J10" i="2"/>
  <c r="K10" i="2"/>
  <c r="L10" i="2"/>
  <c r="F11" i="2"/>
  <c r="G11" i="2"/>
  <c r="H11" i="2"/>
  <c r="I11" i="2"/>
  <c r="J11" i="2"/>
  <c r="K11" i="2"/>
  <c r="L11" i="2"/>
  <c r="F12" i="2"/>
  <c r="G12" i="2"/>
  <c r="H12" i="2"/>
  <c r="I12" i="2"/>
  <c r="J12" i="2"/>
  <c r="K12" i="2"/>
  <c r="L12" i="2"/>
  <c r="F13" i="2"/>
  <c r="G13" i="2"/>
  <c r="H13" i="2"/>
  <c r="I13" i="2"/>
  <c r="J13" i="2"/>
  <c r="K13" i="2"/>
  <c r="L13" i="2"/>
  <c r="F14" i="2"/>
  <c r="G14" i="2"/>
  <c r="H14" i="2"/>
  <c r="I14" i="2"/>
  <c r="J14" i="2"/>
  <c r="K14" i="2"/>
  <c r="L14" i="2"/>
  <c r="F15" i="2"/>
  <c r="G15" i="2"/>
  <c r="H15" i="2"/>
  <c r="I15" i="2"/>
  <c r="J15" i="2"/>
  <c r="K15" i="2"/>
  <c r="L15" i="2"/>
  <c r="F16" i="2"/>
  <c r="G16" i="2"/>
  <c r="H16" i="2"/>
  <c r="I16" i="2"/>
  <c r="J16" i="2"/>
  <c r="K16" i="2"/>
  <c r="L16" i="2"/>
  <c r="F17" i="2"/>
  <c r="G17" i="2"/>
  <c r="H17" i="2"/>
  <c r="I17" i="2"/>
  <c r="J17" i="2"/>
  <c r="K17" i="2"/>
  <c r="L17" i="2"/>
  <c r="F18" i="2"/>
  <c r="G18" i="2"/>
  <c r="H18" i="2"/>
  <c r="I18" i="2"/>
  <c r="J18" i="2"/>
  <c r="K18" i="2"/>
  <c r="L18" i="2"/>
  <c r="F19" i="2"/>
  <c r="G19" i="2"/>
  <c r="H19" i="2"/>
  <c r="I19" i="2"/>
  <c r="J19" i="2"/>
  <c r="K19" i="2"/>
  <c r="L19" i="2"/>
  <c r="B39" i="2" a="1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52" i="2"/>
  <c r="C15" i="2"/>
  <c r="F26" i="2"/>
  <c r="B3" i="2" a="1"/>
  <c r="B3" i="2"/>
  <c r="B4" i="2"/>
  <c r="K35" i="7" a="1"/>
  <c r="K35" i="7"/>
  <c r="L35" i="7"/>
  <c r="K36" i="7"/>
  <c r="L36" i="7"/>
  <c r="K37" i="7"/>
  <c r="L37" i="7"/>
  <c r="K38" i="7"/>
  <c r="L38" i="7"/>
  <c r="K39" i="7"/>
  <c r="L39" i="7"/>
  <c r="K40" i="7"/>
  <c r="L40" i="7"/>
  <c r="K41" i="7"/>
  <c r="L41" i="7"/>
  <c r="K42" i="7"/>
  <c r="L42" i="7"/>
  <c r="D21" i="7" a="1"/>
  <c r="D21" i="7"/>
  <c r="D22" i="7"/>
  <c r="D18" i="7"/>
  <c r="D8" i="4"/>
  <c r="R5" i="4"/>
  <c r="R6" i="4"/>
  <c r="R7" i="4"/>
  <c r="I22" i="7"/>
  <c r="G5" i="6"/>
  <c r="D21" i="4"/>
  <c r="D13" i="4"/>
  <c r="D27" i="4" a="1"/>
  <c r="D28" i="4"/>
  <c r="N5" i="4" a="1"/>
  <c r="O5" i="4"/>
  <c r="R16" i="4"/>
  <c r="O6" i="4"/>
  <c r="R17" i="4"/>
  <c r="O7" i="4"/>
  <c r="R18" i="4"/>
  <c r="O8" i="4"/>
  <c r="R19" i="4"/>
  <c r="O9" i="4"/>
  <c r="R20" i="4"/>
  <c r="O10" i="4"/>
  <c r="R21" i="4"/>
  <c r="O11" i="4"/>
  <c r="R22" i="4"/>
  <c r="O12" i="4"/>
  <c r="R23" i="4"/>
  <c r="C14" i="1"/>
  <c r="C15" i="1"/>
  <c r="C16" i="1"/>
  <c r="D25" i="5"/>
  <c r="D12" i="5"/>
  <c r="N2" i="5"/>
  <c r="G9" i="5"/>
  <c r="G10" i="5"/>
  <c r="G11" i="5"/>
  <c r="G12" i="5"/>
  <c r="G13" i="5"/>
  <c r="G14" i="5"/>
  <c r="D17" i="5"/>
  <c r="D31" i="5" a="1"/>
  <c r="D32" i="5"/>
  <c r="N7" i="5" a="1"/>
  <c r="O8" i="5"/>
  <c r="O36" i="7"/>
  <c r="O9" i="5"/>
  <c r="O37" i="7"/>
  <c r="O10" i="5"/>
  <c r="O38" i="7"/>
  <c r="O11" i="5"/>
  <c r="O39" i="7"/>
  <c r="O12" i="5"/>
  <c r="O40" i="7"/>
  <c r="O13" i="5"/>
  <c r="O41" i="7"/>
  <c r="H21" i="7"/>
  <c r="I18" i="7"/>
  <c r="H22" i="7"/>
  <c r="H23" i="7"/>
  <c r="I23" i="7"/>
  <c r="H24" i="7"/>
  <c r="I24" i="7"/>
  <c r="H25" i="7"/>
  <c r="I25" i="7"/>
  <c r="H26" i="7"/>
  <c r="I26" i="7"/>
  <c r="H27" i="7"/>
  <c r="I27" i="7"/>
  <c r="H28" i="7"/>
  <c r="I28" i="7"/>
  <c r="H29" i="7"/>
  <c r="I29" i="7"/>
  <c r="O14" i="5"/>
  <c r="O42" i="7"/>
  <c r="O7" i="5"/>
  <c r="O35" i="7"/>
  <c r="I35" i="7"/>
  <c r="I36" i="7"/>
  <c r="I37" i="7"/>
  <c r="I38" i="7"/>
  <c r="I39" i="7"/>
  <c r="I40" i="7"/>
  <c r="I41" i="7"/>
  <c r="I42" i="7"/>
  <c r="N3" i="5"/>
  <c r="B26" i="2"/>
  <c r="D27" i="4"/>
  <c r="D29" i="4"/>
  <c r="D30" i="4"/>
  <c r="D35" i="4"/>
  <c r="F39" i="2" a="1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14" i="1"/>
  <c r="F16" i="1"/>
  <c r="F15" i="1"/>
  <c r="O36" i="5"/>
  <c r="O25" i="5"/>
  <c r="P36" i="5"/>
  <c r="O35" i="5"/>
  <c r="O24" i="5"/>
  <c r="P35" i="5"/>
  <c r="O34" i="5"/>
  <c r="O23" i="5"/>
  <c r="P34" i="5"/>
  <c r="O33" i="5"/>
  <c r="O22" i="5"/>
  <c r="P33" i="5"/>
  <c r="O32" i="5"/>
  <c r="O21" i="5"/>
  <c r="P32" i="5"/>
  <c r="O31" i="5"/>
  <c r="O20" i="5"/>
  <c r="P31" i="5"/>
  <c r="O30" i="5"/>
  <c r="O19" i="5"/>
  <c r="P30" i="5"/>
  <c r="O29" i="5"/>
  <c r="O18" i="5"/>
  <c r="P29" i="5"/>
  <c r="N29" i="5"/>
  <c r="N30" i="5"/>
  <c r="N31" i="5"/>
  <c r="N32" i="5"/>
  <c r="N33" i="5"/>
  <c r="N34" i="5"/>
  <c r="N35" i="5"/>
  <c r="N36" i="5"/>
  <c r="M29" i="5"/>
  <c r="M30" i="5"/>
  <c r="M31" i="5"/>
  <c r="M32" i="5"/>
  <c r="M33" i="5"/>
  <c r="M34" i="5"/>
  <c r="M35" i="5"/>
  <c r="M36" i="5"/>
  <c r="M17" i="5"/>
  <c r="M28" i="5"/>
  <c r="N18" i="5"/>
  <c r="N19" i="5"/>
  <c r="N20" i="5"/>
  <c r="N21" i="5"/>
  <c r="N22" i="5"/>
  <c r="N23" i="5"/>
  <c r="N24" i="5"/>
  <c r="N25" i="5"/>
  <c r="N7" i="5"/>
  <c r="N8" i="5"/>
  <c r="N9" i="5"/>
  <c r="N10" i="5"/>
  <c r="N11" i="5"/>
  <c r="N12" i="5"/>
  <c r="N13" i="5"/>
  <c r="N14" i="5"/>
  <c r="N12" i="4"/>
  <c r="N11" i="4"/>
  <c r="N10" i="4"/>
  <c r="N9" i="4"/>
  <c r="N8" i="4"/>
  <c r="N7" i="4"/>
  <c r="N6" i="4"/>
  <c r="N5" i="4"/>
  <c r="F4" i="6"/>
  <c r="D31" i="4"/>
  <c r="D31" i="5"/>
  <c r="D35" i="5"/>
  <c r="D34" i="5"/>
  <c r="D33" i="5"/>
  <c r="M27" i="2"/>
  <c r="M28" i="2"/>
  <c r="M29" i="2"/>
  <c r="M30" i="2"/>
  <c r="M31" i="2"/>
  <c r="M32" i="2"/>
  <c r="M33" i="2"/>
  <c r="M34" i="2"/>
  <c r="D27" i="2"/>
  <c r="D34" i="2"/>
  <c r="D33" i="2"/>
  <c r="D32" i="2"/>
  <c r="D31" i="2"/>
  <c r="D30" i="2"/>
  <c r="D29" i="2"/>
  <c r="D28" i="2"/>
  <c r="H25" i="1" a="1"/>
  <c r="I25" i="1"/>
  <c r="H39" i="2"/>
  <c r="I39" i="2"/>
  <c r="I26" i="1"/>
  <c r="H40" i="2"/>
  <c r="I40" i="2"/>
  <c r="I27" i="1"/>
  <c r="H41" i="2"/>
  <c r="I41" i="2"/>
  <c r="I28" i="1"/>
  <c r="H42" i="2"/>
  <c r="I42" i="2"/>
  <c r="I29" i="1"/>
  <c r="H43" i="2"/>
  <c r="I43" i="2"/>
  <c r="I30" i="1"/>
  <c r="H44" i="2"/>
  <c r="I44" i="2"/>
  <c r="I31" i="1"/>
  <c r="H45" i="2"/>
  <c r="I45" i="2"/>
  <c r="I32" i="1"/>
  <c r="H46" i="2"/>
  <c r="I46" i="2"/>
  <c r="D39" i="2"/>
  <c r="D40" i="2"/>
  <c r="D41" i="2"/>
  <c r="D42" i="2"/>
  <c r="D43" i="2"/>
  <c r="D44" i="2"/>
  <c r="D45" i="2"/>
  <c r="D46" i="2"/>
  <c r="O25" i="1" a="1"/>
  <c r="O25" i="1"/>
  <c r="O26" i="1"/>
  <c r="O27" i="1"/>
  <c r="O28" i="1"/>
  <c r="O29" i="1"/>
  <c r="O30" i="1"/>
  <c r="O31" i="1"/>
  <c r="O32" i="1"/>
  <c r="L25" i="1" a="1"/>
  <c r="L25" i="1"/>
  <c r="L26" i="1"/>
  <c r="L27" i="1"/>
  <c r="L28" i="1"/>
  <c r="L29" i="1"/>
  <c r="L30" i="1"/>
  <c r="L31" i="1"/>
  <c r="L32" i="1"/>
  <c r="H25" i="1"/>
  <c r="H26" i="1"/>
  <c r="H27" i="1"/>
  <c r="H28" i="1"/>
  <c r="H29" i="1"/>
  <c r="H30" i="1"/>
  <c r="H31" i="1"/>
  <c r="H32" i="1"/>
  <c r="F8" i="1"/>
  <c r="F7" i="1"/>
  <c r="B3" i="1" a="1"/>
  <c r="B3" i="1"/>
  <c r="B4" i="1"/>
  <c r="F25" i="1"/>
  <c r="F26" i="1"/>
  <c r="F27" i="1"/>
  <c r="F28" i="1"/>
  <c r="F29" i="1"/>
  <c r="F30" i="1"/>
  <c r="F31" i="1"/>
  <c r="F32" i="1"/>
  <c r="K41" i="2" a="1"/>
  <c r="K41" i="2"/>
  <c r="K42" i="2"/>
  <c r="M7" i="5" a="1"/>
  <c r="M14" i="5"/>
  <c r="M25" i="5"/>
  <c r="M13" i="5"/>
  <c r="M24" i="5"/>
  <c r="M12" i="5"/>
  <c r="M23" i="5"/>
  <c r="M11" i="5"/>
  <c r="M22" i="5"/>
  <c r="M10" i="5"/>
  <c r="M21" i="5"/>
  <c r="M9" i="5"/>
  <c r="M20" i="5"/>
  <c r="M8" i="5"/>
  <c r="M19" i="5"/>
  <c r="M7" i="5"/>
  <c r="M18" i="5"/>
  <c r="N42" i="7"/>
  <c r="N41" i="7"/>
  <c r="N40" i="7"/>
  <c r="N39" i="7"/>
  <c r="N38" i="7"/>
  <c r="N37" i="7" a="1"/>
  <c r="N37" i="7"/>
  <c r="N36" i="7"/>
  <c r="N35" i="7"/>
  <c r="M5" i="4" a="1"/>
  <c r="M5" i="4"/>
  <c r="H35" i="7"/>
  <c r="M6" i="4"/>
  <c r="H36" i="7"/>
  <c r="M7" i="4"/>
  <c r="H37" i="7"/>
  <c r="M8" i="4"/>
  <c r="H38" i="7"/>
  <c r="M9" i="4"/>
  <c r="H39" i="7"/>
  <c r="M10" i="4"/>
  <c r="H40" i="7"/>
  <c r="M11" i="4"/>
  <c r="H41" i="7"/>
  <c r="M12" i="4"/>
  <c r="H42" i="7"/>
  <c r="Q16" i="4"/>
  <c r="Q17" i="4"/>
  <c r="Q18" i="4"/>
  <c r="Q19" i="4"/>
  <c r="Q20" i="4"/>
  <c r="Q21" i="4"/>
  <c r="Q22" i="4"/>
  <c r="Q23" i="4"/>
  <c r="P36" i="7"/>
  <c r="P37" i="7"/>
  <c r="P38" i="7"/>
  <c r="P39" i="7"/>
  <c r="P40" i="7"/>
  <c r="P41" i="7"/>
  <c r="P42" i="7"/>
  <c r="P35" i="7"/>
</calcChain>
</file>

<file path=xl/sharedStrings.xml><?xml version="1.0" encoding="utf-8"?>
<sst xmlns="http://schemas.openxmlformats.org/spreadsheetml/2006/main" count="563" uniqueCount="156">
  <si>
    <t>CurveCollection</t>
  </si>
  <si>
    <t>CurveIndex</t>
  </si>
  <si>
    <t>AsOfDate</t>
  </si>
  <si>
    <t>JoinDate</t>
  </si>
  <si>
    <t>InterpolationMethod</t>
  </si>
  <si>
    <t>PaymentDate</t>
  </si>
  <si>
    <t>DiscountFactor</t>
  </si>
  <si>
    <t>ForwardRate</t>
  </si>
  <si>
    <t>SPLINE</t>
  </si>
  <si>
    <t>USDYC</t>
  </si>
  <si>
    <t>OIS</t>
  </si>
  <si>
    <t>Interpolation</t>
  </si>
  <si>
    <t>DELETE / DELETE ALL</t>
  </si>
  <si>
    <t>CURVE LVB</t>
  </si>
  <si>
    <t>DISCOUNT FACTOR LVB</t>
  </si>
  <si>
    <t>FORWARD RATE LVB</t>
  </si>
  <si>
    <t>DISPLAY DISCOUNT FACTORS</t>
  </si>
  <si>
    <t>ENABLE</t>
  </si>
  <si>
    <t xml:space="preserve"> </t>
  </si>
  <si>
    <t>CurveTenor</t>
  </si>
  <si>
    <t>1D</t>
  </si>
  <si>
    <t>CurveType</t>
  </si>
  <si>
    <t>OIS_CURVE</t>
  </si>
  <si>
    <t>SpotDate</t>
  </si>
  <si>
    <t>Daycount</t>
  </si>
  <si>
    <t>ACT/360</t>
  </si>
  <si>
    <t>FixingDate</t>
  </si>
  <si>
    <t>FixingBusinessDayAdjustment</t>
  </si>
  <si>
    <t>FixingCalendar</t>
  </si>
  <si>
    <t>MOD_FOLLOWING</t>
  </si>
  <si>
    <t>NYB</t>
  </si>
  <si>
    <t>ON</t>
  </si>
  <si>
    <t>1Y</t>
  </si>
  <si>
    <t>2Y</t>
  </si>
  <si>
    <t>3Y</t>
  </si>
  <si>
    <t>4Y</t>
  </si>
  <si>
    <t>5Y</t>
  </si>
  <si>
    <t>Instrument</t>
  </si>
  <si>
    <t>TOTAL</t>
  </si>
  <si>
    <t>RiskType</t>
  </si>
  <si>
    <t>ShiftType</t>
  </si>
  <si>
    <t>DISCOUNT_FACTORS</t>
  </si>
  <si>
    <t>DISPLAY ALL DISCOUNT FACTORS</t>
  </si>
  <si>
    <t>DISPLAY IMPLIED FORWARD RATES</t>
  </si>
  <si>
    <t>RISK JACOBIAN</t>
  </si>
  <si>
    <t>UPDATE CURVE RESULTS - DISCOUNT FACTORS</t>
  </si>
  <si>
    <t>DISPLAY JACOBIAN</t>
  </si>
  <si>
    <t>RiskDate</t>
  </si>
  <si>
    <t>RiskTotal</t>
  </si>
  <si>
    <t>RiskTotals</t>
  </si>
  <si>
    <t>DiscFact Chg</t>
  </si>
  <si>
    <t>NewDiscountFactor</t>
  </si>
  <si>
    <t>Check</t>
  </si>
  <si>
    <t>IMPLY NEW DISCOUNT FACTORS</t>
  </si>
  <si>
    <t>CALCULATE RISK TOTALS</t>
  </si>
  <si>
    <t>JACOBIAN RISK METRICS</t>
  </si>
  <si>
    <t>UPDATE CURVE DISCOUNT FACTORS</t>
  </si>
  <si>
    <t>Enable</t>
  </si>
  <si>
    <t>GradientShiftSize</t>
  </si>
  <si>
    <t>MarketDataShiftSize</t>
  </si>
  <si>
    <t>MARKETDATAPROPERTIES</t>
  </si>
  <si>
    <t>Term</t>
  </si>
  <si>
    <t>Rate</t>
  </si>
  <si>
    <t>StartDate</t>
  </si>
  <si>
    <t>EndDate</t>
  </si>
  <si>
    <t>Use</t>
  </si>
  <si>
    <t>Currency</t>
  </si>
  <si>
    <t>USD</t>
  </si>
  <si>
    <t>CurveIndexFrequency</t>
  </si>
  <si>
    <t>DAILY</t>
  </si>
  <si>
    <t>Create Market Data Handle</t>
  </si>
  <si>
    <t>Handle Name</t>
  </si>
  <si>
    <t>USD_OIS_CURVE</t>
  </si>
  <si>
    <t>Market Data Handle</t>
  </si>
  <si>
    <t>Curve Dictionary</t>
  </si>
  <si>
    <t>Curve Generator</t>
  </si>
  <si>
    <t>Domestic Curve Collection</t>
  </si>
  <si>
    <t>Foreign Curve Collection</t>
  </si>
  <si>
    <t>Curve Build</t>
  </si>
  <si>
    <t>Curve Collection</t>
  </si>
  <si>
    <t>Curve Index</t>
  </si>
  <si>
    <t>Calibration Time Taken</t>
  </si>
  <si>
    <t>Curve Loaded</t>
  </si>
  <si>
    <t>COB</t>
  </si>
  <si>
    <t>Parameters</t>
  </si>
  <si>
    <t>USDYC_SHIFTED</t>
  </si>
  <si>
    <t>USDYC_ORIGINAL</t>
  </si>
  <si>
    <t>Create Template</t>
  </si>
  <si>
    <t>Object Name</t>
  </si>
  <si>
    <t>CURVEPROPERTIES</t>
  </si>
  <si>
    <t>StaticDataTable</t>
  </si>
  <si>
    <t>IndexName</t>
  </si>
  <si>
    <t>OIS:USDOIS</t>
  </si>
  <si>
    <t>interpolation</t>
  </si>
  <si>
    <t>FN_SPLINEINTERPOLATION</t>
  </si>
  <si>
    <t>yieldgen.interpolation</t>
  </si>
  <si>
    <t>calendar</t>
  </si>
  <si>
    <t>daycount</t>
  </si>
  <si>
    <t>frequency</t>
  </si>
  <si>
    <t>ANNUAL</t>
  </si>
  <si>
    <t>generatemethod</t>
  </si>
  <si>
    <t>DAILYCOMPOUNDING</t>
  </si>
  <si>
    <t>resetlag</t>
  </si>
  <si>
    <t>2D</t>
  </si>
  <si>
    <t>firstrate</t>
  </si>
  <si>
    <t>SHORTMARKET</t>
  </si>
  <si>
    <t>slidingrule</t>
  </si>
  <si>
    <t>eomday</t>
  </si>
  <si>
    <t>iseomroll</t>
  </si>
  <si>
    <t>shorttermconvention</t>
  </si>
  <si>
    <t>ARITHMETICAVERAGE</t>
  </si>
  <si>
    <t>longtermconvention</t>
  </si>
  <si>
    <t>NONE</t>
  </si>
  <si>
    <t>longterm</t>
  </si>
  <si>
    <t>100Y</t>
  </si>
  <si>
    <t>longterm.generatemethod</t>
  </si>
  <si>
    <t>Epsilon</t>
  </si>
  <si>
    <t>MaxLoop</t>
  </si>
  <si>
    <t>CompoundingMethod</t>
  </si>
  <si>
    <t>ARITHMETIC</t>
  </si>
  <si>
    <t>SmoothShortEnd</t>
  </si>
  <si>
    <t>OIS CURVE TEMPLATE</t>
  </si>
  <si>
    <t>DF Change</t>
  </si>
  <si>
    <t>NewDF</t>
  </si>
  <si>
    <t>NUMERICAL RISK METRICS</t>
  </si>
  <si>
    <t>ANALYTICAL JACOBIAN RISK METRICS</t>
  </si>
  <si>
    <t>+/-</t>
  </si>
  <si>
    <t>2d</t>
  </si>
  <si>
    <t>USD_OIS_ANALYTICAL</t>
  </si>
  <si>
    <t>USDYC_ANALYTICAL</t>
  </si>
  <si>
    <t>CurveBuild</t>
  </si>
  <si>
    <t>OriginalHandle</t>
  </si>
  <si>
    <t>ULTRA-FAST CURVE REBUILD</t>
  </si>
  <si>
    <t>Test Analytical Curve Rebuild</t>
  </si>
  <si>
    <t>DEMO OF INTERNAL STEPS</t>
  </si>
  <si>
    <t>USD_OIS_ORIGINAL</t>
  </si>
  <si>
    <t>USD_OIS_SHIFTED</t>
  </si>
  <si>
    <t>BYPASSING CALIBRATION STEP</t>
  </si>
  <si>
    <t>JACOBIAN RISK DYNAMICS</t>
  </si>
  <si>
    <t>ImpliedDiscFactor</t>
  </si>
  <si>
    <t>ACTUAL NEW DISCOUNT FACTORS</t>
  </si>
  <si>
    <t>ORIGINAL DISCOUNT FACTORS</t>
  </si>
  <si>
    <t>PERTURBED</t>
  </si>
  <si>
    <t>MKTDATA-SHIFT</t>
  </si>
  <si>
    <t>JACOBIAN RISK METRICS - PERTURBED</t>
  </si>
  <si>
    <t>Enable/Disable</t>
  </si>
  <si>
    <t>JACOBIAN RISK METRICS - FLAT_SHIFT</t>
  </si>
  <si>
    <t>#3 NEW JACOBIAN IMPLIED CURVE</t>
  </si>
  <si>
    <t>JACOBIAN LVB</t>
  </si>
  <si>
    <t>DISCOUNT FACTOR RESULTS</t>
  </si>
  <si>
    <t>#4  APPLY NEW DISCOUNT FACTORS TO CURVE</t>
  </si>
  <si>
    <t>#3  IMPLY NEW DISCOUNT FACTORS</t>
  </si>
  <si>
    <t>#2  UPDATE JACOBIAN RISK METRICS</t>
  </si>
  <si>
    <t>#1  LOAD / RESET ORIGINAL CURVE</t>
  </si>
  <si>
    <t>OutrightInstruments</t>
  </si>
  <si>
    <t>OutrightInstrument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</si>
</sst>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d\,\ d\-mmm\-yy"/>
    <numFmt numFmtId="165" formatCode="0.000%"/>
    <numFmt numFmtId="166" formatCode="#,##0.000000"/>
    <numFmt numFmtId="167" formatCode="0.00000%"/>
    <numFmt numFmtId="168" formatCode="0.0E+00"/>
    <numFmt numFmtId="169" formatCode="#,##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C00000"/>
        <bgColor indexed="64"/>
      </patternFill>
    </fill>
  </fills>
  <borders count="41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3743705557422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0" fontId="2" fillId="4" borderId="0" xfId="0" applyFont="1" applyFill="1"/>
    <xf numFmtId="0" fontId="1" fillId="0" borderId="0" xfId="0" applyFont="1" applyAlignment="1">
      <alignment horizontal="left" vertical="center"/>
    </xf>
    <xf numFmtId="166" fontId="2" fillId="4" borderId="0" xfId="0" applyNumberFormat="1" applyFont="1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167" fontId="2" fillId="4" borderId="0" xfId="0" applyNumberFormat="1" applyFont="1" applyFill="1" applyAlignment="1">
      <alignment horizontal="center" vertical="center"/>
    </xf>
    <xf numFmtId="15" fontId="0" fillId="6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0" borderId="0" xfId="0" applyFont="1"/>
    <xf numFmtId="164" fontId="0" fillId="0" borderId="0" xfId="0" applyNumberFormat="1"/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/>
    </xf>
    <xf numFmtId="15" fontId="2" fillId="0" borderId="4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0" fontId="2" fillId="0" borderId="5" xfId="0" applyNumberFormat="1" applyFont="1" applyFill="1" applyBorder="1" applyAlignment="1">
      <alignment horizontal="center"/>
    </xf>
    <xf numFmtId="11" fontId="0" fillId="0" borderId="0" xfId="0" applyNumberFormat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15" fontId="0" fillId="0" borderId="0" xfId="0" applyNumberFormat="1"/>
    <xf numFmtId="166" fontId="0" fillId="0" borderId="3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8" fontId="0" fillId="3" borderId="0" xfId="0" applyNumberFormat="1" applyFill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168" fontId="0" fillId="0" borderId="8" xfId="0" applyNumberFormat="1" applyBorder="1" applyAlignment="1">
      <alignment horizontal="center" vertical="center"/>
    </xf>
    <xf numFmtId="168" fontId="2" fillId="0" borderId="0" xfId="0" applyNumberFormat="1" applyFont="1" applyFill="1" applyBorder="1" applyAlignment="1">
      <alignment horizontal="center" vertical="center"/>
    </xf>
    <xf numFmtId="168" fontId="2" fillId="0" borderId="0" xfId="0" applyNumberFormat="1" applyFont="1" applyFill="1" applyBorder="1" applyAlignment="1">
      <alignment horizontal="center"/>
    </xf>
    <xf numFmtId="168" fontId="2" fillId="0" borderId="5" xfId="0" applyNumberFormat="1" applyFont="1" applyFill="1" applyBorder="1" applyAlignment="1">
      <alignment horizontal="center"/>
    </xf>
    <xf numFmtId="0" fontId="1" fillId="2" borderId="0" xfId="0" applyFont="1" applyFill="1"/>
    <xf numFmtId="0" fontId="2" fillId="4" borderId="11" xfId="0" applyFont="1" applyFill="1" applyBorder="1"/>
    <xf numFmtId="0" fontId="2" fillId="4" borderId="12" xfId="0" applyFont="1" applyFill="1" applyBorder="1"/>
    <xf numFmtId="0" fontId="2" fillId="4" borderId="13" xfId="0" applyFont="1" applyFill="1" applyBorder="1"/>
    <xf numFmtId="0" fontId="2" fillId="4" borderId="0" xfId="0" applyFont="1" applyFill="1" applyBorder="1"/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/>
    <xf numFmtId="0" fontId="2" fillId="4" borderId="17" xfId="0" applyFont="1" applyFill="1" applyBorder="1"/>
    <xf numFmtId="0" fontId="2" fillId="4" borderId="18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1" fontId="0" fillId="3" borderId="0" xfId="0" applyNumberFormat="1" applyFill="1" applyAlignment="1">
      <alignment horizontal="center" vertical="center"/>
    </xf>
    <xf numFmtId="15" fontId="2" fillId="0" borderId="1" xfId="0" applyNumberFormat="1" applyFont="1" applyFill="1" applyBorder="1" applyAlignment="1">
      <alignment horizontal="center" vertical="center"/>
    </xf>
    <xf numFmtId="168" fontId="2" fillId="0" borderId="2" xfId="0" applyNumberFormat="1" applyFont="1" applyFill="1" applyBorder="1" applyAlignment="1">
      <alignment horizontal="center" vertical="center"/>
    </xf>
    <xf numFmtId="168" fontId="2" fillId="0" borderId="2" xfId="0" applyNumberFormat="1" applyFont="1" applyFill="1" applyBorder="1" applyAlignment="1">
      <alignment horizontal="center"/>
    </xf>
    <xf numFmtId="168" fontId="2" fillId="0" borderId="3" xfId="0" applyNumberFormat="1" applyFont="1" applyFill="1" applyBorder="1" applyAlignment="1">
      <alignment horizontal="center"/>
    </xf>
    <xf numFmtId="15" fontId="2" fillId="0" borderId="6" xfId="0" applyNumberFormat="1" applyFont="1" applyFill="1" applyBorder="1" applyAlignment="1">
      <alignment horizontal="center" vertical="center"/>
    </xf>
    <xf numFmtId="168" fontId="2" fillId="0" borderId="7" xfId="0" applyNumberFormat="1" applyFont="1" applyFill="1" applyBorder="1" applyAlignment="1">
      <alignment horizontal="center" vertical="center"/>
    </xf>
    <xf numFmtId="168" fontId="2" fillId="0" borderId="7" xfId="0" applyNumberFormat="1" applyFont="1" applyFill="1" applyBorder="1" applyAlignment="1">
      <alignment horizontal="center"/>
    </xf>
    <xf numFmtId="168" fontId="2" fillId="0" borderId="8" xfId="0" applyNumberFormat="1" applyFont="1" applyFill="1" applyBorder="1" applyAlignment="1">
      <alignment horizontal="center"/>
    </xf>
    <xf numFmtId="0" fontId="0" fillId="4" borderId="1" xfId="0" applyFill="1" applyBorder="1"/>
    <xf numFmtId="0" fontId="5" fillId="4" borderId="2" xfId="0" applyFont="1" applyFill="1" applyBorder="1"/>
    <xf numFmtId="0" fontId="6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5" fillId="4" borderId="0" xfId="0" applyFont="1" applyFill="1" applyBorder="1"/>
    <xf numFmtId="0" fontId="0" fillId="4" borderId="0" xfId="0" applyFont="1" applyFill="1" applyBorder="1" applyAlignment="1">
      <alignment horizontal="center" vertical="center"/>
    </xf>
    <xf numFmtId="0" fontId="0" fillId="4" borderId="0" xfId="0" applyFill="1" applyBorder="1"/>
    <xf numFmtId="0" fontId="3" fillId="4" borderId="0" xfId="0" applyFont="1" applyFill="1" applyBorder="1" applyAlignment="1">
      <alignment horizontal="center" vertical="center"/>
    </xf>
    <xf numFmtId="0" fontId="0" fillId="4" borderId="5" xfId="0" applyFill="1" applyBorder="1"/>
    <xf numFmtId="0" fontId="7" fillId="4" borderId="7" xfId="0" applyFont="1" applyFill="1" applyBorder="1" applyAlignment="1">
      <alignment horizontal="center" vertical="center"/>
    </xf>
    <xf numFmtId="0" fontId="0" fillId="7" borderId="20" xfId="0" applyFont="1" applyFill="1" applyBorder="1"/>
    <xf numFmtId="0" fontId="0" fillId="7" borderId="20" xfId="0" applyFont="1" applyFill="1" applyBorder="1" applyAlignment="1">
      <alignment horizontal="left" vertical="center"/>
    </xf>
    <xf numFmtId="167" fontId="3" fillId="0" borderId="2" xfId="0" applyNumberFormat="1" applyFont="1" applyFill="1" applyBorder="1" applyAlignment="1">
      <alignment horizontal="center" vertical="center"/>
    </xf>
    <xf numFmtId="15" fontId="2" fillId="0" borderId="2" xfId="0" applyNumberFormat="1" applyFont="1" applyFill="1" applyBorder="1" applyAlignment="1">
      <alignment horizontal="center" vertical="center"/>
    </xf>
    <xf numFmtId="15" fontId="2" fillId="0" borderId="0" xfId="0" applyNumberFormat="1" applyFont="1" applyFill="1" applyBorder="1" applyAlignment="1">
      <alignment horizontal="center" vertical="center"/>
    </xf>
    <xf numFmtId="15" fontId="2" fillId="0" borderId="5" xfId="0" applyNumberFormat="1" applyFont="1" applyFill="1" applyBorder="1" applyAlignment="1">
      <alignment horizontal="center" vertical="center"/>
    </xf>
    <xf numFmtId="0" fontId="0" fillId="7" borderId="21" xfId="0" applyFont="1" applyFill="1" applyBorder="1"/>
    <xf numFmtId="0" fontId="0" fillId="7" borderId="21" xfId="0" applyFont="1" applyFill="1" applyBorder="1" applyAlignment="1">
      <alignment horizontal="left" vertical="center"/>
    </xf>
    <xf numFmtId="167" fontId="3" fillId="0" borderId="0" xfId="0" applyNumberFormat="1" applyFont="1" applyFill="1" applyBorder="1" applyAlignment="1">
      <alignment horizontal="center" vertical="center"/>
    </xf>
    <xf numFmtId="0" fontId="0" fillId="7" borderId="22" xfId="0" applyFont="1" applyFill="1" applyBorder="1"/>
    <xf numFmtId="164" fontId="8" fillId="8" borderId="22" xfId="0" applyNumberFormat="1" applyFont="1" applyFill="1" applyBorder="1" applyAlignment="1">
      <alignment horizontal="left" vertical="center"/>
    </xf>
    <xf numFmtId="0" fontId="0" fillId="7" borderId="20" xfId="0" applyFill="1" applyBorder="1"/>
    <xf numFmtId="0" fontId="0" fillId="7" borderId="20" xfId="0" applyFill="1" applyBorder="1" applyAlignment="1">
      <alignment horizontal="left" vertical="center"/>
    </xf>
    <xf numFmtId="0" fontId="0" fillId="7" borderId="22" xfId="0" applyFill="1" applyBorder="1"/>
    <xf numFmtId="0" fontId="8" fillId="7" borderId="22" xfId="0" applyFont="1" applyFill="1" applyBorder="1" applyAlignment="1">
      <alignment horizontal="left" vertical="center"/>
    </xf>
    <xf numFmtId="0" fontId="0" fillId="4" borderId="0" xfId="0" applyFont="1" applyFill="1" applyBorder="1"/>
    <xf numFmtId="0" fontId="1" fillId="4" borderId="0" xfId="0" applyFont="1" applyFill="1" applyBorder="1"/>
    <xf numFmtId="0" fontId="0" fillId="0" borderId="20" xfId="0" applyFont="1" applyFill="1" applyBorder="1"/>
    <xf numFmtId="0" fontId="0" fillId="0" borderId="20" xfId="0" applyFont="1" applyFill="1" applyBorder="1" applyAlignment="1">
      <alignment horizontal="left" vertical="center"/>
    </xf>
    <xf numFmtId="0" fontId="0" fillId="0" borderId="21" xfId="0" applyFont="1" applyFill="1" applyBorder="1"/>
    <xf numFmtId="0" fontId="2" fillId="0" borderId="21" xfId="0" applyFont="1" applyFill="1" applyBorder="1" applyAlignment="1">
      <alignment horizontal="left" vertical="center"/>
    </xf>
    <xf numFmtId="0" fontId="0" fillId="0" borderId="21" xfId="0" applyFont="1" applyFill="1" applyBorder="1" applyAlignment="1">
      <alignment horizontal="left" vertical="center"/>
    </xf>
    <xf numFmtId="0" fontId="0" fillId="0" borderId="22" xfId="0" applyFont="1" applyFill="1" applyBorder="1"/>
    <xf numFmtId="0" fontId="0" fillId="0" borderId="22" xfId="0" applyFont="1" applyFill="1" applyBorder="1" applyAlignment="1">
      <alignment horizontal="left" vertical="center"/>
    </xf>
    <xf numFmtId="0" fontId="0" fillId="0" borderId="20" xfId="0" applyBorder="1"/>
    <xf numFmtId="0" fontId="8" fillId="0" borderId="20" xfId="0" applyFont="1" applyFill="1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1" xfId="0" applyBorder="1"/>
    <xf numFmtId="0" fontId="0" fillId="0" borderId="22" xfId="0" applyBorder="1"/>
    <xf numFmtId="0" fontId="6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/>
    </xf>
    <xf numFmtId="167" fontId="3" fillId="0" borderId="7" xfId="0" applyNumberFormat="1" applyFont="1" applyFill="1" applyBorder="1" applyAlignment="1">
      <alignment horizontal="center" vertical="center"/>
    </xf>
    <xf numFmtId="15" fontId="2" fillId="0" borderId="7" xfId="0" applyNumberFormat="1" applyFont="1" applyFill="1" applyBorder="1" applyAlignment="1">
      <alignment horizontal="center" vertical="center"/>
    </xf>
    <xf numFmtId="15" fontId="2" fillId="0" borderId="8" xfId="0" applyNumberFormat="1" applyFont="1" applyFill="1" applyBorder="1" applyAlignment="1">
      <alignment horizontal="center" vertical="center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1" fillId="0" borderId="0" xfId="0" applyFont="1" applyAlignment="1">
      <alignment horizontal="left"/>
    </xf>
    <xf numFmtId="0" fontId="9" fillId="4" borderId="0" xfId="0" applyFont="1" applyFill="1" applyBorder="1"/>
    <xf numFmtId="0" fontId="4" fillId="9" borderId="20" xfId="0" applyFont="1" applyFill="1" applyBorder="1" applyAlignment="1">
      <alignment horizontal="center" vertical="center"/>
    </xf>
    <xf numFmtId="0" fontId="0" fillId="7" borderId="21" xfId="0" applyFill="1" applyBorder="1"/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7" fillId="0" borderId="20" xfId="0" applyFont="1" applyFill="1" applyBorder="1"/>
    <xf numFmtId="15" fontId="7" fillId="0" borderId="20" xfId="0" applyNumberFormat="1" applyFont="1" applyFill="1" applyBorder="1" applyAlignment="1">
      <alignment horizontal="center" vertical="center"/>
    </xf>
    <xf numFmtId="0" fontId="7" fillId="0" borderId="21" xfId="0" applyFont="1" applyFill="1" applyBorder="1"/>
    <xf numFmtId="15" fontId="7" fillId="0" borderId="21" xfId="0" applyNumberFormat="1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left" vertical="center"/>
    </xf>
    <xf numFmtId="0" fontId="7" fillId="0" borderId="22" xfId="0" applyFont="1" applyFill="1" applyBorder="1"/>
    <xf numFmtId="0" fontId="7" fillId="0" borderId="22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vertical="center"/>
    </xf>
    <xf numFmtId="0" fontId="0" fillId="0" borderId="20" xfId="0" applyFill="1" applyBorder="1" applyAlignment="1">
      <alignment horizontal="center" vertical="center"/>
    </xf>
    <xf numFmtId="0" fontId="7" fillId="0" borderId="21" xfId="0" applyFont="1" applyFill="1" applyBorder="1" applyAlignment="1">
      <alignment vertical="center"/>
    </xf>
    <xf numFmtId="0" fontId="0" fillId="0" borderId="21" xfId="0" applyFill="1" applyBorder="1" applyAlignment="1">
      <alignment horizontal="center" vertical="center"/>
    </xf>
    <xf numFmtId="11" fontId="0" fillId="0" borderId="21" xfId="0" applyNumberFormat="1" applyFill="1" applyBorder="1" applyAlignment="1">
      <alignment horizontal="center" vertical="center"/>
    </xf>
    <xf numFmtId="0" fontId="4" fillId="10" borderId="21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vertical="center"/>
    </xf>
    <xf numFmtId="0" fontId="0" fillId="0" borderId="22" xfId="0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5" fontId="2" fillId="4" borderId="11" xfId="0" applyNumberFormat="1" applyFont="1" applyFill="1" applyBorder="1" applyAlignment="1">
      <alignment horizontal="center"/>
    </xf>
    <xf numFmtId="169" fontId="2" fillId="4" borderId="12" xfId="0" applyNumberFormat="1" applyFont="1" applyFill="1" applyBorder="1" applyAlignment="1">
      <alignment horizontal="center" vertical="center"/>
    </xf>
    <xf numFmtId="166" fontId="2" fillId="4" borderId="23" xfId="0" applyNumberFormat="1" applyFont="1" applyFill="1" applyBorder="1" applyAlignment="1">
      <alignment horizontal="center" vertical="center"/>
    </xf>
    <xf numFmtId="15" fontId="2" fillId="4" borderId="13" xfId="0" applyNumberFormat="1" applyFont="1" applyFill="1" applyBorder="1" applyAlignment="1">
      <alignment horizontal="center"/>
    </xf>
    <xf numFmtId="169" fontId="2" fillId="4" borderId="0" xfId="0" applyNumberFormat="1" applyFont="1" applyFill="1" applyBorder="1" applyAlignment="1">
      <alignment horizontal="center" vertical="center"/>
    </xf>
    <xf numFmtId="166" fontId="2" fillId="4" borderId="24" xfId="0" applyNumberFormat="1" applyFont="1" applyFill="1" applyBorder="1" applyAlignment="1">
      <alignment horizontal="center" vertical="center"/>
    </xf>
    <xf numFmtId="15" fontId="2" fillId="4" borderId="25" xfId="0" applyNumberFormat="1" applyFont="1" applyFill="1" applyBorder="1" applyAlignment="1">
      <alignment horizontal="center"/>
    </xf>
    <xf numFmtId="169" fontId="2" fillId="4" borderId="26" xfId="0" applyNumberFormat="1" applyFont="1" applyFill="1" applyBorder="1" applyAlignment="1">
      <alignment horizontal="center" vertical="center"/>
    </xf>
    <xf numFmtId="166" fontId="2" fillId="4" borderId="27" xfId="0" applyNumberFormat="1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11" fontId="2" fillId="4" borderId="0" xfId="0" applyNumberFormat="1" applyFont="1" applyFill="1" applyAlignment="1">
      <alignment horizontal="center" vertical="center"/>
    </xf>
    <xf numFmtId="15" fontId="2" fillId="4" borderId="11" xfId="0" applyNumberFormat="1" applyFont="1" applyFill="1" applyBorder="1" applyAlignment="1">
      <alignment horizontal="center" vertical="center"/>
    </xf>
    <xf numFmtId="15" fontId="2" fillId="4" borderId="13" xfId="0" applyNumberFormat="1" applyFont="1" applyFill="1" applyBorder="1" applyAlignment="1">
      <alignment horizontal="center" vertical="center"/>
    </xf>
    <xf numFmtId="15" fontId="2" fillId="4" borderId="25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5" borderId="28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15" fontId="2" fillId="7" borderId="13" xfId="0" applyNumberFormat="1" applyFont="1" applyFill="1" applyBorder="1" applyAlignment="1">
      <alignment horizontal="center" vertical="center"/>
    </xf>
    <xf numFmtId="166" fontId="2" fillId="7" borderId="24" xfId="0" applyNumberFormat="1" applyFont="1" applyFill="1" applyBorder="1" applyAlignment="1">
      <alignment horizontal="center" vertical="center"/>
    </xf>
    <xf numFmtId="15" fontId="2" fillId="7" borderId="25" xfId="0" applyNumberFormat="1" applyFont="1" applyFill="1" applyBorder="1" applyAlignment="1">
      <alignment horizontal="center" vertical="center"/>
    </xf>
    <xf numFmtId="166" fontId="2" fillId="7" borderId="27" xfId="0" applyNumberFormat="1" applyFont="1" applyFill="1" applyBorder="1" applyAlignment="1">
      <alignment horizontal="center" vertical="center"/>
    </xf>
    <xf numFmtId="168" fontId="2" fillId="4" borderId="12" xfId="0" applyNumberFormat="1" applyFont="1" applyFill="1" applyBorder="1" applyAlignment="1">
      <alignment horizontal="center" vertical="center"/>
    </xf>
    <xf numFmtId="168" fontId="2" fillId="4" borderId="0" xfId="0" applyNumberFormat="1" applyFont="1" applyFill="1" applyBorder="1" applyAlignment="1">
      <alignment horizontal="center" vertical="center"/>
    </xf>
    <xf numFmtId="168" fontId="2" fillId="4" borderId="26" xfId="0" applyNumberFormat="1" applyFont="1" applyFill="1" applyBorder="1" applyAlignment="1">
      <alignment horizontal="center" vertical="center"/>
    </xf>
    <xf numFmtId="168" fontId="2" fillId="7" borderId="0" xfId="0" applyNumberFormat="1" applyFont="1" applyFill="1" applyBorder="1" applyAlignment="1">
      <alignment horizontal="center" vertical="center"/>
    </xf>
    <xf numFmtId="168" fontId="2" fillId="7" borderId="26" xfId="0" applyNumberFormat="1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31" xfId="0" applyBorder="1"/>
    <xf numFmtId="0" fontId="8" fillId="0" borderId="31" xfId="0" applyFont="1" applyBorder="1"/>
    <xf numFmtId="0" fontId="0" fillId="0" borderId="32" xfId="0" applyBorder="1"/>
    <xf numFmtId="0" fontId="0" fillId="0" borderId="33" xfId="0" applyBorder="1"/>
    <xf numFmtId="0" fontId="2" fillId="4" borderId="33" xfId="0" applyFont="1" applyFill="1" applyBorder="1" applyAlignment="1">
      <alignment horizontal="center"/>
    </xf>
    <xf numFmtId="0" fontId="5" fillId="0" borderId="0" xfId="0" applyFont="1"/>
    <xf numFmtId="15" fontId="2" fillId="4" borderId="1" xfId="0" applyNumberFormat="1" applyFont="1" applyFill="1" applyBorder="1" applyAlignment="1">
      <alignment horizontal="center" vertical="center"/>
    </xf>
    <xf numFmtId="166" fontId="2" fillId="4" borderId="3" xfId="0" applyNumberFormat="1" applyFont="1" applyFill="1" applyBorder="1" applyAlignment="1">
      <alignment horizontal="center" vertical="center"/>
    </xf>
    <xf numFmtId="15" fontId="2" fillId="4" borderId="4" xfId="0" applyNumberFormat="1" applyFont="1" applyFill="1" applyBorder="1" applyAlignment="1">
      <alignment horizontal="center" vertical="center"/>
    </xf>
    <xf numFmtId="166" fontId="2" fillId="4" borderId="5" xfId="0" applyNumberFormat="1" applyFont="1" applyFill="1" applyBorder="1" applyAlignment="1">
      <alignment horizontal="center" vertical="center"/>
    </xf>
    <xf numFmtId="15" fontId="2" fillId="4" borderId="6" xfId="0" applyNumberFormat="1" applyFont="1" applyFill="1" applyBorder="1" applyAlignment="1">
      <alignment horizontal="center" vertical="center"/>
    </xf>
    <xf numFmtId="166" fontId="2" fillId="4" borderId="8" xfId="0" applyNumberFormat="1" applyFont="1" applyFill="1" applyBorder="1" applyAlignment="1">
      <alignment horizontal="center" vertical="center"/>
    </xf>
    <xf numFmtId="0" fontId="2" fillId="7" borderId="0" xfId="0" applyFont="1" applyFill="1"/>
    <xf numFmtId="0" fontId="2" fillId="0" borderId="0" xfId="0" applyFont="1"/>
    <xf numFmtId="0" fontId="0" fillId="0" borderId="0" xfId="0" applyFill="1" applyBorder="1"/>
    <xf numFmtId="0" fontId="2" fillId="4" borderId="32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/>
    <xf numFmtId="0" fontId="8" fillId="4" borderId="31" xfId="0" applyFont="1" applyFill="1" applyBorder="1" applyAlignment="1">
      <alignment horizontal="center" vertical="center"/>
    </xf>
    <xf numFmtId="10" fontId="2" fillId="4" borderId="0" xfId="0" applyNumberFormat="1" applyFont="1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0" fontId="0" fillId="0" borderId="0" xfId="0" applyFont="1"/>
    <xf numFmtId="0" fontId="1" fillId="2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10" fontId="2" fillId="4" borderId="19" xfId="0" applyNumberFormat="1" applyFont="1" applyFill="1" applyBorder="1" applyAlignment="1">
      <alignment horizontal="center" vertical="center"/>
    </xf>
    <xf numFmtId="11" fontId="0" fillId="0" borderId="0" xfId="0" applyNumberFormat="1"/>
    <xf numFmtId="166" fontId="2" fillId="4" borderId="0" xfId="0" applyNumberFormat="1" applyFont="1" applyFill="1" applyBorder="1" applyAlignment="1">
      <alignment horizontal="center" vertical="center"/>
    </xf>
    <xf numFmtId="166" fontId="2" fillId="4" borderId="7" xfId="0" applyNumberFormat="1" applyFont="1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10" fontId="2" fillId="4" borderId="9" xfId="0" applyNumberFormat="1" applyFont="1" applyFill="1" applyBorder="1" applyAlignment="1">
      <alignment horizontal="center" vertical="center"/>
    </xf>
    <xf numFmtId="10" fontId="2" fillId="4" borderId="34" xfId="0" applyNumberFormat="1" applyFont="1" applyFill="1" applyBorder="1" applyAlignment="1">
      <alignment horizontal="center" vertical="center"/>
    </xf>
    <xf numFmtId="10" fontId="2" fillId="4" borderId="10" xfId="0" applyNumberFormat="1" applyFont="1" applyFill="1" applyBorder="1" applyAlignment="1">
      <alignment horizontal="center" vertical="center"/>
    </xf>
    <xf numFmtId="164" fontId="2" fillId="4" borderId="20" xfId="0" applyNumberFormat="1" applyFont="1" applyFill="1" applyBorder="1" applyAlignment="1">
      <alignment horizontal="center" vertical="center"/>
    </xf>
    <xf numFmtId="164" fontId="2" fillId="4" borderId="21" xfId="0" applyNumberFormat="1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35" xfId="0" applyBorder="1"/>
    <xf numFmtId="0" fontId="2" fillId="4" borderId="36" xfId="0" applyFont="1" applyFill="1" applyBorder="1" applyAlignment="1">
      <alignment horizontal="center" vertical="center"/>
    </xf>
    <xf numFmtId="0" fontId="0" fillId="0" borderId="37" xfId="0" applyBorder="1"/>
    <xf numFmtId="0" fontId="9" fillId="2" borderId="38" xfId="0" applyFont="1" applyFill="1" applyBorder="1" applyAlignment="1">
      <alignment horizontal="center" vertical="center"/>
    </xf>
    <xf numFmtId="0" fontId="0" fillId="0" borderId="39" xfId="0" applyBorder="1"/>
    <xf numFmtId="11" fontId="2" fillId="4" borderId="40" xfId="0" applyNumberFormat="1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Examples\Curve\USD_SWAP_CURVE_JACOBIAN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USD_OIS_CURVE"/>
      <sheetName val="USD_CURVE_DISPLAY"/>
      <sheetName val="USD_CURVE_OIS_DF_JACOBIAN"/>
      <sheetName val="USD_CURVE_OIS_FWD_JACOBIAN"/>
      <sheetName val="USD_OIS_JACOBIAN_IMPLIED_FWDS"/>
      <sheetName val="USD_OIS_SWAPS"/>
      <sheetName val="USD_5Y_OIS_RISK"/>
      <sheetName val="USD_OIS_JACOBIAN_RISK"/>
      <sheetName val="USD_SWAP_CURVE"/>
      <sheetName val="USD_CURVE_LIBOR_FWD_JACOBIAN"/>
      <sheetName val="USD_IRS_SWAPS"/>
      <sheetName val="USD_5Y_IRS_RISK"/>
      <sheetName val="USD_5Y_JACOBIAN_RISK"/>
    </sheetNames>
    <sheetDataSet>
      <sheetData sheetId="0" refreshError="1">
        <row r="6">
          <cell r="B6">
            <v>9.9999999999999995E-7</v>
          </cell>
        </row>
      </sheetData>
      <sheetData sheetId="1" refreshError="1"/>
      <sheetData sheetId="2" refreshError="1"/>
      <sheetData sheetId="3">
        <row r="4">
          <cell r="AF4">
            <v>0</v>
          </cell>
          <cell r="AG4">
            <v>0</v>
          </cell>
        </row>
        <row r="5">
          <cell r="AF5">
            <v>2.7397260273972603E-3</v>
          </cell>
          <cell r="AG5">
            <v>-2.7774097599575498E-7</v>
          </cell>
        </row>
        <row r="6">
          <cell r="AF6">
            <v>5.4794520547945206E-3</v>
          </cell>
          <cell r="AG6">
            <v>-5.5544515376038106E-7</v>
          </cell>
        </row>
        <row r="7">
          <cell r="AF7">
            <v>1.0136986301369864</v>
          </cell>
          <cell r="AG7">
            <v>-3.2788295987185023E-6</v>
          </cell>
        </row>
        <row r="8">
          <cell r="AF8">
            <v>2.0109589041095894</v>
          </cell>
          <cell r="AG8">
            <v>-2.4060670890468927E-4</v>
          </cell>
        </row>
        <row r="9">
          <cell r="AF9">
            <v>3.0082191780821921</v>
          </cell>
          <cell r="AG9">
            <v>-3.321800603190983E-4</v>
          </cell>
        </row>
        <row r="10">
          <cell r="AF10">
            <v>4.0082191780821921</v>
          </cell>
          <cell r="AG10">
            <v>-3.806318346275539E-4</v>
          </cell>
        </row>
        <row r="11">
          <cell r="AF11">
            <v>5.0109589041095894</v>
          </cell>
          <cell r="AG11">
            <v>-4.6807693609818291E-4</v>
          </cell>
        </row>
        <row r="16">
          <cell r="J16" t="str">
            <v>Term</v>
          </cell>
          <cell r="K16" t="str">
            <v>ON</v>
          </cell>
          <cell r="L16" t="str">
            <v>1Y</v>
          </cell>
          <cell r="M16" t="str">
            <v>2Y</v>
          </cell>
          <cell r="N16" t="str">
            <v>3Y</v>
          </cell>
          <cell r="O16" t="str">
            <v>4Y</v>
          </cell>
          <cell r="P16" t="str">
            <v>5Y</v>
          </cell>
        </row>
        <row r="17"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J18">
            <v>2.7397260273972603E-3</v>
          </cell>
          <cell r="K18">
            <v>-2.7774057498319854E-7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J19">
            <v>5.4794520547945206E-3</v>
          </cell>
          <cell r="K19">
            <v>-5.5544396859730227E-7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J20">
            <v>1.010958904109589</v>
          </cell>
          <cell r="K20">
            <v>-5.4555860939942136E-7</v>
          </cell>
          <cell r="L20">
            <v>-1.0010548630035032E-4</v>
          </cell>
          <cell r="M20">
            <v>4.0661918276896363E-10</v>
          </cell>
          <cell r="N20">
            <v>-4.92916818473077E-10</v>
          </cell>
          <cell r="O20">
            <v>5.3672621902478578E-10</v>
          </cell>
          <cell r="P20">
            <v>-4.1314729415375956E-10</v>
          </cell>
        </row>
        <row r="21">
          <cell r="J21">
            <v>2.0082191780821921</v>
          </cell>
          <cell r="K21">
            <v>-5.3780636610767374E-7</v>
          </cell>
          <cell r="L21">
            <v>1.2509385749481796E-6</v>
          </cell>
          <cell r="M21">
            <v>-1.9763924787863374E-4</v>
          </cell>
          <cell r="N21">
            <v>-1.7937873408868654E-9</v>
          </cell>
          <cell r="O21">
            <v>1.009181627154021E-9</v>
          </cell>
          <cell r="P21">
            <v>-4.188094315793478E-10</v>
          </cell>
        </row>
        <row r="22">
          <cell r="J22">
            <v>3.0082191780821921</v>
          </cell>
          <cell r="K22">
            <v>-5.2988262666531238E-7</v>
          </cell>
          <cell r="L22">
            <v>1.190339105061611E-6</v>
          </cell>
          <cell r="M22">
            <v>3.1732910077408864E-6</v>
          </cell>
          <cell r="N22">
            <v>-2.9443793713168637E-4</v>
          </cell>
          <cell r="O22">
            <v>2.2383428444072706E-9</v>
          </cell>
          <cell r="P22">
            <v>-9.0178975398202975E-10</v>
          </cell>
        </row>
        <row r="23">
          <cell r="J23">
            <v>4.0082191780821921</v>
          </cell>
          <cell r="K23">
            <v>-5.216694187737404E-7</v>
          </cell>
          <cell r="L23">
            <v>1.1700627577937439E-6</v>
          </cell>
          <cell r="M23">
            <v>3.1204466233170085E-6</v>
          </cell>
          <cell r="N23">
            <v>4.8087605009072831E-6</v>
          </cell>
          <cell r="O23">
            <v>-3.8986581593070119E-4</v>
          </cell>
          <cell r="P23">
            <v>-8.2883699903391072E-10</v>
          </cell>
        </row>
        <row r="24">
          <cell r="J24">
            <v>5.0109589041095894</v>
          </cell>
          <cell r="K24">
            <v>-5.1296457082017355E-7</v>
          </cell>
          <cell r="L24">
            <v>1.1731348559251842E-6</v>
          </cell>
          <cell r="M24">
            <v>3.1123096655427678E-6</v>
          </cell>
          <cell r="N24">
            <v>4.795562114079388E-6</v>
          </cell>
          <cell r="O24">
            <v>6.6170034451751292E-6</v>
          </cell>
          <cell r="P24">
            <v>-4.8418921747561683E-4</v>
          </cell>
        </row>
      </sheetData>
      <sheetData sheetId="4" refreshError="1"/>
      <sheetData sheetId="5" refreshError="1"/>
      <sheetData sheetId="6" refreshError="1"/>
      <sheetData sheetId="7">
        <row r="41">
          <cell r="C41">
            <v>4.0583333333333336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8"/>
  <sheetViews>
    <sheetView showGridLines="0" workbookViewId="0"/>
  </sheetViews>
  <sheetFormatPr defaultRowHeight="15" x14ac:dyDescent="0.25"/>
  <cols>
    <col min="2" max="2" width="19.42578125" bestFit="1" customWidth="1"/>
    <col min="3" max="3" width="14.42578125" customWidth="1"/>
    <col min="6" max="7" width="25.140625" bestFit="1" customWidth="1"/>
  </cols>
  <sheetData>
    <row r="2" spans="2:8" x14ac:dyDescent="0.25">
      <c r="B2" s="1" t="s">
        <v>83</v>
      </c>
      <c r="C2" s="166">
        <v>43665</v>
      </c>
      <c r="E2" s="115" t="s">
        <v>121</v>
      </c>
    </row>
    <row r="3" spans="2:8" x14ac:dyDescent="0.25">
      <c r="E3" s="64"/>
      <c r="F3" s="67"/>
      <c r="G3" s="67"/>
      <c r="H3" s="68"/>
    </row>
    <row r="4" spans="2:8" x14ac:dyDescent="0.25">
      <c r="B4" s="1" t="s">
        <v>84</v>
      </c>
      <c r="E4" s="69"/>
      <c r="F4" s="116" t="str">
        <f ca="1">E2</f>
        <v>OIS CURVE TEMPLATE</v>
      </c>
      <c r="G4" s="72"/>
      <c r="H4" s="74"/>
    </row>
    <row r="5" spans="2:8" x14ac:dyDescent="0.25">
      <c r="B5" s="193" t="s">
        <v>59</v>
      </c>
      <c r="C5" s="192">
        <v>1E-4</v>
      </c>
      <c r="E5" s="69"/>
      <c r="F5" s="87" t="s">
        <v>87</v>
      </c>
      <c r="G5" s="117" t="str">
        <f ca="1">_xll.meLWOCurveGeneratorCreate(G6,F9,F10:G17,F19,F20:G37)</f>
        <v>USD_OIS_CURVE@1:2</v>
      </c>
      <c r="H5" s="74"/>
    </row>
    <row r="6" spans="2:8" x14ac:dyDescent="0.25">
      <c r="B6" t="s">
        <v>58</v>
      </c>
      <c r="C6" s="55">
        <v>9.9999999999999995E-7</v>
      </c>
      <c r="E6" s="69"/>
      <c r="F6" s="118" t="s">
        <v>88</v>
      </c>
      <c r="G6" s="119" t="s">
        <v>72</v>
      </c>
      <c r="H6" s="74"/>
    </row>
    <row r="7" spans="2:8" x14ac:dyDescent="0.25">
      <c r="E7" s="69"/>
      <c r="F7" s="89"/>
      <c r="G7" s="120"/>
      <c r="H7" s="74" t="s">
        <v>18</v>
      </c>
    </row>
    <row r="8" spans="2:8" x14ac:dyDescent="0.25">
      <c r="E8" s="69"/>
      <c r="F8" s="72"/>
      <c r="G8" s="72"/>
      <c r="H8" s="74"/>
    </row>
    <row r="9" spans="2:8" x14ac:dyDescent="0.25">
      <c r="E9" s="69"/>
      <c r="F9" s="70" t="s">
        <v>89</v>
      </c>
      <c r="G9" s="72"/>
      <c r="H9" s="74"/>
    </row>
    <row r="10" spans="2:8" x14ac:dyDescent="0.25">
      <c r="E10" s="69"/>
      <c r="F10" s="121" t="s">
        <v>21</v>
      </c>
      <c r="G10" s="122" t="s">
        <v>10</v>
      </c>
      <c r="H10" s="74"/>
    </row>
    <row r="11" spans="2:8" x14ac:dyDescent="0.25">
      <c r="E11" s="69"/>
      <c r="F11" s="123" t="s">
        <v>68</v>
      </c>
      <c r="G11" s="124" t="s">
        <v>69</v>
      </c>
      <c r="H11" s="74"/>
    </row>
    <row r="12" spans="2:8" x14ac:dyDescent="0.25">
      <c r="E12" s="69"/>
      <c r="F12" s="123" t="s">
        <v>90</v>
      </c>
      <c r="G12" s="124" t="s">
        <v>10</v>
      </c>
      <c r="H12" s="74"/>
    </row>
    <row r="13" spans="2:8" x14ac:dyDescent="0.25">
      <c r="E13" s="69"/>
      <c r="F13" s="123" t="s">
        <v>91</v>
      </c>
      <c r="G13" s="124" t="s">
        <v>92</v>
      </c>
      <c r="H13" s="74" t="s">
        <v>18</v>
      </c>
    </row>
    <row r="14" spans="2:8" x14ac:dyDescent="0.25">
      <c r="E14" s="69"/>
      <c r="F14" s="123" t="s">
        <v>66</v>
      </c>
      <c r="G14" s="125" t="s">
        <v>67</v>
      </c>
      <c r="H14" s="74"/>
    </row>
    <row r="15" spans="2:8" x14ac:dyDescent="0.25">
      <c r="E15" s="69"/>
      <c r="F15" s="126" t="s">
        <v>93</v>
      </c>
      <c r="G15" s="125" t="s">
        <v>94</v>
      </c>
      <c r="H15" s="74"/>
    </row>
    <row r="16" spans="2:8" x14ac:dyDescent="0.25">
      <c r="E16" s="69"/>
      <c r="F16" s="123" t="s">
        <v>95</v>
      </c>
      <c r="G16" s="125" t="s">
        <v>94</v>
      </c>
      <c r="H16" s="74"/>
    </row>
    <row r="17" spans="5:8" x14ac:dyDescent="0.25">
      <c r="E17" s="69"/>
      <c r="F17" s="127"/>
      <c r="G17" s="128"/>
      <c r="H17" s="74"/>
    </row>
    <row r="18" spans="5:8" x14ac:dyDescent="0.25">
      <c r="E18" s="69"/>
      <c r="F18" s="72"/>
      <c r="G18" s="72"/>
      <c r="H18" s="74"/>
    </row>
    <row r="19" spans="5:8" x14ac:dyDescent="0.25">
      <c r="E19" s="69"/>
      <c r="F19" s="70" t="s">
        <v>10</v>
      </c>
      <c r="G19" s="72"/>
      <c r="H19" s="74"/>
    </row>
    <row r="20" spans="5:8" x14ac:dyDescent="0.25">
      <c r="E20" s="69"/>
      <c r="F20" s="129" t="s">
        <v>96</v>
      </c>
      <c r="G20" s="130" t="s">
        <v>30</v>
      </c>
      <c r="H20" s="74"/>
    </row>
    <row r="21" spans="5:8" x14ac:dyDescent="0.25">
      <c r="E21" s="69"/>
      <c r="F21" s="131" t="s">
        <v>97</v>
      </c>
      <c r="G21" s="132" t="s">
        <v>25</v>
      </c>
      <c r="H21" s="74"/>
    </row>
    <row r="22" spans="5:8" x14ac:dyDescent="0.25">
      <c r="E22" s="69"/>
      <c r="F22" s="131" t="s">
        <v>98</v>
      </c>
      <c r="G22" s="132" t="s">
        <v>99</v>
      </c>
      <c r="H22" s="74"/>
    </row>
    <row r="23" spans="5:8" x14ac:dyDescent="0.25">
      <c r="E23" s="69"/>
      <c r="F23" s="131" t="s">
        <v>100</v>
      </c>
      <c r="G23" s="132" t="s">
        <v>101</v>
      </c>
      <c r="H23" s="74"/>
    </row>
    <row r="24" spans="5:8" x14ac:dyDescent="0.25">
      <c r="E24" s="69"/>
      <c r="F24" s="131" t="s">
        <v>102</v>
      </c>
      <c r="G24" s="132" t="s">
        <v>103</v>
      </c>
      <c r="H24" s="74"/>
    </row>
    <row r="25" spans="5:8" x14ac:dyDescent="0.25">
      <c r="E25" s="69"/>
      <c r="F25" s="131" t="s">
        <v>104</v>
      </c>
      <c r="G25" s="132" t="s">
        <v>105</v>
      </c>
      <c r="H25" s="74"/>
    </row>
    <row r="26" spans="5:8" x14ac:dyDescent="0.25">
      <c r="E26" s="69"/>
      <c r="F26" s="131" t="s">
        <v>106</v>
      </c>
      <c r="G26" s="132" t="s">
        <v>29</v>
      </c>
      <c r="H26" s="74"/>
    </row>
    <row r="27" spans="5:8" x14ac:dyDescent="0.25">
      <c r="E27" s="69"/>
      <c r="F27" s="131" t="s">
        <v>107</v>
      </c>
      <c r="G27" s="125">
        <v>31</v>
      </c>
      <c r="H27" s="74"/>
    </row>
    <row r="28" spans="5:8" x14ac:dyDescent="0.25">
      <c r="E28" s="69"/>
      <c r="F28" s="131" t="s">
        <v>108</v>
      </c>
      <c r="G28" s="133" t="b">
        <v>1</v>
      </c>
      <c r="H28" s="74"/>
    </row>
    <row r="29" spans="5:8" x14ac:dyDescent="0.25">
      <c r="E29" s="69"/>
      <c r="F29" s="131" t="s">
        <v>109</v>
      </c>
      <c r="G29" s="132" t="s">
        <v>110</v>
      </c>
      <c r="H29" s="74"/>
    </row>
    <row r="30" spans="5:8" x14ac:dyDescent="0.25">
      <c r="E30" s="69"/>
      <c r="F30" s="131" t="s">
        <v>111</v>
      </c>
      <c r="G30" s="132" t="s">
        <v>112</v>
      </c>
      <c r="H30" s="74"/>
    </row>
    <row r="31" spans="5:8" x14ac:dyDescent="0.25">
      <c r="E31" s="69"/>
      <c r="F31" s="123" t="s">
        <v>113</v>
      </c>
      <c r="G31" s="132" t="s">
        <v>114</v>
      </c>
      <c r="H31" s="74"/>
    </row>
    <row r="32" spans="5:8" x14ac:dyDescent="0.25">
      <c r="E32" s="69"/>
      <c r="F32" s="131" t="s">
        <v>115</v>
      </c>
      <c r="G32" s="132" t="s">
        <v>112</v>
      </c>
      <c r="H32" s="74"/>
    </row>
    <row r="33" spans="5:8" x14ac:dyDescent="0.25">
      <c r="E33" s="69"/>
      <c r="F33" s="131" t="s">
        <v>116</v>
      </c>
      <c r="G33" s="132">
        <v>1E-10</v>
      </c>
      <c r="H33" s="74"/>
    </row>
    <row r="34" spans="5:8" x14ac:dyDescent="0.25">
      <c r="E34" s="69"/>
      <c r="F34" s="131" t="s">
        <v>117</v>
      </c>
      <c r="G34" s="132">
        <v>1000</v>
      </c>
      <c r="H34" s="74"/>
    </row>
    <row r="35" spans="5:8" x14ac:dyDescent="0.25">
      <c r="E35" s="69"/>
      <c r="F35" s="131" t="s">
        <v>118</v>
      </c>
      <c r="G35" s="134" t="s">
        <v>119</v>
      </c>
      <c r="H35" s="74"/>
    </row>
    <row r="36" spans="5:8" x14ac:dyDescent="0.25">
      <c r="E36" s="69"/>
      <c r="F36" s="131" t="s">
        <v>120</v>
      </c>
      <c r="G36" s="132" t="b">
        <v>1</v>
      </c>
      <c r="H36" s="74"/>
    </row>
    <row r="37" spans="5:8" x14ac:dyDescent="0.25">
      <c r="E37" s="69"/>
      <c r="F37" s="135"/>
      <c r="G37" s="136"/>
      <c r="H37" s="74"/>
    </row>
    <row r="38" spans="5:8" x14ac:dyDescent="0.25">
      <c r="E38" s="112"/>
      <c r="F38" s="113"/>
      <c r="G38" s="113"/>
      <c r="H38" s="1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2"/>
  <sheetViews>
    <sheetView showGridLines="0" workbookViewId="0"/>
  </sheetViews>
  <sheetFormatPr defaultRowHeight="15" x14ac:dyDescent="0.25"/>
  <cols>
    <col min="1" max="1" width="9.140625" customWidth="1"/>
    <col min="2" max="2" width="16.42578125" customWidth="1"/>
    <col min="3" max="3" width="18.42578125" customWidth="1"/>
    <col min="4" max="4" width="9.140625" customWidth="1"/>
    <col min="5" max="5" width="20" bestFit="1" customWidth="1"/>
    <col min="6" max="6" width="18.7109375" customWidth="1"/>
    <col min="7" max="7" width="9.140625" customWidth="1"/>
    <col min="8" max="8" width="18.7109375" customWidth="1"/>
    <col min="9" max="9" width="14.28515625" bestFit="1" customWidth="1"/>
    <col min="10" max="10" width="9.140625" customWidth="1"/>
    <col min="11" max="11" width="18" customWidth="1"/>
    <col min="12" max="12" width="14.28515625" bestFit="1" customWidth="1"/>
    <col min="13" max="13" width="9.140625" customWidth="1"/>
    <col min="14" max="15" width="15.7109375" customWidth="1"/>
    <col min="16" max="16" width="9.140625" customWidth="1"/>
  </cols>
  <sheetData>
    <row r="2" spans="2:6" x14ac:dyDescent="0.25">
      <c r="B2" s="1" t="s">
        <v>45</v>
      </c>
      <c r="F2" s="11" t="s">
        <v>17</v>
      </c>
    </row>
    <row r="3" spans="2:6" x14ac:dyDescent="0.25">
      <c r="B3" s="188" t="str">
        <f t="array" aca="1" ref="B3:B4" ca="1">IF(F3,_xll.meCurveResultsDiscountFactorsUpdate(B7:C10,B14:C20,B25:C32),"Disabled")</f>
        <v>Curve Discount Factor Results Updated: USDYC:OIS:8</v>
      </c>
      <c r="C3" s="6"/>
      <c r="F3" s="12" t="b">
        <v>1</v>
      </c>
    </row>
    <row r="4" spans="2:6" x14ac:dyDescent="0.25">
      <c r="B4" s="189" t="str">
        <f ca="1"/>
        <v>Time Taken: 0.000000 seconds</v>
      </c>
      <c r="C4" s="6"/>
    </row>
    <row r="6" spans="2:6" x14ac:dyDescent="0.25">
      <c r="B6" s="1" t="s">
        <v>13</v>
      </c>
      <c r="E6" s="11" t="s">
        <v>17</v>
      </c>
      <c r="F6" s="1" t="s">
        <v>12</v>
      </c>
    </row>
    <row r="7" spans="2:6" x14ac:dyDescent="0.25">
      <c r="B7" t="s">
        <v>0</v>
      </c>
      <c r="C7" s="4" t="s">
        <v>9</v>
      </c>
      <c r="E7" s="3" t="b">
        <v>0</v>
      </c>
      <c r="F7" s="167" t="str">
        <f ca="1">IF(E7,_xll.meCurveResultsDelete(C7,C8),"Disabled")</f>
        <v>Disabled</v>
      </c>
    </row>
    <row r="8" spans="2:6" x14ac:dyDescent="0.25">
      <c r="B8" t="s">
        <v>1</v>
      </c>
      <c r="C8" s="4" t="s">
        <v>10</v>
      </c>
      <c r="E8" s="3" t="b">
        <v>0</v>
      </c>
      <c r="F8" s="167" t="str">
        <f ca="1">IF(E8,_xll.meCurveResultsDeleteAll(),"Disabled")</f>
        <v>Disabled</v>
      </c>
    </row>
    <row r="9" spans="2:6" x14ac:dyDescent="0.25">
      <c r="B9" t="s">
        <v>19</v>
      </c>
      <c r="C9" s="4" t="s">
        <v>20</v>
      </c>
    </row>
    <row r="10" spans="2:6" x14ac:dyDescent="0.25">
      <c r="B10" t="s">
        <v>21</v>
      </c>
      <c r="C10" s="4" t="s">
        <v>22</v>
      </c>
    </row>
    <row r="13" spans="2:6" x14ac:dyDescent="0.25">
      <c r="B13" s="1" t="s">
        <v>14</v>
      </c>
      <c r="E13" s="1" t="s">
        <v>14</v>
      </c>
    </row>
    <row r="14" spans="2:6" x14ac:dyDescent="0.25">
      <c r="B14" t="s">
        <v>2</v>
      </c>
      <c r="C14" s="10">
        <f ca="1">Settings.COB</f>
        <v>43665</v>
      </c>
      <c r="E14" t="s">
        <v>2</v>
      </c>
      <c r="F14" s="10">
        <f ca="1">C14</f>
        <v>43665</v>
      </c>
    </row>
    <row r="15" spans="2:6" x14ac:dyDescent="0.25">
      <c r="B15" t="s">
        <v>23</v>
      </c>
      <c r="C15" s="10">
        <f ca="1">_xll.meDateFromTenor(C14,D15,"FOLLOWING","NYB")</f>
        <v>43669</v>
      </c>
      <c r="D15" s="1" t="s">
        <v>127</v>
      </c>
      <c r="E15" t="s">
        <v>23</v>
      </c>
      <c r="F15" s="10">
        <f ca="1">C15</f>
        <v>43669</v>
      </c>
    </row>
    <row r="16" spans="2:6" x14ac:dyDescent="0.25">
      <c r="B16" t="s">
        <v>3</v>
      </c>
      <c r="C16" s="10">
        <f ca="1">C14</f>
        <v>43665</v>
      </c>
      <c r="E16" t="s">
        <v>3</v>
      </c>
      <c r="F16" s="10">
        <f ca="1">F14</f>
        <v>43665</v>
      </c>
    </row>
    <row r="17" spans="2:16" x14ac:dyDescent="0.25">
      <c r="B17" t="s">
        <v>11</v>
      </c>
      <c r="C17" s="3" t="s">
        <v>8</v>
      </c>
      <c r="E17" t="s">
        <v>4</v>
      </c>
      <c r="F17" s="3" t="s">
        <v>8</v>
      </c>
    </row>
    <row r="18" spans="2:16" x14ac:dyDescent="0.25">
      <c r="B18" t="s">
        <v>24</v>
      </c>
      <c r="C18" s="4" t="s">
        <v>25</v>
      </c>
      <c r="E18" t="s">
        <v>24</v>
      </c>
      <c r="F18" s="4" t="s">
        <v>25</v>
      </c>
    </row>
    <row r="19" spans="2:16" x14ac:dyDescent="0.25">
      <c r="B19" t="s">
        <v>27</v>
      </c>
      <c r="C19" s="4" t="s">
        <v>29</v>
      </c>
    </row>
    <row r="20" spans="2:16" x14ac:dyDescent="0.25">
      <c r="B20" t="s">
        <v>28</v>
      </c>
      <c r="C20" s="4" t="s">
        <v>30</v>
      </c>
    </row>
    <row r="22" spans="2:16" x14ac:dyDescent="0.25">
      <c r="H22" s="17"/>
    </row>
    <row r="23" spans="2:16" x14ac:dyDescent="0.25">
      <c r="B23" s="1" t="s">
        <v>14</v>
      </c>
      <c r="E23" s="1" t="s">
        <v>15</v>
      </c>
      <c r="H23" s="7" t="s">
        <v>42</v>
      </c>
      <c r="K23" s="7" t="s">
        <v>16</v>
      </c>
      <c r="L23" s="7"/>
      <c r="N23" s="7" t="s">
        <v>43</v>
      </c>
      <c r="O23" s="7"/>
    </row>
    <row r="24" spans="2:16" x14ac:dyDescent="0.25">
      <c r="B24" s="2" t="s">
        <v>5</v>
      </c>
      <c r="C24" s="2" t="s">
        <v>6</v>
      </c>
      <c r="E24" s="2" t="s">
        <v>26</v>
      </c>
      <c r="F24" s="2" t="s">
        <v>7</v>
      </c>
      <c r="H24" s="2" t="s">
        <v>5</v>
      </c>
      <c r="I24" s="2" t="s">
        <v>6</v>
      </c>
      <c r="K24" s="2" t="s">
        <v>5</v>
      </c>
      <c r="L24" s="2" t="s">
        <v>6</v>
      </c>
      <c r="M24" s="2"/>
      <c r="N24" s="2" t="s">
        <v>26</v>
      </c>
      <c r="O24" s="2" t="s">
        <v>7</v>
      </c>
      <c r="P24" s="2"/>
    </row>
    <row r="25" spans="2:16" x14ac:dyDescent="0.25">
      <c r="B25" s="14">
        <v>43665</v>
      </c>
      <c r="C25" s="9">
        <v>1</v>
      </c>
      <c r="E25" s="14">
        <v>43665</v>
      </c>
      <c r="F25" s="5">
        <f t="shared" ref="F25:F32" ca="1" si="0">-LN(C25)/((E25-$F$14+1)/365.25)</f>
        <v>0</v>
      </c>
      <c r="G25" t="s">
        <v>18</v>
      </c>
      <c r="H25" s="10">
        <f t="array" aca="1" ref="H25:I32" ca="1">_xll.meCurveResultsDiscountFactorsDisplayAll(C7,C8)</f>
        <v>43665</v>
      </c>
      <c r="I25" s="8">
        <f ca="1"/>
        <v>1</v>
      </c>
      <c r="J25" t="s">
        <v>18</v>
      </c>
      <c r="K25" s="14">
        <v>43658</v>
      </c>
      <c r="L25" s="8">
        <f t="array" aca="1" ref="L25:L32" ca="1">_xll.meCurveResultsDiscountFactorsDisplay(C7,C8,K25:K32)</f>
        <v>0</v>
      </c>
      <c r="N25" s="14">
        <v>43658</v>
      </c>
      <c r="O25" s="13">
        <f t="array" aca="1" ref="O25:O32" ca="1">_xll.meCurveResultsForwardRatesDisplay($C$7,$C$8,$N$25:$N$32)</f>
        <v>0</v>
      </c>
    </row>
    <row r="26" spans="2:16" x14ac:dyDescent="0.25">
      <c r="B26" s="14">
        <v>43668</v>
      </c>
      <c r="C26" s="9">
        <v>0.99993306003681415</v>
      </c>
      <c r="E26" s="14">
        <v>43668</v>
      </c>
      <c r="F26" s="5">
        <f t="shared" ca="1" si="0"/>
        <v>6.1126599813078383E-3</v>
      </c>
      <c r="G26" t="s">
        <v>18</v>
      </c>
      <c r="H26" s="10">
        <f ca="1"/>
        <v>43668</v>
      </c>
      <c r="I26" s="8">
        <f ca="1"/>
        <v>0.99993306003681404</v>
      </c>
      <c r="J26" t="s">
        <v>18</v>
      </c>
      <c r="K26" s="14">
        <v>43661</v>
      </c>
      <c r="L26" s="8">
        <f ca="1"/>
        <v>0</v>
      </c>
      <c r="N26" s="14">
        <v>43661</v>
      </c>
      <c r="O26" s="13">
        <f ca="1"/>
        <v>0</v>
      </c>
    </row>
    <row r="27" spans="2:16" x14ac:dyDescent="0.25">
      <c r="B27" s="14">
        <v>43669</v>
      </c>
      <c r="C27" s="9">
        <v>0.99986612455458701</v>
      </c>
      <c r="E27" s="14">
        <v>43669</v>
      </c>
      <c r="F27" s="5">
        <f t="shared" ca="1" si="0"/>
        <v>9.7802559700893368E-3</v>
      </c>
      <c r="G27" t="s">
        <v>18</v>
      </c>
      <c r="H27" s="10">
        <f ca="1"/>
        <v>43669</v>
      </c>
      <c r="I27" s="8">
        <f ca="1"/>
        <v>0.99986612455458701</v>
      </c>
      <c r="J27" t="s">
        <v>18</v>
      </c>
      <c r="K27" s="14">
        <v>43662</v>
      </c>
      <c r="L27" s="8">
        <f ca="1"/>
        <v>0</v>
      </c>
      <c r="N27" s="14">
        <v>43662</v>
      </c>
      <c r="O27" s="13">
        <f ca="1"/>
        <v>0</v>
      </c>
    </row>
    <row r="28" spans="2:16" x14ac:dyDescent="0.25">
      <c r="B28" s="14">
        <v>44035</v>
      </c>
      <c r="C28" s="9">
        <v>0.98215028473083199</v>
      </c>
      <c r="E28" s="14">
        <v>44035</v>
      </c>
      <c r="F28" s="5">
        <f t="shared" ca="1" si="0"/>
        <v>1.7731797554862091E-2</v>
      </c>
      <c r="G28" t="s">
        <v>18</v>
      </c>
      <c r="H28" s="10">
        <f ca="1"/>
        <v>44035</v>
      </c>
      <c r="I28" s="8">
        <f ca="1"/>
        <v>0.98215028473083199</v>
      </c>
      <c r="J28" t="s">
        <v>18</v>
      </c>
      <c r="K28" s="14">
        <v>44028</v>
      </c>
      <c r="L28" s="8">
        <f ca="1"/>
        <v>0.9824101869580194</v>
      </c>
      <c r="N28" s="14">
        <v>44028</v>
      </c>
      <c r="O28" s="13">
        <f ca="1"/>
        <v>1.3599678631397487E-2</v>
      </c>
    </row>
    <row r="29" spans="2:16" x14ac:dyDescent="0.25">
      <c r="B29" s="14">
        <v>44400</v>
      </c>
      <c r="C29" s="9">
        <v>0.96823758904318402</v>
      </c>
      <c r="E29" s="14">
        <v>44400</v>
      </c>
      <c r="F29" s="5">
        <f t="shared" ca="1" si="0"/>
        <v>1.6018286184737267E-2</v>
      </c>
      <c r="G29" t="s">
        <v>18</v>
      </c>
      <c r="H29" s="10">
        <f ca="1"/>
        <v>44400</v>
      </c>
      <c r="I29" s="8">
        <f ca="1"/>
        <v>0.96823758904318402</v>
      </c>
      <c r="J29" t="s">
        <v>18</v>
      </c>
      <c r="K29" s="14">
        <v>44393</v>
      </c>
      <c r="L29" s="8">
        <f ca="1"/>
        <v>0.96850712408847506</v>
      </c>
      <c r="N29" s="14">
        <v>44393</v>
      </c>
      <c r="O29" s="13">
        <f ca="1"/>
        <v>1.4314175068213026E-2</v>
      </c>
    </row>
    <row r="30" spans="2:16" x14ac:dyDescent="0.25">
      <c r="B30" s="14">
        <v>44767</v>
      </c>
      <c r="C30" s="9">
        <v>0.95413870881628893</v>
      </c>
      <c r="E30" s="14">
        <v>44767</v>
      </c>
      <c r="F30" s="5">
        <f t="shared" ca="1" si="0"/>
        <v>1.5545881439610403E-2</v>
      </c>
      <c r="G30" t="s">
        <v>18</v>
      </c>
      <c r="H30" s="10">
        <f ca="1"/>
        <v>44767</v>
      </c>
      <c r="I30" s="8">
        <f ca="1"/>
        <v>0.95413870881628904</v>
      </c>
      <c r="J30" t="s">
        <v>18</v>
      </c>
      <c r="K30" s="14">
        <v>44760</v>
      </c>
      <c r="L30" s="8">
        <f ca="1"/>
        <v>0.95440778447644992</v>
      </c>
      <c r="N30" s="14">
        <v>44760</v>
      </c>
      <c r="O30" s="13">
        <f ca="1"/>
        <v>1.4499000283585469E-2</v>
      </c>
    </row>
    <row r="31" spans="2:16" x14ac:dyDescent="0.25">
      <c r="B31" s="14">
        <v>45131</v>
      </c>
      <c r="C31" s="9">
        <v>0.93988152609624687</v>
      </c>
      <c r="E31" s="14">
        <v>45131</v>
      </c>
      <c r="F31" s="5">
        <f t="shared" ca="1" si="0"/>
        <v>1.5436965768958434E-2</v>
      </c>
      <c r="G31" t="s">
        <v>18</v>
      </c>
      <c r="H31" s="10">
        <f ca="1"/>
        <v>45131</v>
      </c>
      <c r="I31" s="8">
        <f ca="1"/>
        <v>0.93988152609624698</v>
      </c>
      <c r="J31" t="s">
        <v>18</v>
      </c>
      <c r="K31" s="14">
        <v>45124</v>
      </c>
      <c r="L31" s="8">
        <f ca="1"/>
        <v>0.9401646716110007</v>
      </c>
      <c r="N31" s="14">
        <v>45124</v>
      </c>
      <c r="O31" s="13">
        <f ca="1"/>
        <v>1.547727781241268E-2</v>
      </c>
    </row>
    <row r="32" spans="2:16" x14ac:dyDescent="0.25">
      <c r="B32" s="14">
        <v>45496</v>
      </c>
      <c r="C32" s="9">
        <v>0.92463829194103664</v>
      </c>
      <c r="E32" s="14">
        <v>45496</v>
      </c>
      <c r="F32" s="5">
        <f t="shared" ca="1" si="0"/>
        <v>1.5621346483577606E-2</v>
      </c>
      <c r="G32" t="s">
        <v>18</v>
      </c>
      <c r="H32" s="10">
        <f ca="1"/>
        <v>45496</v>
      </c>
      <c r="I32" s="8">
        <f ca="1"/>
        <v>0.92463829194103697</v>
      </c>
      <c r="J32" t="s">
        <v>18</v>
      </c>
      <c r="K32" s="14">
        <v>45489</v>
      </c>
      <c r="L32" s="8">
        <f ca="1"/>
        <v>0.92493509378570138</v>
      </c>
      <c r="N32" s="14">
        <v>45489</v>
      </c>
      <c r="O32" s="13">
        <f ca="1"/>
        <v>1.6503493272536834E-2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2"/>
  <sheetViews>
    <sheetView showGridLines="0" tabSelected="1" zoomScaleNormal="100" workbookViewId="0"/>
  </sheetViews>
  <sheetFormatPr defaultRowHeight="15" x14ac:dyDescent="0.25"/>
  <cols>
    <col min="1" max="1" width="9.140625" customWidth="1"/>
    <col min="2" max="2" width="23" customWidth="1"/>
    <col min="3" max="3" width="25.7109375" customWidth="1"/>
    <col min="4" max="5" width="14.28515625" customWidth="1"/>
    <col min="6" max="6" width="20" customWidth="1"/>
    <col min="7" max="7" width="25.7109375" customWidth="1"/>
    <col min="8" max="12" width="14.28515625" customWidth="1"/>
    <col min="13" max="13" width="20.140625" customWidth="1"/>
    <col min="14" max="14" width="12.7109375" bestFit="1" customWidth="1"/>
    <col min="15" max="20" width="9.28515625" bestFit="1" customWidth="1"/>
  </cols>
  <sheetData>
    <row r="2" spans="1:12" x14ac:dyDescent="0.25">
      <c r="B2" s="1" t="s">
        <v>44</v>
      </c>
      <c r="F2" s="1" t="s">
        <v>46</v>
      </c>
    </row>
    <row r="3" spans="1:12" x14ac:dyDescent="0.25">
      <c r="A3" t="s">
        <v>18</v>
      </c>
      <c r="B3" s="6" t="str">
        <f t="array" aca="1" ref="B3:B4" ca="1">IF($C$14="FLAT_SHIFT",_xll.meCurveResultsJacobianUpdate($B$7:$C$10,DiscountFactors!$B$14:$C$20,DiscountFactors!$B$25:$C$32,$B$13:$C$15,$C$22,$C$23,$B$26:$C$34),_xll.meCurveResultsJacobianUpdate(B7:C10,DiscountFactors!$B$14:$C$20,DiscountFactors!$B$25:$C$32,B13:C15,G22:L22,G23:L23,F26:L34))</f>
        <v>Curve Jacobian Results Updated: USDYC:OIS:10</v>
      </c>
      <c r="C3" s="6"/>
      <c r="D3" t="s">
        <v>18</v>
      </c>
      <c r="E3" t="s">
        <v>18</v>
      </c>
      <c r="F3" s="56" t="str">
        <f t="array" aca="1" ref="F3:L19" ca="1">_xll.meUtilityResize(_xll.meCurveResultsJacobianDisplay(C7,C8,"DISCOUNT_FACTORS"),50,50)</f>
        <v>RiskType</v>
      </c>
      <c r="G3" s="57" t="str">
        <f ca="1"/>
        <v>DISCOUNT_FACTORS</v>
      </c>
      <c r="H3" s="58" t="str">
        <f ca="1"/>
        <v/>
      </c>
      <c r="I3" s="58" t="str">
        <f ca="1"/>
        <v/>
      </c>
      <c r="J3" s="58" t="str">
        <f ca="1"/>
        <v/>
      </c>
      <c r="K3" s="58" t="str">
        <f ca="1"/>
        <v/>
      </c>
      <c r="L3" s="59" t="str">
        <f ca="1"/>
        <v/>
      </c>
    </row>
    <row r="4" spans="1:12" x14ac:dyDescent="0.25">
      <c r="A4" t="s">
        <v>18</v>
      </c>
      <c r="B4" s="6" t="str">
        <f ca="1"/>
        <v>Time Taken: 0.000000 seconds</v>
      </c>
      <c r="C4" s="6"/>
      <c r="D4" t="s">
        <v>18</v>
      </c>
      <c r="E4" t="s">
        <v>18</v>
      </c>
      <c r="F4" s="22" t="str">
        <f ca="1"/>
        <v>ShiftType</v>
      </c>
      <c r="G4" s="41" t="str">
        <f ca="1"/>
        <v>PERTURBED</v>
      </c>
      <c r="H4" s="42" t="str">
        <f ca="1"/>
        <v/>
      </c>
      <c r="I4" s="42" t="str">
        <f ca="1"/>
        <v/>
      </c>
      <c r="J4" s="42" t="str">
        <f ca="1"/>
        <v/>
      </c>
      <c r="K4" s="42" t="str">
        <f ca="1"/>
        <v/>
      </c>
      <c r="L4" s="43" t="str">
        <f ca="1"/>
        <v/>
      </c>
    </row>
    <row r="5" spans="1:12" x14ac:dyDescent="0.25">
      <c r="A5" t="s">
        <v>18</v>
      </c>
      <c r="D5" t="s">
        <v>18</v>
      </c>
      <c r="E5" t="s">
        <v>18</v>
      </c>
      <c r="F5" s="22" t="str">
        <f ca="1"/>
        <v>GradientShiftSize</v>
      </c>
      <c r="G5" s="41">
        <f ca="1"/>
        <v>9.9999999999999995E-7</v>
      </c>
      <c r="H5" s="42" t="str">
        <f ca="1"/>
        <v/>
      </c>
      <c r="I5" s="42" t="str">
        <f ca="1"/>
        <v/>
      </c>
      <c r="J5" s="42" t="str">
        <f ca="1"/>
        <v/>
      </c>
      <c r="K5" s="42" t="str">
        <f ca="1"/>
        <v/>
      </c>
      <c r="L5" s="43" t="str">
        <f ca="1"/>
        <v/>
      </c>
    </row>
    <row r="6" spans="1:12" x14ac:dyDescent="0.25">
      <c r="A6" t="s">
        <v>18</v>
      </c>
      <c r="B6" s="1" t="s">
        <v>13</v>
      </c>
      <c r="D6" t="s">
        <v>18</v>
      </c>
      <c r="E6" t="s">
        <v>18</v>
      </c>
      <c r="F6" s="22" t="str">
        <f ca="1"/>
        <v/>
      </c>
      <c r="G6" s="41" t="str">
        <f ca="1"/>
        <v/>
      </c>
      <c r="H6" s="42" t="str">
        <f ca="1"/>
        <v/>
      </c>
      <c r="I6" s="42" t="str">
        <f ca="1"/>
        <v/>
      </c>
      <c r="J6" s="42" t="str">
        <f ca="1"/>
        <v/>
      </c>
      <c r="K6" s="42" t="str">
        <f ca="1"/>
        <v/>
      </c>
      <c r="L6" s="43" t="str">
        <f ca="1"/>
        <v/>
      </c>
    </row>
    <row r="7" spans="1:12" x14ac:dyDescent="0.25">
      <c r="A7" t="s">
        <v>18</v>
      </c>
      <c r="B7" t="s">
        <v>0</v>
      </c>
      <c r="C7" s="4" t="s">
        <v>9</v>
      </c>
      <c r="D7" t="s">
        <v>18</v>
      </c>
      <c r="E7" t="s">
        <v>18</v>
      </c>
      <c r="F7" s="22" t="str">
        <f ca="1"/>
        <v>OutrightInstrument</v>
      </c>
      <c r="G7" s="20" t="str">
        <f ca="1"/>
        <v>TRUE</v>
      </c>
      <c r="H7" s="21" t="str">
        <f ca="1"/>
        <v>TRUE</v>
      </c>
      <c r="I7" s="21" t="str">
        <f ca="1"/>
        <v>TRUE</v>
      </c>
      <c r="J7" s="21" t="str">
        <f ca="1"/>
        <v>TRUE</v>
      </c>
      <c r="K7" s="21" t="str">
        <f ca="1"/>
        <v>TRUE</v>
      </c>
      <c r="L7" s="24" t="str">
        <f ca="1"/>
        <v>TRUE</v>
      </c>
    </row>
    <row r="8" spans="1:12" x14ac:dyDescent="0.25">
      <c r="A8" t="s">
        <v>18</v>
      </c>
      <c r="B8" t="s">
        <v>1</v>
      </c>
      <c r="C8" s="4" t="s">
        <v>10</v>
      </c>
      <c r="D8" t="s">
        <v>18</v>
      </c>
      <c r="E8" t="s">
        <v>18</v>
      </c>
      <c r="F8" s="22" t="str">
        <f ca="1"/>
        <v>MarketDataShiftSize</v>
      </c>
      <c r="G8" s="41">
        <f ca="1"/>
        <v>1E-4</v>
      </c>
      <c r="H8" s="42">
        <f ca="1"/>
        <v>1E-4</v>
      </c>
      <c r="I8" s="42">
        <f ca="1"/>
        <v>1E-4</v>
      </c>
      <c r="J8" s="42">
        <f ca="1"/>
        <v>1E-4</v>
      </c>
      <c r="K8" s="42">
        <f ca="1"/>
        <v>1E-4</v>
      </c>
      <c r="L8" s="43">
        <f ca="1"/>
        <v>1E-4</v>
      </c>
    </row>
    <row r="9" spans="1:12" x14ac:dyDescent="0.25">
      <c r="A9" t="s">
        <v>18</v>
      </c>
      <c r="B9" t="s">
        <v>19</v>
      </c>
      <c r="C9" s="4" t="s">
        <v>20</v>
      </c>
      <c r="D9" t="s">
        <v>18</v>
      </c>
      <c r="E9" t="s">
        <v>18</v>
      </c>
      <c r="F9" s="22" t="str">
        <f ca="1"/>
        <v/>
      </c>
      <c r="G9" s="41" t="str">
        <f ca="1"/>
        <v/>
      </c>
      <c r="H9" s="42" t="str">
        <f ca="1"/>
        <v/>
      </c>
      <c r="I9" s="42" t="str">
        <f ca="1"/>
        <v/>
      </c>
      <c r="J9" s="42" t="str">
        <f ca="1"/>
        <v/>
      </c>
      <c r="K9" s="42" t="str">
        <f ca="1"/>
        <v/>
      </c>
      <c r="L9" s="43" t="str">
        <f ca="1"/>
        <v/>
      </c>
    </row>
    <row r="10" spans="1:12" x14ac:dyDescent="0.25">
      <c r="A10" t="s">
        <v>18</v>
      </c>
      <c r="B10" t="s">
        <v>21</v>
      </c>
      <c r="C10" s="4" t="s">
        <v>22</v>
      </c>
      <c r="D10" t="s">
        <v>18</v>
      </c>
      <c r="E10" t="s">
        <v>18</v>
      </c>
      <c r="F10" s="22" t="str">
        <f ca="1"/>
        <v/>
      </c>
      <c r="G10" s="41" t="str">
        <f ca="1"/>
        <v>Instrument</v>
      </c>
      <c r="H10" s="42" t="str">
        <f ca="1"/>
        <v/>
      </c>
      <c r="I10" s="42" t="str">
        <f ca="1"/>
        <v/>
      </c>
      <c r="J10" s="42" t="str">
        <f ca="1"/>
        <v/>
      </c>
      <c r="K10" s="42" t="str">
        <f ca="1"/>
        <v/>
      </c>
      <c r="L10" s="43" t="str">
        <f ca="1"/>
        <v/>
      </c>
    </row>
    <row r="11" spans="1:12" x14ac:dyDescent="0.25">
      <c r="A11" t="s">
        <v>18</v>
      </c>
      <c r="D11" t="s">
        <v>18</v>
      </c>
      <c r="E11" t="s">
        <v>18</v>
      </c>
      <c r="F11" s="22" t="str">
        <f ca="1"/>
        <v>PaymentDate</v>
      </c>
      <c r="G11" s="41" t="str">
        <f ca="1"/>
        <v>ON</v>
      </c>
      <c r="H11" s="42" t="str">
        <f ca="1"/>
        <v>1Y</v>
      </c>
      <c r="I11" s="42" t="str">
        <f ca="1"/>
        <v>2Y</v>
      </c>
      <c r="J11" s="42" t="str">
        <f ca="1"/>
        <v>3Y</v>
      </c>
      <c r="K11" s="42" t="str">
        <f ca="1"/>
        <v>4Y</v>
      </c>
      <c r="L11" s="43" t="str">
        <f ca="1"/>
        <v>5Y</v>
      </c>
    </row>
    <row r="12" spans="1:12" x14ac:dyDescent="0.25">
      <c r="A12" t="s">
        <v>18</v>
      </c>
      <c r="B12" s="1" t="s">
        <v>148</v>
      </c>
      <c r="D12" t="s">
        <v>18</v>
      </c>
      <c r="E12" t="s">
        <v>18</v>
      </c>
      <c r="F12" s="22">
        <f ca="1"/>
        <v>43665</v>
      </c>
      <c r="G12" s="41">
        <f ca="1"/>
        <v>0</v>
      </c>
      <c r="H12" s="42">
        <f ca="1"/>
        <v>0</v>
      </c>
      <c r="I12" s="42">
        <f ca="1"/>
        <v>0</v>
      </c>
      <c r="J12" s="42">
        <f ca="1"/>
        <v>0</v>
      </c>
      <c r="K12" s="42">
        <f ca="1"/>
        <v>0</v>
      </c>
      <c r="L12" s="43">
        <f ca="1"/>
        <v>0</v>
      </c>
    </row>
    <row r="13" spans="1:12" x14ac:dyDescent="0.25">
      <c r="A13" t="s">
        <v>18</v>
      </c>
      <c r="B13" t="s">
        <v>39</v>
      </c>
      <c r="C13" s="4" t="s">
        <v>41</v>
      </c>
      <c r="D13" t="s">
        <v>18</v>
      </c>
      <c r="E13" t="s">
        <v>18</v>
      </c>
      <c r="F13" s="22">
        <f ca="1"/>
        <v>43668</v>
      </c>
      <c r="G13" s="41">
        <f ca="1"/>
        <v>-8.3299940600856095E-9</v>
      </c>
      <c r="H13" s="42">
        <f ca="1"/>
        <v>0</v>
      </c>
      <c r="I13" s="42">
        <f ca="1"/>
        <v>0</v>
      </c>
      <c r="J13" s="42">
        <f ca="1"/>
        <v>0</v>
      </c>
      <c r="K13" s="42">
        <f ca="1"/>
        <v>0</v>
      </c>
      <c r="L13" s="43">
        <f ca="1"/>
        <v>0</v>
      </c>
    </row>
    <row r="14" spans="1:12" x14ac:dyDescent="0.25">
      <c r="A14" t="s">
        <v>18</v>
      </c>
      <c r="B14" t="s">
        <v>40</v>
      </c>
      <c r="C14" s="23" t="s">
        <v>142</v>
      </c>
      <c r="D14" t="s">
        <v>18</v>
      </c>
      <c r="E14" t="s">
        <v>18</v>
      </c>
      <c r="F14" s="22">
        <f ca="1"/>
        <v>43669</v>
      </c>
      <c r="G14" s="41">
        <f ca="1"/>
        <v>-1.11062877539148E-8</v>
      </c>
      <c r="H14" s="42">
        <f ca="1"/>
        <v>0</v>
      </c>
      <c r="I14" s="42">
        <f ca="1"/>
        <v>0</v>
      </c>
      <c r="J14" s="42">
        <f ca="1"/>
        <v>0</v>
      </c>
      <c r="K14" s="42">
        <f ca="1"/>
        <v>0</v>
      </c>
      <c r="L14" s="43">
        <f ca="1"/>
        <v>0</v>
      </c>
    </row>
    <row r="15" spans="1:12" x14ac:dyDescent="0.25">
      <c r="A15" t="s">
        <v>18</v>
      </c>
      <c r="B15" t="s">
        <v>58</v>
      </c>
      <c r="C15" s="149">
        <f ca="1">Settings.GradientShiftSize</f>
        <v>9.9999999999999995E-7</v>
      </c>
      <c r="D15" t="s">
        <v>18</v>
      </c>
      <c r="E15" t="s">
        <v>18</v>
      </c>
      <c r="F15" s="22">
        <f ca="1"/>
        <v>44035</v>
      </c>
      <c r="G15" s="41">
        <f ca="1"/>
        <v>-1.0712937109635899E-8</v>
      </c>
      <c r="H15" s="42">
        <f ca="1"/>
        <v>-9.9851365675807102E-7</v>
      </c>
      <c r="I15" s="42">
        <f ca="1"/>
        <v>9.2276186691719902E-12</v>
      </c>
      <c r="J15" s="42">
        <f ca="1"/>
        <v>-5.3309578973426101E-12</v>
      </c>
      <c r="K15" s="42">
        <f ca="1"/>
        <v>-5.8730798002670801E-13</v>
      </c>
      <c r="L15" s="43">
        <f ca="1"/>
        <v>-8.8897778027785502E-12</v>
      </c>
    </row>
    <row r="16" spans="1:12" x14ac:dyDescent="0.25">
      <c r="A16" t="s">
        <v>18</v>
      </c>
      <c r="D16" t="s">
        <v>18</v>
      </c>
      <c r="E16" t="s">
        <v>18</v>
      </c>
      <c r="F16" s="22">
        <f ca="1"/>
        <v>44400</v>
      </c>
      <c r="G16" s="41">
        <f ca="1"/>
        <v>-1.2856438733610499E-8</v>
      </c>
      <c r="H16" s="42">
        <f ca="1"/>
        <v>1.2321634823564401E-8</v>
      </c>
      <c r="I16" s="42">
        <f ca="1"/>
        <v>-1.97416031255671E-6</v>
      </c>
      <c r="J16" s="42">
        <f ca="1"/>
        <v>-2.6609159320400999E-11</v>
      </c>
      <c r="K16" s="42">
        <f ca="1"/>
        <v>9.2540419771580705E-12</v>
      </c>
      <c r="L16" s="43">
        <f ca="1"/>
        <v>-1.8740120566462799E-11</v>
      </c>
    </row>
    <row r="17" spans="1:13" x14ac:dyDescent="0.25">
      <c r="A17" t="s">
        <v>18</v>
      </c>
      <c r="D17" s="193" t="s">
        <v>18</v>
      </c>
      <c r="E17" s="193" t="s">
        <v>18</v>
      </c>
      <c r="F17" s="22">
        <f ca="1"/>
        <v>44767</v>
      </c>
      <c r="G17" s="41">
        <f ca="1"/>
        <v>-1.9783495730507599E-8</v>
      </c>
      <c r="H17" s="42">
        <f ca="1"/>
        <v>1.1692552037700901E-8</v>
      </c>
      <c r="I17" s="42">
        <f ca="1"/>
        <v>3.1102685871253801E-8</v>
      </c>
      <c r="J17" s="42">
        <f ca="1"/>
        <v>-2.9399398935314702E-6</v>
      </c>
      <c r="K17" s="42">
        <f ca="1"/>
        <v>1.44589895612057E-11</v>
      </c>
      <c r="L17" s="43">
        <f ca="1"/>
        <v>-3.2717384357283702E-11</v>
      </c>
    </row>
    <row r="18" spans="1:13" x14ac:dyDescent="0.25">
      <c r="A18" t="s">
        <v>18</v>
      </c>
      <c r="D18" s="193" t="s">
        <v>18</v>
      </c>
      <c r="E18" s="193" t="s">
        <v>18</v>
      </c>
      <c r="F18" s="22">
        <f ca="1"/>
        <v>45131</v>
      </c>
      <c r="G18" s="41">
        <f ca="1"/>
        <v>-1.1488121687275299E-8</v>
      </c>
      <c r="H18" s="42">
        <f ca="1"/>
        <v>1.13494356135391E-8</v>
      </c>
      <c r="I18" s="42">
        <f ca="1"/>
        <v>3.02968179433094E-8</v>
      </c>
      <c r="J18" s="42">
        <f ca="1"/>
        <v>4.5805526371900398E-8</v>
      </c>
      <c r="K18" s="42">
        <f ca="1"/>
        <v>-3.8991184705405899E-6</v>
      </c>
      <c r="L18" s="43">
        <f ca="1"/>
        <v>-3.2661762183749898E-11</v>
      </c>
    </row>
    <row r="19" spans="1:13" x14ac:dyDescent="0.25">
      <c r="A19" t="s">
        <v>18</v>
      </c>
      <c r="D19" t="s">
        <v>18</v>
      </c>
      <c r="E19" t="s">
        <v>18</v>
      </c>
      <c r="F19" s="60">
        <f ca="1"/>
        <v>45496</v>
      </c>
      <c r="G19" s="61">
        <f ca="1"/>
        <v>-5.1391457756011497E-9</v>
      </c>
      <c r="H19" s="62">
        <f ca="1"/>
        <v>1.1328921134534699E-8</v>
      </c>
      <c r="I19" s="62">
        <f ca="1"/>
        <v>3.0138412654423499E-8</v>
      </c>
      <c r="J19" s="62">
        <f ca="1"/>
        <v>4.5577564278254101E-8</v>
      </c>
      <c r="K19" s="62">
        <f ca="1"/>
        <v>6.5439772933828495E-8</v>
      </c>
      <c r="L19" s="63">
        <f ca="1"/>
        <v>-4.8448025754543903E-6</v>
      </c>
    </row>
    <row r="21" spans="1:13" x14ac:dyDescent="0.25">
      <c r="A21" t="s">
        <v>18</v>
      </c>
      <c r="B21" s="1" t="s">
        <v>55</v>
      </c>
      <c r="D21" t="s">
        <v>18</v>
      </c>
      <c r="E21" t="s">
        <v>18</v>
      </c>
      <c r="F21" s="1" t="s">
        <v>55</v>
      </c>
    </row>
    <row r="22" spans="1:13" x14ac:dyDescent="0.25">
      <c r="A22" t="s">
        <v>18</v>
      </c>
      <c r="B22" t="s">
        <v>154</v>
      </c>
      <c r="C22" s="215" t="b">
        <v>1</v>
      </c>
      <c r="F22" t="s">
        <v>154</v>
      </c>
      <c r="G22" s="215" t="b">
        <v>1</v>
      </c>
      <c r="H22" s="215" t="b">
        <v>1</v>
      </c>
      <c r="I22" s="215" t="b">
        <v>1</v>
      </c>
      <c r="J22" s="215" t="b">
        <v>1</v>
      </c>
      <c r="K22" s="215" t="b">
        <v>1</v>
      </c>
      <c r="L22" s="215" t="b">
        <v>1</v>
      </c>
    </row>
    <row r="23" spans="1:13" x14ac:dyDescent="0.25">
      <c r="A23" t="s">
        <v>18</v>
      </c>
      <c r="B23" s="54" t="s">
        <v>59</v>
      </c>
      <c r="C23" s="192">
        <v>1E-4</v>
      </c>
      <c r="D23" s="193" t="s">
        <v>18</v>
      </c>
      <c r="E23" t="s">
        <v>18</v>
      </c>
      <c r="F23" s="54" t="s">
        <v>59</v>
      </c>
      <c r="G23" s="192">
        <v>1E-4</v>
      </c>
      <c r="H23" s="192">
        <v>1E-4</v>
      </c>
      <c r="I23" s="192">
        <v>1E-4</v>
      </c>
      <c r="J23" s="192">
        <v>1E-4</v>
      </c>
      <c r="K23" s="192">
        <v>1E-4</v>
      </c>
      <c r="L23" s="192">
        <v>1E-4</v>
      </c>
    </row>
    <row r="24" spans="1:13" x14ac:dyDescent="0.25">
      <c r="A24" t="s">
        <v>18</v>
      </c>
      <c r="B24" s="16"/>
      <c r="D24" t="s">
        <v>18</v>
      </c>
      <c r="E24" t="s">
        <v>18</v>
      </c>
    </row>
    <row r="25" spans="1:13" x14ac:dyDescent="0.25">
      <c r="A25" t="s">
        <v>18</v>
      </c>
      <c r="C25" s="2" t="s">
        <v>37</v>
      </c>
      <c r="D25" t="s">
        <v>18</v>
      </c>
      <c r="E25" t="s">
        <v>18</v>
      </c>
      <c r="F25" s="1"/>
      <c r="G25" s="2" t="s">
        <v>37</v>
      </c>
    </row>
    <row r="26" spans="1:13" x14ac:dyDescent="0.25">
      <c r="A26" t="s">
        <v>18</v>
      </c>
      <c r="B26" s="2" t="str">
        <f ca="1">IF($C$13="DISCOUNT_FACTORS","PaymentDate","FixingDate")</f>
        <v>PaymentDate</v>
      </c>
      <c r="C26" s="15" t="s">
        <v>38</v>
      </c>
      <c r="D26" s="11" t="s">
        <v>49</v>
      </c>
      <c r="E26" t="s">
        <v>18</v>
      </c>
      <c r="F26" s="2" t="str">
        <f ca="1">IF($C$13="DISCOUNT_FACTORS","PaymentDate","FixingDate")</f>
        <v>PaymentDate</v>
      </c>
      <c r="G26" s="15" t="s">
        <v>31</v>
      </c>
      <c r="H26" s="15" t="s">
        <v>32</v>
      </c>
      <c r="I26" s="15" t="s">
        <v>33</v>
      </c>
      <c r="J26" s="15" t="s">
        <v>34</v>
      </c>
      <c r="K26" s="15" t="s">
        <v>35</v>
      </c>
      <c r="L26" s="15" t="s">
        <v>36</v>
      </c>
      <c r="M26" s="11" t="s">
        <v>49</v>
      </c>
    </row>
    <row r="27" spans="1:13" x14ac:dyDescent="0.25">
      <c r="A27" t="s">
        <v>18</v>
      </c>
      <c r="B27" s="14">
        <v>43665</v>
      </c>
      <c r="C27" s="37">
        <v>0</v>
      </c>
      <c r="D27" s="36">
        <f ca="1">C27*$C$23/$C$15</f>
        <v>0</v>
      </c>
      <c r="E27" s="25" t="s">
        <v>18</v>
      </c>
      <c r="F27" s="14">
        <v>43665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6">
        <f ca="1">SUMPRODUCT(G27:L27,$G$23:$L$23)/$C$15</f>
        <v>0</v>
      </c>
    </row>
    <row r="28" spans="1:13" x14ac:dyDescent="0.25">
      <c r="A28" t="s">
        <v>18</v>
      </c>
      <c r="B28" s="14">
        <v>43668</v>
      </c>
      <c r="C28" s="37">
        <v>-8.3300009112718953E-9</v>
      </c>
      <c r="D28" s="36">
        <f ca="1">C28*$C$23/$C$15</f>
        <v>-8.3300009112718953E-7</v>
      </c>
      <c r="E28" s="25" t="s">
        <v>18</v>
      </c>
      <c r="F28" s="14">
        <v>43668</v>
      </c>
      <c r="G28" s="37">
        <v>-8.3299940600856095E-9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6">
        <f ca="1">SUMPRODUCT(G28:L28,$G$23:$L$23)/$C$15</f>
        <v>-8.3299940600856104E-7</v>
      </c>
    </row>
    <row r="29" spans="1:13" x14ac:dyDescent="0.25">
      <c r="A29" t="s">
        <v>18</v>
      </c>
      <c r="B29" s="14">
        <v>43669</v>
      </c>
      <c r="C29" s="37">
        <v>-1.110629754830228E-8</v>
      </c>
      <c r="D29" s="36">
        <f ca="1">C29*$C$23/$C$15</f>
        <v>-1.1106297548302282E-6</v>
      </c>
      <c r="E29" s="25" t="s">
        <v>18</v>
      </c>
      <c r="F29" s="14">
        <v>43669</v>
      </c>
      <c r="G29" s="37">
        <v>-1.1106287753914755E-8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6">
        <f ca="1">SUMPRODUCT(G29:L29,$G$23:$L$23)/$C$15</f>
        <v>-1.1106287753914756E-6</v>
      </c>
    </row>
    <row r="30" spans="1:13" x14ac:dyDescent="0.25">
      <c r="A30" t="s">
        <v>18</v>
      </c>
      <c r="B30" s="14">
        <v>44035</v>
      </c>
      <c r="C30" s="37">
        <v>-1.0092912028358825E-6</v>
      </c>
      <c r="D30" s="36">
        <f ca="1">C30*$C$23/$C$15</f>
        <v>-1.0092912028358826E-4</v>
      </c>
      <c r="E30" s="25" t="s">
        <v>18</v>
      </c>
      <c r="F30" s="14">
        <v>44035</v>
      </c>
      <c r="G30" s="37">
        <v>-1.0712937109635946E-8</v>
      </c>
      <c r="H30" s="37">
        <v>-9.9851365675807102E-7</v>
      </c>
      <c r="I30" s="37">
        <v>9.2276186691719886E-12</v>
      </c>
      <c r="J30" s="37">
        <v>-5.3309578973426142E-12</v>
      </c>
      <c r="K30" s="37">
        <v>-5.8730798002670781E-13</v>
      </c>
      <c r="L30" s="37">
        <v>-8.8897778027785535E-12</v>
      </c>
      <c r="M30" s="36">
        <f ca="1">SUMPRODUCT(G30:L30,$G$23:$L$23)/$C$15</f>
        <v>-1.0092321742927179E-4</v>
      </c>
    </row>
    <row r="31" spans="1:13" x14ac:dyDescent="0.25">
      <c r="A31" t="s">
        <v>18</v>
      </c>
      <c r="B31" s="14">
        <v>44400</v>
      </c>
      <c r="C31" s="37">
        <v>-1.9749384194689412E-6</v>
      </c>
      <c r="D31" s="36">
        <f ca="1">C31*$C$23/$C$15</f>
        <v>-1.9749384194689415E-4</v>
      </c>
      <c r="E31" s="25" t="s">
        <v>18</v>
      </c>
      <c r="F31" s="14">
        <v>44400</v>
      </c>
      <c r="G31" s="37">
        <v>-1.2856438733610531E-8</v>
      </c>
      <c r="H31" s="37">
        <v>1.2321634823564409E-8</v>
      </c>
      <c r="I31" s="37">
        <v>-1.9741603125567053E-6</v>
      </c>
      <c r="J31" s="37">
        <v>-2.6609159320400977E-11</v>
      </c>
      <c r="K31" s="37">
        <v>9.2540419771580673E-12</v>
      </c>
      <c r="L31" s="37">
        <v>-1.8740120566462792E-11</v>
      </c>
      <c r="M31" s="36">
        <f ca="1">SUMPRODUCT(G31:L31,$G$23:$L$23)/$C$15</f>
        <v>-1.9747312117046614E-4</v>
      </c>
    </row>
    <row r="32" spans="1:13" x14ac:dyDescent="0.25">
      <c r="A32" t="s">
        <v>18</v>
      </c>
      <c r="B32" s="14">
        <v>44767</v>
      </c>
      <c r="C32" s="37">
        <v>-2.9173918109082209E-6</v>
      </c>
      <c r="D32" s="36">
        <f ca="1">C32*$C$23/$C$15</f>
        <v>-2.9173918109082209E-4</v>
      </c>
      <c r="E32" s="25" t="s">
        <v>18</v>
      </c>
      <c r="F32" s="14">
        <v>44767</v>
      </c>
      <c r="G32" s="37">
        <v>-1.9783495730507639E-8</v>
      </c>
      <c r="H32" s="37">
        <v>1.1692552037700921E-8</v>
      </c>
      <c r="I32" s="37">
        <v>3.1102685871253755E-8</v>
      </c>
      <c r="J32" s="37">
        <v>-2.9399398935314736E-6</v>
      </c>
      <c r="K32" s="37">
        <v>1.4458989561205726E-11</v>
      </c>
      <c r="L32" s="37">
        <v>-3.2717384357283663E-11</v>
      </c>
      <c r="M32" s="36">
        <f ca="1">SUMPRODUCT(G32:L32,$G$23:$L$23)/$C$15</f>
        <v>-2.9169464097478231E-4</v>
      </c>
    </row>
    <row r="33" spans="1:13" x14ac:dyDescent="0.25">
      <c r="A33" t="s">
        <v>18</v>
      </c>
      <c r="B33" s="14">
        <v>45131</v>
      </c>
      <c r="C33" s="37">
        <v>-3.8239585081756289E-6</v>
      </c>
      <c r="D33" s="36">
        <f ca="1">C33*$C$23/$C$15</f>
        <v>-3.8239585081756289E-4</v>
      </c>
      <c r="E33" s="25" t="s">
        <v>18</v>
      </c>
      <c r="F33" s="14">
        <v>45131</v>
      </c>
      <c r="G33" s="37">
        <v>-1.1488121687275309E-8</v>
      </c>
      <c r="H33" s="37">
        <v>1.1349435613539072E-8</v>
      </c>
      <c r="I33" s="37">
        <v>3.0296817943309406E-8</v>
      </c>
      <c r="J33" s="37">
        <v>4.5805526371900385E-8</v>
      </c>
      <c r="K33" s="37">
        <v>-3.8991184705405857E-6</v>
      </c>
      <c r="L33" s="37">
        <v>-3.2661762183749943E-11</v>
      </c>
      <c r="M33" s="36">
        <f ca="1">SUMPRODUCT(G33:L33,$G$23:$L$23)/$C$15</f>
        <v>-3.8231874740612964E-4</v>
      </c>
    </row>
    <row r="34" spans="1:13" x14ac:dyDescent="0.25">
      <c r="A34" t="s">
        <v>18</v>
      </c>
      <c r="B34" s="14">
        <v>45496</v>
      </c>
      <c r="C34" s="37">
        <v>-4.7018196766002163E-6</v>
      </c>
      <c r="D34" s="36">
        <f ca="1">C34*$C$23/$C$15</f>
        <v>-4.7018196766002168E-4</v>
      </c>
      <c r="E34" s="25" t="s">
        <v>18</v>
      </c>
      <c r="F34" s="14">
        <v>45496</v>
      </c>
      <c r="G34" s="37">
        <v>-5.1391457756011505E-9</v>
      </c>
      <c r="H34" s="37">
        <v>1.1328921134534653E-8</v>
      </c>
      <c r="I34" s="37">
        <v>3.0138412654423519E-8</v>
      </c>
      <c r="J34" s="37">
        <v>4.5577564278254101E-8</v>
      </c>
      <c r="K34" s="37">
        <v>6.5439772933828522E-8</v>
      </c>
      <c r="L34" s="37">
        <v>-4.8448025754543877E-6</v>
      </c>
      <c r="M34" s="36">
        <f ca="1">SUMPRODUCT(G34:L34,$G$23:$L$23)/$C$15</f>
        <v>-4.6974570502289486E-4</v>
      </c>
    </row>
    <row r="35" spans="1:13" x14ac:dyDescent="0.25">
      <c r="A35" t="s">
        <v>18</v>
      </c>
      <c r="E35" t="s">
        <v>18</v>
      </c>
      <c r="M35" s="2"/>
    </row>
    <row r="36" spans="1:13" x14ac:dyDescent="0.25">
      <c r="A36" t="s">
        <v>18</v>
      </c>
      <c r="E36" t="s">
        <v>18</v>
      </c>
      <c r="F36" s="31"/>
      <c r="M36" s="2"/>
    </row>
    <row r="37" spans="1:13" x14ac:dyDescent="0.25">
      <c r="A37" t="s">
        <v>18</v>
      </c>
      <c r="B37" s="1" t="s">
        <v>54</v>
      </c>
      <c r="E37" t="s">
        <v>18</v>
      </c>
      <c r="F37" s="1" t="s">
        <v>53</v>
      </c>
      <c r="K37" s="1" t="s">
        <v>56</v>
      </c>
      <c r="M37" s="2"/>
    </row>
    <row r="38" spans="1:13" x14ac:dyDescent="0.25">
      <c r="A38" t="s">
        <v>18</v>
      </c>
      <c r="B38" s="29" t="s">
        <v>47</v>
      </c>
      <c r="C38" s="30" t="s">
        <v>48</v>
      </c>
      <c r="D38" s="35" t="s">
        <v>52</v>
      </c>
      <c r="E38" t="s">
        <v>18</v>
      </c>
      <c r="F38" s="29" t="s">
        <v>5</v>
      </c>
      <c r="G38" s="30" t="s">
        <v>51</v>
      </c>
      <c r="H38" s="35" t="s">
        <v>50</v>
      </c>
      <c r="I38" s="35" t="s">
        <v>52</v>
      </c>
      <c r="K38" t="s">
        <v>57</v>
      </c>
      <c r="L38" s="44" t="b">
        <v>0</v>
      </c>
      <c r="M38" s="2"/>
    </row>
    <row r="39" spans="1:13" x14ac:dyDescent="0.25">
      <c r="A39" t="s">
        <v>18</v>
      </c>
      <c r="B39" s="26">
        <f t="array" aca="1" ref="B39:C46" ca="1">_xll.meCurveResultsJacobianRiskTotals(C7,C8,"DISCOUNT_FACTORS")</f>
        <v>43665</v>
      </c>
      <c r="C39" s="38">
        <f ca="1"/>
        <v>0</v>
      </c>
      <c r="D39" s="36" t="b">
        <f t="shared" ref="D39:D46" ca="1" si="0">ABS(IF($C$14="FLAT_SHIFT",C39-D27,C39-M27))&lt;0.0000000001</f>
        <v>1</v>
      </c>
      <c r="E39" t="s">
        <v>18</v>
      </c>
      <c r="F39" s="26">
        <f t="array" aca="1" ref="F39:G46" ca="1">_xll.meCurveResultsJacobianImplyNewDiscountFactors(C7,C8)</f>
        <v>43665</v>
      </c>
      <c r="G39" s="32">
        <f ca="1"/>
        <v>1</v>
      </c>
      <c r="H39" s="36">
        <f ca="1">G39-DiscountFactors!I25</f>
        <v>0</v>
      </c>
      <c r="I39" s="36" t="b">
        <f t="shared" ref="I39:I46" ca="1" si="1">ABS(H39-C39)&lt;0.0000000001</f>
        <v>1</v>
      </c>
      <c r="M39" s="2"/>
    </row>
    <row r="40" spans="1:13" x14ac:dyDescent="0.25">
      <c r="A40" t="s">
        <v>18</v>
      </c>
      <c r="B40" s="27">
        <f ca="1"/>
        <v>43668</v>
      </c>
      <c r="C40" s="39">
        <f ca="1"/>
        <v>-8.3299940600856104E-7</v>
      </c>
      <c r="D40" s="36" t="b">
        <f t="shared" ca="1" si="0"/>
        <v>1</v>
      </c>
      <c r="E40" t="s">
        <v>18</v>
      </c>
      <c r="F40" s="27">
        <f ca="1"/>
        <v>43668</v>
      </c>
      <c r="G40" s="33">
        <f ca="1"/>
        <v>0.99993222703740803</v>
      </c>
      <c r="H40" s="36">
        <f ca="1">G40-DiscountFactors!I26</f>
        <v>-8.3299940600856104E-7</v>
      </c>
      <c r="I40" s="36" t="b">
        <f t="shared" ca="1" si="1"/>
        <v>1</v>
      </c>
    </row>
    <row r="41" spans="1:13" x14ac:dyDescent="0.25">
      <c r="A41" t="s">
        <v>18</v>
      </c>
      <c r="B41" s="27">
        <f ca="1"/>
        <v>43669</v>
      </c>
      <c r="C41" s="39">
        <f ca="1"/>
        <v>-1.1106287753914801E-6</v>
      </c>
      <c r="D41" s="36" t="b">
        <f t="shared" ca="1" si="0"/>
        <v>1</v>
      </c>
      <c r="E41" t="s">
        <v>18</v>
      </c>
      <c r="F41" s="27">
        <f ca="1"/>
        <v>43669</v>
      </c>
      <c r="G41" s="33">
        <f ca="1"/>
        <v>0.99986501392581162</v>
      </c>
      <c r="H41" s="36">
        <f ca="1">G41-DiscountFactors!I27</f>
        <v>-1.1106287753914756E-6</v>
      </c>
      <c r="I41" s="36" t="b">
        <f t="shared" ca="1" si="1"/>
        <v>1</v>
      </c>
      <c r="K41" s="45" t="str">
        <f t="array" aca="1" ref="K41:K42" ca="1">IF($L$38,_xll.meCurveResultsDiscountFactorsUpdate(DiscountFactors!$B$7:$C$10,DiscountFactors!B14:C20,F39:G46),"Disabled")</f>
        <v>Disabled</v>
      </c>
      <c r="L41" s="46"/>
      <c r="M41" s="49"/>
    </row>
    <row r="42" spans="1:13" x14ac:dyDescent="0.25">
      <c r="A42" t="s">
        <v>18</v>
      </c>
      <c r="B42" s="27">
        <f ca="1"/>
        <v>44035</v>
      </c>
      <c r="C42" s="39">
        <f ca="1"/>
        <v>-1.0092321742927179E-4</v>
      </c>
      <c r="D42" s="36" t="b">
        <f t="shared" ca="1" si="0"/>
        <v>1</v>
      </c>
      <c r="E42" t="s">
        <v>18</v>
      </c>
      <c r="F42" s="27">
        <f ca="1"/>
        <v>44035</v>
      </c>
      <c r="G42" s="33">
        <f ca="1"/>
        <v>0.98204936151340272</v>
      </c>
      <c r="H42" s="36">
        <f ca="1">G42-DiscountFactors!I28</f>
        <v>-1.0092321742927179E-4</v>
      </c>
      <c r="I42" s="36" t="b">
        <f t="shared" ca="1" si="1"/>
        <v>1</v>
      </c>
      <c r="K42" s="47" t="str">
        <f ca="1"/>
        <v>Disabled</v>
      </c>
      <c r="L42" s="48"/>
      <c r="M42" s="50"/>
    </row>
    <row r="43" spans="1:13" x14ac:dyDescent="0.25">
      <c r="A43" t="s">
        <v>18</v>
      </c>
      <c r="B43" s="27">
        <f ca="1"/>
        <v>44400</v>
      </c>
      <c r="C43" s="39">
        <f ca="1"/>
        <v>-1.974731211704666E-4</v>
      </c>
      <c r="D43" s="36" t="b">
        <f t="shared" ca="1" si="0"/>
        <v>1</v>
      </c>
      <c r="E43" t="s">
        <v>18</v>
      </c>
      <c r="F43" s="27">
        <f ca="1"/>
        <v>44400</v>
      </c>
      <c r="G43" s="33">
        <f ca="1"/>
        <v>0.96804011592201356</v>
      </c>
      <c r="H43" s="36">
        <f ca="1">G43-DiscountFactors!I29</f>
        <v>-1.9747312117046611E-4</v>
      </c>
      <c r="I43" s="36" t="b">
        <f t="shared" ca="1" si="1"/>
        <v>1</v>
      </c>
      <c r="K43" s="47"/>
      <c r="L43" s="48"/>
      <c r="M43" s="50"/>
    </row>
    <row r="44" spans="1:13" x14ac:dyDescent="0.25">
      <c r="A44" t="s">
        <v>18</v>
      </c>
      <c r="B44" s="27">
        <f ca="1"/>
        <v>44767</v>
      </c>
      <c r="C44" s="39">
        <f ca="1"/>
        <v>-2.9169464097478199E-4</v>
      </c>
      <c r="D44" s="36" t="b">
        <f t="shared" ca="1" si="0"/>
        <v>1</v>
      </c>
      <c r="E44" t="s">
        <v>18</v>
      </c>
      <c r="F44" s="27">
        <f ca="1"/>
        <v>44767</v>
      </c>
      <c r="G44" s="33">
        <f ca="1"/>
        <v>0.95384701417531426</v>
      </c>
      <c r="H44" s="36">
        <f ca="1">G44-DiscountFactors!I30</f>
        <v>-2.9169464097478226E-4</v>
      </c>
      <c r="I44" s="36" t="b">
        <f t="shared" ca="1" si="1"/>
        <v>1</v>
      </c>
      <c r="K44" s="47"/>
      <c r="L44" s="48"/>
      <c r="M44" s="50"/>
    </row>
    <row r="45" spans="1:13" x14ac:dyDescent="0.25">
      <c r="A45" t="s">
        <v>18</v>
      </c>
      <c r="B45" s="27">
        <f ca="1"/>
        <v>45131</v>
      </c>
      <c r="C45" s="39">
        <f ca="1"/>
        <v>-3.8231874740613008E-4</v>
      </c>
      <c r="D45" s="36" t="b">
        <f t="shared" ca="1" si="0"/>
        <v>1</v>
      </c>
      <c r="E45" t="s">
        <v>18</v>
      </c>
      <c r="F45" s="27">
        <f ca="1"/>
        <v>45131</v>
      </c>
      <c r="G45" s="33">
        <f ca="1"/>
        <v>0.93949920734884085</v>
      </c>
      <c r="H45" s="36">
        <f ca="1">G45-DiscountFactors!I31</f>
        <v>-3.8231874740612959E-4</v>
      </c>
      <c r="I45" s="36" t="b">
        <f t="shared" ca="1" si="1"/>
        <v>1</v>
      </c>
      <c r="K45" s="47"/>
      <c r="L45" s="48"/>
      <c r="M45" s="50"/>
    </row>
    <row r="46" spans="1:13" x14ac:dyDescent="0.25">
      <c r="B46" s="28">
        <f ca="1"/>
        <v>45496</v>
      </c>
      <c r="C46" s="40">
        <f ca="1"/>
        <v>-4.6974570502289508E-4</v>
      </c>
      <c r="D46" s="36" t="b">
        <f t="shared" ca="1" si="0"/>
        <v>1</v>
      </c>
      <c r="E46" t="s">
        <v>18</v>
      </c>
      <c r="F46" s="28">
        <f ca="1"/>
        <v>45496</v>
      </c>
      <c r="G46" s="34">
        <f ca="1"/>
        <v>0.92416854623601408</v>
      </c>
      <c r="H46" s="36">
        <f ca="1">G46-DiscountFactors!I32</f>
        <v>-4.6974570502289481E-4</v>
      </c>
      <c r="I46" s="36" t="b">
        <f t="shared" ca="1" si="1"/>
        <v>1</v>
      </c>
      <c r="K46" s="51"/>
      <c r="L46" s="52"/>
      <c r="M46" s="53"/>
    </row>
    <row r="52" spans="2:2" x14ac:dyDescent="0.25">
      <c r="B52" s="31">
        <f ca="1">B39</f>
        <v>43665</v>
      </c>
    </row>
  </sheetData>
  <dataValidations disablePrompts="1" count="3">
    <dataValidation type="list" allowBlank="1" showInputMessage="1" showErrorMessage="1" sqref="C13">
      <formula1>"DISCOUNT_FACTORS,FORWARD_RATES,COMPOUND_RATES"</formula1>
    </dataValidation>
    <dataValidation type="list" allowBlank="1" showInputMessage="1" showErrorMessage="1" sqref="C14">
      <formula1>"FLAT_SHIFT,PERTURBED"</formula1>
    </dataValidation>
    <dataValidation type="list" allowBlank="1" showInputMessage="1" showErrorMessage="1" sqref="L38">
      <formula1>"TRUE,FALSE"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38"/>
  <sheetViews>
    <sheetView showGridLines="0" workbookViewId="0"/>
  </sheetViews>
  <sheetFormatPr defaultRowHeight="15" x14ac:dyDescent="0.25"/>
  <cols>
    <col min="3" max="3" width="25.28515625" bestFit="1" customWidth="1"/>
    <col min="4" max="4" width="25.7109375" customWidth="1"/>
    <col min="13" max="13" width="13.140625" bestFit="1" customWidth="1"/>
    <col min="15" max="15" width="14.28515625" bestFit="1" customWidth="1"/>
    <col min="17" max="17" width="20" customWidth="1"/>
    <col min="18" max="18" width="17.42578125" bestFit="1" customWidth="1"/>
  </cols>
  <sheetData>
    <row r="2" spans="2:19" x14ac:dyDescent="0.25">
      <c r="B2" s="64"/>
      <c r="C2" s="65"/>
      <c r="D2" s="66"/>
      <c r="E2" s="67"/>
      <c r="F2" s="67"/>
      <c r="G2" s="67"/>
      <c r="H2" s="67"/>
      <c r="I2" s="67"/>
      <c r="J2" s="67"/>
      <c r="K2" s="68"/>
      <c r="M2" s="147" t="s">
        <v>16</v>
      </c>
      <c r="Q2" s="1" t="s">
        <v>149</v>
      </c>
    </row>
    <row r="3" spans="2:19" x14ac:dyDescent="0.25">
      <c r="B3" s="69"/>
      <c r="C3" s="70" t="s">
        <v>60</v>
      </c>
      <c r="D3" s="71"/>
      <c r="E3" s="72"/>
      <c r="F3" s="70" t="s">
        <v>10</v>
      </c>
      <c r="G3" s="73"/>
      <c r="H3" s="72"/>
      <c r="I3" s="72"/>
      <c r="J3" s="72"/>
      <c r="K3" s="74"/>
    </row>
    <row r="4" spans="2:19" x14ac:dyDescent="0.25">
      <c r="B4" s="69" t="s">
        <v>18</v>
      </c>
      <c r="C4" s="71"/>
      <c r="D4" s="71"/>
      <c r="E4" s="72" t="s">
        <v>18</v>
      </c>
      <c r="F4" s="75" t="s">
        <v>61</v>
      </c>
      <c r="G4" s="75" t="s">
        <v>62</v>
      </c>
      <c r="H4" s="75" t="s">
        <v>63</v>
      </c>
      <c r="I4" s="75" t="s">
        <v>64</v>
      </c>
      <c r="J4" s="75" t="s">
        <v>65</v>
      </c>
      <c r="K4" s="74"/>
      <c r="M4" s="2" t="s">
        <v>5</v>
      </c>
      <c r="N4" s="2" t="s">
        <v>61</v>
      </c>
      <c r="O4" s="2" t="s">
        <v>6</v>
      </c>
      <c r="Q4" s="1" t="s">
        <v>14</v>
      </c>
    </row>
    <row r="5" spans="2:19" x14ac:dyDescent="0.25">
      <c r="B5" s="69"/>
      <c r="C5" s="76" t="s">
        <v>66</v>
      </c>
      <c r="D5" s="77" t="s">
        <v>67</v>
      </c>
      <c r="E5" s="72" t="s">
        <v>18</v>
      </c>
      <c r="F5" s="18" t="s">
        <v>31</v>
      </c>
      <c r="G5" s="78">
        <v>2.4E-2</v>
      </c>
      <c r="H5" s="79"/>
      <c r="I5" s="80"/>
      <c r="J5" s="81" t="b">
        <v>1</v>
      </c>
      <c r="K5" s="74"/>
      <c r="M5" s="138">
        <f t="array" aca="1" ref="M5:M12" ca="1">_xll.meUtilityTermsToDates(Settings.COB,N5:N12)</f>
        <v>43665</v>
      </c>
      <c r="N5" s="139">
        <f t="array" aca="1" ref="N5:O12" ca="1">_xll.meCurveDisplay(D28,D6)</f>
        <v>0</v>
      </c>
      <c r="O5" s="140">
        <f ca="1"/>
        <v>1</v>
      </c>
      <c r="Q5" s="100" t="s">
        <v>2</v>
      </c>
      <c r="R5" s="204">
        <f ca="1">D8</f>
        <v>43665</v>
      </c>
    </row>
    <row r="6" spans="2:19" x14ac:dyDescent="0.25">
      <c r="B6" s="69"/>
      <c r="C6" s="82" t="s">
        <v>21</v>
      </c>
      <c r="D6" s="83" t="s">
        <v>10</v>
      </c>
      <c r="E6" s="72" t="s">
        <v>18</v>
      </c>
      <c r="F6" s="19" t="s">
        <v>32</v>
      </c>
      <c r="G6" s="84">
        <v>1.7485000000000001E-2</v>
      </c>
      <c r="H6" s="80"/>
      <c r="I6" s="80"/>
      <c r="J6" s="81" t="b">
        <v>1</v>
      </c>
      <c r="K6" s="74"/>
      <c r="M6" s="141">
        <f ca="1"/>
        <v>43668</v>
      </c>
      <c r="N6" s="142">
        <f ca="1"/>
        <v>8.21917808219178E-3</v>
      </c>
      <c r="O6" s="143">
        <f ca="1"/>
        <v>0.99980003999200162</v>
      </c>
      <c r="Q6" s="104" t="s">
        <v>23</v>
      </c>
      <c r="R6" s="205">
        <f ca="1">_xll.meDateFromTenor(R5,S6,"FOLLOWING","NYB")</f>
        <v>43669</v>
      </c>
      <c r="S6" s="1" t="s">
        <v>127</v>
      </c>
    </row>
    <row r="7" spans="2:19" x14ac:dyDescent="0.25">
      <c r="B7" s="69"/>
      <c r="C7" s="82" t="s">
        <v>68</v>
      </c>
      <c r="D7" s="83" t="s">
        <v>69</v>
      </c>
      <c r="E7" s="72" t="s">
        <v>18</v>
      </c>
      <c r="F7" s="19" t="s">
        <v>33</v>
      </c>
      <c r="G7" s="84">
        <v>1.5765000000000001E-2</v>
      </c>
      <c r="H7" s="80"/>
      <c r="I7" s="80"/>
      <c r="J7" s="81" t="b">
        <v>1</v>
      </c>
      <c r="K7" s="74"/>
      <c r="M7" s="141">
        <f ca="1"/>
        <v>43669</v>
      </c>
      <c r="N7" s="142">
        <f ca="1"/>
        <v>1.0958904109589041E-2</v>
      </c>
      <c r="O7" s="143">
        <f ca="1"/>
        <v>0.99973339109926163</v>
      </c>
      <c r="Q7" s="104" t="s">
        <v>3</v>
      </c>
      <c r="R7" s="205">
        <f ca="1">R5</f>
        <v>43665</v>
      </c>
    </row>
    <row r="8" spans="2:19" x14ac:dyDescent="0.25">
      <c r="B8" s="69"/>
      <c r="C8" s="85" t="s">
        <v>2</v>
      </c>
      <c r="D8" s="86">
        <f ca="1">Settings.COB</f>
        <v>43665</v>
      </c>
      <c r="E8" s="72" t="s">
        <v>18</v>
      </c>
      <c r="F8" s="19" t="s">
        <v>34</v>
      </c>
      <c r="G8" s="84">
        <v>1.532E-2</v>
      </c>
      <c r="H8" s="80"/>
      <c r="I8" s="80"/>
      <c r="J8" s="81" t="b">
        <v>1</v>
      </c>
      <c r="K8" s="74"/>
      <c r="M8" s="141">
        <f ca="1"/>
        <v>44035</v>
      </c>
      <c r="N8" s="142">
        <f ca="1"/>
        <v>1.0136986301369864</v>
      </c>
      <c r="O8" s="143">
        <f ca="1"/>
        <v>0.98211974036061234</v>
      </c>
      <c r="Q8" s="104" t="s">
        <v>11</v>
      </c>
      <c r="R8" s="206" t="s">
        <v>8</v>
      </c>
    </row>
    <row r="9" spans="2:19" x14ac:dyDescent="0.25">
      <c r="B9" s="69"/>
      <c r="C9" s="71"/>
      <c r="D9" s="71"/>
      <c r="E9" s="72" t="s">
        <v>18</v>
      </c>
      <c r="F9" s="19" t="s">
        <v>35</v>
      </c>
      <c r="G9" s="84">
        <v>1.516E-2</v>
      </c>
      <c r="H9" s="80"/>
      <c r="I9" s="80"/>
      <c r="J9" s="81" t="b">
        <v>1</v>
      </c>
      <c r="K9" s="74"/>
      <c r="M9" s="141">
        <f ca="1"/>
        <v>44400</v>
      </c>
      <c r="N9" s="142">
        <f ca="1"/>
        <v>2.0136986301369864</v>
      </c>
      <c r="O9" s="143">
        <f ca="1"/>
        <v>0.96826286740871403</v>
      </c>
      <c r="Q9" s="104" t="s">
        <v>24</v>
      </c>
      <c r="R9" s="207" t="s">
        <v>25</v>
      </c>
    </row>
    <row r="10" spans="2:19" x14ac:dyDescent="0.25">
      <c r="B10" s="69"/>
      <c r="C10" s="72"/>
      <c r="D10" s="72"/>
      <c r="E10" s="72" t="s">
        <v>18</v>
      </c>
      <c r="F10" s="19" t="s">
        <v>36</v>
      </c>
      <c r="G10" s="84">
        <v>1.532E-2</v>
      </c>
      <c r="H10" s="80"/>
      <c r="I10" s="80"/>
      <c r="J10" s="81" t="b">
        <v>1</v>
      </c>
      <c r="K10" s="74"/>
      <c r="M10" s="141">
        <f ca="1"/>
        <v>44767</v>
      </c>
      <c r="N10" s="142">
        <f ca="1"/>
        <v>3.0191780821917806</v>
      </c>
      <c r="O10" s="143">
        <f ca="1"/>
        <v>0.95413947608057914</v>
      </c>
      <c r="Q10" s="104" t="s">
        <v>27</v>
      </c>
      <c r="R10" s="207" t="s">
        <v>29</v>
      </c>
    </row>
    <row r="11" spans="2:19" x14ac:dyDescent="0.25">
      <c r="B11" s="69"/>
      <c r="C11" s="92" t="s">
        <v>70</v>
      </c>
      <c r="D11" s="71"/>
      <c r="E11" s="72" t="s">
        <v>18</v>
      </c>
      <c r="F11" s="19"/>
      <c r="G11" s="84"/>
      <c r="H11" s="80"/>
      <c r="I11" s="80"/>
      <c r="J11" s="81"/>
      <c r="K11" s="74"/>
      <c r="M11" s="141">
        <f ca="1"/>
        <v>45131</v>
      </c>
      <c r="N11" s="142">
        <f ca="1"/>
        <v>4.0164383561643842</v>
      </c>
      <c r="O11" s="143">
        <f ca="1"/>
        <v>0.94009843733134268</v>
      </c>
      <c r="Q11" s="105" t="s">
        <v>28</v>
      </c>
      <c r="R11" s="208" t="s">
        <v>30</v>
      </c>
    </row>
    <row r="12" spans="2:19" x14ac:dyDescent="0.25">
      <c r="B12" s="69"/>
      <c r="C12" s="87" t="s">
        <v>71</v>
      </c>
      <c r="D12" s="88" t="s">
        <v>72</v>
      </c>
      <c r="E12" s="72" t="s">
        <v>18</v>
      </c>
      <c r="F12" s="19"/>
      <c r="G12" s="84"/>
      <c r="H12" s="80"/>
      <c r="I12" s="80"/>
      <c r="J12" s="81"/>
      <c r="K12" s="74"/>
      <c r="M12" s="144">
        <f ca="1"/>
        <v>45496</v>
      </c>
      <c r="N12" s="145">
        <f ca="1"/>
        <v>5.0164383561643842</v>
      </c>
      <c r="O12" s="146">
        <f ca="1"/>
        <v>0.92498482062468212</v>
      </c>
    </row>
    <row r="13" spans="2:19" x14ac:dyDescent="0.25">
      <c r="B13" s="69"/>
      <c r="C13" s="89" t="s">
        <v>73</v>
      </c>
      <c r="D13" s="90" t="str">
        <f ca="1">_xll.meLWOCurveMarketDataCreate(D12,C3,C5:D8,F3,F5:J31)</f>
        <v>USD_OIS_CURVE@2:0</v>
      </c>
      <c r="E13" s="72" t="s">
        <v>18</v>
      </c>
      <c r="F13" s="19"/>
      <c r="G13" s="84"/>
      <c r="H13" s="80"/>
      <c r="I13" s="80"/>
      <c r="J13" s="81"/>
      <c r="K13" s="74"/>
    </row>
    <row r="14" spans="2:19" x14ac:dyDescent="0.25">
      <c r="B14" s="69"/>
      <c r="C14" s="91"/>
      <c r="D14" s="71"/>
      <c r="E14" s="72" t="s">
        <v>18</v>
      </c>
      <c r="F14" s="19"/>
      <c r="G14" s="84"/>
      <c r="H14" s="80"/>
      <c r="I14" s="80"/>
      <c r="J14" s="81"/>
      <c r="K14" s="74"/>
      <c r="Q14" s="1" t="s">
        <v>14</v>
      </c>
    </row>
    <row r="15" spans="2:19" x14ac:dyDescent="0.25">
      <c r="B15" s="69"/>
      <c r="C15" s="91"/>
      <c r="D15" s="71"/>
      <c r="E15" s="72" t="s">
        <v>18</v>
      </c>
      <c r="F15" s="19"/>
      <c r="G15" s="84"/>
      <c r="H15" s="80"/>
      <c r="I15" s="80"/>
      <c r="J15" s="81"/>
      <c r="K15" s="74"/>
      <c r="Q15" s="2" t="s">
        <v>5</v>
      </c>
      <c r="R15" s="2" t="s">
        <v>6</v>
      </c>
    </row>
    <row r="16" spans="2:19" x14ac:dyDescent="0.25">
      <c r="B16" s="69"/>
      <c r="C16" s="91"/>
      <c r="D16" s="71"/>
      <c r="E16" s="72" t="s">
        <v>18</v>
      </c>
      <c r="F16" s="19"/>
      <c r="G16" s="84"/>
      <c r="H16" s="80"/>
      <c r="I16" s="80"/>
      <c r="J16" s="81"/>
      <c r="K16" s="74"/>
      <c r="Q16" s="138">
        <f t="shared" ref="Q16:Q23" ca="1" si="0">M5</f>
        <v>43665</v>
      </c>
      <c r="R16" s="140">
        <f t="shared" ref="R16:R23" ca="1" si="1">O5</f>
        <v>1</v>
      </c>
    </row>
    <row r="17" spans="2:18" x14ac:dyDescent="0.25">
      <c r="B17" s="69"/>
      <c r="C17" s="91"/>
      <c r="D17" s="71"/>
      <c r="E17" s="72" t="s">
        <v>18</v>
      </c>
      <c r="F17" s="19"/>
      <c r="G17" s="84"/>
      <c r="H17" s="80"/>
      <c r="I17" s="80"/>
      <c r="J17" s="81"/>
      <c r="K17" s="74"/>
      <c r="Q17" s="141">
        <f t="shared" ca="1" si="0"/>
        <v>43668</v>
      </c>
      <c r="R17" s="143">
        <f t="shared" ca="1" si="1"/>
        <v>0.99980003999200162</v>
      </c>
    </row>
    <row r="18" spans="2:18" x14ac:dyDescent="0.25">
      <c r="B18" s="69"/>
      <c r="C18" s="91"/>
      <c r="D18" s="71"/>
      <c r="E18" s="72" t="s">
        <v>18</v>
      </c>
      <c r="F18" s="19"/>
      <c r="G18" s="84"/>
      <c r="H18" s="80"/>
      <c r="I18" s="80"/>
      <c r="J18" s="81"/>
      <c r="K18" s="74"/>
      <c r="Q18" s="141">
        <f t="shared" ca="1" si="0"/>
        <v>43669</v>
      </c>
      <c r="R18" s="143">
        <f t="shared" ca="1" si="1"/>
        <v>0.99973339109926163</v>
      </c>
    </row>
    <row r="19" spans="2:18" x14ac:dyDescent="0.25">
      <c r="B19" s="69"/>
      <c r="C19" s="92" t="s">
        <v>74</v>
      </c>
      <c r="D19" s="71"/>
      <c r="E19" s="72" t="s">
        <v>18</v>
      </c>
      <c r="F19" s="19"/>
      <c r="G19" s="84"/>
      <c r="H19" s="80"/>
      <c r="I19" s="80"/>
      <c r="J19" s="81"/>
      <c r="K19" s="74"/>
      <c r="Q19" s="141">
        <f t="shared" ca="1" si="0"/>
        <v>44035</v>
      </c>
      <c r="R19" s="143">
        <f t="shared" ca="1" si="1"/>
        <v>0.98211974036061234</v>
      </c>
    </row>
    <row r="20" spans="2:18" x14ac:dyDescent="0.25">
      <c r="B20" s="69"/>
      <c r="C20" s="93" t="s">
        <v>71</v>
      </c>
      <c r="D20" s="94" t="s">
        <v>135</v>
      </c>
      <c r="E20" s="72" t="s">
        <v>18</v>
      </c>
      <c r="F20" s="19"/>
      <c r="G20" s="84"/>
      <c r="H20" s="80"/>
      <c r="I20" s="80"/>
      <c r="J20" s="81"/>
      <c r="K20" s="74"/>
      <c r="Q20" s="141">
        <f t="shared" ca="1" si="0"/>
        <v>44400</v>
      </c>
      <c r="R20" s="143">
        <f t="shared" ca="1" si="1"/>
        <v>0.96826286740871403</v>
      </c>
    </row>
    <row r="21" spans="2:18" x14ac:dyDescent="0.25">
      <c r="B21" s="69"/>
      <c r="C21" s="95" t="s">
        <v>75</v>
      </c>
      <c r="D21" s="96" t="str">
        <f ca="1">Settings!$G$5</f>
        <v>USD_OIS_CURVE@1:2</v>
      </c>
      <c r="E21" s="72" t="s">
        <v>18</v>
      </c>
      <c r="F21" s="19"/>
      <c r="G21" s="84"/>
      <c r="H21" s="80"/>
      <c r="I21" s="80"/>
      <c r="J21" s="81"/>
      <c r="K21" s="74"/>
      <c r="Q21" s="141">
        <f t="shared" ca="1" si="0"/>
        <v>44767</v>
      </c>
      <c r="R21" s="143">
        <f t="shared" ca="1" si="1"/>
        <v>0.95413947608057914</v>
      </c>
    </row>
    <row r="22" spans="2:18" x14ac:dyDescent="0.25">
      <c r="B22" s="69"/>
      <c r="C22" s="95" t="s">
        <v>76</v>
      </c>
      <c r="D22" s="97" t="s">
        <v>86</v>
      </c>
      <c r="E22" s="72" t="s">
        <v>18</v>
      </c>
      <c r="F22" s="19"/>
      <c r="G22" s="84"/>
      <c r="H22" s="80"/>
      <c r="I22" s="80"/>
      <c r="J22" s="81"/>
      <c r="K22" s="74"/>
      <c r="Q22" s="141">
        <f t="shared" ca="1" si="0"/>
        <v>45131</v>
      </c>
      <c r="R22" s="143">
        <f t="shared" ca="1" si="1"/>
        <v>0.94009843733134268</v>
      </c>
    </row>
    <row r="23" spans="2:18" x14ac:dyDescent="0.25">
      <c r="B23" s="69"/>
      <c r="C23" s="98" t="s">
        <v>77</v>
      </c>
      <c r="D23" s="99"/>
      <c r="E23" s="72" t="s">
        <v>18</v>
      </c>
      <c r="F23" s="19"/>
      <c r="G23" s="84"/>
      <c r="H23" s="80"/>
      <c r="I23" s="80"/>
      <c r="J23" s="81"/>
      <c r="K23" s="74"/>
      <c r="Q23" s="144">
        <f t="shared" ca="1" si="0"/>
        <v>45496</v>
      </c>
      <c r="R23" s="146">
        <f t="shared" ca="1" si="1"/>
        <v>0.92498482062468212</v>
      </c>
    </row>
    <row r="24" spans="2:18" x14ac:dyDescent="0.25">
      <c r="B24" s="69"/>
      <c r="C24" s="72"/>
      <c r="D24" s="72"/>
      <c r="E24" s="72" t="s">
        <v>18</v>
      </c>
      <c r="F24" s="19"/>
      <c r="G24" s="84"/>
      <c r="H24" s="80"/>
      <c r="I24" s="80"/>
      <c r="J24" s="81"/>
      <c r="K24" s="74"/>
    </row>
    <row r="25" spans="2:18" x14ac:dyDescent="0.25">
      <c r="B25" s="69"/>
      <c r="C25" s="72"/>
      <c r="D25" s="72"/>
      <c r="E25" s="72" t="s">
        <v>18</v>
      </c>
      <c r="F25" s="19"/>
      <c r="G25" s="84"/>
      <c r="H25" s="80"/>
      <c r="I25" s="80"/>
      <c r="J25" s="81"/>
      <c r="K25" s="74"/>
    </row>
    <row r="26" spans="2:18" x14ac:dyDescent="0.25">
      <c r="B26" s="69"/>
      <c r="C26" s="92" t="s">
        <v>78</v>
      </c>
      <c r="D26" s="72"/>
      <c r="E26" s="72" t="s">
        <v>18</v>
      </c>
      <c r="F26" s="19"/>
      <c r="G26" s="84"/>
      <c r="H26" s="80"/>
      <c r="I26" s="80"/>
      <c r="J26" s="81"/>
      <c r="K26" s="74"/>
    </row>
    <row r="27" spans="2:18" x14ac:dyDescent="0.25">
      <c r="B27" s="69"/>
      <c r="C27" s="100" t="s">
        <v>71</v>
      </c>
      <c r="D27" s="101" t="str">
        <f t="array" aca="1" ref="D27:D30" ca="1">_xll.meLWOCurveCalibrate(D20,D21,D13,D22,D23)</f>
        <v>USD_OIS_ORIGINAL@3:0</v>
      </c>
      <c r="E27" s="72" t="s">
        <v>18</v>
      </c>
      <c r="F27" s="19"/>
      <c r="G27" s="84"/>
      <c r="H27" s="80"/>
      <c r="I27" s="80"/>
      <c r="J27" s="81"/>
      <c r="K27" s="74"/>
    </row>
    <row r="28" spans="2:18" x14ac:dyDescent="0.25">
      <c r="B28" s="69"/>
      <c r="C28" s="104" t="s">
        <v>79</v>
      </c>
      <c r="D28" s="102" t="str">
        <f ca="1"/>
        <v>USDYC_ORIGINAL</v>
      </c>
      <c r="E28" s="72" t="s">
        <v>18</v>
      </c>
      <c r="F28" s="19"/>
      <c r="G28" s="84"/>
      <c r="H28" s="80"/>
      <c r="I28" s="80"/>
      <c r="J28" s="81"/>
      <c r="K28" s="74"/>
    </row>
    <row r="29" spans="2:18" x14ac:dyDescent="0.25">
      <c r="B29" s="69"/>
      <c r="C29" s="104" t="s">
        <v>80</v>
      </c>
      <c r="D29" s="102" t="str">
        <f ca="1"/>
        <v>OIS:USDOIS</v>
      </c>
      <c r="E29" s="72" t="s">
        <v>18</v>
      </c>
      <c r="F29" s="19"/>
      <c r="G29" s="84"/>
      <c r="H29" s="80"/>
      <c r="I29" s="80"/>
      <c r="J29" s="81"/>
      <c r="K29" s="74"/>
    </row>
    <row r="30" spans="2:18" x14ac:dyDescent="0.25">
      <c r="B30" s="69"/>
      <c r="C30" s="105" t="s">
        <v>81</v>
      </c>
      <c r="D30" s="103" t="str">
        <f ca="1"/>
        <v>0.00300 sec</v>
      </c>
      <c r="E30" s="72" t="s">
        <v>18</v>
      </c>
      <c r="F30" s="19"/>
      <c r="G30" s="84"/>
      <c r="H30" s="80"/>
      <c r="I30" s="80"/>
      <c r="J30" s="81"/>
      <c r="K30" s="74"/>
    </row>
    <row r="31" spans="2:18" x14ac:dyDescent="0.25">
      <c r="B31" s="69"/>
      <c r="C31" s="106" t="s">
        <v>82</v>
      </c>
      <c r="D31" s="107" t="b">
        <f ca="1">_xll.meLWOExists(D27,"CURVE")</f>
        <v>1</v>
      </c>
      <c r="E31" s="72"/>
      <c r="F31" s="108"/>
      <c r="G31" s="109"/>
      <c r="H31" s="110"/>
      <c r="I31" s="110"/>
      <c r="J31" s="111"/>
      <c r="K31" s="74"/>
    </row>
    <row r="32" spans="2:18" x14ac:dyDescent="0.25">
      <c r="B32" s="112"/>
      <c r="C32" s="113"/>
      <c r="D32" s="113"/>
      <c r="E32" s="113"/>
      <c r="F32" s="113"/>
      <c r="G32" s="113"/>
      <c r="H32" s="113"/>
      <c r="I32" s="113"/>
      <c r="J32" s="113"/>
      <c r="K32" s="114"/>
    </row>
    <row r="34" spans="3:4" x14ac:dyDescent="0.25">
      <c r="C34" s="1" t="s">
        <v>133</v>
      </c>
    </row>
    <row r="35" spans="3:4" x14ac:dyDescent="0.25">
      <c r="C35" s="168" t="s">
        <v>130</v>
      </c>
      <c r="D35" s="169" t="str">
        <f ca="1">_xll.meLWOCurveCalibrate(D36,$D$21,$D$13,$D$37)</f>
        <v>USD_OIS_ANALYTICAL@4:0</v>
      </c>
    </row>
    <row r="36" spans="3:4" x14ac:dyDescent="0.25">
      <c r="C36" s="170" t="s">
        <v>71</v>
      </c>
      <c r="D36" s="170" t="s">
        <v>128</v>
      </c>
    </row>
    <row r="37" spans="3:4" x14ac:dyDescent="0.25">
      <c r="C37" s="170" t="s">
        <v>0</v>
      </c>
      <c r="D37" s="170" t="s">
        <v>129</v>
      </c>
    </row>
    <row r="38" spans="3:4" x14ac:dyDescent="0.25">
      <c r="C38" s="171" t="s">
        <v>1</v>
      </c>
      <c r="D38" s="171" t="s">
        <v>10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6"/>
  <sheetViews>
    <sheetView showGridLines="0" workbookViewId="0"/>
  </sheetViews>
  <sheetFormatPr defaultRowHeight="15" x14ac:dyDescent="0.25"/>
  <cols>
    <col min="3" max="3" width="25.28515625" bestFit="1" customWidth="1"/>
    <col min="4" max="4" width="21.85546875" customWidth="1"/>
    <col min="6" max="6" width="11" customWidth="1"/>
    <col min="7" max="7" width="17.140625" customWidth="1"/>
    <col min="13" max="13" width="20.140625" customWidth="1"/>
    <col min="14" max="15" width="15.7109375" customWidth="1"/>
  </cols>
  <sheetData>
    <row r="2" spans="2:15" x14ac:dyDescent="0.25">
      <c r="F2" t="s">
        <v>40</v>
      </c>
      <c r="G2" s="23" t="s">
        <v>143</v>
      </c>
      <c r="M2" t="s">
        <v>59</v>
      </c>
      <c r="N2" s="191">
        <f ca="1">Settings.MarketDataShiftSize</f>
        <v>1E-4</v>
      </c>
    </row>
    <row r="3" spans="2:15" x14ac:dyDescent="0.25">
      <c r="M3" s="148" t="s">
        <v>58</v>
      </c>
      <c r="N3" s="149">
        <f ca="1">Settings.GradientShiftSize</f>
        <v>9.9999999999999995E-7</v>
      </c>
    </row>
    <row r="5" spans="2:15" x14ac:dyDescent="0.25">
      <c r="M5" s="147" t="s">
        <v>16</v>
      </c>
    </row>
    <row r="6" spans="2:15" x14ac:dyDescent="0.25">
      <c r="B6" s="64"/>
      <c r="C6" s="65"/>
      <c r="D6" s="66"/>
      <c r="E6" s="67"/>
      <c r="F6" s="67"/>
      <c r="G6" s="67"/>
      <c r="H6" s="67"/>
      <c r="I6" s="67"/>
      <c r="J6" s="67"/>
      <c r="K6" s="68"/>
      <c r="M6" s="2" t="s">
        <v>5</v>
      </c>
      <c r="N6" s="2" t="s">
        <v>61</v>
      </c>
      <c r="O6" s="2" t="s">
        <v>6</v>
      </c>
    </row>
    <row r="7" spans="2:15" x14ac:dyDescent="0.25">
      <c r="B7" s="69"/>
      <c r="C7" s="70" t="s">
        <v>60</v>
      </c>
      <c r="D7" s="71"/>
      <c r="E7" s="72"/>
      <c r="F7" s="70" t="s">
        <v>10</v>
      </c>
      <c r="G7" s="73"/>
      <c r="H7" s="72"/>
      <c r="I7" s="72"/>
      <c r="J7" s="72"/>
      <c r="K7" s="74"/>
      <c r="M7" s="138">
        <f t="array" aca="1" ref="M7:M14" ca="1">_xll.meUtilityTermsToDates(Settings.COB,N7:N14)</f>
        <v>43665</v>
      </c>
      <c r="N7" s="139">
        <f t="array" aca="1" ref="N7:O14" ca="1">_xll.meCurveDisplay(D32,D10)</f>
        <v>0</v>
      </c>
      <c r="O7" s="140">
        <f ca="1"/>
        <v>1</v>
      </c>
    </row>
    <row r="8" spans="2:15" x14ac:dyDescent="0.25">
      <c r="B8" s="69" t="s">
        <v>18</v>
      </c>
      <c r="C8" s="71"/>
      <c r="D8" s="71"/>
      <c r="E8" s="72" t="s">
        <v>18</v>
      </c>
      <c r="F8" s="75" t="s">
        <v>61</v>
      </c>
      <c r="G8" s="75" t="s">
        <v>62</v>
      </c>
      <c r="H8" s="75" t="s">
        <v>63</v>
      </c>
      <c r="I8" s="75" t="s">
        <v>64</v>
      </c>
      <c r="J8" s="75" t="s">
        <v>65</v>
      </c>
      <c r="K8" s="74"/>
      <c r="M8" s="141">
        <f ca="1"/>
        <v>43668</v>
      </c>
      <c r="N8" s="142">
        <f ca="1"/>
        <v>8.21917808219178E-3</v>
      </c>
      <c r="O8" s="143">
        <f ca="1"/>
        <v>0.99979920699259561</v>
      </c>
    </row>
    <row r="9" spans="2:15" x14ac:dyDescent="0.25">
      <c r="B9" s="69"/>
      <c r="C9" s="76" t="s">
        <v>66</v>
      </c>
      <c r="D9" s="77" t="s">
        <v>67</v>
      </c>
      <c r="E9" s="72" t="s">
        <v>18</v>
      </c>
      <c r="F9" s="18" t="s">
        <v>31</v>
      </c>
      <c r="G9" s="78">
        <f ca="1">'EX - Original Curve'!G5+IF($G$2="MKTDATA-SHIFT",$N$2,$N$3)</f>
        <v>2.41E-2</v>
      </c>
      <c r="H9" s="79"/>
      <c r="I9" s="80"/>
      <c r="J9" s="81" t="b">
        <v>1</v>
      </c>
      <c r="K9" s="74"/>
      <c r="M9" s="141">
        <f ca="1"/>
        <v>43669</v>
      </c>
      <c r="N9" s="142">
        <f ca="1"/>
        <v>1.0958904109589041E-2</v>
      </c>
      <c r="O9" s="143">
        <f ca="1"/>
        <v>0.99973228047048623</v>
      </c>
    </row>
    <row r="10" spans="2:15" x14ac:dyDescent="0.25">
      <c r="B10" s="69"/>
      <c r="C10" s="82" t="s">
        <v>21</v>
      </c>
      <c r="D10" s="83" t="s">
        <v>10</v>
      </c>
      <c r="E10" s="72" t="s">
        <v>18</v>
      </c>
      <c r="F10" s="19" t="s">
        <v>32</v>
      </c>
      <c r="G10" s="84">
        <f ca="1">'EX - Original Curve'!G6+IF($G$2="MKTDATA-SHIFT",$N$2,$N$3)</f>
        <v>1.7585E-2</v>
      </c>
      <c r="H10" s="80"/>
      <c r="I10" s="80"/>
      <c r="J10" s="81" t="b">
        <v>1</v>
      </c>
      <c r="K10" s="74"/>
      <c r="M10" s="141">
        <f ca="1"/>
        <v>44035</v>
      </c>
      <c r="N10" s="142">
        <f ca="1"/>
        <v>1.0136986301369864</v>
      </c>
      <c r="O10" s="143">
        <f ca="1"/>
        <v>0.98201881714318306</v>
      </c>
    </row>
    <row r="11" spans="2:15" x14ac:dyDescent="0.25">
      <c r="B11" s="69"/>
      <c r="C11" s="82" t="s">
        <v>68</v>
      </c>
      <c r="D11" s="83" t="s">
        <v>69</v>
      </c>
      <c r="E11" s="72" t="s">
        <v>18</v>
      </c>
      <c r="F11" s="19" t="s">
        <v>33</v>
      </c>
      <c r="G11" s="84">
        <f ca="1">'EX - Original Curve'!G7+IF($G$2="MKTDATA-SHIFT",$N$2,$N$3)</f>
        <v>1.5865000000000001E-2</v>
      </c>
      <c r="H11" s="80"/>
      <c r="I11" s="80"/>
      <c r="J11" s="81" t="b">
        <v>1</v>
      </c>
      <c r="K11" s="74"/>
      <c r="M11" s="141">
        <f ca="1"/>
        <v>44400</v>
      </c>
      <c r="N11" s="142">
        <f ca="1"/>
        <v>2.0136986301369864</v>
      </c>
      <c r="O11" s="143">
        <f ca="1"/>
        <v>0.96806539428754357</v>
      </c>
    </row>
    <row r="12" spans="2:15" x14ac:dyDescent="0.25">
      <c r="B12" s="69"/>
      <c r="C12" s="85" t="s">
        <v>2</v>
      </c>
      <c r="D12" s="86">
        <f ca="1">Settings.COB</f>
        <v>43665</v>
      </c>
      <c r="E12" s="72" t="s">
        <v>18</v>
      </c>
      <c r="F12" s="19" t="s">
        <v>34</v>
      </c>
      <c r="G12" s="84">
        <f ca="1">'EX - Original Curve'!G8+IF($G$2="MKTDATA-SHIFT",$N$2,$N$3)</f>
        <v>1.542E-2</v>
      </c>
      <c r="H12" s="80"/>
      <c r="I12" s="80"/>
      <c r="J12" s="81" t="b">
        <v>1</v>
      </c>
      <c r="K12" s="74"/>
      <c r="M12" s="141">
        <f ca="1"/>
        <v>44767</v>
      </c>
      <c r="N12" s="142">
        <f ca="1"/>
        <v>3.0191780821917806</v>
      </c>
      <c r="O12" s="143">
        <f ca="1"/>
        <v>0.95384778143960436</v>
      </c>
    </row>
    <row r="13" spans="2:15" x14ac:dyDescent="0.25">
      <c r="B13" s="69"/>
      <c r="C13" s="71"/>
      <c r="D13" s="71"/>
      <c r="E13" s="72" t="s">
        <v>18</v>
      </c>
      <c r="F13" s="19" t="s">
        <v>35</v>
      </c>
      <c r="G13" s="84">
        <f ca="1">'EX - Original Curve'!G9+IF($G$2="MKTDATA-SHIFT",$N$2,$N$3)</f>
        <v>1.5259999999999999E-2</v>
      </c>
      <c r="H13" s="80"/>
      <c r="I13" s="80"/>
      <c r="J13" s="81" t="b">
        <v>1</v>
      </c>
      <c r="K13" s="74"/>
      <c r="M13" s="141">
        <f ca="1"/>
        <v>45131</v>
      </c>
      <c r="N13" s="142">
        <f ca="1"/>
        <v>4.0164383561643842</v>
      </c>
      <c r="O13" s="143">
        <f ca="1"/>
        <v>0.93971611858393655</v>
      </c>
    </row>
    <row r="14" spans="2:15" x14ac:dyDescent="0.25">
      <c r="B14" s="69"/>
      <c r="C14" s="72"/>
      <c r="D14" s="72"/>
      <c r="E14" s="72" t="s">
        <v>18</v>
      </c>
      <c r="F14" s="19" t="s">
        <v>36</v>
      </c>
      <c r="G14" s="84">
        <f ca="1">'EX - Original Curve'!G10+IF($G$2="MKTDATA-SHIFT",$N$2,$N$3)</f>
        <v>1.542E-2</v>
      </c>
      <c r="H14" s="80"/>
      <c r="I14" s="80"/>
      <c r="J14" s="81" t="b">
        <v>1</v>
      </c>
      <c r="K14" s="74"/>
      <c r="M14" s="144">
        <f ca="1"/>
        <v>45496</v>
      </c>
      <c r="N14" s="145">
        <f ca="1"/>
        <v>5.0164383561643842</v>
      </c>
      <c r="O14" s="146">
        <f ca="1"/>
        <v>0.92451475676720185</v>
      </c>
    </row>
    <row r="15" spans="2:15" x14ac:dyDescent="0.25">
      <c r="B15" s="69"/>
      <c r="C15" s="92" t="s">
        <v>70</v>
      </c>
      <c r="D15" s="71"/>
      <c r="E15" s="72" t="s">
        <v>18</v>
      </c>
      <c r="F15" s="19"/>
      <c r="G15" s="84"/>
      <c r="H15" s="80"/>
      <c r="I15" s="80"/>
      <c r="J15" s="81"/>
      <c r="K15" s="74"/>
    </row>
    <row r="16" spans="2:15" x14ac:dyDescent="0.25">
      <c r="B16" s="69"/>
      <c r="C16" s="87" t="s">
        <v>71</v>
      </c>
      <c r="D16" s="88" t="s">
        <v>72</v>
      </c>
      <c r="E16" s="72" t="s">
        <v>18</v>
      </c>
      <c r="F16" s="19"/>
      <c r="G16" s="84"/>
      <c r="H16" s="80"/>
      <c r="I16" s="80"/>
      <c r="J16" s="81"/>
      <c r="K16" s="74"/>
      <c r="M16" s="1" t="s">
        <v>124</v>
      </c>
    </row>
    <row r="17" spans="2:16" x14ac:dyDescent="0.25">
      <c r="B17" s="69"/>
      <c r="C17" s="89" t="s">
        <v>73</v>
      </c>
      <c r="D17" s="90" t="str">
        <f ca="1">_xll.meLWOCurveMarketDataCreate(D16,C7,C9:D12,F7,F9:J35)</f>
        <v>USD_OIS_CURVE@5:1</v>
      </c>
      <c r="E17" s="72" t="s">
        <v>18</v>
      </c>
      <c r="F17" s="19"/>
      <c r="G17" s="84"/>
      <c r="H17" s="80"/>
      <c r="I17" s="80"/>
      <c r="J17" s="81"/>
      <c r="K17" s="74"/>
      <c r="M17" s="2" t="str">
        <f t="shared" ref="M17" ca="1" si="0">M6</f>
        <v>PaymentDate</v>
      </c>
      <c r="N17" s="2" t="s">
        <v>122</v>
      </c>
      <c r="O17" s="2" t="s">
        <v>123</v>
      </c>
    </row>
    <row r="18" spans="2:16" x14ac:dyDescent="0.25">
      <c r="B18" s="69"/>
      <c r="C18" s="91"/>
      <c r="D18" s="71"/>
      <c r="E18" s="72" t="s">
        <v>18</v>
      </c>
      <c r="F18" s="19"/>
      <c r="G18" s="84"/>
      <c r="H18" s="80"/>
      <c r="I18" s="80"/>
      <c r="J18" s="81"/>
      <c r="K18" s="74"/>
      <c r="M18" s="150">
        <f t="shared" ref="M18:M25" ca="1" si="1">M7</f>
        <v>43665</v>
      </c>
      <c r="N18" s="161">
        <f ca="1">O7-'EX - Original Curve'!O5</f>
        <v>0</v>
      </c>
      <c r="O18" s="140">
        <f t="shared" ref="O18:O25" ca="1" si="2">O7</f>
        <v>1</v>
      </c>
    </row>
    <row r="19" spans="2:16" x14ac:dyDescent="0.25">
      <c r="B19" s="69"/>
      <c r="C19" s="91"/>
      <c r="D19" s="71"/>
      <c r="E19" s="72" t="s">
        <v>18</v>
      </c>
      <c r="F19" s="19"/>
      <c r="G19" s="84"/>
      <c r="H19" s="80"/>
      <c r="I19" s="80"/>
      <c r="J19" s="81"/>
      <c r="K19" s="74"/>
      <c r="M19" s="151">
        <f t="shared" ca="1" si="1"/>
        <v>43668</v>
      </c>
      <c r="N19" s="162">
        <f ca="1">O8-'EX - Original Curve'!O6</f>
        <v>-8.3299940600856104E-7</v>
      </c>
      <c r="O19" s="143">
        <f t="shared" ca="1" si="2"/>
        <v>0.99979920699259561</v>
      </c>
    </row>
    <row r="20" spans="2:16" x14ac:dyDescent="0.25">
      <c r="B20" s="69"/>
      <c r="C20" s="91"/>
      <c r="D20" s="71"/>
      <c r="E20" s="72" t="s">
        <v>18</v>
      </c>
      <c r="F20" s="19"/>
      <c r="G20" s="84"/>
      <c r="H20" s="80"/>
      <c r="I20" s="80"/>
      <c r="J20" s="81"/>
      <c r="K20" s="74"/>
      <c r="M20" s="151">
        <f t="shared" ca="1" si="1"/>
        <v>43669</v>
      </c>
      <c r="N20" s="162">
        <f ca="1">O9-'EX - Original Curve'!O7</f>
        <v>-1.1106287753914756E-6</v>
      </c>
      <c r="O20" s="143">
        <f t="shared" ca="1" si="2"/>
        <v>0.99973228047048623</v>
      </c>
    </row>
    <row r="21" spans="2:16" x14ac:dyDescent="0.25">
      <c r="B21" s="69"/>
      <c r="C21" s="91"/>
      <c r="D21" s="71"/>
      <c r="E21" s="72" t="s">
        <v>18</v>
      </c>
      <c r="F21" s="19"/>
      <c r="G21" s="84"/>
      <c r="H21" s="80"/>
      <c r="I21" s="80"/>
      <c r="J21" s="81"/>
      <c r="K21" s="74"/>
      <c r="M21" s="151">
        <f t="shared" ca="1" si="1"/>
        <v>44035</v>
      </c>
      <c r="N21" s="162">
        <f ca="1">O10-'EX - Original Curve'!O8</f>
        <v>-1.0092321742927179E-4</v>
      </c>
      <c r="O21" s="143">
        <f t="shared" ca="1" si="2"/>
        <v>0.98201881714318306</v>
      </c>
    </row>
    <row r="22" spans="2:16" x14ac:dyDescent="0.25">
      <c r="B22" s="69"/>
      <c r="C22" s="91"/>
      <c r="D22" s="71"/>
      <c r="E22" s="72" t="s">
        <v>18</v>
      </c>
      <c r="F22" s="19"/>
      <c r="G22" s="84"/>
      <c r="H22" s="80"/>
      <c r="I22" s="80"/>
      <c r="J22" s="81"/>
      <c r="K22" s="74"/>
      <c r="M22" s="151">
        <f t="shared" ca="1" si="1"/>
        <v>44400</v>
      </c>
      <c r="N22" s="162">
        <f ca="1">O11-'EX - Original Curve'!O9</f>
        <v>-1.9747312117046611E-4</v>
      </c>
      <c r="O22" s="143">
        <f t="shared" ca="1" si="2"/>
        <v>0.96806539428754357</v>
      </c>
    </row>
    <row r="23" spans="2:16" x14ac:dyDescent="0.25">
      <c r="B23" s="69"/>
      <c r="C23" s="92" t="s">
        <v>74</v>
      </c>
      <c r="D23" s="71"/>
      <c r="E23" s="72" t="s">
        <v>18</v>
      </c>
      <c r="F23" s="19"/>
      <c r="G23" s="84"/>
      <c r="H23" s="80"/>
      <c r="I23" s="80"/>
      <c r="J23" s="81"/>
      <c r="K23" s="74"/>
      <c r="M23" s="151">
        <f t="shared" ca="1" si="1"/>
        <v>44767</v>
      </c>
      <c r="N23" s="162">
        <f ca="1">O12-'EX - Original Curve'!O10</f>
        <v>-2.9169464097478226E-4</v>
      </c>
      <c r="O23" s="143">
        <f t="shared" ca="1" si="2"/>
        <v>0.95384778143960436</v>
      </c>
    </row>
    <row r="24" spans="2:16" x14ac:dyDescent="0.25">
      <c r="B24" s="69"/>
      <c r="C24" s="93" t="s">
        <v>71</v>
      </c>
      <c r="D24" s="94" t="s">
        <v>136</v>
      </c>
      <c r="E24" s="72" t="s">
        <v>18</v>
      </c>
      <c r="F24" s="19"/>
      <c r="G24" s="84"/>
      <c r="H24" s="80"/>
      <c r="I24" s="80"/>
      <c r="J24" s="81"/>
      <c r="K24" s="74"/>
      <c r="M24" s="151">
        <f t="shared" ca="1" si="1"/>
        <v>45131</v>
      </c>
      <c r="N24" s="162">
        <f ca="1">O13-'EX - Original Curve'!O11</f>
        <v>-3.8231874740612959E-4</v>
      </c>
      <c r="O24" s="143">
        <f t="shared" ca="1" si="2"/>
        <v>0.93971611858393655</v>
      </c>
    </row>
    <row r="25" spans="2:16" x14ac:dyDescent="0.25">
      <c r="B25" s="69"/>
      <c r="C25" s="95" t="s">
        <v>75</v>
      </c>
      <c r="D25" s="96" t="str">
        <f ca="1">Settings!$G$5</f>
        <v>USD_OIS_CURVE@1:2</v>
      </c>
      <c r="E25" s="72" t="s">
        <v>18</v>
      </c>
      <c r="F25" s="19"/>
      <c r="G25" s="84"/>
      <c r="H25" s="80"/>
      <c r="I25" s="80"/>
      <c r="J25" s="81"/>
      <c r="K25" s="74"/>
      <c r="M25" s="152">
        <f t="shared" ca="1" si="1"/>
        <v>45496</v>
      </c>
      <c r="N25" s="163">
        <f ca="1">O14-'EX - Original Curve'!O12</f>
        <v>-4.7006385748027402E-4</v>
      </c>
      <c r="O25" s="146">
        <f t="shared" ca="1" si="2"/>
        <v>0.92451475676720185</v>
      </c>
    </row>
    <row r="26" spans="2:16" x14ac:dyDescent="0.25">
      <c r="B26" s="69"/>
      <c r="C26" s="95" t="s">
        <v>76</v>
      </c>
      <c r="D26" s="97" t="s">
        <v>85</v>
      </c>
      <c r="E26" s="72" t="s">
        <v>18</v>
      </c>
      <c r="F26" s="19"/>
      <c r="G26" s="84"/>
      <c r="H26" s="80"/>
      <c r="I26" s="80"/>
      <c r="J26" s="81"/>
      <c r="K26" s="74"/>
    </row>
    <row r="27" spans="2:16" x14ac:dyDescent="0.25">
      <c r="B27" s="69"/>
      <c r="C27" s="98" t="s">
        <v>77</v>
      </c>
      <c r="D27" s="99"/>
      <c r="E27" s="72" t="s">
        <v>18</v>
      </c>
      <c r="F27" s="19"/>
      <c r="G27" s="84"/>
      <c r="H27" s="80"/>
      <c r="I27" s="80"/>
      <c r="J27" s="81"/>
      <c r="K27" s="74"/>
      <c r="M27" s="1" t="s">
        <v>125</v>
      </c>
    </row>
    <row r="28" spans="2:16" x14ac:dyDescent="0.25">
      <c r="B28" s="69"/>
      <c r="C28" s="72"/>
      <c r="D28" s="72"/>
      <c r="E28" s="72" t="s">
        <v>18</v>
      </c>
      <c r="F28" s="19"/>
      <c r="G28" s="84"/>
      <c r="H28" s="80"/>
      <c r="I28" s="80"/>
      <c r="J28" s="81"/>
      <c r="K28" s="74"/>
      <c r="M28" s="154" t="str">
        <f t="shared" ref="M28" ca="1" si="3">M17</f>
        <v>PaymentDate</v>
      </c>
      <c r="N28" s="155" t="s">
        <v>122</v>
      </c>
      <c r="O28" s="156" t="s">
        <v>123</v>
      </c>
      <c r="P28" s="35" t="s">
        <v>126</v>
      </c>
    </row>
    <row r="29" spans="2:16" x14ac:dyDescent="0.25">
      <c r="B29" s="69"/>
      <c r="C29" s="72"/>
      <c r="D29" s="72"/>
      <c r="E29" s="72" t="s">
        <v>18</v>
      </c>
      <c r="F29" s="19"/>
      <c r="G29" s="84"/>
      <c r="H29" s="80"/>
      <c r="I29" s="80"/>
      <c r="J29" s="81"/>
      <c r="K29" s="74"/>
      <c r="M29" s="157">
        <f ca="1">JacobianRiskMetrics!F39</f>
        <v>43665</v>
      </c>
      <c r="N29" s="164">
        <f ca="1">JacobianRiskMetrics!C39</f>
        <v>0</v>
      </c>
      <c r="O29" s="158">
        <f ca="1">JacobianRiskMetrics!G39</f>
        <v>1</v>
      </c>
      <c r="P29" s="153">
        <f t="shared" ref="P29:P36" ca="1" si="4">O29-O18</f>
        <v>0</v>
      </c>
    </row>
    <row r="30" spans="2:16" x14ac:dyDescent="0.25">
      <c r="B30" s="69"/>
      <c r="C30" s="92" t="s">
        <v>78</v>
      </c>
      <c r="D30" s="72"/>
      <c r="E30" s="72" t="s">
        <v>18</v>
      </c>
      <c r="F30" s="19"/>
      <c r="G30" s="84"/>
      <c r="H30" s="80"/>
      <c r="I30" s="80"/>
      <c r="J30" s="81"/>
      <c r="K30" s="74"/>
      <c r="M30" s="157">
        <f ca="1">JacobianRiskMetrics!F40</f>
        <v>43668</v>
      </c>
      <c r="N30" s="164">
        <f ca="1">JacobianRiskMetrics!C40</f>
        <v>-8.3299940600856104E-7</v>
      </c>
      <c r="O30" s="158">
        <f ca="1">JacobianRiskMetrics!G40</f>
        <v>0.99993222703740803</v>
      </c>
      <c r="P30" s="153">
        <f t="shared" ca="1" si="4"/>
        <v>1.3302004481241525E-4</v>
      </c>
    </row>
    <row r="31" spans="2:16" x14ac:dyDescent="0.25">
      <c r="B31" s="69"/>
      <c r="C31" s="100" t="s">
        <v>71</v>
      </c>
      <c r="D31" s="101" t="str">
        <f t="array" aca="1" ref="D31:D34" ca="1">_xll.meLWOCurveCalibrate(D24,D25,D17,D26,D27)</f>
        <v>USD_OIS_SHIFTED@6:1</v>
      </c>
      <c r="E31" s="72" t="s">
        <v>18</v>
      </c>
      <c r="F31" s="19"/>
      <c r="G31" s="84"/>
      <c r="H31" s="80"/>
      <c r="I31" s="80"/>
      <c r="J31" s="81"/>
      <c r="K31" s="74"/>
      <c r="M31" s="157">
        <f ca="1">JacobianRiskMetrics!F41</f>
        <v>43669</v>
      </c>
      <c r="N31" s="164">
        <f ca="1">JacobianRiskMetrics!C41</f>
        <v>-1.1106287753914801E-6</v>
      </c>
      <c r="O31" s="158">
        <f ca="1">JacobianRiskMetrics!G41</f>
        <v>0.99986501392581162</v>
      </c>
      <c r="P31" s="153">
        <f t="shared" ca="1" si="4"/>
        <v>1.327334553253845E-4</v>
      </c>
    </row>
    <row r="32" spans="2:16" x14ac:dyDescent="0.25">
      <c r="B32" s="69"/>
      <c r="C32" s="104" t="s">
        <v>79</v>
      </c>
      <c r="D32" s="102" t="str">
        <f ca="1"/>
        <v>USDYC_SHIFTED</v>
      </c>
      <c r="E32" s="72" t="s">
        <v>18</v>
      </c>
      <c r="F32" s="19"/>
      <c r="G32" s="84"/>
      <c r="H32" s="80"/>
      <c r="I32" s="80"/>
      <c r="J32" s="81"/>
      <c r="K32" s="74"/>
      <c r="M32" s="157">
        <f ca="1">JacobianRiskMetrics!F42</f>
        <v>44035</v>
      </c>
      <c r="N32" s="164">
        <f ca="1">JacobianRiskMetrics!C42</f>
        <v>-1.0092321742927179E-4</v>
      </c>
      <c r="O32" s="158">
        <f ca="1">JacobianRiskMetrics!G42</f>
        <v>0.98204936151340272</v>
      </c>
      <c r="P32" s="153">
        <f t="shared" ca="1" si="4"/>
        <v>3.0544370219653949E-5</v>
      </c>
    </row>
    <row r="33" spans="2:16" x14ac:dyDescent="0.25">
      <c r="B33" s="69"/>
      <c r="C33" s="104" t="s">
        <v>80</v>
      </c>
      <c r="D33" s="102" t="str">
        <f ca="1"/>
        <v>OIS:USDOIS</v>
      </c>
      <c r="E33" s="72" t="s">
        <v>18</v>
      </c>
      <c r="F33" s="19"/>
      <c r="G33" s="84"/>
      <c r="H33" s="80"/>
      <c r="I33" s="80"/>
      <c r="J33" s="81"/>
      <c r="K33" s="74"/>
      <c r="M33" s="157">
        <f ca="1">JacobianRiskMetrics!F43</f>
        <v>44400</v>
      </c>
      <c r="N33" s="164">
        <f ca="1">JacobianRiskMetrics!C43</f>
        <v>-1.974731211704666E-4</v>
      </c>
      <c r="O33" s="158">
        <f ca="1">JacobianRiskMetrics!G43</f>
        <v>0.96804011592201356</v>
      </c>
      <c r="P33" s="153">
        <f t="shared" ca="1" si="4"/>
        <v>-2.5278365530012614E-5</v>
      </c>
    </row>
    <row r="34" spans="2:16" x14ac:dyDescent="0.25">
      <c r="B34" s="69"/>
      <c r="C34" s="105" t="s">
        <v>81</v>
      </c>
      <c r="D34" s="103" t="str">
        <f ca="1"/>
        <v>0.00300 sec</v>
      </c>
      <c r="E34" s="72" t="s">
        <v>18</v>
      </c>
      <c r="F34" s="19"/>
      <c r="G34" s="84"/>
      <c r="H34" s="80"/>
      <c r="I34" s="80"/>
      <c r="J34" s="81"/>
      <c r="K34" s="74"/>
      <c r="M34" s="157">
        <f ca="1">JacobianRiskMetrics!F44</f>
        <v>44767</v>
      </c>
      <c r="N34" s="164">
        <f ca="1">JacobianRiskMetrics!C44</f>
        <v>-2.9169464097478199E-4</v>
      </c>
      <c r="O34" s="158">
        <f ca="1">JacobianRiskMetrics!G44</f>
        <v>0.95384701417531426</v>
      </c>
      <c r="P34" s="153">
        <f t="shared" ca="1" si="4"/>
        <v>-7.672642901024318E-7</v>
      </c>
    </row>
    <row r="35" spans="2:16" x14ac:dyDescent="0.25">
      <c r="B35" s="69"/>
      <c r="C35" s="106" t="s">
        <v>82</v>
      </c>
      <c r="D35" s="107" t="b">
        <f ca="1">_xll.meLWOExists(D31,"CURVE")</f>
        <v>1</v>
      </c>
      <c r="E35" s="72"/>
      <c r="F35" s="108"/>
      <c r="G35" s="109"/>
      <c r="H35" s="110"/>
      <c r="I35" s="110"/>
      <c r="J35" s="111"/>
      <c r="K35" s="74"/>
      <c r="M35" s="157">
        <f ca="1">JacobianRiskMetrics!F45</f>
        <v>45131</v>
      </c>
      <c r="N35" s="164">
        <f ca="1">JacobianRiskMetrics!C45</f>
        <v>-3.8231874740613008E-4</v>
      </c>
      <c r="O35" s="158">
        <f ca="1">JacobianRiskMetrics!G45</f>
        <v>0.93949920734884085</v>
      </c>
      <c r="P35" s="153">
        <f t="shared" ca="1" si="4"/>
        <v>-2.1691123509570698E-4</v>
      </c>
    </row>
    <row r="36" spans="2:16" x14ac:dyDescent="0.25">
      <c r="B36" s="112"/>
      <c r="C36" s="113"/>
      <c r="D36" s="113"/>
      <c r="E36" s="113"/>
      <c r="F36" s="113"/>
      <c r="G36" s="113"/>
      <c r="H36" s="113"/>
      <c r="I36" s="113"/>
      <c r="J36" s="113"/>
      <c r="K36" s="114"/>
      <c r="M36" s="159">
        <f ca="1">JacobianRiskMetrics!F46</f>
        <v>45496</v>
      </c>
      <c r="N36" s="165">
        <f ca="1">JacobianRiskMetrics!C46</f>
        <v>-4.6974570502289508E-4</v>
      </c>
      <c r="O36" s="160">
        <f ca="1">JacobianRiskMetrics!G46</f>
        <v>0.92416854623601408</v>
      </c>
      <c r="P36" s="153">
        <f t="shared" ca="1" si="4"/>
        <v>-3.462105311877739E-4</v>
      </c>
    </row>
  </sheetData>
  <dataValidations count="1">
    <dataValidation type="list" allowBlank="1" showInputMessage="1" showErrorMessage="1" sqref="G2">
      <formula1>"GRADIENT-SHIFT,MKTDATA-SHIFT"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2"/>
  <sheetViews>
    <sheetView showGridLines="0" workbookViewId="0"/>
  </sheetViews>
  <sheetFormatPr defaultRowHeight="15" x14ac:dyDescent="0.25"/>
  <cols>
    <col min="1" max="3" width="6.7109375" customWidth="1"/>
    <col min="4" max="4" width="24.28515625" customWidth="1"/>
    <col min="5" max="5" width="27.140625" customWidth="1"/>
    <col min="8" max="8" width="19.42578125" customWidth="1"/>
    <col min="9" max="9" width="25.7109375" customWidth="1"/>
    <col min="10" max="10" width="9.140625" customWidth="1"/>
    <col min="11" max="12" width="18.5703125" bestFit="1" customWidth="1"/>
    <col min="14" max="14" width="15.42578125" customWidth="1"/>
    <col min="15" max="15" width="15.140625" customWidth="1"/>
    <col min="16" max="16" width="14.28515625" bestFit="1" customWidth="1"/>
    <col min="18" max="18" width="10" customWidth="1"/>
  </cols>
  <sheetData>
    <row r="2" spans="2:18" x14ac:dyDescent="0.25">
      <c r="D2" s="1" t="s">
        <v>132</v>
      </c>
      <c r="H2" s="1" t="s">
        <v>138</v>
      </c>
      <c r="J2" t="s">
        <v>18</v>
      </c>
      <c r="R2" t="s">
        <v>18</v>
      </c>
    </row>
    <row r="3" spans="2:18" x14ac:dyDescent="0.25">
      <c r="D3" s="16" t="s">
        <v>134</v>
      </c>
      <c r="J3" t="s">
        <v>18</v>
      </c>
      <c r="R3" t="s">
        <v>18</v>
      </c>
    </row>
    <row r="4" spans="2:18" x14ac:dyDescent="0.25">
      <c r="D4" s="1"/>
      <c r="H4" s="1" t="s">
        <v>13</v>
      </c>
      <c r="J4" t="s">
        <v>18</v>
      </c>
      <c r="R4" t="s">
        <v>18</v>
      </c>
    </row>
    <row r="5" spans="2:18" x14ac:dyDescent="0.25">
      <c r="B5" s="195" t="s">
        <v>145</v>
      </c>
      <c r="D5" s="173" t="s">
        <v>153</v>
      </c>
      <c r="H5" s="168" t="s">
        <v>0</v>
      </c>
      <c r="I5" s="186" t="str">
        <f ca="1">E7</f>
        <v>USDYC_ANALYTICAL</v>
      </c>
      <c r="J5" t="s">
        <v>18</v>
      </c>
      <c r="R5" t="s">
        <v>18</v>
      </c>
    </row>
    <row r="6" spans="2:18" x14ac:dyDescent="0.25">
      <c r="B6" s="194">
        <v>0</v>
      </c>
      <c r="D6" s="168" t="s">
        <v>131</v>
      </c>
      <c r="E6" s="190" t="str">
        <f t="array" aca="1" ref="E6" ca="1">IF(B6,_xll.meLWOCurveCalibrate('EX - Original Curve'!D36,'EX - Original Curve'!D21,'EX - Original Curve'!D13,'EX - Original Curve'!D37),"Disabled")</f>
        <v>Disabled</v>
      </c>
      <c r="H6" s="170" t="s">
        <v>1</v>
      </c>
      <c r="I6" s="183" t="str">
        <f ca="1">JacobianRiskMetrics!C8</f>
        <v>OIS</v>
      </c>
      <c r="J6" t="s">
        <v>18</v>
      </c>
      <c r="R6" t="s">
        <v>18</v>
      </c>
    </row>
    <row r="7" spans="2:18" x14ac:dyDescent="0.25">
      <c r="D7" s="170" t="s">
        <v>0</v>
      </c>
      <c r="E7" s="187" t="str">
        <f t="array" aca="1" ref="E7" ca="1">'EX - Original Curve'!D37</f>
        <v>USDYC_ANALYTICAL</v>
      </c>
      <c r="H7" s="170" t="s">
        <v>19</v>
      </c>
      <c r="I7" s="183" t="str">
        <f ca="1">JacobianRiskMetrics!C9</f>
        <v>1D</v>
      </c>
      <c r="J7" t="s">
        <v>18</v>
      </c>
      <c r="R7" t="s">
        <v>18</v>
      </c>
    </row>
    <row r="8" spans="2:18" x14ac:dyDescent="0.25">
      <c r="D8" s="171" t="s">
        <v>1</v>
      </c>
      <c r="E8" s="172" t="s">
        <v>10</v>
      </c>
      <c r="H8" s="171" t="s">
        <v>21</v>
      </c>
      <c r="I8" s="184" t="str">
        <f ca="1">JacobianRiskMetrics!C10</f>
        <v>OIS_CURVE</v>
      </c>
      <c r="J8" t="s">
        <v>18</v>
      </c>
      <c r="R8" t="s">
        <v>18</v>
      </c>
    </row>
    <row r="9" spans="2:18" x14ac:dyDescent="0.25">
      <c r="D9" s="182"/>
      <c r="E9" s="181"/>
      <c r="J9" t="s">
        <v>18</v>
      </c>
      <c r="R9" t="s">
        <v>18</v>
      </c>
    </row>
    <row r="10" spans="2:18" x14ac:dyDescent="0.25">
      <c r="H10" s="1" t="s">
        <v>148</v>
      </c>
      <c r="J10" t="s">
        <v>18</v>
      </c>
      <c r="R10" t="s">
        <v>18</v>
      </c>
    </row>
    <row r="11" spans="2:18" x14ac:dyDescent="0.25">
      <c r="B11" s="195" t="s">
        <v>145</v>
      </c>
      <c r="D11" s="173" t="s">
        <v>152</v>
      </c>
      <c r="H11" s="209" t="s">
        <v>39</v>
      </c>
      <c r="I11" s="210" t="str">
        <f ca="1">JacobianRiskMetrics!C13</f>
        <v>DISCOUNT_FACTORS</v>
      </c>
      <c r="J11" t="s">
        <v>18</v>
      </c>
      <c r="R11" t="s">
        <v>18</v>
      </c>
    </row>
    <row r="12" spans="2:18" x14ac:dyDescent="0.25">
      <c r="B12" s="194">
        <v>1</v>
      </c>
      <c r="D12" s="180" t="str">
        <f t="array" aca="1" ref="D12:D13" ca="1">IF($B$12,IF($E$6=$E$6,_xll.meCurveResultsJacobianUpdate($H$5:$I$8,'EX - Original Curve'!$Q$5:$R$11,'EX - Original Curve'!$Q$16:$R$23,$H$11:$I$13,IF(I12="FLAT_SHIFT",I17,L17:Q17),IF(I12="FLAT_SHIFT",I18,L18:Q18),IF(I12="FLAT_SHIFT",H21:I29,K21:Q29)),"LOAD CURVE"),"Disabled")</f>
        <v>Curve Jacobian Results Updated: USDYC_ANALYTICAL:OIS:1</v>
      </c>
      <c r="H12" s="211" t="s">
        <v>40</v>
      </c>
      <c r="I12" s="212" t="s">
        <v>142</v>
      </c>
      <c r="J12" t="s">
        <v>18</v>
      </c>
      <c r="R12" t="s">
        <v>18</v>
      </c>
    </row>
    <row r="13" spans="2:18" x14ac:dyDescent="0.25">
      <c r="D13" s="180" t="str">
        <f ca="1"/>
        <v>Time Taken: 0.000000 seconds</v>
      </c>
      <c r="H13" s="213" t="s">
        <v>58</v>
      </c>
      <c r="I13" s="214">
        <f ca="1">JacobianRiskMetrics!C15</f>
        <v>9.9999999999999995E-7</v>
      </c>
      <c r="J13" t="s">
        <v>18</v>
      </c>
      <c r="R13" t="s">
        <v>18</v>
      </c>
    </row>
    <row r="14" spans="2:18" x14ac:dyDescent="0.25">
      <c r="J14" t="s">
        <v>18</v>
      </c>
      <c r="R14" t="s">
        <v>18</v>
      </c>
    </row>
    <row r="15" spans="2:18" x14ac:dyDescent="0.25">
      <c r="J15" t="s">
        <v>18</v>
      </c>
      <c r="R15" t="s">
        <v>18</v>
      </c>
    </row>
    <row r="16" spans="2:18" x14ac:dyDescent="0.25">
      <c r="D16" s="173" t="s">
        <v>151</v>
      </c>
      <c r="H16" s="1" t="s">
        <v>146</v>
      </c>
      <c r="J16" t="s">
        <v>18</v>
      </c>
      <c r="K16" s="1" t="s">
        <v>144</v>
      </c>
      <c r="R16" t="s">
        <v>18</v>
      </c>
    </row>
    <row r="17" spans="2:19" x14ac:dyDescent="0.25">
      <c r="D17" t="s">
        <v>137</v>
      </c>
      <c r="H17" t="s">
        <v>155</v>
      </c>
      <c r="I17" t="b">
        <v>1</v>
      </c>
      <c r="K17" t="s">
        <v>155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</row>
    <row r="18" spans="2:19" x14ac:dyDescent="0.25">
      <c r="D18" t="str">
        <f ca="1">D21</f>
        <v>Disabled</v>
      </c>
      <c r="H18" t="s">
        <v>59</v>
      </c>
      <c r="I18" s="196">
        <f ca="1">JacobianRiskMetrics!C23</f>
        <v>1E-4</v>
      </c>
      <c r="J18" t="s">
        <v>18</v>
      </c>
      <c r="K18" s="54" t="s">
        <v>59</v>
      </c>
      <c r="L18" s="201">
        <f ca="1">JacobianRiskMetrics!G23</f>
        <v>1E-4</v>
      </c>
      <c r="M18" s="202">
        <f ca="1">JacobianRiskMetrics!H23</f>
        <v>1E-4</v>
      </c>
      <c r="N18" s="202">
        <f ca="1">JacobianRiskMetrics!I23</f>
        <v>1E-4</v>
      </c>
      <c r="O18" s="202">
        <f ca="1">JacobianRiskMetrics!J23</f>
        <v>1E-4</v>
      </c>
      <c r="P18" s="202">
        <f ca="1">JacobianRiskMetrics!K23</f>
        <v>1E-4</v>
      </c>
      <c r="Q18" s="203">
        <f ca="1">JacobianRiskMetrics!L23</f>
        <v>1E-4</v>
      </c>
      <c r="R18" t="s">
        <v>18</v>
      </c>
    </row>
    <row r="19" spans="2:19" x14ac:dyDescent="0.25">
      <c r="J19" t="s">
        <v>18</v>
      </c>
      <c r="R19" t="s">
        <v>18</v>
      </c>
    </row>
    <row r="20" spans="2:19" x14ac:dyDescent="0.25">
      <c r="B20" s="195" t="s">
        <v>145</v>
      </c>
      <c r="D20" s="173" t="s">
        <v>150</v>
      </c>
      <c r="I20" s="2" t="s">
        <v>37</v>
      </c>
      <c r="J20" t="s">
        <v>18</v>
      </c>
      <c r="K20" s="1"/>
      <c r="L20" s="2" t="s">
        <v>37</v>
      </c>
      <c r="R20" t="s">
        <v>18</v>
      </c>
    </row>
    <row r="21" spans="2:19" x14ac:dyDescent="0.25">
      <c r="B21" s="194">
        <v>0</v>
      </c>
      <c r="D21" s="180" t="str">
        <f t="array" aca="1" ref="D21:D22" ca="1">IF($B$21,IF($K$35=$K$35,_xll.meCurveResultsJacobianUpdate($H$5:$I$8,'EX - Original Curve'!$Q$5:$R$11,'EX - Ultra-Fast Curve Rebuild'!$K$35:$L$42,$H$11:$I$13,IF(I12="FLAT_SHIFT",I18,L18:Q18),IF(I12="FLAT_SHIFT",H21:I29,K21:Q29)),"LOAD CURVE"),"Disabled")</f>
        <v>Disabled</v>
      </c>
      <c r="F21" t="s">
        <v>18</v>
      </c>
      <c r="H21" s="29" t="str">
        <f ca="1">IF($I$11="DISCOUNT_FACTORS","PaymentDate","FixingDate")</f>
        <v>PaymentDate</v>
      </c>
      <c r="I21" s="30" t="s">
        <v>38</v>
      </c>
      <c r="J21" t="s">
        <v>18</v>
      </c>
      <c r="K21" s="29" t="str">
        <f ca="1">IF($I$11="DISCOUNT_FACTORS","PaymentDate","FixingDate")</f>
        <v>PaymentDate</v>
      </c>
      <c r="L21" s="200" t="s">
        <v>31</v>
      </c>
      <c r="M21" s="200" t="s">
        <v>32</v>
      </c>
      <c r="N21" s="200" t="s">
        <v>33</v>
      </c>
      <c r="O21" s="200" t="s">
        <v>34</v>
      </c>
      <c r="P21" s="200" t="s">
        <v>35</v>
      </c>
      <c r="Q21" s="30" t="s">
        <v>36</v>
      </c>
      <c r="R21" t="s">
        <v>18</v>
      </c>
    </row>
    <row r="22" spans="2:19" x14ac:dyDescent="0.25">
      <c r="D22" s="180" t="str">
        <f ca="1"/>
        <v>Disabled</v>
      </c>
      <c r="F22" t="s">
        <v>18</v>
      </c>
      <c r="H22" s="174">
        <f ca="1">JacobianRiskMetrics!B27</f>
        <v>43665</v>
      </c>
      <c r="I22" s="175">
        <f ca="1">JacobianRiskMetrics!C27</f>
        <v>0</v>
      </c>
      <c r="J22" t="s">
        <v>18</v>
      </c>
      <c r="K22" s="176">
        <f ca="1">JacobianRiskMetrics!F27</f>
        <v>43665</v>
      </c>
      <c r="L22" s="198">
        <f ca="1">JacobianRiskMetrics!G27</f>
        <v>0</v>
      </c>
      <c r="M22" s="198">
        <f ca="1">JacobianRiskMetrics!H27</f>
        <v>0</v>
      </c>
      <c r="N22" s="198">
        <f ca="1">JacobianRiskMetrics!I27</f>
        <v>0</v>
      </c>
      <c r="O22" s="198">
        <f ca="1">JacobianRiskMetrics!J27</f>
        <v>0</v>
      </c>
      <c r="P22" s="198">
        <f ca="1">JacobianRiskMetrics!K27</f>
        <v>0</v>
      </c>
      <c r="Q22" s="177">
        <f ca="1">JacobianRiskMetrics!L27</f>
        <v>0</v>
      </c>
      <c r="R22" s="137"/>
      <c r="S22" s="197"/>
    </row>
    <row r="23" spans="2:19" x14ac:dyDescent="0.25">
      <c r="H23" s="176">
        <f ca="1">JacobianRiskMetrics!B28</f>
        <v>43668</v>
      </c>
      <c r="I23" s="177">
        <f ca="1">JacobianRiskMetrics!C28</f>
        <v>-8.3300009112718953E-9</v>
      </c>
      <c r="J23" t="s">
        <v>18</v>
      </c>
      <c r="K23" s="176">
        <f ca="1">JacobianRiskMetrics!F28</f>
        <v>43668</v>
      </c>
      <c r="L23" s="198">
        <v>-8.3299940600856095E-9</v>
      </c>
      <c r="M23" s="198">
        <f ca="1">JacobianRiskMetrics!H28</f>
        <v>0</v>
      </c>
      <c r="N23" s="198">
        <f ca="1">JacobianRiskMetrics!I28</f>
        <v>0</v>
      </c>
      <c r="O23" s="198">
        <f ca="1">JacobianRiskMetrics!J28</f>
        <v>0</v>
      </c>
      <c r="P23" s="198">
        <f ca="1">JacobianRiskMetrics!K28</f>
        <v>0</v>
      </c>
      <c r="Q23" s="177">
        <f ca="1">JacobianRiskMetrics!L28</f>
        <v>0</v>
      </c>
      <c r="R23" s="25"/>
      <c r="S23" s="197"/>
    </row>
    <row r="24" spans="2:19" x14ac:dyDescent="0.25">
      <c r="H24" s="176">
        <f ca="1">JacobianRiskMetrics!B29</f>
        <v>43669</v>
      </c>
      <c r="I24" s="177">
        <f ca="1">JacobianRiskMetrics!C29</f>
        <v>-1.110629754830228E-8</v>
      </c>
      <c r="J24" t="s">
        <v>18</v>
      </c>
      <c r="K24" s="176">
        <f ca="1">JacobianRiskMetrics!F29</f>
        <v>43669</v>
      </c>
      <c r="L24" s="198">
        <v>-1.1106287753914755E-8</v>
      </c>
      <c r="M24" s="198">
        <f ca="1">JacobianRiskMetrics!H29</f>
        <v>0</v>
      </c>
      <c r="N24" s="198">
        <f ca="1">JacobianRiskMetrics!I29</f>
        <v>0</v>
      </c>
      <c r="O24" s="198">
        <f ca="1">JacobianRiskMetrics!J29</f>
        <v>0</v>
      </c>
      <c r="P24" s="198">
        <f ca="1">JacobianRiskMetrics!K29</f>
        <v>0</v>
      </c>
      <c r="Q24" s="177">
        <f ca="1">JacobianRiskMetrics!L29</f>
        <v>0</v>
      </c>
      <c r="R24" s="25"/>
      <c r="S24" s="197"/>
    </row>
    <row r="25" spans="2:19" x14ac:dyDescent="0.25">
      <c r="H25" s="176">
        <f ca="1">JacobianRiskMetrics!B30</f>
        <v>44035</v>
      </c>
      <c r="I25" s="177">
        <f ca="1">JacobianRiskMetrics!C30</f>
        <v>-1.0092912028358825E-6</v>
      </c>
      <c r="J25" t="s">
        <v>18</v>
      </c>
      <c r="K25" s="176">
        <f ca="1">JacobianRiskMetrics!F30</f>
        <v>44035</v>
      </c>
      <c r="L25" s="198">
        <v>-1.0712937109635946E-8</v>
      </c>
      <c r="M25" s="198">
        <f ca="1">JacobianRiskMetrics!H30</f>
        <v>-9.9851365675807102E-7</v>
      </c>
      <c r="N25" s="198">
        <f ca="1">JacobianRiskMetrics!I30</f>
        <v>9.2276186691719886E-12</v>
      </c>
      <c r="O25" s="198">
        <f ca="1">JacobianRiskMetrics!J30</f>
        <v>-5.3309578973426142E-12</v>
      </c>
      <c r="P25" s="198">
        <f ca="1">JacobianRiskMetrics!K30</f>
        <v>-5.8730798002670781E-13</v>
      </c>
      <c r="Q25" s="177">
        <f ca="1">JacobianRiskMetrics!L30</f>
        <v>-8.8897778027785535E-12</v>
      </c>
      <c r="R25" s="25"/>
      <c r="S25" s="197"/>
    </row>
    <row r="26" spans="2:19" x14ac:dyDescent="0.25">
      <c r="H26" s="176">
        <f ca="1">JacobianRiskMetrics!B31</f>
        <v>44400</v>
      </c>
      <c r="I26" s="177">
        <f ca="1">JacobianRiskMetrics!C31</f>
        <v>-1.9749384194689412E-6</v>
      </c>
      <c r="J26" t="s">
        <v>18</v>
      </c>
      <c r="K26" s="176">
        <f ca="1">JacobianRiskMetrics!F31</f>
        <v>44400</v>
      </c>
      <c r="L26" s="198">
        <v>-1.2856438733610531E-8</v>
      </c>
      <c r="M26" s="198">
        <f ca="1">JacobianRiskMetrics!H31</f>
        <v>1.2321634823564409E-8</v>
      </c>
      <c r="N26" s="198">
        <f ca="1">JacobianRiskMetrics!I31</f>
        <v>-1.9741603125567053E-6</v>
      </c>
      <c r="O26" s="198">
        <f ca="1">JacobianRiskMetrics!J31</f>
        <v>-2.6609159320400977E-11</v>
      </c>
      <c r="P26" s="198">
        <f ca="1">JacobianRiskMetrics!K31</f>
        <v>9.2540419771580673E-12</v>
      </c>
      <c r="Q26" s="177">
        <f ca="1">JacobianRiskMetrics!L31</f>
        <v>-1.8740120566462792E-11</v>
      </c>
      <c r="R26" s="25"/>
      <c r="S26" s="197"/>
    </row>
    <row r="27" spans="2:19" x14ac:dyDescent="0.25">
      <c r="H27" s="176">
        <f ca="1">JacobianRiskMetrics!B32</f>
        <v>44767</v>
      </c>
      <c r="I27" s="177">
        <f ca="1">JacobianRiskMetrics!C32</f>
        <v>-2.9173918109082209E-6</v>
      </c>
      <c r="J27" t="s">
        <v>18</v>
      </c>
      <c r="K27" s="176">
        <f ca="1">JacobianRiskMetrics!F32</f>
        <v>44767</v>
      </c>
      <c r="L27" s="198">
        <v>-1.9783495730507639E-8</v>
      </c>
      <c r="M27" s="198">
        <f ca="1">JacobianRiskMetrics!H32</f>
        <v>1.1692552037700921E-8</v>
      </c>
      <c r="N27" s="198">
        <f ca="1">JacobianRiskMetrics!I32</f>
        <v>3.1102685871253755E-8</v>
      </c>
      <c r="O27" s="198">
        <f ca="1">JacobianRiskMetrics!J32</f>
        <v>-2.9399398935314736E-6</v>
      </c>
      <c r="P27" s="198">
        <f ca="1">JacobianRiskMetrics!K32</f>
        <v>1.4458989561205726E-11</v>
      </c>
      <c r="Q27" s="177">
        <f ca="1">JacobianRiskMetrics!L32</f>
        <v>-3.2717384357283663E-11</v>
      </c>
      <c r="R27" s="25"/>
      <c r="S27" s="197"/>
    </row>
    <row r="28" spans="2:19" x14ac:dyDescent="0.25">
      <c r="H28" s="176">
        <f ca="1">JacobianRiskMetrics!B33</f>
        <v>45131</v>
      </c>
      <c r="I28" s="177">
        <f ca="1">JacobianRiskMetrics!C33</f>
        <v>-3.8239585081756289E-6</v>
      </c>
      <c r="J28" t="s">
        <v>18</v>
      </c>
      <c r="K28" s="176">
        <f ca="1">JacobianRiskMetrics!F33</f>
        <v>45131</v>
      </c>
      <c r="L28" s="198">
        <v>-1.1488121687275309E-8</v>
      </c>
      <c r="M28" s="198">
        <f ca="1">JacobianRiskMetrics!H33</f>
        <v>1.1349435613539072E-8</v>
      </c>
      <c r="N28" s="198">
        <f ca="1">JacobianRiskMetrics!I33</f>
        <v>3.0296817943309406E-8</v>
      </c>
      <c r="O28" s="198">
        <f ca="1">JacobianRiskMetrics!J33</f>
        <v>4.5805526371900385E-8</v>
      </c>
      <c r="P28" s="198">
        <f ca="1">JacobianRiskMetrics!K33</f>
        <v>-3.8991184705405857E-6</v>
      </c>
      <c r="Q28" s="177">
        <f ca="1">JacobianRiskMetrics!L33</f>
        <v>-3.2661762183749943E-11</v>
      </c>
      <c r="R28" s="25"/>
    </row>
    <row r="29" spans="2:19" x14ac:dyDescent="0.25">
      <c r="H29" s="178">
        <f ca="1">JacobianRiskMetrics!B34</f>
        <v>45496</v>
      </c>
      <c r="I29" s="179">
        <f ca="1">JacobianRiskMetrics!C34</f>
        <v>-4.7018196766002163E-6</v>
      </c>
      <c r="J29" t="s">
        <v>18</v>
      </c>
      <c r="K29" s="178">
        <f ca="1">JacobianRiskMetrics!F34</f>
        <v>45496</v>
      </c>
      <c r="L29" s="199">
        <f ca="1">JacobianRiskMetrics!G34</f>
        <v>-5.1391457756011505E-9</v>
      </c>
      <c r="M29" s="199">
        <f ca="1">JacobianRiskMetrics!H34</f>
        <v>1.1328921134534653E-8</v>
      </c>
      <c r="N29" s="199">
        <f ca="1">JacobianRiskMetrics!I34</f>
        <v>3.0138412654423519E-8</v>
      </c>
      <c r="O29" s="199">
        <f ca="1">JacobianRiskMetrics!J34</f>
        <v>4.5577564278254101E-8</v>
      </c>
      <c r="P29" s="199">
        <f ca="1">JacobianRiskMetrics!K34</f>
        <v>6.5439772933828522E-8</v>
      </c>
      <c r="Q29" s="179">
        <f ca="1">JacobianRiskMetrics!L34</f>
        <v>-4.8448025754543877E-6</v>
      </c>
      <c r="R29" s="137"/>
    </row>
    <row r="30" spans="2:19" x14ac:dyDescent="0.25">
      <c r="J30" t="s">
        <v>18</v>
      </c>
    </row>
    <row r="31" spans="2:19" x14ac:dyDescent="0.25">
      <c r="J31" t="s">
        <v>18</v>
      </c>
    </row>
    <row r="32" spans="2:19" x14ac:dyDescent="0.25">
      <c r="H32" s="147" t="s">
        <v>141</v>
      </c>
      <c r="J32" t="s">
        <v>18</v>
      </c>
      <c r="K32" s="173" t="s">
        <v>147</v>
      </c>
      <c r="N32" s="147" t="s">
        <v>140</v>
      </c>
    </row>
    <row r="33" spans="8:18" x14ac:dyDescent="0.25">
      <c r="J33" t="s">
        <v>18</v>
      </c>
    </row>
    <row r="34" spans="8:18" x14ac:dyDescent="0.25">
      <c r="H34" s="2" t="s">
        <v>5</v>
      </c>
      <c r="I34" s="2" t="s">
        <v>6</v>
      </c>
      <c r="J34" t="s">
        <v>18</v>
      </c>
      <c r="K34" s="29" t="s">
        <v>5</v>
      </c>
      <c r="L34" s="30" t="s">
        <v>139</v>
      </c>
      <c r="N34" s="2" t="s">
        <v>5</v>
      </c>
      <c r="O34" s="2" t="s">
        <v>6</v>
      </c>
      <c r="P34" s="185" t="s">
        <v>126</v>
      </c>
    </row>
    <row r="35" spans="8:18" x14ac:dyDescent="0.25">
      <c r="H35" s="174">
        <f ca="1">'EX - Original Curve'!M5</f>
        <v>43665</v>
      </c>
      <c r="I35" s="175">
        <f ca="1">'EX - Original Curve'!O5</f>
        <v>1</v>
      </c>
      <c r="J35" t="s">
        <v>18</v>
      </c>
      <c r="K35" s="174">
        <f t="array" aca="1" ref="K35:L42" ca="1">IF($D$12=$D$12,_xll.meCurveResultsJacobianImplyNewDiscountFactors(I5,I6),"LOAD JACOBIAN")</f>
        <v>43665</v>
      </c>
      <c r="L35" s="175">
        <f ca="1"/>
        <v>1</v>
      </c>
      <c r="M35" t="s">
        <v>18</v>
      </c>
      <c r="N35" s="174">
        <f ca="1">'EX - Shifted Curve'!M7</f>
        <v>43665</v>
      </c>
      <c r="O35" s="175">
        <f ca="1">'EX - Shifted Curve'!O7</f>
        <v>1</v>
      </c>
      <c r="P35" s="137">
        <f t="shared" ref="P35:P42" ca="1" si="0">O35-L35</f>
        <v>0</v>
      </c>
      <c r="R35" s="197"/>
    </row>
    <row r="36" spans="8:18" x14ac:dyDescent="0.25">
      <c r="H36" s="176">
        <f ca="1">'EX - Original Curve'!M6</f>
        <v>43668</v>
      </c>
      <c r="I36" s="177">
        <f ca="1">'EX - Original Curve'!O6</f>
        <v>0.99980003999200162</v>
      </c>
      <c r="J36" t="s">
        <v>18</v>
      </c>
      <c r="K36" s="176">
        <f ca="1"/>
        <v>43668</v>
      </c>
      <c r="L36" s="177">
        <f ca="1"/>
        <v>0.99979920699259595</v>
      </c>
      <c r="M36" t="s">
        <v>18</v>
      </c>
      <c r="N36" s="176">
        <f ca="1">'EX - Shifted Curve'!M8</f>
        <v>43668</v>
      </c>
      <c r="O36" s="177">
        <f ca="1">'EX - Shifted Curve'!O8</f>
        <v>0.99979920699259561</v>
      </c>
      <c r="P36" s="137">
        <f t="shared" ca="1" si="0"/>
        <v>0</v>
      </c>
      <c r="R36" s="197"/>
    </row>
    <row r="37" spans="8:18" x14ac:dyDescent="0.25">
      <c r="H37" s="176">
        <f ca="1">'EX - Original Curve'!M7</f>
        <v>43669</v>
      </c>
      <c r="I37" s="177">
        <f ca="1">'EX - Original Curve'!O7</f>
        <v>0.99973339109926163</v>
      </c>
      <c r="J37" t="s">
        <v>18</v>
      </c>
      <c r="K37" s="176">
        <f ca="1"/>
        <v>43669</v>
      </c>
      <c r="L37" s="177">
        <f ca="1"/>
        <v>0.99973228047048657</v>
      </c>
      <c r="M37" t="s">
        <v>18</v>
      </c>
      <c r="N37" s="176">
        <f t="array" aca="1" ref="N37" ca="1">'EX - Shifted Curve'!M9</f>
        <v>43669</v>
      </c>
      <c r="O37" s="177">
        <f ca="1">'EX - Shifted Curve'!O9</f>
        <v>0.99973228047048623</v>
      </c>
      <c r="P37" s="137">
        <f t="shared" ca="1" si="0"/>
        <v>0</v>
      </c>
      <c r="R37" s="197"/>
    </row>
    <row r="38" spans="8:18" x14ac:dyDescent="0.25">
      <c r="H38" s="176">
        <f ca="1">'EX - Original Curve'!M8</f>
        <v>44035</v>
      </c>
      <c r="I38" s="177">
        <f ca="1">'EX - Original Curve'!O8</f>
        <v>0.98211974036061234</v>
      </c>
      <c r="J38" t="s">
        <v>18</v>
      </c>
      <c r="K38" s="176">
        <f ca="1"/>
        <v>44035</v>
      </c>
      <c r="L38" s="177">
        <f ca="1"/>
        <v>0.98201881714318273</v>
      </c>
      <c r="M38" t="s">
        <v>18</v>
      </c>
      <c r="N38" s="176">
        <f ca="1">'EX - Shifted Curve'!M10</f>
        <v>44035</v>
      </c>
      <c r="O38" s="177">
        <f ca="1">'EX - Shifted Curve'!O10</f>
        <v>0.98201881714318306</v>
      </c>
      <c r="P38" s="137">
        <f t="shared" ca="1" si="0"/>
        <v>0</v>
      </c>
      <c r="R38" s="197"/>
    </row>
    <row r="39" spans="8:18" x14ac:dyDescent="0.25">
      <c r="H39" s="176">
        <f ca="1">'EX - Original Curve'!M9</f>
        <v>44400</v>
      </c>
      <c r="I39" s="177">
        <f ca="1">'EX - Original Curve'!O9</f>
        <v>0.96826286740871403</v>
      </c>
      <c r="J39" t="s">
        <v>18</v>
      </c>
      <c r="K39" s="176">
        <f ca="1"/>
        <v>44400</v>
      </c>
      <c r="L39" s="177">
        <f ca="1"/>
        <v>0.96806539428754357</v>
      </c>
      <c r="M39" t="s">
        <v>18</v>
      </c>
      <c r="N39" s="176">
        <f ca="1">'EX - Shifted Curve'!M11</f>
        <v>44400</v>
      </c>
      <c r="O39" s="177">
        <f ca="1">'EX - Shifted Curve'!O11</f>
        <v>0.96806539428754357</v>
      </c>
      <c r="P39" s="137">
        <f t="shared" ca="1" si="0"/>
        <v>0</v>
      </c>
      <c r="R39" s="197"/>
    </row>
    <row r="40" spans="8:18" x14ac:dyDescent="0.25">
      <c r="H40" s="176">
        <f ca="1">'EX - Original Curve'!M10</f>
        <v>44767</v>
      </c>
      <c r="I40" s="177">
        <f ca="1">'EX - Original Curve'!O10</f>
        <v>0.95413947608057914</v>
      </c>
      <c r="J40" t="s">
        <v>18</v>
      </c>
      <c r="K40" s="176">
        <f ca="1"/>
        <v>44767</v>
      </c>
      <c r="L40" s="177">
        <f ca="1"/>
        <v>0.95384778143960425</v>
      </c>
      <c r="M40" t="s">
        <v>18</v>
      </c>
      <c r="N40" s="176">
        <f ca="1">'EX - Shifted Curve'!M12</f>
        <v>44767</v>
      </c>
      <c r="O40" s="177">
        <f ca="1">'EX - Shifted Curve'!O12</f>
        <v>0.95384778143960436</v>
      </c>
      <c r="P40" s="137">
        <f t="shared" ca="1" si="0"/>
        <v>0</v>
      </c>
      <c r="R40" s="197"/>
    </row>
    <row r="41" spans="8:18" x14ac:dyDescent="0.25">
      <c r="H41" s="176">
        <f ca="1">'EX - Original Curve'!M11</f>
        <v>45131</v>
      </c>
      <c r="I41" s="177">
        <f ca="1">'EX - Original Curve'!O11</f>
        <v>0.94009843733134268</v>
      </c>
      <c r="J41" t="s">
        <v>18</v>
      </c>
      <c r="K41" s="176">
        <f ca="1"/>
        <v>45131</v>
      </c>
      <c r="L41" s="177">
        <f ca="1"/>
        <v>0.93971611858393689</v>
      </c>
      <c r="M41" t="s">
        <v>18</v>
      </c>
      <c r="N41" s="176">
        <f ca="1">'EX - Shifted Curve'!M13</f>
        <v>45131</v>
      </c>
      <c r="O41" s="177">
        <f ca="1">'EX - Shifted Curve'!O13</f>
        <v>0.93971611858393655</v>
      </c>
      <c r="P41" s="137">
        <f t="shared" ca="1" si="0"/>
        <v>0</v>
      </c>
      <c r="R41" s="197"/>
    </row>
    <row r="42" spans="8:18" x14ac:dyDescent="0.25">
      <c r="H42" s="178">
        <f ca="1">'EX - Original Curve'!M12</f>
        <v>45496</v>
      </c>
      <c r="I42" s="179">
        <f ca="1">'EX - Original Curve'!O12</f>
        <v>0.92498482062468212</v>
      </c>
      <c r="J42" t="s">
        <v>18</v>
      </c>
      <c r="K42" s="178">
        <f ca="1"/>
        <v>45496</v>
      </c>
      <c r="L42" s="179">
        <f ca="1"/>
        <v>0.92451507491965912</v>
      </c>
      <c r="M42" t="s">
        <v>18</v>
      </c>
      <c r="N42" s="178">
        <f ca="1">'EX - Shifted Curve'!M14</f>
        <v>45496</v>
      </c>
      <c r="O42" s="179">
        <f ca="1">'EX - Shifted Curve'!O14</f>
        <v>0.92451475676720185</v>
      </c>
      <c r="P42" s="137">
        <f t="shared" ca="1" si="0"/>
        <v>-3.1815245726818375E-7</v>
      </c>
      <c r="R42" s="197"/>
    </row>
  </sheetData>
  <dataValidations count="3">
    <dataValidation type="list" allowBlank="1" showInputMessage="1" showErrorMessage="1" sqref="I12">
      <formula1>"FLAT_SHIFT,PERTURBED"</formula1>
    </dataValidation>
    <dataValidation type="list" allowBlank="1" showInputMessage="1" showErrorMessage="1" sqref="I11">
      <formula1>"DISCOUNT_FACTORS,FORWARD_RATES,COMPOUND_RATES"</formula1>
    </dataValidation>
    <dataValidation type="list" allowBlank="1" showInputMessage="1" showErrorMessage="1" sqref="B6 B12 B21">
      <formula1>"1,0"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Settings</vt:lpstr>
      <vt:lpstr>DiscountFactors</vt:lpstr>
      <vt:lpstr>JacobianRiskMetrics</vt:lpstr>
      <vt:lpstr>EX - Original Curve</vt:lpstr>
      <vt:lpstr>EX - Shifted Curve</vt:lpstr>
      <vt:lpstr>EX - Ultra-Fast Curve Rebuild</vt:lpstr>
      <vt:lpstr>Settings.COB</vt:lpstr>
      <vt:lpstr>Settings.GradientShiftSize</vt:lpstr>
      <vt:lpstr>Settings.MarketDataShiftSize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Burgess Nicholas</cp:lastModifiedBy>
  <dcterms:created xsi:type="dcterms:W3CDTF">2019-04-16T12:06:05Z</dcterms:created>
  <dcterms:modified xsi:type="dcterms:W3CDTF">2019-12-17T10:48:13Z</dcterms:modified>
</cp:coreProperties>
</file>