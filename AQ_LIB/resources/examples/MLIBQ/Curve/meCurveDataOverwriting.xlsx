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980" windowHeight="7095" activeTab="3"/>
  </bookViews>
  <sheets>
    <sheet name="USDOIS" sheetId="1" r:id="rId1"/>
    <sheet name="USD3ML" sheetId="2" r:id="rId2"/>
    <sheet name="USD6ML" sheetId="9" r:id="rId3"/>
    <sheet name="CurveOverrides" sheetId="7" r:id="rId4"/>
    <sheet name="TradeCashflowDisplay" sheetId="8" r:id="rId5"/>
  </sheets>
  <definedNames>
    <definedName name="AsOfDate">USDOIS!$D$7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F25" i="7" l="1"/>
  <c r="I14" i="7" l="1" a="1"/>
  <c r="I14" i="7" s="1"/>
  <c r="O36" i="7"/>
  <c r="P36" i="7" s="1"/>
  <c r="O37" i="7"/>
  <c r="O38" i="7"/>
  <c r="P38" i="7" s="1"/>
  <c r="O39" i="7"/>
  <c r="O40" i="7"/>
  <c r="O41" i="7"/>
  <c r="O42" i="7"/>
  <c r="P42" i="7" s="1"/>
  <c r="I6" i="7" a="1"/>
  <c r="I7" i="7" s="1"/>
  <c r="P40" i="7"/>
  <c r="I26" i="7" a="1"/>
  <c r="D13" i="9"/>
  <c r="P37" i="7"/>
  <c r="P39" i="7"/>
  <c r="P41" i="7"/>
  <c r="I26" i="7" l="1"/>
  <c r="I27" i="7"/>
  <c r="I6" i="7"/>
  <c r="I15" i="7"/>
  <c r="O26" i="7"/>
  <c r="O27" i="7"/>
  <c r="O28" i="7"/>
  <c r="P28" i="7" s="1"/>
  <c r="O30" i="7"/>
  <c r="O25" i="7"/>
  <c r="O31" i="7"/>
  <c r="O29" i="7"/>
  <c r="O32" i="7"/>
  <c r="P32" i="7" s="1"/>
  <c r="O33" i="7"/>
  <c r="O34" i="7"/>
  <c r="O35" i="7"/>
  <c r="G6" i="7"/>
  <c r="G7" i="7" s="1"/>
  <c r="G8" i="7" s="1"/>
  <c r="G9" i="7" s="1"/>
  <c r="G10" i="7" s="1"/>
  <c r="G11" i="7" s="1"/>
  <c r="G12" i="7" s="1"/>
  <c r="G13" i="7" s="1"/>
  <c r="G14" i="7" s="1"/>
  <c r="G15" i="7" s="1"/>
  <c r="P30" i="7"/>
  <c r="P34" i="7"/>
  <c r="P26" i="7"/>
  <c r="F7" i="7"/>
  <c r="C5" i="8"/>
  <c r="F11" i="7"/>
  <c r="D13" i="2"/>
  <c r="F12" i="7"/>
  <c r="P25" i="7"/>
  <c r="P33" i="7"/>
  <c r="F6" i="7"/>
  <c r="F8" i="7"/>
  <c r="F14" i="7"/>
  <c r="F5" i="7"/>
  <c r="D12" i="1"/>
  <c r="F10" i="7"/>
  <c r="D27" i="9" a="1"/>
  <c r="F13" i="7"/>
  <c r="F15" i="7"/>
  <c r="F9" i="7"/>
  <c r="O5" i="7" a="1"/>
  <c r="P31" i="7"/>
  <c r="P35" i="7"/>
  <c r="P29" i="7"/>
  <c r="P27" i="7"/>
  <c r="D30" i="9" l="1"/>
  <c r="D29" i="9"/>
  <c r="D28" i="9"/>
  <c r="D27" i="9"/>
  <c r="P8" i="7"/>
  <c r="P12" i="7"/>
  <c r="P16" i="7"/>
  <c r="O5" i="7"/>
  <c r="O9" i="7"/>
  <c r="O13" i="7"/>
  <c r="O17" i="7"/>
  <c r="P10" i="7"/>
  <c r="P18" i="7"/>
  <c r="O8" i="7"/>
  <c r="O16" i="7"/>
  <c r="P5" i="7"/>
  <c r="P9" i="7"/>
  <c r="P13" i="7"/>
  <c r="P17" i="7"/>
  <c r="O6" i="7"/>
  <c r="O10" i="7"/>
  <c r="O14" i="7"/>
  <c r="O18" i="7"/>
  <c r="P6" i="7"/>
  <c r="P14" i="7"/>
  <c r="O12" i="7"/>
  <c r="O7" i="7"/>
  <c r="O11" i="7"/>
  <c r="O15" i="7"/>
  <c r="P7" i="7"/>
  <c r="P11" i="7"/>
  <c r="P15" i="7"/>
  <c r="D27" i="2" a="1"/>
  <c r="B16" i="8" a="1"/>
  <c r="D26" i="1" a="1"/>
  <c r="B17" i="8" l="1"/>
  <c r="F20" i="8"/>
  <c r="J23" i="8"/>
  <c r="N26" i="8"/>
  <c r="R29" i="8"/>
  <c r="B33" i="8"/>
  <c r="F36" i="8"/>
  <c r="J39" i="8"/>
  <c r="N42" i="8"/>
  <c r="R45" i="8"/>
  <c r="B49" i="8"/>
  <c r="G18" i="8"/>
  <c r="K21" i="8"/>
  <c r="O24" i="8"/>
  <c r="S27" i="8"/>
  <c r="C31" i="8"/>
  <c r="U18" i="8"/>
  <c r="G23" i="8"/>
  <c r="M27" i="8"/>
  <c r="Q31" i="8"/>
  <c r="K35" i="8"/>
  <c r="D39" i="8"/>
  <c r="Q42" i="8"/>
  <c r="J46" i="8"/>
  <c r="J16" i="8"/>
  <c r="P20" i="8"/>
  <c r="L25" i="8"/>
  <c r="H30" i="8"/>
  <c r="D34" i="8"/>
  <c r="G38" i="8"/>
  <c r="R42" i="8"/>
  <c r="H48" i="8"/>
  <c r="H21" i="8"/>
  <c r="T29" i="8"/>
  <c r="K37" i="8"/>
  <c r="Q44" i="8"/>
  <c r="I20" i="8"/>
  <c r="E39" i="8"/>
  <c r="P18" i="8"/>
  <c r="F27" i="8"/>
  <c r="E35" i="8"/>
  <c r="K42" i="8"/>
  <c r="H49" i="8"/>
  <c r="U21" i="8"/>
  <c r="M18" i="8"/>
  <c r="S22" i="8"/>
  <c r="E27" i="8"/>
  <c r="I31" i="8"/>
  <c r="D35" i="8"/>
  <c r="Q38" i="8"/>
  <c r="J42" i="8"/>
  <c r="C46" i="8"/>
  <c r="P49" i="8"/>
  <c r="J26" i="8"/>
  <c r="K34" i="8"/>
  <c r="Q41" i="8"/>
  <c r="D49" i="8"/>
  <c r="Q26" i="8"/>
  <c r="O35" i="8"/>
  <c r="U42" i="8"/>
  <c r="T25" i="8"/>
  <c r="C44" i="8"/>
  <c r="R44" i="8"/>
  <c r="I28" i="8"/>
  <c r="R26" i="8"/>
  <c r="R34" i="8"/>
  <c r="D42" i="8"/>
  <c r="K49" i="8"/>
  <c r="Q25" i="8"/>
  <c r="U33" i="8"/>
  <c r="G41" i="8"/>
  <c r="M48" i="8"/>
  <c r="T26" i="8"/>
  <c r="T45" i="8"/>
  <c r="M29" i="8"/>
  <c r="T20" i="8"/>
  <c r="G45" i="8"/>
  <c r="Q16" i="8"/>
  <c r="N41" i="8"/>
  <c r="I19" i="8"/>
  <c r="I33" i="8"/>
  <c r="P16" i="8"/>
  <c r="M31" i="8"/>
  <c r="M43" i="8"/>
  <c r="J17" i="8"/>
  <c r="N20" i="8"/>
  <c r="R23" i="8"/>
  <c r="B27" i="8"/>
  <c r="F30" i="8"/>
  <c r="J33" i="8"/>
  <c r="N36" i="8"/>
  <c r="R39" i="8"/>
  <c r="B43" i="8"/>
  <c r="F46" i="8"/>
  <c r="J49" i="8"/>
  <c r="O18" i="8"/>
  <c r="S21" i="8"/>
  <c r="C25" i="8"/>
  <c r="G28" i="8"/>
  <c r="K31" i="8"/>
  <c r="M19" i="8"/>
  <c r="Q23" i="8"/>
  <c r="C28" i="8"/>
  <c r="G32" i="8"/>
  <c r="T35" i="8"/>
  <c r="M39" i="8"/>
  <c r="F43" i="8"/>
  <c r="S46" i="8"/>
  <c r="T16" i="8"/>
  <c r="F21" i="8"/>
  <c r="B26" i="8"/>
  <c r="R30" i="8"/>
  <c r="M34" i="8"/>
  <c r="P38" i="8"/>
  <c r="P43" i="8"/>
  <c r="F49" i="8"/>
  <c r="J22" i="8"/>
  <c r="T30" i="8"/>
  <c r="R38" i="8"/>
  <c r="O45" i="8"/>
  <c r="I21" i="8"/>
  <c r="K41" i="8"/>
  <c r="P19" i="8"/>
  <c r="H28" i="8"/>
  <c r="C36" i="8"/>
  <c r="I43" i="8"/>
  <c r="Q49" i="8"/>
  <c r="U22" i="8"/>
  <c r="E19" i="8"/>
  <c r="I23" i="8"/>
  <c r="O27" i="8"/>
  <c r="T31" i="8"/>
  <c r="M35" i="8"/>
  <c r="F39" i="8"/>
  <c r="S42" i="8"/>
  <c r="L46" i="8"/>
  <c r="R16" i="8"/>
  <c r="L27" i="8"/>
  <c r="I35" i="8"/>
  <c r="P42" i="8"/>
  <c r="F17" i="8"/>
  <c r="Q27" i="8"/>
  <c r="M36" i="8"/>
  <c r="T43" i="8"/>
  <c r="D29" i="8"/>
  <c r="R46" i="8"/>
  <c r="B28" i="8"/>
  <c r="G17" i="8"/>
  <c r="T27" i="8"/>
  <c r="P35" i="8"/>
  <c r="C43" i="8"/>
  <c r="D16" i="8"/>
  <c r="S26" i="8"/>
  <c r="S34" i="8"/>
  <c r="E42" i="8"/>
  <c r="L49" i="8"/>
  <c r="D30" i="8"/>
  <c r="P47" i="8"/>
  <c r="L32" i="8"/>
  <c r="H26" i="8"/>
  <c r="F47" i="8"/>
  <c r="L33" i="8"/>
  <c r="G46" i="8"/>
  <c r="K32" i="8"/>
  <c r="H35" i="8"/>
  <c r="H27" i="8"/>
  <c r="E36" i="8"/>
  <c r="T48" i="8"/>
  <c r="F18" i="8"/>
  <c r="J21" i="8"/>
  <c r="N24" i="8"/>
  <c r="R27" i="8"/>
  <c r="B31" i="8"/>
  <c r="F34" i="8"/>
  <c r="J37" i="8"/>
  <c r="N40" i="8"/>
  <c r="R43" i="8"/>
  <c r="B47" i="8"/>
  <c r="G16" i="8"/>
  <c r="K19" i="8"/>
  <c r="O22" i="8"/>
  <c r="S25" i="8"/>
  <c r="C29" i="8"/>
  <c r="I16" i="8"/>
  <c r="M20" i="8"/>
  <c r="S24" i="8"/>
  <c r="E29" i="8"/>
  <c r="E33" i="8"/>
  <c r="R36" i="8"/>
  <c r="K40" i="8"/>
  <c r="D44" i="8"/>
  <c r="Q47" i="8"/>
  <c r="B18" i="8"/>
  <c r="R22" i="8"/>
  <c r="D27" i="8"/>
  <c r="S31" i="8"/>
  <c r="U35" i="8"/>
  <c r="C40" i="8"/>
  <c r="D45" i="8"/>
  <c r="L16" i="8"/>
  <c r="L24" i="8"/>
  <c r="S32" i="8"/>
  <c r="E40" i="8"/>
  <c r="U47" i="8"/>
  <c r="M23" i="8"/>
  <c r="O44" i="8"/>
  <c r="T21" i="8"/>
  <c r="J30" i="8"/>
  <c r="T37" i="8"/>
  <c r="F45" i="8"/>
  <c r="E17" i="8"/>
  <c r="E25" i="8"/>
  <c r="E20" i="8"/>
  <c r="K24" i="8"/>
  <c r="Q28" i="8"/>
  <c r="R32" i="8"/>
  <c r="K36" i="8"/>
  <c r="D40" i="8"/>
  <c r="Q43" i="8"/>
  <c r="K47" i="8"/>
  <c r="T19" i="8"/>
  <c r="N29" i="8"/>
  <c r="F37" i="8"/>
  <c r="L44" i="8"/>
  <c r="U19" i="8"/>
  <c r="U29" i="8"/>
  <c r="J38" i="8"/>
  <c r="O46" i="8"/>
  <c r="D33" i="8"/>
  <c r="H19" i="8"/>
  <c r="H41" i="8"/>
  <c r="B20" i="8"/>
  <c r="B30" i="8"/>
  <c r="M37" i="8"/>
  <c r="S44" i="8"/>
  <c r="S18" i="8"/>
  <c r="U28" i="8"/>
  <c r="P36" i="8"/>
  <c r="B44" i="8"/>
  <c r="T18" i="8"/>
  <c r="B34" i="8"/>
  <c r="L20" i="8"/>
  <c r="E37" i="8"/>
  <c r="M32" i="8"/>
  <c r="D22" i="8"/>
  <c r="L43" i="8"/>
  <c r="K28" i="8"/>
  <c r="P41" i="8"/>
  <c r="P40" i="8"/>
  <c r="D36" i="8"/>
  <c r="E46" i="8"/>
  <c r="O31" i="8"/>
  <c r="B19" i="8"/>
  <c r="F22" i="8"/>
  <c r="J25" i="8"/>
  <c r="N28" i="8"/>
  <c r="R31" i="8"/>
  <c r="B35" i="8"/>
  <c r="F38" i="8"/>
  <c r="J41" i="8"/>
  <c r="N44" i="8"/>
  <c r="R47" i="8"/>
  <c r="C17" i="8"/>
  <c r="G20" i="8"/>
  <c r="K23" i="8"/>
  <c r="O26" i="8"/>
  <c r="S29" i="8"/>
  <c r="I17" i="8"/>
  <c r="O21" i="8"/>
  <c r="U25" i="8"/>
  <c r="E30" i="8"/>
  <c r="C34" i="8"/>
  <c r="P37" i="8"/>
  <c r="I41" i="8"/>
  <c r="C45" i="8"/>
  <c r="P48" i="8"/>
  <c r="D19" i="8"/>
  <c r="T23" i="8"/>
  <c r="D28" i="8"/>
  <c r="Q32" i="8"/>
  <c r="S36" i="8"/>
  <c r="U40" i="8"/>
  <c r="B46" i="8"/>
  <c r="D18" i="8"/>
  <c r="P26" i="8"/>
  <c r="P34" i="8"/>
  <c r="B42" i="8"/>
  <c r="M16" i="8"/>
  <c r="P21" i="8"/>
  <c r="S47" i="8"/>
  <c r="N18" i="8"/>
  <c r="B25" i="8"/>
  <c r="J31" i="8"/>
  <c r="R37" i="8"/>
  <c r="F44" i="8"/>
  <c r="O16" i="8"/>
  <c r="C23" i="8"/>
  <c r="K29" i="8"/>
  <c r="E21" i="8"/>
  <c r="O29" i="8"/>
  <c r="G37" i="8"/>
  <c r="M44" i="8"/>
  <c r="L18" i="8"/>
  <c r="N27" i="8"/>
  <c r="J36" i="8"/>
  <c r="M45" i="8"/>
  <c r="N25" i="8"/>
  <c r="D41" i="8"/>
  <c r="M24" i="8"/>
  <c r="T22" i="8"/>
  <c r="G34" i="8"/>
  <c r="M46" i="8"/>
  <c r="C24" i="8"/>
  <c r="Q21" i="8"/>
  <c r="G29" i="8"/>
  <c r="O34" i="8"/>
  <c r="C41" i="8"/>
  <c r="U46" i="8"/>
  <c r="D24" i="8"/>
  <c r="D38" i="8"/>
  <c r="E48" i="8"/>
  <c r="T32" i="8"/>
  <c r="P45" i="8"/>
  <c r="L39" i="8"/>
  <c r="U44" i="8"/>
  <c r="P25" i="8"/>
  <c r="I39" i="8"/>
  <c r="H17" i="8"/>
  <c r="D32" i="8"/>
  <c r="T44" i="8"/>
  <c r="Q24" i="8"/>
  <c r="G27" i="8"/>
  <c r="K30" i="8"/>
  <c r="K43" i="8"/>
  <c r="I34" i="8"/>
  <c r="L30" i="8"/>
  <c r="I45" i="8"/>
  <c r="H18" i="8"/>
  <c r="J44" i="8"/>
  <c r="R19" i="8"/>
  <c r="S43" i="8"/>
  <c r="I30" i="8"/>
  <c r="U41" i="8"/>
  <c r="U39" i="8"/>
  <c r="Q34" i="8"/>
  <c r="M49" i="8"/>
  <c r="D31" i="8"/>
  <c r="J19" i="8"/>
  <c r="R25" i="8"/>
  <c r="F32" i="8"/>
  <c r="N38" i="8"/>
  <c r="B45" i="8"/>
  <c r="K17" i="8"/>
  <c r="S23" i="8"/>
  <c r="G30" i="8"/>
  <c r="E22" i="8"/>
  <c r="Q30" i="8"/>
  <c r="E38" i="8"/>
  <c r="L45" i="8"/>
  <c r="N19" i="8"/>
  <c r="P28" i="8"/>
  <c r="H37" i="8"/>
  <c r="T46" i="8"/>
  <c r="P27" i="8"/>
  <c r="T42" i="8"/>
  <c r="P29" i="8"/>
  <c r="B24" i="8"/>
  <c r="U36" i="8"/>
  <c r="L47" i="8"/>
  <c r="K16" i="8"/>
  <c r="I22" i="8"/>
  <c r="Q29" i="8"/>
  <c r="B36" i="8"/>
  <c r="L41" i="8"/>
  <c r="T47" i="8"/>
  <c r="H25" i="8"/>
  <c r="C39" i="8"/>
  <c r="J18" i="8"/>
  <c r="S33" i="8"/>
  <c r="M47" i="8"/>
  <c r="G42" i="8"/>
  <c r="O48" i="8"/>
  <c r="T28" i="8"/>
  <c r="H40" i="8"/>
  <c r="J20" i="8"/>
  <c r="C33" i="8"/>
  <c r="S45" i="8"/>
  <c r="E32" i="8"/>
  <c r="L19" i="8"/>
  <c r="G35" i="8"/>
  <c r="C48" i="8"/>
  <c r="U38" i="8"/>
  <c r="B38" i="8"/>
  <c r="L22" i="8"/>
  <c r="C37" i="8"/>
  <c r="C49" i="8"/>
  <c r="F26" i="8"/>
  <c r="N32" i="8"/>
  <c r="B39" i="8"/>
  <c r="J45" i="8"/>
  <c r="S17" i="8"/>
  <c r="G24" i="8"/>
  <c r="O30" i="8"/>
  <c r="Q22" i="8"/>
  <c r="G31" i="8"/>
  <c r="O38" i="8"/>
  <c r="U45" i="8"/>
  <c r="D20" i="8"/>
  <c r="F29" i="8"/>
  <c r="Q37" i="8"/>
  <c r="I47" i="8"/>
  <c r="R28" i="8"/>
  <c r="L35" i="8"/>
  <c r="D25" i="8"/>
  <c r="I38" i="8"/>
  <c r="J48" i="8"/>
  <c r="U16" i="8"/>
  <c r="U23" i="8"/>
  <c r="T36" i="8"/>
  <c r="I48" i="8"/>
  <c r="L28" i="8"/>
  <c r="L21" i="8"/>
  <c r="K48" i="8"/>
  <c r="H16" i="8"/>
  <c r="F41" i="8"/>
  <c r="B21" i="8"/>
  <c r="J27" i="8"/>
  <c r="R33" i="8"/>
  <c r="F40" i="8"/>
  <c r="N46" i="8"/>
  <c r="C19" i="8"/>
  <c r="K25" i="8"/>
  <c r="C16" i="8"/>
  <c r="I24" i="8"/>
  <c r="P32" i="8"/>
  <c r="B40" i="8"/>
  <c r="H47" i="8"/>
  <c r="H22" i="8"/>
  <c r="H31" i="8"/>
  <c r="N39" i="8"/>
  <c r="O49" i="8"/>
  <c r="U31" i="8"/>
  <c r="C47" i="8"/>
  <c r="G43" i="8"/>
  <c r="D26" i="8"/>
  <c r="G39" i="8"/>
  <c r="B16" i="8"/>
  <c r="M17" i="8"/>
  <c r="U24" i="8"/>
  <c r="S30" i="8"/>
  <c r="I37" i="8"/>
  <c r="H43" i="8"/>
  <c r="R48" i="8"/>
  <c r="P30" i="8"/>
  <c r="S40" i="8"/>
  <c r="P22" i="8"/>
  <c r="L37" i="8"/>
  <c r="I49" i="8"/>
  <c r="C22" i="8"/>
  <c r="N23" i="8"/>
  <c r="C32" i="8"/>
  <c r="U43" i="8"/>
  <c r="E23" i="8"/>
  <c r="N37" i="8"/>
  <c r="O47" i="8"/>
  <c r="M38" i="8"/>
  <c r="F35" i="8"/>
  <c r="T39" i="8"/>
  <c r="D48" i="8"/>
  <c r="U48" i="8"/>
  <c r="H45" i="8"/>
  <c r="R40" i="8"/>
  <c r="H46" i="8"/>
  <c r="R21" i="8"/>
  <c r="F28" i="8"/>
  <c r="N34" i="8"/>
  <c r="B41" i="8"/>
  <c r="J47" i="8"/>
  <c r="S19" i="8"/>
  <c r="G26" i="8"/>
  <c r="S16" i="8"/>
  <c r="I25" i="8"/>
  <c r="N33" i="8"/>
  <c r="T40" i="8"/>
  <c r="G48" i="8"/>
  <c r="H23" i="8"/>
  <c r="H32" i="8"/>
  <c r="L40" i="8"/>
  <c r="N17" i="8"/>
  <c r="Q33" i="8"/>
  <c r="S48" i="8"/>
  <c r="K46" i="8"/>
  <c r="H29" i="8"/>
  <c r="O40" i="8"/>
  <c r="O17" i="8"/>
  <c r="C18" i="8"/>
  <c r="M25" i="8"/>
  <c r="I32" i="8"/>
  <c r="S37" i="8"/>
  <c r="G44" i="8"/>
  <c r="G49" i="8"/>
  <c r="P31" i="8"/>
  <c r="N43" i="8"/>
  <c r="E24" i="8"/>
  <c r="H39" i="8"/>
  <c r="P17" i="8"/>
  <c r="E26" i="8"/>
  <c r="R18" i="8"/>
  <c r="U32" i="8"/>
  <c r="Q45" i="8"/>
  <c r="F16" i="8"/>
  <c r="N22" i="8"/>
  <c r="B29" i="8"/>
  <c r="J35" i="8"/>
  <c r="R41" i="8"/>
  <c r="F48" i="8"/>
  <c r="O20" i="8"/>
  <c r="C27" i="8"/>
  <c r="U17" i="8"/>
  <c r="K26" i="8"/>
  <c r="L34" i="8"/>
  <c r="S41" i="8"/>
  <c r="E49" i="8"/>
  <c r="J24" i="8"/>
  <c r="F33" i="8"/>
  <c r="T41" i="8"/>
  <c r="F19" i="8"/>
  <c r="N35" i="8"/>
  <c r="E18" i="8"/>
  <c r="Q48" i="8"/>
  <c r="L31" i="8"/>
  <c r="M41" i="8"/>
  <c r="Q18" i="8"/>
  <c r="O19" i="8"/>
  <c r="C26" i="8"/>
  <c r="G33" i="8"/>
  <c r="H38" i="8"/>
  <c r="P44" i="8"/>
  <c r="I18" i="8"/>
  <c r="O32" i="8"/>
  <c r="K45" i="8"/>
  <c r="O25" i="8"/>
  <c r="G40" i="8"/>
  <c r="F31" i="8"/>
  <c r="I29" i="8"/>
  <c r="M21" i="8"/>
  <c r="T33" i="8"/>
  <c r="P46" i="8"/>
  <c r="U27" i="8"/>
  <c r="K39" i="8"/>
  <c r="K20" i="8"/>
  <c r="E43" i="8"/>
  <c r="L42" i="8"/>
  <c r="T49" i="8"/>
  <c r="N31" i="8"/>
  <c r="D47" i="8"/>
  <c r="U49" i="8"/>
  <c r="J28" i="8"/>
  <c r="L29" i="8"/>
  <c r="N16" i="8"/>
  <c r="B23" i="8"/>
  <c r="R35" i="8"/>
  <c r="K27" i="8"/>
  <c r="H42" i="8"/>
  <c r="I42" i="8"/>
  <c r="D17" i="8"/>
  <c r="Q20" i="8"/>
  <c r="E45" i="8"/>
  <c r="S28" i="8"/>
  <c r="D23" i="8"/>
  <c r="C30" i="8"/>
  <c r="B22" i="8"/>
  <c r="K44" i="8"/>
  <c r="G36" i="8"/>
  <c r="M30" i="8"/>
  <c r="J34" i="8"/>
  <c r="B37" i="8"/>
  <c r="O28" i="8"/>
  <c r="O43" i="8"/>
  <c r="E44" i="8"/>
  <c r="R20" i="8"/>
  <c r="G21" i="8"/>
  <c r="N45" i="8"/>
  <c r="B32" i="8"/>
  <c r="H24" i="8"/>
  <c r="E31" i="8"/>
  <c r="F23" i="8"/>
  <c r="E47" i="8"/>
  <c r="P23" i="8"/>
  <c r="Q40" i="8"/>
  <c r="Q39" i="8"/>
  <c r="N48" i="8"/>
  <c r="T24" i="8"/>
  <c r="H44" i="8"/>
  <c r="T34" i="8"/>
  <c r="N47" i="8"/>
  <c r="Q17" i="8"/>
  <c r="U20" i="8"/>
  <c r="M28" i="8"/>
  <c r="P39" i="8"/>
  <c r="H36" i="8"/>
  <c r="D43" i="8"/>
  <c r="I26" i="8"/>
  <c r="C21" i="8"/>
  <c r="G19" i="8"/>
  <c r="I46" i="8"/>
  <c r="N21" i="8"/>
  <c r="S38" i="8"/>
  <c r="N30" i="8"/>
  <c r="I36" i="8"/>
  <c r="K22" i="8"/>
  <c r="M40" i="8"/>
  <c r="P24" i="8"/>
  <c r="T17" i="8"/>
  <c r="F42" i="8"/>
  <c r="K18" i="8"/>
  <c r="N49" i="8"/>
  <c r="H20" i="8"/>
  <c r="J32" i="8"/>
  <c r="M26" i="8"/>
  <c r="D21" i="8"/>
  <c r="E41" i="8"/>
  <c r="O36" i="8"/>
  <c r="Q35" i="8"/>
  <c r="Q36" i="8"/>
  <c r="U37" i="8"/>
  <c r="I44" i="8"/>
  <c r="I27" i="8"/>
  <c r="S49" i="8"/>
  <c r="J43" i="8"/>
  <c r="C20" i="8"/>
  <c r="L17" i="8"/>
  <c r="L23" i="8"/>
  <c r="H33" i="8"/>
  <c r="E28" i="8"/>
  <c r="M22" i="8"/>
  <c r="C42" i="8"/>
  <c r="K38" i="8"/>
  <c r="L38" i="8"/>
  <c r="J40" i="8"/>
  <c r="M42" i="8"/>
  <c r="D37" i="8"/>
  <c r="R17" i="8"/>
  <c r="U26" i="8"/>
  <c r="L36" i="8"/>
  <c r="P33" i="8"/>
  <c r="M33" i="8"/>
  <c r="I40" i="8"/>
  <c r="K33" i="8"/>
  <c r="H34" i="8"/>
  <c r="R49" i="8"/>
  <c r="L26" i="8"/>
  <c r="E34" i="8"/>
  <c r="O37" i="8"/>
  <c r="R24" i="8"/>
  <c r="T38" i="8"/>
  <c r="J29" i="8"/>
  <c r="O33" i="8"/>
  <c r="Q19" i="8"/>
  <c r="U30" i="8"/>
  <c r="G25" i="8"/>
  <c r="O42" i="8"/>
  <c r="C35" i="8"/>
  <c r="G47" i="8"/>
  <c r="E16" i="8"/>
  <c r="B48" i="8"/>
  <c r="O23" i="8"/>
  <c r="F24" i="8"/>
  <c r="D46" i="8"/>
  <c r="L48" i="8"/>
  <c r="C38" i="8"/>
  <c r="U34" i="8"/>
  <c r="O39" i="8"/>
  <c r="Q46" i="8"/>
  <c r="O41" i="8"/>
  <c r="G22" i="8"/>
  <c r="S20" i="8"/>
  <c r="S35" i="8"/>
  <c r="S39" i="8"/>
  <c r="F25" i="8"/>
  <c r="D27" i="2"/>
  <c r="D28" i="2"/>
  <c r="D29" i="2"/>
  <c r="D30" i="2"/>
  <c r="D28" i="1"/>
  <c r="D29" i="1"/>
  <c r="D26" i="1"/>
  <c r="D27" i="1"/>
</calcChain>
</file>

<file path=xl/sharedStrings.xml><?xml version="1.0" encoding="utf-8"?>
<sst xmlns="http://schemas.openxmlformats.org/spreadsheetml/2006/main" count="611" uniqueCount="110">
  <si>
    <t xml:space="preserve"> </t>
  </si>
  <si>
    <t>MARKETDATAPROPERTIES</t>
  </si>
  <si>
    <t>OIS</t>
  </si>
  <si>
    <t>OISFIXINGS</t>
  </si>
  <si>
    <t>LIBOROISBASISSPREADS</t>
  </si>
  <si>
    <t>SWAPS</t>
  </si>
  <si>
    <t>Term</t>
  </si>
  <si>
    <t>Rate</t>
  </si>
  <si>
    <t>StartDate</t>
  </si>
  <si>
    <t>EndDate</t>
  </si>
  <si>
    <t>Use</t>
  </si>
  <si>
    <t>BaseDate</t>
  </si>
  <si>
    <t>Currency</t>
  </si>
  <si>
    <t>USD</t>
  </si>
  <si>
    <t>CurveType</t>
  </si>
  <si>
    <t>CurveCollection</t>
  </si>
  <si>
    <t>USDYC</t>
  </si>
  <si>
    <t>CurveIndexFrequency</t>
  </si>
  <si>
    <t>DAILY</t>
  </si>
  <si>
    <t>AsOfDate</t>
  </si>
  <si>
    <t>Create Market Data Handle</t>
  </si>
  <si>
    <t>Handle Name</t>
  </si>
  <si>
    <t>USD_OIS_CURVE_MARKETDATA</t>
  </si>
  <si>
    <t>Market Data Handle</t>
  </si>
  <si>
    <t>Curve Dictionary</t>
  </si>
  <si>
    <t>USD_OIS_CURVE</t>
  </si>
  <si>
    <t>Curve Generator</t>
  </si>
  <si>
    <t>USD_OIS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</si>
  <si>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</si>
  <si>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</si>
  <si>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</si>
  <si>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</si>
  <si>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</si>
  <si>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</si>
  <si>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3Y</t>
  </si>
  <si>
    <t>QUARTERLY</t>
  </si>
  <si>
    <t>SEMI-ANNUAL</t>
  </si>
  <si>
    <t>LIBORFIXINGS</t>
  </si>
  <si>
    <t>FRAS</t>
  </si>
  <si>
    <t>FUTURES</t>
  </si>
  <si>
    <t>Volatility</t>
  </si>
  <si>
    <t>SWAP</t>
  </si>
  <si>
    <t>USD_SWAP_3M_CURVE_MARKETDATA</t>
  </si>
  <si>
    <t>USD_SWAP_3M_CURVE</t>
  </si>
  <si>
    <t>USD_SWAP_3M</t>
  </si>
  <si>
    <t>6M</t>
  </si>
  <si>
    <t>3M</t>
  </si>
  <si>
    <t>ON</t>
  </si>
  <si>
    <t>1Y</t>
  </si>
  <si>
    <t>1W</t>
  </si>
  <si>
    <t>2Y</t>
  </si>
  <si>
    <t>2W</t>
  </si>
  <si>
    <t>3W</t>
  </si>
  <si>
    <t>4Y</t>
  </si>
  <si>
    <t>1M</t>
  </si>
  <si>
    <t>5Y</t>
  </si>
  <si>
    <t>2M</t>
  </si>
  <si>
    <t>7Y</t>
  </si>
  <si>
    <t>10Y</t>
  </si>
  <si>
    <t>4M</t>
  </si>
  <si>
    <t>12Y</t>
  </si>
  <si>
    <t>5M</t>
  </si>
  <si>
    <t>15Y</t>
  </si>
  <si>
    <t>20Y</t>
  </si>
  <si>
    <t>9M</t>
  </si>
  <si>
    <t>25Y</t>
  </si>
  <si>
    <t>30Y</t>
  </si>
  <si>
    <t>ED1 Comdty</t>
  </si>
  <si>
    <t>ED2 Comdty</t>
  </si>
  <si>
    <t>ED3 Comdty</t>
  </si>
  <si>
    <t>12M</t>
  </si>
  <si>
    <t>ED4 Comdty</t>
  </si>
  <si>
    <t>ED5 Comdty</t>
  </si>
  <si>
    <t>8Y</t>
  </si>
  <si>
    <t>ED6 Comdty</t>
  </si>
  <si>
    <t>9Y</t>
  </si>
  <si>
    <t>ED7 Comdty</t>
  </si>
  <si>
    <t>ED8 Comdty</t>
  </si>
  <si>
    <t>6Y</t>
  </si>
  <si>
    <t>PaymentDate</t>
  </si>
  <si>
    <t>DiscountFactor</t>
  </si>
  <si>
    <t>CurveIDs</t>
  </si>
  <si>
    <t>CurveIndex</t>
  </si>
  <si>
    <t>USDOIS</t>
  </si>
  <si>
    <t>meCurveDiscountFactorsOverride</t>
  </si>
  <si>
    <t>meCurveDiscountFactorsSetToOne</t>
  </si>
  <si>
    <t>meCurveDiscountFactorsDisplay</t>
  </si>
  <si>
    <t>FixingDate</t>
  </si>
  <si>
    <t>ForwardRate</t>
  </si>
  <si>
    <t>USD6ML</t>
  </si>
  <si>
    <t>meCurveForwardRatesOverride</t>
  </si>
  <si>
    <t>SwapGenerator</t>
  </si>
  <si>
    <t>USD_6ML</t>
  </si>
  <si>
    <t>CreateTrade</t>
  </si>
  <si>
    <t>PayRec</t>
  </si>
  <si>
    <t>Notional</t>
  </si>
  <si>
    <t>EffectiveDate</t>
  </si>
  <si>
    <t>Maturity</t>
  </si>
  <si>
    <t>PAY</t>
  </si>
  <si>
    <t>FixedRate</t>
  </si>
  <si>
    <t>FloatSpread</t>
  </si>
  <si>
    <t>bps</t>
  </si>
  <si>
    <t>DisplayCashflows</t>
  </si>
  <si>
    <t>OFF</t>
  </si>
  <si>
    <t>ForwardRates</t>
  </si>
  <si>
    <t>TENORBASIS</t>
  </si>
  <si>
    <t>BASISSWAPS</t>
  </si>
  <si>
    <t>USD_BASIS_6M_CURVE_MARKETDATA</t>
  </si>
  <si>
    <t>USD_BASIS_6M_CURVE</t>
  </si>
  <si>
    <t>USD_BASIS_3X6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</si>
</sst>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0.00000%"/>
    <numFmt numFmtId="168" formatCode="0.000%"/>
    <numFmt numFmtId="169" formatCode="ddd\,\ d\-mmm\-yy"/>
    <numFmt numFmtId="170" formatCode="0.0000%"/>
    <numFmt numFmtId="171" formatCode="#,##0.000"/>
    <numFmt numFmtId="172" formatCode="#,##0.0000"/>
    <numFmt numFmtId="173" formatCode="_(&quot;$&quot;* #,##0.00_);_(&quot;$&quot;* \(#,##0.00\);_(&quot;$&quot;* &quot;-&quot;??_);_(@_)"/>
    <numFmt numFmtId="174" formatCode="0\ &quot; days&quot;"/>
    <numFmt numFmtId="175" formatCode="mmm\-yyyy"/>
    <numFmt numFmtId="176" formatCode="0.000"/>
    <numFmt numFmtId="177" formatCode="dd/m/yy"/>
    <numFmt numFmtId="178" formatCode="_(&quot;$&quot;* #,##0_);_(&quot;$&quot;* \(#,##0\);_(&quot;$&quot;* &quot;-&quot;_);_(@_)"/>
    <numFmt numFmtId="179" formatCode="0.00_)"/>
    <numFmt numFmtId="180" formatCode="dd\-mmm\-yy;dd\-mmm\-yy;"/>
    <numFmt numFmtId="181" formatCode="_ * #,##0_ ;_ * \-#,##0_ ;_ * &quot;-&quot;_ ;_ @_ "/>
    <numFmt numFmtId="182" formatCode="#,##0.000000"/>
    <numFmt numFmtId="183" formatCode="0.00000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</fonts>
  <fills count="7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</borders>
  <cellStyleXfs count="7361">
    <xf numFmtId="0" fontId="0" fillId="0" borderId="0"/>
    <xf numFmtId="0" fontId="8" fillId="0" borderId="0">
      <alignment vertical="center"/>
    </xf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1" fillId="0" borderId="0">
      <alignment vertical="center"/>
    </xf>
    <xf numFmtId="9" fontId="12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4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9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7" borderId="0" applyNumberFormat="0" applyBorder="0" applyAlignment="0" applyProtection="0"/>
    <xf numFmtId="0" fontId="14" fillId="28" borderId="0" applyNumberFormat="0" applyBorder="0" applyAlignment="0" applyProtection="0"/>
    <xf numFmtId="0" fontId="14" fillId="16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0" fontId="14" fillId="29" borderId="0" applyNumberFormat="0" applyBorder="0" applyAlignment="0" applyProtection="0"/>
    <xf numFmtId="0" fontId="14" fillId="1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26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36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7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5" fillId="0" borderId="12" applyNumberFormat="0" applyFill="0" applyAlignment="0" applyProtection="0">
      <alignment horizontal="left"/>
    </xf>
    <xf numFmtId="0" fontId="16" fillId="0" borderId="12">
      <protection hidden="1"/>
    </xf>
    <xf numFmtId="0" fontId="17" fillId="39" borderId="0" applyNumberFormat="0" applyFont="0" applyBorder="0" applyAlignment="0" applyProtection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8" fillId="40" borderId="0" applyNumberFormat="0" applyBorder="0" applyAlignment="0" applyProtection="0"/>
    <xf numFmtId="0" fontId="19" fillId="8" borderId="0" applyNumberFormat="0" applyBorder="0" applyAlignment="0" applyProtection="0"/>
    <xf numFmtId="0" fontId="20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21" fillId="41" borderId="0"/>
    <xf numFmtId="0" fontId="22" fillId="42" borderId="0" applyNumberFormat="0" applyFont="0" applyBorder="0" applyAlignment="0" applyProtection="0">
      <alignment horizontal="center"/>
    </xf>
    <xf numFmtId="0" fontId="23" fillId="0" borderId="0">
      <alignment horizontal="right"/>
    </xf>
    <xf numFmtId="168" fontId="24" fillId="43" borderId="0"/>
    <xf numFmtId="0" fontId="25" fillId="44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5" fillId="44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6" fillId="16" borderId="13" applyNumberFormat="0" applyAlignment="0" applyProtection="0"/>
    <xf numFmtId="0" fontId="21" fillId="34" borderId="14" applyNumberFormat="0" applyAlignment="0" applyProtection="0"/>
    <xf numFmtId="0" fontId="21" fillId="45" borderId="14" applyNumberFormat="0" applyAlignment="0" applyProtection="0"/>
    <xf numFmtId="0" fontId="21" fillId="45" borderId="14" applyNumberFormat="0" applyAlignment="0" applyProtection="0"/>
    <xf numFmtId="0" fontId="21" fillId="45" borderId="14" applyNumberFormat="0" applyAlignment="0" applyProtection="0"/>
    <xf numFmtId="0" fontId="27" fillId="0" borderId="12" applyNumberFormat="0" applyBorder="0" applyAlignment="0" applyProtection="0">
      <alignment horizontal="left"/>
    </xf>
    <xf numFmtId="38" fontId="28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31" fillId="0" borderId="0">
      <alignment horizontal="right"/>
    </xf>
    <xf numFmtId="0" fontId="12" fillId="46" borderId="15" applyNumberFormat="0" applyFont="0" applyBorder="0" applyAlignment="0" applyProtection="0">
      <alignment horizontal="centerContinuous"/>
    </xf>
    <xf numFmtId="0" fontId="32" fillId="47" borderId="0" applyNumberFormat="0" applyBorder="0" applyAlignment="0">
      <alignment horizontal="center"/>
    </xf>
    <xf numFmtId="0" fontId="33" fillId="48" borderId="16">
      <alignment horizontal="center"/>
      <protection locked="0"/>
    </xf>
    <xf numFmtId="15" fontId="34" fillId="49" borderId="17" applyFont="0" applyFill="0" applyBorder="0" applyAlignment="0" applyProtection="0">
      <alignment horizontal="left"/>
    </xf>
    <xf numFmtId="17" fontId="34" fillId="49" borderId="17" applyFont="0" applyFill="0" applyBorder="0" applyAlignment="0" applyProtection="0">
      <alignment horizontal="left"/>
    </xf>
    <xf numFmtId="0" fontId="34" fillId="49" borderId="0">
      <alignment vertical="center"/>
    </xf>
    <xf numFmtId="174" fontId="34" fillId="0" borderId="0" applyFont="0" applyFill="0" applyBorder="0" applyAlignment="0" applyProtection="0"/>
    <xf numFmtId="0" fontId="17" fillId="1" borderId="18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4" borderId="0"/>
    <xf numFmtId="175" fontId="37" fillId="50" borderId="19" applyBorder="0"/>
    <xf numFmtId="0" fontId="10" fillId="19" borderId="18"/>
    <xf numFmtId="0" fontId="10" fillId="19" borderId="18"/>
    <xf numFmtId="0" fontId="10" fillId="19" borderId="18"/>
    <xf numFmtId="0" fontId="10" fillId="19" borderId="18"/>
    <xf numFmtId="176" fontId="38" fillId="44" borderId="0"/>
    <xf numFmtId="0" fontId="39" fillId="51" borderId="18"/>
    <xf numFmtId="175" fontId="37" fillId="0" borderId="18"/>
    <xf numFmtId="175" fontId="37" fillId="52" borderId="18"/>
    <xf numFmtId="175" fontId="37" fillId="53" borderId="20" applyBorder="0"/>
    <xf numFmtId="175" fontId="37" fillId="54" borderId="18"/>
    <xf numFmtId="0" fontId="40" fillId="44" borderId="18"/>
    <xf numFmtId="0" fontId="36" fillId="55" borderId="18"/>
    <xf numFmtId="0" fontId="41" fillId="56" borderId="21" applyBorder="0">
      <alignment horizontal="right"/>
    </xf>
    <xf numFmtId="38" fontId="10" fillId="0" borderId="18"/>
    <xf numFmtId="0" fontId="10" fillId="0" borderId="18"/>
    <xf numFmtId="0" fontId="10" fillId="7" borderId="18"/>
    <xf numFmtId="0" fontId="10" fillId="7" borderId="18"/>
    <xf numFmtId="0" fontId="10" fillId="7" borderId="18"/>
    <xf numFmtId="0" fontId="10" fillId="7" borderId="18"/>
    <xf numFmtId="175" fontId="37" fillId="52" borderId="18"/>
    <xf numFmtId="0" fontId="42" fillId="50" borderId="22">
      <alignment horizontal="center"/>
    </xf>
    <xf numFmtId="175" fontId="37" fillId="44" borderId="18"/>
    <xf numFmtId="0" fontId="43" fillId="57" borderId="0"/>
    <xf numFmtId="0" fontId="44" fillId="0" borderId="0"/>
    <xf numFmtId="0" fontId="45" fillId="0" borderId="0" applyNumberFormat="0" applyFill="0" applyBorder="0" applyAlignment="0" applyProtection="0"/>
    <xf numFmtId="0" fontId="46" fillId="34" borderId="0">
      <alignment horizontal="center"/>
    </xf>
    <xf numFmtId="0" fontId="47" fillId="1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8" fillId="58" borderId="23" applyNumberFormat="0" applyFont="0" applyBorder="0" applyAlignment="0">
      <alignment horizontal="centerContinuous"/>
    </xf>
    <xf numFmtId="0" fontId="49" fillId="17" borderId="18" applyProtection="0">
      <alignment horizontal="center"/>
      <protection locked="0"/>
    </xf>
    <xf numFmtId="0" fontId="50" fillId="0" borderId="24" applyNumberFormat="0" applyFill="0" applyAlignment="0" applyProtection="0"/>
    <xf numFmtId="0" fontId="51" fillId="0" borderId="25" applyNumberFormat="0" applyFill="0" applyAlignment="0" applyProtection="0"/>
    <xf numFmtId="0" fontId="50" fillId="0" borderId="26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2" fillId="0" borderId="27" applyNumberFormat="0" applyFill="0" applyAlignment="0" applyProtection="0"/>
    <xf numFmtId="0" fontId="53" fillId="0" borderId="28" applyNumberFormat="0" applyFill="0" applyAlignment="0" applyProtection="0"/>
    <xf numFmtId="0" fontId="52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4" fillId="0" borderId="29" applyNumberFormat="0" applyFill="0" applyAlignment="0" applyProtection="0"/>
    <xf numFmtId="0" fontId="55" fillId="0" borderId="30" applyNumberFormat="0" applyFill="0" applyAlignment="0" applyProtection="0"/>
    <xf numFmtId="0" fontId="54" fillId="0" borderId="31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59" borderId="0" applyNumberFormat="0" applyFont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59" fillId="22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22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0" fontId="59" fillId="9" borderId="13" applyNumberFormat="0" applyAlignment="0" applyProtection="0"/>
    <xf numFmtId="2" fontId="10" fillId="60" borderId="32" applyNumberFormat="0" applyBorder="0">
      <alignment horizontal="right" vertical="center"/>
    </xf>
    <xf numFmtId="2" fontId="60" fillId="61" borderId="33" applyBorder="0">
      <alignment horizontal="left" vertical="center"/>
    </xf>
    <xf numFmtId="10" fontId="61" fillId="44" borderId="0" applyBorder="0">
      <alignment horizontal="right"/>
      <protection locked="0"/>
    </xf>
    <xf numFmtId="15" fontId="61" fillId="44" borderId="18" applyBorder="0">
      <alignment horizontal="center"/>
      <protection locked="0"/>
    </xf>
    <xf numFmtId="15" fontId="61" fillId="44" borderId="0" applyBorder="0">
      <alignment horizontal="left"/>
      <protection locked="0"/>
    </xf>
    <xf numFmtId="0" fontId="62" fillId="62" borderId="0" applyFont="0" applyFill="0" applyBorder="0" applyAlignment="0" applyProtection="0">
      <alignment horizontal="right" vertical="center"/>
    </xf>
    <xf numFmtId="2" fontId="63" fillId="63" borderId="33" applyNumberFormat="0">
      <alignment horizontal="center" vertical="center"/>
    </xf>
    <xf numFmtId="0" fontId="64" fillId="0" borderId="12" applyNumberFormat="0" applyFill="0" applyBorder="0" applyAlignment="0" applyProtection="0"/>
    <xf numFmtId="177" fontId="65" fillId="17" borderId="23" applyBorder="0">
      <alignment horizontal="left"/>
      <protection locked="0"/>
    </xf>
    <xf numFmtId="177" fontId="65" fillId="17" borderId="34" applyBorder="0">
      <alignment horizontal="right"/>
      <protection locked="0"/>
    </xf>
    <xf numFmtId="0" fontId="66" fillId="0" borderId="35" applyNumberFormat="0" applyFill="0" applyAlignment="0" applyProtection="0"/>
    <xf numFmtId="0" fontId="67" fillId="0" borderId="35" applyNumberFormat="0" applyFill="0" applyAlignment="0" applyProtection="0"/>
    <xf numFmtId="0" fontId="67" fillId="0" borderId="35" applyNumberFormat="0" applyFill="0" applyAlignment="0" applyProtection="0"/>
    <xf numFmtId="0" fontId="67" fillId="0" borderId="35" applyNumberFormat="0" applyFill="0" applyAlignment="0" applyProtection="0"/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68" fillId="44" borderId="36" applyFont="0">
      <alignment horizontal="center" vertical="center"/>
    </xf>
    <xf numFmtId="0" fontId="41" fillId="0" borderId="22"/>
    <xf numFmtId="0" fontId="17" fillId="0" borderId="0"/>
    <xf numFmtId="0" fontId="69" fillId="0" borderId="12">
      <alignment horizontal="left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70" fillId="64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0" fontId="71" fillId="21" borderId="0" applyNumberFormat="0" applyBorder="0" applyAlignment="0" applyProtection="0"/>
    <xf numFmtId="179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7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7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10" fillId="11" borderId="36" applyNumberFormat="0" applyFont="0" applyAlignment="0" applyProtection="0"/>
    <xf numFmtId="0" fontId="73" fillId="0" borderId="12" applyNumberFormat="0" applyFill="0" applyBorder="0" applyAlignment="0" applyProtection="0">
      <alignment horizontal="left"/>
      <protection locked="0"/>
    </xf>
    <xf numFmtId="0" fontId="74" fillId="44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44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4" fillId="16" borderId="37" applyNumberFormat="0" applyAlignment="0" applyProtection="0"/>
    <xf numFmtId="0" fontId="75" fillId="65" borderId="0" applyNumberFormat="0" applyFont="0" applyBorder="0" applyAlignment="0" applyProtection="0"/>
    <xf numFmtId="0" fontId="75" fillId="66" borderId="0" applyNumberFormat="0" applyFont="0" applyBorder="0" applyAlignment="0" applyProtection="0"/>
    <xf numFmtId="0" fontId="75" fillId="67" borderId="0" applyNumberFormat="0" applyFont="0" applyBorder="0" applyAlignment="0" applyProtection="0">
      <alignment horizontal="center"/>
    </xf>
    <xf numFmtId="0" fontId="75" fillId="68" borderId="38" applyNumberFormat="0" applyFont="0" applyBorder="0" applyAlignment="0" applyProtection="0"/>
    <xf numFmtId="0" fontId="75" fillId="69" borderId="38" applyNumberFormat="0" applyFont="0" applyBorder="0" applyAlignment="0"/>
    <xf numFmtId="0" fontId="75" fillId="70" borderId="38" applyNumberFormat="0" applyFont="0" applyBorder="0" applyAlignment="0"/>
    <xf numFmtId="0" fontId="17" fillId="71" borderId="0" applyNumberFormat="0" applyFont="0" applyBorder="0" applyAlignment="0" applyProtection="0">
      <alignment horizontal="center"/>
      <protection hidden="1"/>
    </xf>
    <xf numFmtId="0" fontId="10" fillId="39" borderId="0" applyNumberFormat="0" applyFont="0" applyBorder="0" applyAlignment="0" applyProtection="0">
      <protection hidden="1"/>
    </xf>
    <xf numFmtId="0" fontId="10" fillId="72" borderId="0" applyNumberFormat="0" applyFont="0" applyBorder="0" applyAlignment="0" applyProtection="0">
      <protection hidden="1"/>
    </xf>
    <xf numFmtId="0" fontId="10" fillId="73" borderId="0" applyNumberFormat="0" applyFont="0" applyBorder="0" applyAlignment="0" applyProtection="0">
      <protection hidden="1"/>
    </xf>
    <xf numFmtId="0" fontId="10" fillId="74" borderId="0" applyNumberFormat="0" applyFont="0" applyBorder="0" applyAlignment="0" applyProtection="0">
      <protection hidden="1"/>
    </xf>
    <xf numFmtId="0" fontId="10" fillId="75" borderId="0" applyNumberFormat="0" applyFont="0" applyBorder="0" applyAlignment="0" applyProtection="0">
      <protection hidden="1"/>
    </xf>
    <xf numFmtId="0" fontId="10" fillId="76" borderId="0" applyNumberFormat="0" applyFont="0" applyBorder="0" applyAlignment="0" applyProtection="0">
      <protection hidden="1"/>
    </xf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4" fillId="49" borderId="17" applyFont="0" applyFill="0" applyBorder="0" applyAlignment="0" applyProtection="0">
      <alignment horizontal="left"/>
    </xf>
    <xf numFmtId="0" fontId="76" fillId="0" borderId="39" applyBorder="0"/>
    <xf numFmtId="0" fontId="34" fillId="77" borderId="0" applyFont="0" applyFill="0" applyBorder="0">
      <alignment horizontal="left"/>
    </xf>
    <xf numFmtId="0" fontId="77" fillId="0" borderId="0"/>
    <xf numFmtId="180" fontId="78" fillId="0" borderId="39" applyBorder="0">
      <alignment horizontal="center"/>
      <protection locked="0"/>
    </xf>
    <xf numFmtId="0" fontId="10" fillId="0" borderId="0">
      <alignment horizontal="left" wrapText="1"/>
    </xf>
    <xf numFmtId="0" fontId="10" fillId="0" borderId="0"/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79" fillId="44" borderId="36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 applyNumberFormat="0" applyFill="0" applyBorder="0" applyAlignment="0" applyProtection="0"/>
    <xf numFmtId="0" fontId="10" fillId="44" borderId="18" applyAlignment="0">
      <alignment horizontal="right"/>
    </xf>
    <xf numFmtId="0" fontId="10" fillId="44" borderId="18" applyAlignment="0">
      <alignment horizontal="right"/>
    </xf>
    <xf numFmtId="0" fontId="80" fillId="0" borderId="0"/>
    <xf numFmtId="0" fontId="8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>
      <alignment horizontal="center"/>
    </xf>
    <xf numFmtId="0" fontId="86" fillId="16" borderId="12"/>
    <xf numFmtId="0" fontId="87" fillId="0" borderId="40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0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2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7" fillId="0" borderId="41" applyNumberFormat="0" applyFill="0" applyAlignment="0" applyProtection="0"/>
    <xf numFmtId="0" fontId="88" fillId="17" borderId="0" applyNumberFormat="0" applyFont="0" applyBorder="0" applyAlignment="0" applyProtection="0">
      <alignment horizontal="lef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0" fontId="28" fillId="0" borderId="0">
      <alignment vertical="center"/>
    </xf>
    <xf numFmtId="0" fontId="90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</cellStyleXfs>
  <cellXfs count="155">
    <xf numFmtId="0" fontId="0" fillId="0" borderId="0" xfId="0"/>
    <xf numFmtId="0" fontId="0" fillId="2" borderId="1" xfId="0" applyFill="1" applyBorder="1"/>
    <xf numFmtId="0" fontId="3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2" borderId="0" xfId="0" applyFill="1" applyBorder="1"/>
    <xf numFmtId="0" fontId="0" fillId="2" borderId="6" xfId="0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5" xfId="0" applyFont="1" applyFill="1" applyBorder="1"/>
    <xf numFmtId="0" fontId="0" fillId="3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67" fontId="5" fillId="0" borderId="2" xfId="0" applyNumberFormat="1" applyFont="1" applyFill="1" applyBorder="1" applyAlignment="1">
      <alignment horizontal="center" vertical="center"/>
    </xf>
    <xf numFmtId="15" fontId="5" fillId="0" borderId="2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6" fillId="0" borderId="6" xfId="0" applyNumberFormat="1" applyFont="1" applyFill="1" applyBorder="1" applyAlignment="1">
      <alignment horizontal="center" vertical="center"/>
    </xf>
    <xf numFmtId="15" fontId="7" fillId="0" borderId="4" xfId="0" applyNumberFormat="1" applyFont="1" applyFill="1" applyBorder="1" applyAlignment="1">
      <alignment horizontal="center" vertical="center"/>
    </xf>
    <xf numFmtId="168" fontId="7" fillId="0" borderId="6" xfId="0" applyNumberFormat="1" applyFont="1" applyFill="1" applyBorder="1" applyAlignment="1">
      <alignment horizontal="center" vertical="center"/>
    </xf>
    <xf numFmtId="167" fontId="5" fillId="0" borderId="3" xfId="0" applyNumberFormat="1" applyFont="1" applyFill="1" applyBorder="1" applyAlignment="1">
      <alignment horizontal="center" vertical="center"/>
    </xf>
    <xf numFmtId="0" fontId="0" fillId="3" borderId="11" xfId="0" applyFont="1" applyFill="1" applyBorder="1"/>
    <xf numFmtId="0" fontId="0" fillId="3" borderId="11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167" fontId="5" fillId="0" borderId="0" xfId="0" applyNumberFormat="1" applyFont="1" applyFill="1" applyBorder="1" applyAlignment="1">
      <alignment horizontal="center" vertical="center"/>
    </xf>
    <xf numFmtId="167" fontId="5" fillId="0" borderId="6" xfId="0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ont="1" applyFill="1" applyBorder="1"/>
    <xf numFmtId="169" fontId="5" fillId="3" borderId="7" xfId="0" applyNumberFormat="1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5" xfId="0" applyFill="1" applyBorder="1" applyAlignment="1">
      <alignment horizontal="left" vertical="center"/>
    </xf>
    <xf numFmtId="0" fontId="4" fillId="0" borderId="0" xfId="0" applyFont="1"/>
    <xf numFmtId="0" fontId="5" fillId="3" borderId="7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0" fillId="0" borderId="5" xfId="0" applyFont="1" applyFill="1" applyBorder="1"/>
    <xf numFmtId="0" fontId="0" fillId="0" borderId="5" xfId="0" applyFont="1" applyFill="1" applyBorder="1" applyAlignment="1">
      <alignment horizontal="left" vertic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left" vertical="center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5" xfId="0" applyBorder="1"/>
    <xf numFmtId="0" fontId="5" fillId="0" borderId="5" xfId="0" applyFont="1" applyFill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/>
    <xf numFmtId="15" fontId="7" fillId="0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5" fillId="0" borderId="8" xfId="0" applyFont="1" applyFill="1" applyBorder="1" applyAlignment="1">
      <alignment horizontal="center" vertical="center"/>
    </xf>
    <xf numFmtId="167" fontId="5" fillId="0" borderId="9" xfId="0" applyNumberFormat="1" applyFont="1" applyFill="1" applyBorder="1" applyAlignment="1">
      <alignment horizontal="center" vertical="center"/>
    </xf>
    <xf numFmtId="15" fontId="5" fillId="0" borderId="9" xfId="0" applyNumberFormat="1" applyFont="1" applyFill="1" applyBorder="1" applyAlignment="1">
      <alignment horizontal="center" vertical="center"/>
    </xf>
    <xf numFmtId="15" fontId="7" fillId="0" borderId="10" xfId="0" applyNumberFormat="1" applyFont="1" applyFill="1" applyBorder="1" applyAlignment="1">
      <alignment horizontal="center" vertical="center"/>
    </xf>
    <xf numFmtId="15" fontId="7" fillId="0" borderId="8" xfId="0" applyNumberFormat="1" applyFont="1" applyFill="1" applyBorder="1" applyAlignment="1">
      <alignment horizontal="center" vertical="center"/>
    </xf>
    <xf numFmtId="168" fontId="7" fillId="0" borderId="10" xfId="0" applyNumberFormat="1" applyFont="1" applyFill="1" applyBorder="1" applyAlignment="1">
      <alignment horizontal="center" vertical="center"/>
    </xf>
    <xf numFmtId="167" fontId="5" fillId="0" borderId="10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6" fillId="3" borderId="5" xfId="0" applyFont="1" applyFill="1" applyBorder="1"/>
    <xf numFmtId="15" fontId="6" fillId="3" borderId="5" xfId="0" applyNumberFormat="1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3" borderId="11" xfId="0" applyFont="1" applyFill="1" applyBorder="1"/>
    <xf numFmtId="15" fontId="6" fillId="3" borderId="1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170" fontId="7" fillId="0" borderId="3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0" fontId="7" fillId="3" borderId="3" xfId="0" applyNumberFormat="1" applyFont="1" applyFill="1" applyBorder="1" applyAlignment="1">
      <alignment horizontal="center" vertical="center"/>
    </xf>
    <xf numFmtId="15" fontId="7" fillId="3" borderId="2" xfId="1" quotePrefix="1" applyNumberFormat="1" applyFont="1" applyFill="1" applyBorder="1" applyAlignment="1">
      <alignment horizontal="center" vertical="center"/>
    </xf>
    <xf numFmtId="171" fontId="7" fillId="3" borderId="2" xfId="0" applyNumberFormat="1" applyFont="1" applyFill="1" applyBorder="1" applyAlignment="1">
      <alignment horizontal="center" vertical="center"/>
    </xf>
    <xf numFmtId="168" fontId="6" fillId="3" borderId="3" xfId="2" quotePrefix="1" applyNumberFormat="1" applyFont="1" applyFill="1" applyBorder="1" applyAlignment="1">
      <alignment horizontal="center" vertical="center"/>
    </xf>
    <xf numFmtId="170" fontId="7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70" fontId="7" fillId="0" borderId="6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0" fontId="7" fillId="3" borderId="6" xfId="0" applyNumberFormat="1" applyFont="1" applyFill="1" applyBorder="1" applyAlignment="1">
      <alignment horizontal="center" vertical="center"/>
    </xf>
    <xf numFmtId="15" fontId="7" fillId="3" borderId="0" xfId="1" quotePrefix="1" applyNumberFormat="1" applyFont="1" applyFill="1" applyBorder="1" applyAlignment="1">
      <alignment horizontal="center" vertical="center"/>
    </xf>
    <xf numFmtId="171" fontId="7" fillId="3" borderId="0" xfId="0" applyNumberFormat="1" applyFont="1" applyFill="1" applyBorder="1" applyAlignment="1">
      <alignment horizontal="center" vertical="center"/>
    </xf>
    <xf numFmtId="168" fontId="6" fillId="3" borderId="6" xfId="2" quotePrefix="1" applyNumberFormat="1" applyFont="1" applyFill="1" applyBorder="1" applyAlignment="1">
      <alignment horizontal="center" vertical="center"/>
    </xf>
    <xf numFmtId="170" fontId="7" fillId="3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69" fontId="5" fillId="3" borderId="11" xfId="0" applyNumberFormat="1" applyFont="1" applyFill="1" applyBorder="1" applyAlignment="1">
      <alignment horizontal="left" vertical="center"/>
    </xf>
    <xf numFmtId="15" fontId="7" fillId="3" borderId="0" xfId="1" applyNumberFormat="1" applyFont="1" applyFill="1" applyBorder="1" applyAlignment="1">
      <alignment horizontal="center" vertical="center"/>
    </xf>
    <xf numFmtId="168" fontId="6" fillId="3" borderId="6" xfId="2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8" xfId="0" applyFont="1" applyFill="1" applyBorder="1" applyAlignment="1">
      <alignment horizontal="center" vertical="center"/>
    </xf>
    <xf numFmtId="167" fontId="7" fillId="0" borderId="10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170" fontId="7" fillId="3" borderId="10" xfId="0" applyNumberFormat="1" applyFont="1" applyFill="1" applyBorder="1" applyAlignment="1">
      <alignment horizontal="center" vertical="center"/>
    </xf>
    <xf numFmtId="15" fontId="7" fillId="3" borderId="9" xfId="1" applyNumberFormat="1" applyFont="1" applyFill="1" applyBorder="1" applyAlignment="1">
      <alignment horizontal="center" vertical="center"/>
    </xf>
    <xf numFmtId="171" fontId="7" fillId="3" borderId="9" xfId="0" applyNumberFormat="1" applyFont="1" applyFill="1" applyBorder="1" applyAlignment="1">
      <alignment horizontal="center" vertical="center"/>
    </xf>
    <xf numFmtId="168" fontId="6" fillId="3" borderId="10" xfId="2" applyNumberFormat="1" applyFont="1" applyFill="1" applyBorder="1" applyAlignment="1">
      <alignment horizontal="center" vertical="center"/>
    </xf>
    <xf numFmtId="170" fontId="7" fillId="3" borderId="9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0" fillId="2" borderId="43" xfId="0" applyFill="1" applyBorder="1"/>
    <xf numFmtId="0" fontId="0" fillId="2" borderId="44" xfId="0" applyFill="1" applyBorder="1"/>
    <xf numFmtId="0" fontId="0" fillId="2" borderId="45" xfId="0" applyFill="1" applyBorder="1"/>
    <xf numFmtId="0" fontId="0" fillId="2" borderId="46" xfId="0" applyFill="1" applyBorder="1"/>
    <xf numFmtId="0" fontId="0" fillId="2" borderId="47" xfId="0" applyFill="1" applyBorder="1"/>
    <xf numFmtId="0" fontId="0" fillId="2" borderId="48" xfId="0" applyFill="1" applyBorder="1"/>
    <xf numFmtId="0" fontId="4" fillId="2" borderId="49" xfId="0" applyFont="1" applyFill="1" applyBorder="1" applyAlignment="1">
      <alignment horizontal="left" vertical="center"/>
    </xf>
    <xf numFmtId="0" fontId="7" fillId="2" borderId="49" xfId="0" applyFont="1" applyFill="1" applyBorder="1" applyAlignment="1">
      <alignment horizontal="left" vertical="center"/>
    </xf>
    <xf numFmtId="0" fontId="0" fillId="2" borderId="49" xfId="0" applyFill="1" applyBorder="1"/>
    <xf numFmtId="0" fontId="0" fillId="2" borderId="50" xfId="0" applyFill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9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9" fontId="7" fillId="2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5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0" borderId="0" xfId="0" applyFont="1"/>
    <xf numFmtId="170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3" fontId="0" fillId="0" borderId="0" xfId="0" applyNumberFormat="1"/>
    <xf numFmtId="182" fontId="0" fillId="78" borderId="0" xfId="0" applyNumberFormat="1" applyFill="1" applyAlignment="1">
      <alignment horizontal="center" vertical="center"/>
    </xf>
    <xf numFmtId="170" fontId="0" fillId="78" borderId="0" xfId="0" applyNumberFormat="1" applyFill="1" applyAlignment="1">
      <alignment horizontal="center" vertical="center"/>
    </xf>
    <xf numFmtId="15" fontId="0" fillId="78" borderId="0" xfId="0" applyNumberFormat="1" applyFill="1" applyAlignment="1">
      <alignment horizontal="center" vertical="center"/>
    </xf>
    <xf numFmtId="15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183" fontId="7" fillId="2" borderId="0" xfId="0" applyNumberFormat="1" applyFont="1" applyFill="1" applyAlignment="1">
      <alignment horizontal="center" vertical="center"/>
    </xf>
    <xf numFmtId="0" fontId="0" fillId="0" borderId="0" xfId="0" applyFill="1"/>
    <xf numFmtId="1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2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170" fontId="0" fillId="0" borderId="0" xfId="0" applyNumberFormat="1" applyFill="1" applyAlignment="1">
      <alignment horizontal="center" vertical="center"/>
    </xf>
    <xf numFmtId="182" fontId="0" fillId="0" borderId="0" xfId="0" applyNumberFormat="1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7" fillId="0" borderId="0" xfId="0" applyFont="1" applyFill="1"/>
    <xf numFmtId="0" fontId="4" fillId="0" borderId="0" xfId="0" applyFont="1" applyFill="1"/>
    <xf numFmtId="0" fontId="0" fillId="0" borderId="0" xfId="0" applyAlignment="1">
      <alignment horizontal="center"/>
    </xf>
    <xf numFmtId="169" fontId="2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0" fontId="0" fillId="78" borderId="0" xfId="0" applyFill="1"/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0"/>
  <sheetViews>
    <sheetView workbookViewId="0"/>
  </sheetViews>
  <sheetFormatPr defaultRowHeight="15"/>
  <cols>
    <col min="3" max="3" width="25.28515625" bestFit="1" customWidth="1"/>
    <col min="4" max="4" width="47" bestFit="1" customWidth="1"/>
  </cols>
  <sheetData>
    <row r="2" spans="2:20">
      <c r="B2" s="1" t="s">
        <v>0</v>
      </c>
      <c r="C2" s="2" t="s">
        <v>1</v>
      </c>
      <c r="D2" s="100"/>
      <c r="E2" s="3" t="s">
        <v>0</v>
      </c>
      <c r="F2" s="2" t="s">
        <v>2</v>
      </c>
      <c r="G2" s="3"/>
      <c r="H2" s="3"/>
      <c r="I2" s="3"/>
      <c r="J2" s="3"/>
      <c r="K2" s="3"/>
      <c r="L2" s="2" t="s">
        <v>3</v>
      </c>
      <c r="M2" s="2"/>
      <c r="N2" s="3"/>
      <c r="O2" s="2" t="s">
        <v>4</v>
      </c>
      <c r="P2" s="2"/>
      <c r="Q2" s="3"/>
      <c r="R2" s="2" t="s">
        <v>5</v>
      </c>
      <c r="S2" s="3"/>
      <c r="T2" s="4"/>
    </row>
    <row r="3" spans="2:20">
      <c r="B3" s="5" t="s">
        <v>0</v>
      </c>
      <c r="C3" s="10"/>
      <c r="D3" s="10"/>
      <c r="E3" s="7" t="s">
        <v>0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7"/>
      <c r="L3" s="11" t="s">
        <v>11</v>
      </c>
      <c r="M3" s="11" t="s">
        <v>7</v>
      </c>
      <c r="N3" s="7"/>
      <c r="O3" s="11" t="s">
        <v>6</v>
      </c>
      <c r="P3" s="11" t="s">
        <v>7</v>
      </c>
      <c r="Q3" s="7"/>
      <c r="R3" s="11" t="s">
        <v>6</v>
      </c>
      <c r="S3" s="11" t="s">
        <v>7</v>
      </c>
      <c r="T3" s="8"/>
    </row>
    <row r="4" spans="2:20">
      <c r="B4" s="5" t="s">
        <v>0</v>
      </c>
      <c r="C4" s="13" t="s">
        <v>12</v>
      </c>
      <c r="D4" s="14" t="s">
        <v>13</v>
      </c>
      <c r="E4" s="7" t="s">
        <v>0</v>
      </c>
      <c r="F4" s="15" t="s">
        <v>47</v>
      </c>
      <c r="G4" s="16">
        <v>1.7000000000000001E-2</v>
      </c>
      <c r="H4" s="17"/>
      <c r="I4" s="18"/>
      <c r="J4" s="19" t="b">
        <v>1</v>
      </c>
      <c r="K4" s="7"/>
      <c r="L4" s="20"/>
      <c r="M4" s="21"/>
      <c r="N4" s="7"/>
      <c r="O4" s="15" t="s">
        <v>48</v>
      </c>
      <c r="P4" s="22">
        <v>3.8937500000000001E-3</v>
      </c>
      <c r="Q4" s="7"/>
      <c r="R4" s="15" t="s">
        <v>48</v>
      </c>
      <c r="S4" s="22">
        <v>2.6246000000000002E-2</v>
      </c>
      <c r="T4" s="8"/>
    </row>
    <row r="5" spans="2:20">
      <c r="B5" s="5" t="s">
        <v>0</v>
      </c>
      <c r="C5" s="23" t="s">
        <v>14</v>
      </c>
      <c r="D5" s="24" t="s">
        <v>2</v>
      </c>
      <c r="E5" s="7" t="s">
        <v>0</v>
      </c>
      <c r="F5" s="25" t="s">
        <v>49</v>
      </c>
      <c r="G5" s="26">
        <v>1.9115E-2</v>
      </c>
      <c r="H5" s="18"/>
      <c r="I5" s="18"/>
      <c r="J5" s="19" t="b">
        <v>1</v>
      </c>
      <c r="K5" s="7"/>
      <c r="L5" s="20"/>
      <c r="M5" s="21"/>
      <c r="N5" s="7"/>
      <c r="O5" s="25" t="s">
        <v>50</v>
      </c>
      <c r="P5" s="27">
        <v>3.69375E-3</v>
      </c>
      <c r="Q5" s="7"/>
      <c r="R5" s="25" t="s">
        <v>50</v>
      </c>
      <c r="S5" s="27">
        <v>2.8399000000000001E-2</v>
      </c>
      <c r="T5" s="8"/>
    </row>
    <row r="6" spans="2:20">
      <c r="B6" s="5" t="s">
        <v>0</v>
      </c>
      <c r="C6" s="23" t="s">
        <v>17</v>
      </c>
      <c r="D6" s="24" t="s">
        <v>18</v>
      </c>
      <c r="E6" s="7" t="s">
        <v>0</v>
      </c>
      <c r="F6" s="25" t="s">
        <v>51</v>
      </c>
      <c r="G6" s="26">
        <v>1.9096999999999999E-2</v>
      </c>
      <c r="H6" s="18"/>
      <c r="I6" s="18"/>
      <c r="J6" s="19" t="b">
        <v>1</v>
      </c>
      <c r="K6" s="7"/>
      <c r="L6" s="20"/>
      <c r="M6" s="21"/>
      <c r="N6" s="7"/>
      <c r="O6" s="25" t="s">
        <v>34</v>
      </c>
      <c r="P6" s="27">
        <v>3.5875E-3</v>
      </c>
      <c r="Q6" s="7"/>
      <c r="R6" s="25" t="s">
        <v>34</v>
      </c>
      <c r="S6" s="27">
        <v>2.9207999999999998E-2</v>
      </c>
      <c r="T6" s="8"/>
    </row>
    <row r="7" spans="2:20">
      <c r="B7" s="5" t="s">
        <v>0</v>
      </c>
      <c r="C7" s="29" t="s">
        <v>19</v>
      </c>
      <c r="D7" s="30">
        <v>43265</v>
      </c>
      <c r="E7" s="7" t="s">
        <v>0</v>
      </c>
      <c r="F7" s="25" t="s">
        <v>52</v>
      </c>
      <c r="G7" s="26">
        <v>1.9119999999999998E-2</v>
      </c>
      <c r="H7" s="18"/>
      <c r="I7" s="18"/>
      <c r="J7" s="19" t="b">
        <v>1</v>
      </c>
      <c r="K7" s="7"/>
      <c r="L7" s="20"/>
      <c r="M7" s="21"/>
      <c r="N7" s="7"/>
      <c r="O7" s="25" t="s">
        <v>53</v>
      </c>
      <c r="P7" s="27">
        <v>3.5500000000000002E-3</v>
      </c>
      <c r="Q7" s="7"/>
      <c r="R7" s="25" t="s">
        <v>53</v>
      </c>
      <c r="S7" s="27">
        <v>2.9500000000000002E-2</v>
      </c>
      <c r="T7" s="8"/>
    </row>
    <row r="8" spans="2:20">
      <c r="B8" s="5" t="s">
        <v>0</v>
      </c>
      <c r="C8" s="10"/>
      <c r="D8" s="10"/>
      <c r="E8" s="7" t="s">
        <v>0</v>
      </c>
      <c r="F8" s="25" t="s">
        <v>54</v>
      </c>
      <c r="G8" s="26">
        <v>1.9134999999999999E-2</v>
      </c>
      <c r="H8" s="18"/>
      <c r="I8" s="18"/>
      <c r="J8" s="19" t="b">
        <v>1</v>
      </c>
      <c r="K8" s="7"/>
      <c r="L8" s="20"/>
      <c r="M8" s="21"/>
      <c r="N8" s="7"/>
      <c r="O8" s="25" t="s">
        <v>55</v>
      </c>
      <c r="P8" s="27">
        <v>3.5625000000000001E-3</v>
      </c>
      <c r="Q8" s="7"/>
      <c r="R8" s="25" t="s">
        <v>55</v>
      </c>
      <c r="S8" s="27">
        <v>2.9606E-2</v>
      </c>
      <c r="T8" s="8"/>
    </row>
    <row r="9" spans="2:20">
      <c r="B9" s="5" t="s">
        <v>0</v>
      </c>
      <c r="C9" s="7"/>
      <c r="D9" s="7"/>
      <c r="E9" s="7" t="s">
        <v>0</v>
      </c>
      <c r="F9" s="25" t="s">
        <v>56</v>
      </c>
      <c r="G9" s="26">
        <v>1.9165000000000001E-2</v>
      </c>
      <c r="H9" s="18"/>
      <c r="I9" s="18"/>
      <c r="J9" s="19" t="b">
        <v>1</v>
      </c>
      <c r="K9" s="7"/>
      <c r="L9" s="20"/>
      <c r="M9" s="21"/>
      <c r="N9" s="7"/>
      <c r="O9" s="25" t="s">
        <v>57</v>
      </c>
      <c r="P9" s="27">
        <v>3.6062500000000001E-3</v>
      </c>
      <c r="Q9" s="7"/>
      <c r="R9" s="25" t="s">
        <v>57</v>
      </c>
      <c r="S9" s="27">
        <v>2.9784999999999999E-2</v>
      </c>
      <c r="T9" s="8"/>
    </row>
    <row r="10" spans="2:20">
      <c r="B10" s="5" t="s">
        <v>0</v>
      </c>
      <c r="C10" s="37" t="s">
        <v>20</v>
      </c>
      <c r="D10" s="10"/>
      <c r="E10" s="7" t="s">
        <v>0</v>
      </c>
      <c r="F10" s="25" t="s">
        <v>46</v>
      </c>
      <c r="G10" s="26">
        <v>1.9186999999999999E-2</v>
      </c>
      <c r="H10" s="18"/>
      <c r="I10" s="18"/>
      <c r="J10" s="19" t="b">
        <v>1</v>
      </c>
      <c r="K10" s="7"/>
      <c r="L10" s="20"/>
      <c r="M10" s="21"/>
      <c r="N10" s="7"/>
      <c r="O10" s="25" t="s">
        <v>58</v>
      </c>
      <c r="P10" s="27">
        <v>3.7437500000000001E-3</v>
      </c>
      <c r="Q10" s="7"/>
      <c r="R10" s="25" t="s">
        <v>58</v>
      </c>
      <c r="S10" s="27">
        <v>3.0112E-2</v>
      </c>
      <c r="T10" s="8"/>
    </row>
    <row r="11" spans="2:20">
      <c r="B11" s="5" t="s">
        <v>0</v>
      </c>
      <c r="C11" s="6" t="s">
        <v>21</v>
      </c>
      <c r="D11" s="34" t="s">
        <v>22</v>
      </c>
      <c r="E11" s="7" t="s">
        <v>0</v>
      </c>
      <c r="F11" s="25" t="s">
        <v>59</v>
      </c>
      <c r="G11" s="26">
        <v>1.9566E-2</v>
      </c>
      <c r="H11" s="18"/>
      <c r="I11" s="18"/>
      <c r="J11" s="19" t="b">
        <v>1</v>
      </c>
      <c r="K11" s="7"/>
      <c r="L11" s="20"/>
      <c r="M11" s="21"/>
      <c r="N11" s="7"/>
      <c r="O11" s="25" t="s">
        <v>60</v>
      </c>
      <c r="P11" s="27">
        <v>3.8500000000000001E-3</v>
      </c>
      <c r="Q11" s="7"/>
      <c r="R11" s="25" t="s">
        <v>60</v>
      </c>
      <c r="S11" s="27">
        <v>3.0337999999999997E-2</v>
      </c>
      <c r="T11" s="8"/>
    </row>
    <row r="12" spans="2:20">
      <c r="B12" s="5" t="s">
        <v>0</v>
      </c>
      <c r="C12" s="28" t="s">
        <v>23</v>
      </c>
      <c r="D12" s="36" t="str">
        <f ca="1">_xll.meLWOCurveMarketDataCreate(D11,C2,C4:D7,F2,F4:J29,L2,L4:M29,O2,O4:P29,R2,R4:S29)</f>
        <v>USD_OIS_CURVE_MARKETDATA@4:1</v>
      </c>
      <c r="E12" s="7" t="s">
        <v>0</v>
      </c>
      <c r="F12" s="25" t="s">
        <v>61</v>
      </c>
      <c r="G12" s="26">
        <v>1.9955000000000001E-2</v>
      </c>
      <c r="H12" s="18"/>
      <c r="I12" s="18"/>
      <c r="J12" s="19" t="b">
        <v>1</v>
      </c>
      <c r="K12" s="7"/>
      <c r="L12" s="20"/>
      <c r="M12" s="21"/>
      <c r="N12" s="7"/>
      <c r="O12" s="25" t="s">
        <v>62</v>
      </c>
      <c r="P12" s="27">
        <v>4.0124999999999996E-3</v>
      </c>
      <c r="Q12" s="7"/>
      <c r="R12" s="25" t="s">
        <v>62</v>
      </c>
      <c r="S12" s="27">
        <v>3.0478000000000002E-2</v>
      </c>
      <c r="T12" s="8"/>
    </row>
    <row r="13" spans="2:20">
      <c r="B13" s="5" t="s">
        <v>0</v>
      </c>
      <c r="C13" s="7"/>
      <c r="D13" s="7"/>
      <c r="E13" s="7" t="s">
        <v>0</v>
      </c>
      <c r="F13" s="25" t="s">
        <v>45</v>
      </c>
      <c r="G13" s="26">
        <v>2.0215E-2</v>
      </c>
      <c r="H13" s="18"/>
      <c r="I13" s="18"/>
      <c r="J13" s="19" t="b">
        <v>1</v>
      </c>
      <c r="K13" s="7"/>
      <c r="L13" s="20"/>
      <c r="M13" s="21"/>
      <c r="N13" s="7"/>
      <c r="O13" s="25" t="s">
        <v>63</v>
      </c>
      <c r="P13" s="27">
        <v>4.1999999999999997E-3</v>
      </c>
      <c r="Q13" s="7"/>
      <c r="R13" s="25" t="s">
        <v>63</v>
      </c>
      <c r="S13" s="27">
        <v>3.0510000000000002E-2</v>
      </c>
      <c r="T13" s="8"/>
    </row>
    <row r="14" spans="2:20">
      <c r="B14" s="5" t="s">
        <v>0</v>
      </c>
      <c r="C14" s="7"/>
      <c r="D14" s="7"/>
      <c r="E14" s="7" t="s">
        <v>0</v>
      </c>
      <c r="F14" s="25" t="s">
        <v>64</v>
      </c>
      <c r="G14" s="26">
        <v>2.1213000000000003E-2</v>
      </c>
      <c r="H14" s="18"/>
      <c r="I14" s="18"/>
      <c r="J14" s="19" t="b">
        <v>1</v>
      </c>
      <c r="K14" s="7"/>
      <c r="L14" s="20"/>
      <c r="M14" s="21"/>
      <c r="N14" s="7"/>
      <c r="O14" s="25" t="s">
        <v>65</v>
      </c>
      <c r="P14" s="27">
        <v>4.3286999999999996E-3</v>
      </c>
      <c r="Q14" s="7"/>
      <c r="R14" s="25" t="s">
        <v>65</v>
      </c>
      <c r="S14" s="27">
        <v>3.0351E-2</v>
      </c>
      <c r="T14" s="8"/>
    </row>
    <row r="15" spans="2:20">
      <c r="B15" s="5" t="s">
        <v>0</v>
      </c>
      <c r="C15" s="7"/>
      <c r="D15" s="7"/>
      <c r="E15" s="7" t="s">
        <v>0</v>
      </c>
      <c r="F15" s="25" t="s">
        <v>48</v>
      </c>
      <c r="G15" s="26">
        <v>2.2152999999999999E-2</v>
      </c>
      <c r="H15" s="18"/>
      <c r="I15" s="18"/>
      <c r="J15" s="19" t="b">
        <v>1</v>
      </c>
      <c r="K15" s="7"/>
      <c r="L15" s="20"/>
      <c r="M15" s="21"/>
      <c r="N15" s="7"/>
      <c r="O15" s="25" t="s">
        <v>66</v>
      </c>
      <c r="P15" s="27">
        <v>4.4000000000000003E-3</v>
      </c>
      <c r="Q15" s="7"/>
      <c r="R15" s="25" t="s">
        <v>66</v>
      </c>
      <c r="S15" s="27">
        <v>3.0148000000000001E-2</v>
      </c>
      <c r="T15" s="8"/>
    </row>
    <row r="16" spans="2:20">
      <c r="B16" s="5" t="s">
        <v>0</v>
      </c>
      <c r="C16" s="7"/>
      <c r="D16" s="7"/>
      <c r="E16" s="7" t="s">
        <v>0</v>
      </c>
      <c r="F16" s="25" t="s">
        <v>50</v>
      </c>
      <c r="G16" s="26">
        <v>2.4531999999999998E-2</v>
      </c>
      <c r="H16" s="18"/>
      <c r="I16" s="18"/>
      <c r="J16" s="19" t="b">
        <v>1</v>
      </c>
      <c r="K16" s="7"/>
      <c r="L16" s="20"/>
      <c r="M16" s="21"/>
      <c r="N16" s="7"/>
      <c r="O16" s="25"/>
      <c r="P16" s="27"/>
      <c r="Q16" s="7"/>
      <c r="R16" s="25"/>
      <c r="S16" s="27"/>
      <c r="T16" s="8"/>
    </row>
    <row r="17" spans="2:20">
      <c r="B17" s="5" t="s">
        <v>0</v>
      </c>
      <c r="C17" s="37" t="s">
        <v>24</v>
      </c>
      <c r="D17" s="10"/>
      <c r="E17" s="7" t="s">
        <v>0</v>
      </c>
      <c r="F17" s="25" t="s">
        <v>34</v>
      </c>
      <c r="G17" s="26">
        <v>2.5419999999999998E-2</v>
      </c>
      <c r="H17" s="18"/>
      <c r="I17" s="18"/>
      <c r="J17" s="19" t="b">
        <v>1</v>
      </c>
      <c r="K17" s="7"/>
      <c r="L17" s="20"/>
      <c r="M17" s="21"/>
      <c r="N17" s="7"/>
      <c r="O17" s="25"/>
      <c r="P17" s="27"/>
      <c r="Q17" s="7"/>
      <c r="R17" s="25"/>
      <c r="S17" s="27"/>
      <c r="T17" s="8"/>
    </row>
    <row r="18" spans="2:20">
      <c r="B18" s="5" t="s">
        <v>0</v>
      </c>
      <c r="C18" s="38" t="s">
        <v>21</v>
      </c>
      <c r="D18" s="39" t="s">
        <v>25</v>
      </c>
      <c r="E18" s="7" t="s">
        <v>0</v>
      </c>
      <c r="F18" s="25" t="s">
        <v>53</v>
      </c>
      <c r="G18" s="26">
        <v>2.5750000000000002E-2</v>
      </c>
      <c r="H18" s="18"/>
      <c r="I18" s="18"/>
      <c r="J18" s="19" t="b">
        <v>1</v>
      </c>
      <c r="K18" s="7"/>
      <c r="L18" s="20"/>
      <c r="M18" s="21"/>
      <c r="N18" s="7"/>
      <c r="O18" s="25"/>
      <c r="P18" s="27"/>
      <c r="Q18" s="7"/>
      <c r="R18" s="25"/>
      <c r="S18" s="27"/>
      <c r="T18" s="8"/>
    </row>
    <row r="19" spans="2:20">
      <c r="B19" s="5" t="s">
        <v>0</v>
      </c>
      <c r="C19" s="40" t="s">
        <v>26</v>
      </c>
      <c r="D19" s="41" t="s">
        <v>27</v>
      </c>
      <c r="E19" s="7" t="s">
        <v>0</v>
      </c>
      <c r="F19" s="25" t="s">
        <v>55</v>
      </c>
      <c r="G19" s="26">
        <v>2.5920000000000002E-2</v>
      </c>
      <c r="H19" s="18"/>
      <c r="I19" s="18"/>
      <c r="J19" s="19" t="b">
        <v>1</v>
      </c>
      <c r="K19" s="7"/>
      <c r="L19" s="20"/>
      <c r="M19" s="21"/>
      <c r="N19" s="7"/>
      <c r="O19" s="25"/>
      <c r="P19" s="27"/>
      <c r="Q19" s="7"/>
      <c r="R19" s="25"/>
      <c r="S19" s="27"/>
      <c r="T19" s="8"/>
    </row>
    <row r="20" spans="2:20">
      <c r="B20" s="5" t="s">
        <v>0</v>
      </c>
      <c r="C20" s="40" t="s">
        <v>28</v>
      </c>
      <c r="D20" s="41" t="s">
        <v>16</v>
      </c>
      <c r="E20" s="7" t="s">
        <v>0</v>
      </c>
      <c r="F20" s="25"/>
      <c r="G20" s="26"/>
      <c r="H20" s="18"/>
      <c r="I20" s="18"/>
      <c r="J20" s="19"/>
      <c r="K20" s="7"/>
      <c r="L20" s="20"/>
      <c r="M20" s="21"/>
      <c r="N20" s="7"/>
      <c r="O20" s="25"/>
      <c r="P20" s="27"/>
      <c r="Q20" s="7"/>
      <c r="R20" s="25"/>
      <c r="S20" s="27"/>
      <c r="T20" s="8"/>
    </row>
    <row r="21" spans="2:20">
      <c r="B21" s="5" t="s">
        <v>0</v>
      </c>
      <c r="C21" s="42" t="s">
        <v>29</v>
      </c>
      <c r="D21" s="43"/>
      <c r="E21" s="7" t="s">
        <v>0</v>
      </c>
      <c r="F21" s="25"/>
      <c r="G21" s="26"/>
      <c r="H21" s="18"/>
      <c r="I21" s="18"/>
      <c r="J21" s="19"/>
      <c r="K21" s="7"/>
      <c r="L21" s="20"/>
      <c r="M21" s="21"/>
      <c r="N21" s="7"/>
      <c r="O21" s="25"/>
      <c r="P21" s="27"/>
      <c r="Q21" s="7"/>
      <c r="R21" s="25"/>
      <c r="S21" s="27"/>
      <c r="T21" s="8"/>
    </row>
    <row r="22" spans="2:20">
      <c r="B22" s="5" t="s">
        <v>0</v>
      </c>
      <c r="C22" s="7"/>
      <c r="D22" s="7"/>
      <c r="E22" s="7" t="s">
        <v>0</v>
      </c>
      <c r="F22" s="25"/>
      <c r="G22" s="26"/>
      <c r="H22" s="18"/>
      <c r="I22" s="18"/>
      <c r="J22" s="19"/>
      <c r="K22" s="7"/>
      <c r="L22" s="20"/>
      <c r="M22" s="21"/>
      <c r="N22" s="7"/>
      <c r="O22" s="25"/>
      <c r="P22" s="27"/>
      <c r="Q22" s="7"/>
      <c r="R22" s="25"/>
      <c r="S22" s="27"/>
      <c r="T22" s="8"/>
    </row>
    <row r="23" spans="2:20">
      <c r="B23" s="5" t="s">
        <v>0</v>
      </c>
      <c r="C23" s="7"/>
      <c r="D23" s="7"/>
      <c r="E23" s="7" t="s">
        <v>0</v>
      </c>
      <c r="F23" s="25"/>
      <c r="G23" s="26"/>
      <c r="H23" s="18"/>
      <c r="I23" s="18"/>
      <c r="J23" s="19"/>
      <c r="K23" s="7"/>
      <c r="L23" s="20"/>
      <c r="M23" s="21"/>
      <c r="N23" s="7"/>
      <c r="O23" s="25"/>
      <c r="P23" s="27"/>
      <c r="Q23" s="7"/>
      <c r="R23" s="25"/>
      <c r="S23" s="27"/>
      <c r="T23" s="8"/>
    </row>
    <row r="24" spans="2:20">
      <c r="B24" s="5" t="s">
        <v>0</v>
      </c>
      <c r="C24" s="7"/>
      <c r="D24" s="7"/>
      <c r="E24" s="7" t="s">
        <v>0</v>
      </c>
      <c r="F24" s="25"/>
      <c r="G24" s="26"/>
      <c r="H24" s="18"/>
      <c r="I24" s="18"/>
      <c r="J24" s="19"/>
      <c r="K24" s="7"/>
      <c r="L24" s="20"/>
      <c r="M24" s="21"/>
      <c r="N24" s="7"/>
      <c r="O24" s="25"/>
      <c r="P24" s="27"/>
      <c r="Q24" s="7"/>
      <c r="R24" s="25"/>
      <c r="S24" s="27"/>
      <c r="T24" s="8"/>
    </row>
    <row r="25" spans="2:20">
      <c r="B25" s="5" t="s">
        <v>0</v>
      </c>
      <c r="C25" s="37" t="s">
        <v>30</v>
      </c>
      <c r="D25" s="7"/>
      <c r="E25" s="7" t="s">
        <v>0</v>
      </c>
      <c r="F25" s="25"/>
      <c r="G25" s="26"/>
      <c r="H25" s="18"/>
      <c r="I25" s="18"/>
      <c r="J25" s="19"/>
      <c r="K25" s="7"/>
      <c r="L25" s="20"/>
      <c r="M25" s="21"/>
      <c r="N25" s="7"/>
      <c r="O25" s="25"/>
      <c r="P25" s="27"/>
      <c r="Q25" s="7"/>
      <c r="R25" s="25"/>
      <c r="S25" s="27"/>
      <c r="T25" s="8"/>
    </row>
    <row r="26" spans="2:20">
      <c r="B26" s="5" t="s">
        <v>0</v>
      </c>
      <c r="C26" s="44" t="s">
        <v>21</v>
      </c>
      <c r="D26" s="45" t="str">
        <f t="array" aca="1" ref="D26:D29" ca="1">_xll.meLWOCurveCalibrate(D18,D19,D12,D20,D21)</f>
        <v>USD_OIS_CURVE@7:1</v>
      </c>
      <c r="E26" s="7" t="s">
        <v>0</v>
      </c>
      <c r="F26" s="25"/>
      <c r="G26" s="26"/>
      <c r="H26" s="18"/>
      <c r="I26" s="18"/>
      <c r="J26" s="19"/>
      <c r="K26" s="7"/>
      <c r="L26" s="20"/>
      <c r="M26" s="21"/>
      <c r="N26" s="7"/>
      <c r="O26" s="25"/>
      <c r="P26" s="27"/>
      <c r="Q26" s="7"/>
      <c r="R26" s="25"/>
      <c r="S26" s="27"/>
      <c r="T26" s="8"/>
    </row>
    <row r="27" spans="2:20">
      <c r="B27" s="5" t="s">
        <v>0</v>
      </c>
      <c r="C27" s="48" t="s">
        <v>31</v>
      </c>
      <c r="D27" s="46" t="str">
        <f ca="1"/>
        <v>USDYC</v>
      </c>
      <c r="E27" s="7" t="s">
        <v>0</v>
      </c>
      <c r="F27" s="25"/>
      <c r="G27" s="26"/>
      <c r="H27" s="18"/>
      <c r="I27" s="18"/>
      <c r="J27" s="19"/>
      <c r="K27" s="7"/>
      <c r="L27" s="20"/>
      <c r="M27" s="21"/>
      <c r="N27" s="7"/>
      <c r="O27" s="25"/>
      <c r="P27" s="27"/>
      <c r="Q27" s="7"/>
      <c r="R27" s="25"/>
      <c r="S27" s="27"/>
      <c r="T27" s="8"/>
    </row>
    <row r="28" spans="2:20">
      <c r="B28" s="5" t="s">
        <v>0</v>
      </c>
      <c r="C28" s="48" t="s">
        <v>32</v>
      </c>
      <c r="D28" s="46" t="str">
        <f ca="1"/>
        <v>OIS:USDOIS:USDDF:USDDF_USDCSA:USDDF_NOCSA</v>
      </c>
      <c r="E28" s="7" t="s">
        <v>0</v>
      </c>
      <c r="F28" s="25"/>
      <c r="G28" s="26"/>
      <c r="H28" s="18"/>
      <c r="I28" s="18"/>
      <c r="J28" s="49"/>
      <c r="K28" s="7"/>
      <c r="L28" s="20"/>
      <c r="M28" s="21"/>
      <c r="N28" s="7"/>
      <c r="O28" s="25"/>
      <c r="P28" s="27"/>
      <c r="Q28" s="7"/>
      <c r="R28" s="25"/>
      <c r="S28" s="27"/>
      <c r="T28" s="8"/>
    </row>
    <row r="29" spans="2:20">
      <c r="B29" s="5" t="s">
        <v>0</v>
      </c>
      <c r="C29" s="50" t="s">
        <v>33</v>
      </c>
      <c r="D29" s="47" t="str">
        <f ca="1"/>
        <v>0.01500 sec</v>
      </c>
      <c r="E29" s="7" t="s">
        <v>0</v>
      </c>
      <c r="F29" s="51"/>
      <c r="G29" s="52"/>
      <c r="H29" s="53"/>
      <c r="I29" s="53"/>
      <c r="J29" s="54"/>
      <c r="K29" s="7"/>
      <c r="L29" s="55"/>
      <c r="M29" s="56"/>
      <c r="N29" s="7"/>
      <c r="O29" s="51"/>
      <c r="P29" s="57"/>
      <c r="Q29" s="7"/>
      <c r="R29" s="51"/>
      <c r="S29" s="57"/>
      <c r="T29" s="8"/>
    </row>
    <row r="30" spans="2:20">
      <c r="B30" s="31"/>
      <c r="C30" s="101"/>
      <c r="D30" s="10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1"/>
  <sheetViews>
    <sheetView workbookViewId="0"/>
  </sheetViews>
  <sheetFormatPr defaultRowHeight="15"/>
  <cols>
    <col min="3" max="3" width="25.28515625" bestFit="1" customWidth="1"/>
    <col min="4" max="4" width="40.7109375" bestFit="1" customWidth="1"/>
    <col min="12" max="12" width="11.5703125" bestFit="1" customWidth="1"/>
    <col min="13" max="14" width="9.85546875" bestFit="1" customWidth="1"/>
  </cols>
  <sheetData>
    <row r="2" spans="2:21">
      <c r="B2" s="10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5"/>
    </row>
    <row r="3" spans="2:21">
      <c r="B3" s="106"/>
      <c r="C3" s="9" t="s">
        <v>1</v>
      </c>
      <c r="D3" s="7"/>
      <c r="E3" s="7"/>
      <c r="F3" s="9" t="s">
        <v>37</v>
      </c>
      <c r="G3" s="7"/>
      <c r="H3" s="7"/>
      <c r="I3" s="9" t="s">
        <v>38</v>
      </c>
      <c r="J3" s="7"/>
      <c r="K3" s="7"/>
      <c r="L3" s="9" t="s">
        <v>39</v>
      </c>
      <c r="M3" s="60"/>
      <c r="N3" s="7"/>
      <c r="O3" s="7"/>
      <c r="P3" s="7"/>
      <c r="Q3" s="7"/>
      <c r="R3" s="9" t="s">
        <v>5</v>
      </c>
      <c r="S3" s="7"/>
      <c r="T3" s="7"/>
      <c r="U3" s="107"/>
    </row>
    <row r="4" spans="2:21">
      <c r="B4" s="106"/>
      <c r="C4" s="61" t="s">
        <v>12</v>
      </c>
      <c r="D4" s="62" t="s">
        <v>13</v>
      </c>
      <c r="E4" s="7" t="s">
        <v>0</v>
      </c>
      <c r="F4" s="10" t="s">
        <v>6</v>
      </c>
      <c r="G4" s="10" t="s">
        <v>7</v>
      </c>
      <c r="H4" s="59"/>
      <c r="I4" s="10" t="s">
        <v>6</v>
      </c>
      <c r="J4" s="10" t="s">
        <v>7</v>
      </c>
      <c r="K4" s="59"/>
      <c r="L4" s="63" t="s">
        <v>6</v>
      </c>
      <c r="M4" s="63" t="s">
        <v>8</v>
      </c>
      <c r="N4" s="63" t="s">
        <v>9</v>
      </c>
      <c r="O4" s="63" t="s">
        <v>7</v>
      </c>
      <c r="P4" s="63" t="s">
        <v>40</v>
      </c>
      <c r="Q4" s="59"/>
      <c r="R4" s="64" t="s">
        <v>6</v>
      </c>
      <c r="S4" s="10" t="s">
        <v>7</v>
      </c>
      <c r="T4" s="10" t="s">
        <v>10</v>
      </c>
      <c r="U4" s="107"/>
    </row>
    <row r="5" spans="2:21">
      <c r="B5" s="106"/>
      <c r="C5" s="65" t="s">
        <v>14</v>
      </c>
      <c r="D5" s="66" t="s">
        <v>41</v>
      </c>
      <c r="E5" s="7" t="s">
        <v>0</v>
      </c>
      <c r="F5" s="67" t="s">
        <v>54</v>
      </c>
      <c r="G5" s="68">
        <v>2.08506E-2</v>
      </c>
      <c r="H5" s="7"/>
      <c r="I5" s="69"/>
      <c r="J5" s="70"/>
      <c r="K5" s="7"/>
      <c r="L5" s="69" t="s">
        <v>67</v>
      </c>
      <c r="M5" s="71">
        <v>43271</v>
      </c>
      <c r="N5" s="71">
        <v>43362</v>
      </c>
      <c r="O5" s="72">
        <v>97.657499999999999</v>
      </c>
      <c r="P5" s="73">
        <v>1.4500000000000001E-2</v>
      </c>
      <c r="Q5" s="7"/>
      <c r="R5" s="69" t="s">
        <v>34</v>
      </c>
      <c r="S5" s="74">
        <v>2.9207999999999998E-2</v>
      </c>
      <c r="T5" s="75" t="b">
        <v>1</v>
      </c>
      <c r="U5" s="107"/>
    </row>
    <row r="6" spans="2:21">
      <c r="B6" s="106"/>
      <c r="C6" s="65" t="s">
        <v>17</v>
      </c>
      <c r="D6" s="66" t="s">
        <v>35</v>
      </c>
      <c r="E6" s="7" t="s">
        <v>0</v>
      </c>
      <c r="F6" s="58" t="s">
        <v>46</v>
      </c>
      <c r="G6" s="76">
        <v>2.33469E-2</v>
      </c>
      <c r="H6" s="7"/>
      <c r="I6" s="77"/>
      <c r="J6" s="78"/>
      <c r="K6" s="7"/>
      <c r="L6" s="77" t="s">
        <v>68</v>
      </c>
      <c r="M6" s="79">
        <v>43362</v>
      </c>
      <c r="N6" s="79">
        <v>43453</v>
      </c>
      <c r="O6" s="80">
        <v>97.504999999999995</v>
      </c>
      <c r="P6" s="81">
        <v>1.4500000000000001E-2</v>
      </c>
      <c r="Q6" s="7"/>
      <c r="R6" s="77" t="s">
        <v>53</v>
      </c>
      <c r="S6" s="82">
        <v>2.9500000000000002E-2</v>
      </c>
      <c r="T6" s="83" t="b">
        <v>1</v>
      </c>
      <c r="U6" s="107"/>
    </row>
    <row r="7" spans="2:21">
      <c r="B7" s="106"/>
      <c r="C7" s="65" t="s">
        <v>19</v>
      </c>
      <c r="D7" s="84">
        <v>43265</v>
      </c>
      <c r="E7" s="7" t="s">
        <v>0</v>
      </c>
      <c r="F7" s="58" t="s">
        <v>45</v>
      </c>
      <c r="G7" s="76">
        <v>2.5028800000000004E-2</v>
      </c>
      <c r="H7" s="7"/>
      <c r="I7" s="77"/>
      <c r="J7" s="78"/>
      <c r="K7" s="7"/>
      <c r="L7" s="77" t="s">
        <v>69</v>
      </c>
      <c r="M7" s="85">
        <v>43453</v>
      </c>
      <c r="N7" s="85">
        <v>43544</v>
      </c>
      <c r="O7" s="80">
        <v>97.31</v>
      </c>
      <c r="P7" s="86">
        <v>1.4500000000000001E-2</v>
      </c>
      <c r="Q7" s="7"/>
      <c r="R7" s="77" t="s">
        <v>55</v>
      </c>
      <c r="S7" s="82">
        <v>2.9606E-2</v>
      </c>
      <c r="T7" s="83" t="b">
        <v>1</v>
      </c>
      <c r="U7" s="107"/>
    </row>
    <row r="8" spans="2:21">
      <c r="B8" s="106"/>
      <c r="C8" s="12"/>
      <c r="D8" s="87"/>
      <c r="E8" s="7" t="s">
        <v>0</v>
      </c>
      <c r="F8" s="58" t="s">
        <v>70</v>
      </c>
      <c r="G8" s="76">
        <v>2.7718799999999998E-2</v>
      </c>
      <c r="H8" s="7"/>
      <c r="I8" s="77"/>
      <c r="J8" s="78"/>
      <c r="K8" s="7"/>
      <c r="L8" s="77" t="s">
        <v>71</v>
      </c>
      <c r="M8" s="85">
        <v>43544</v>
      </c>
      <c r="N8" s="85">
        <v>43635</v>
      </c>
      <c r="O8" s="80">
        <v>97.17</v>
      </c>
      <c r="P8" s="86">
        <v>1.4500000000000001E-2</v>
      </c>
      <c r="Q8" s="7"/>
      <c r="R8" s="77" t="s">
        <v>57</v>
      </c>
      <c r="S8" s="82">
        <v>2.9784999999999999E-2</v>
      </c>
      <c r="T8" s="83" t="b">
        <v>1</v>
      </c>
      <c r="U8" s="107"/>
    </row>
    <row r="9" spans="2:21">
      <c r="B9" s="106"/>
      <c r="C9" s="28"/>
      <c r="D9" s="88"/>
      <c r="E9" s="7" t="s">
        <v>0</v>
      </c>
      <c r="F9" s="89"/>
      <c r="G9" s="90"/>
      <c r="H9" s="7"/>
      <c r="I9" s="77"/>
      <c r="J9" s="78"/>
      <c r="K9" s="7"/>
      <c r="L9" s="77" t="s">
        <v>72</v>
      </c>
      <c r="M9" s="85">
        <v>43635</v>
      </c>
      <c r="N9" s="85">
        <v>43726</v>
      </c>
      <c r="O9" s="80">
        <v>97.064999999999998</v>
      </c>
      <c r="P9" s="86">
        <v>1.4500000000000001E-2</v>
      </c>
      <c r="Q9" s="7"/>
      <c r="R9" s="77" t="s">
        <v>73</v>
      </c>
      <c r="S9" s="82">
        <v>2.9883000000000003E-2</v>
      </c>
      <c r="T9" s="83" t="b">
        <v>1</v>
      </c>
      <c r="U9" s="107"/>
    </row>
    <row r="10" spans="2:21">
      <c r="B10" s="106"/>
      <c r="C10" s="7"/>
      <c r="D10" s="7"/>
      <c r="E10" s="7" t="s">
        <v>0</v>
      </c>
      <c r="F10" s="7"/>
      <c r="G10" s="7"/>
      <c r="H10" s="7"/>
      <c r="I10" s="77"/>
      <c r="J10" s="78"/>
      <c r="K10" s="7"/>
      <c r="L10" s="77" t="s">
        <v>74</v>
      </c>
      <c r="M10" s="85">
        <v>43726</v>
      </c>
      <c r="N10" s="85">
        <v>43817</v>
      </c>
      <c r="O10" s="80">
        <v>96.99</v>
      </c>
      <c r="P10" s="86">
        <v>1.4500000000000001E-2</v>
      </c>
      <c r="Q10" s="7"/>
      <c r="R10" s="77" t="s">
        <v>75</v>
      </c>
      <c r="S10" s="82">
        <v>2.9998E-2</v>
      </c>
      <c r="T10" s="83" t="b">
        <v>1</v>
      </c>
      <c r="U10" s="107"/>
    </row>
    <row r="11" spans="2:21">
      <c r="B11" s="106"/>
      <c r="C11" s="37" t="s">
        <v>20</v>
      </c>
      <c r="D11" s="10"/>
      <c r="E11" s="7" t="s">
        <v>0</v>
      </c>
      <c r="F11" s="7"/>
      <c r="G11" s="7"/>
      <c r="H11" s="7"/>
      <c r="I11" s="77"/>
      <c r="J11" s="78"/>
      <c r="K11" s="7"/>
      <c r="L11" s="77" t="s">
        <v>76</v>
      </c>
      <c r="M11" s="85">
        <v>43817</v>
      </c>
      <c r="N11" s="85">
        <v>43908</v>
      </c>
      <c r="O11" s="80">
        <v>96.94</v>
      </c>
      <c r="P11" s="86">
        <v>1.4500000000000001E-2</v>
      </c>
      <c r="Q11" s="7"/>
      <c r="R11" s="77" t="s">
        <v>58</v>
      </c>
      <c r="S11" s="82">
        <v>3.0112E-2</v>
      </c>
      <c r="T11" s="83" t="b">
        <v>1</v>
      </c>
      <c r="U11" s="107"/>
    </row>
    <row r="12" spans="2:21">
      <c r="B12" s="106"/>
      <c r="C12" s="6" t="s">
        <v>21</v>
      </c>
      <c r="D12" s="34" t="s">
        <v>42</v>
      </c>
      <c r="E12" s="7" t="s">
        <v>0</v>
      </c>
      <c r="F12" s="7"/>
      <c r="G12" s="7"/>
      <c r="H12" s="7"/>
      <c r="I12" s="77"/>
      <c r="J12" s="78"/>
      <c r="K12" s="7"/>
      <c r="L12" s="77" t="s">
        <v>77</v>
      </c>
      <c r="M12" s="85">
        <v>43908</v>
      </c>
      <c r="N12" s="85">
        <v>43999</v>
      </c>
      <c r="O12" s="80">
        <v>96.924999999999997</v>
      </c>
      <c r="P12" s="86">
        <v>1.4500000000000001E-2</v>
      </c>
      <c r="Q12" s="7"/>
      <c r="R12" s="77" t="s">
        <v>60</v>
      </c>
      <c r="S12" s="82">
        <v>3.0337999999999997E-2</v>
      </c>
      <c r="T12" s="83" t="b">
        <v>1</v>
      </c>
      <c r="U12" s="107"/>
    </row>
    <row r="13" spans="2:21">
      <c r="B13" s="106"/>
      <c r="C13" s="28" t="s">
        <v>23</v>
      </c>
      <c r="D13" s="36" t="str">
        <f ca="1">_xll.meLWOCurveMarketDataCreate(D12,C3,C4:D9,F3,F5:G9,I3,I5:J30,L3,L5:P30,R3,R5:T30)</f>
        <v>USD_SWAP_3M_CURVE_MARKETDATA@3:1</v>
      </c>
      <c r="E13" s="7" t="s">
        <v>0</v>
      </c>
      <c r="F13" s="7"/>
      <c r="G13" s="7"/>
      <c r="H13" s="7"/>
      <c r="I13" s="77"/>
      <c r="J13" s="78"/>
      <c r="K13" s="7"/>
      <c r="L13" s="77"/>
      <c r="M13" s="85"/>
      <c r="N13" s="85"/>
      <c r="O13" s="80"/>
      <c r="P13" s="86"/>
      <c r="Q13" s="7"/>
      <c r="R13" s="77" t="s">
        <v>62</v>
      </c>
      <c r="S13" s="82">
        <v>3.0478000000000002E-2</v>
      </c>
      <c r="T13" s="83" t="b">
        <v>1</v>
      </c>
      <c r="U13" s="107"/>
    </row>
    <row r="14" spans="2:21">
      <c r="B14" s="106"/>
      <c r="C14" s="7"/>
      <c r="D14" s="7"/>
      <c r="E14" s="7" t="s">
        <v>0</v>
      </c>
      <c r="F14" s="7"/>
      <c r="G14" s="7"/>
      <c r="H14" s="7"/>
      <c r="I14" s="77"/>
      <c r="J14" s="78"/>
      <c r="K14" s="7"/>
      <c r="L14" s="77"/>
      <c r="M14" s="85"/>
      <c r="N14" s="85"/>
      <c r="O14" s="80"/>
      <c r="P14" s="86"/>
      <c r="Q14" s="7"/>
      <c r="R14" s="77" t="s">
        <v>63</v>
      </c>
      <c r="S14" s="82">
        <v>3.0510000000000002E-2</v>
      </c>
      <c r="T14" s="83" t="b">
        <v>1</v>
      </c>
      <c r="U14" s="107"/>
    </row>
    <row r="15" spans="2:21">
      <c r="B15" s="106"/>
      <c r="C15" s="7"/>
      <c r="D15" s="7"/>
      <c r="E15" s="7" t="s">
        <v>0</v>
      </c>
      <c r="F15" s="7"/>
      <c r="G15" s="7"/>
      <c r="H15" s="7"/>
      <c r="I15" s="77"/>
      <c r="J15" s="78"/>
      <c r="K15" s="7"/>
      <c r="L15" s="77"/>
      <c r="M15" s="85"/>
      <c r="N15" s="85"/>
      <c r="O15" s="80"/>
      <c r="P15" s="86"/>
      <c r="Q15" s="7"/>
      <c r="R15" s="77" t="s">
        <v>65</v>
      </c>
      <c r="S15" s="82">
        <v>3.0351E-2</v>
      </c>
      <c r="T15" s="83" t="b">
        <v>1</v>
      </c>
      <c r="U15" s="107"/>
    </row>
    <row r="16" spans="2:21">
      <c r="B16" s="106"/>
      <c r="C16" s="7"/>
      <c r="D16" s="7"/>
      <c r="E16" s="7" t="s">
        <v>0</v>
      </c>
      <c r="F16" s="7"/>
      <c r="G16" s="7"/>
      <c r="H16" s="7"/>
      <c r="I16" s="77"/>
      <c r="J16" s="78"/>
      <c r="K16" s="7"/>
      <c r="L16" s="77"/>
      <c r="M16" s="85"/>
      <c r="N16" s="85"/>
      <c r="O16" s="80"/>
      <c r="P16" s="86"/>
      <c r="Q16" s="7"/>
      <c r="R16" s="77" t="s">
        <v>66</v>
      </c>
      <c r="S16" s="82">
        <v>3.0148000000000001E-2</v>
      </c>
      <c r="T16" s="83" t="b">
        <v>1</v>
      </c>
      <c r="U16" s="107"/>
    </row>
    <row r="17" spans="2:21">
      <c r="B17" s="106"/>
      <c r="C17" s="7"/>
      <c r="D17" s="7"/>
      <c r="E17" s="7" t="s">
        <v>0</v>
      </c>
      <c r="F17" s="7"/>
      <c r="G17" s="7"/>
      <c r="H17" s="7"/>
      <c r="I17" s="77"/>
      <c r="J17" s="78"/>
      <c r="K17" s="7"/>
      <c r="L17" s="77"/>
      <c r="M17" s="85"/>
      <c r="N17" s="85"/>
      <c r="O17" s="80"/>
      <c r="P17" s="86"/>
      <c r="Q17" s="7"/>
      <c r="R17" s="77"/>
      <c r="S17" s="82"/>
      <c r="T17" s="91"/>
      <c r="U17" s="107"/>
    </row>
    <row r="18" spans="2:21">
      <c r="B18" s="106"/>
      <c r="C18" s="7"/>
      <c r="D18" s="7"/>
      <c r="E18" s="7" t="s">
        <v>0</v>
      </c>
      <c r="F18" s="7"/>
      <c r="G18" s="7"/>
      <c r="H18" s="7"/>
      <c r="I18" s="77"/>
      <c r="J18" s="78"/>
      <c r="K18" s="7"/>
      <c r="L18" s="77"/>
      <c r="M18" s="85"/>
      <c r="N18" s="85"/>
      <c r="O18" s="80"/>
      <c r="P18" s="86"/>
      <c r="Q18" s="7"/>
      <c r="R18" s="77"/>
      <c r="S18" s="82"/>
      <c r="T18" s="91"/>
      <c r="U18" s="107"/>
    </row>
    <row r="19" spans="2:21">
      <c r="B19" s="106"/>
      <c r="C19" s="37" t="s">
        <v>24</v>
      </c>
      <c r="D19" s="92"/>
      <c r="E19" s="7" t="s">
        <v>0</v>
      </c>
      <c r="F19" s="7"/>
      <c r="G19" s="7"/>
      <c r="H19" s="7"/>
      <c r="I19" s="77"/>
      <c r="J19" s="78"/>
      <c r="K19" s="7"/>
      <c r="L19" s="77"/>
      <c r="M19" s="85"/>
      <c r="N19" s="85"/>
      <c r="O19" s="80"/>
      <c r="P19" s="86"/>
      <c r="Q19" s="7"/>
      <c r="R19" s="77"/>
      <c r="S19" s="82"/>
      <c r="T19" s="91"/>
      <c r="U19" s="107"/>
    </row>
    <row r="20" spans="2:21">
      <c r="B20" s="106"/>
      <c r="C20" s="38" t="s">
        <v>21</v>
      </c>
      <c r="D20" s="39" t="s">
        <v>43</v>
      </c>
      <c r="E20" s="7" t="s">
        <v>0</v>
      </c>
      <c r="F20" s="7"/>
      <c r="G20" s="7"/>
      <c r="H20" s="7"/>
      <c r="I20" s="77"/>
      <c r="J20" s="78"/>
      <c r="K20" s="7"/>
      <c r="L20" s="77"/>
      <c r="M20" s="85"/>
      <c r="N20" s="85"/>
      <c r="O20" s="80"/>
      <c r="P20" s="86"/>
      <c r="Q20" s="7"/>
      <c r="R20" s="77"/>
      <c r="S20" s="82"/>
      <c r="T20" s="91"/>
      <c r="U20" s="107"/>
    </row>
    <row r="21" spans="2:21">
      <c r="B21" s="106"/>
      <c r="C21" s="40" t="s">
        <v>26</v>
      </c>
      <c r="D21" s="48" t="s">
        <v>44</v>
      </c>
      <c r="E21" s="7" t="s">
        <v>0</v>
      </c>
      <c r="F21" s="7"/>
      <c r="G21" s="7"/>
      <c r="H21" s="7"/>
      <c r="I21" s="77"/>
      <c r="J21" s="78"/>
      <c r="K21" s="7"/>
      <c r="L21" s="77"/>
      <c r="M21" s="85"/>
      <c r="N21" s="85"/>
      <c r="O21" s="80"/>
      <c r="P21" s="86"/>
      <c r="Q21" s="7"/>
      <c r="R21" s="77"/>
      <c r="S21" s="82"/>
      <c r="T21" s="91"/>
      <c r="U21" s="107"/>
    </row>
    <row r="22" spans="2:21">
      <c r="B22" s="106"/>
      <c r="C22" s="40" t="s">
        <v>28</v>
      </c>
      <c r="D22" s="41" t="s">
        <v>16</v>
      </c>
      <c r="E22" s="7" t="s">
        <v>0</v>
      </c>
      <c r="F22" s="7"/>
      <c r="G22" s="7"/>
      <c r="H22" s="7"/>
      <c r="I22" s="77"/>
      <c r="J22" s="78"/>
      <c r="K22" s="7"/>
      <c r="L22" s="77"/>
      <c r="M22" s="85"/>
      <c r="N22" s="85"/>
      <c r="O22" s="80"/>
      <c r="P22" s="86"/>
      <c r="Q22" s="7"/>
      <c r="R22" s="77"/>
      <c r="S22" s="82"/>
      <c r="T22" s="91"/>
      <c r="U22" s="107"/>
    </row>
    <row r="23" spans="2:21">
      <c r="B23" s="106"/>
      <c r="C23" s="42" t="s">
        <v>29</v>
      </c>
      <c r="D23" s="43"/>
      <c r="E23" s="7" t="s">
        <v>0</v>
      </c>
      <c r="F23" s="7"/>
      <c r="G23" s="7"/>
      <c r="H23" s="7"/>
      <c r="I23" s="77"/>
      <c r="J23" s="78"/>
      <c r="K23" s="7"/>
      <c r="L23" s="77"/>
      <c r="M23" s="85"/>
      <c r="N23" s="85"/>
      <c r="O23" s="80"/>
      <c r="P23" s="86"/>
      <c r="Q23" s="7"/>
      <c r="R23" s="77"/>
      <c r="S23" s="82"/>
      <c r="T23" s="91"/>
      <c r="U23" s="107"/>
    </row>
    <row r="24" spans="2:21">
      <c r="B24" s="106"/>
      <c r="C24" s="7"/>
      <c r="D24" s="7"/>
      <c r="E24" s="7" t="s">
        <v>0</v>
      </c>
      <c r="F24" s="7"/>
      <c r="G24" s="7"/>
      <c r="H24" s="7"/>
      <c r="I24" s="77"/>
      <c r="J24" s="78"/>
      <c r="K24" s="7"/>
      <c r="L24" s="77"/>
      <c r="M24" s="85"/>
      <c r="N24" s="85"/>
      <c r="O24" s="80"/>
      <c r="P24" s="86"/>
      <c r="Q24" s="7"/>
      <c r="R24" s="77"/>
      <c r="S24" s="82"/>
      <c r="T24" s="91"/>
      <c r="U24" s="107"/>
    </row>
    <row r="25" spans="2:21">
      <c r="B25" s="106"/>
      <c r="C25" s="7"/>
      <c r="D25" s="7"/>
      <c r="E25" s="7" t="s">
        <v>0</v>
      </c>
      <c r="F25" s="7"/>
      <c r="G25" s="7"/>
      <c r="H25" s="7"/>
      <c r="I25" s="77"/>
      <c r="J25" s="78"/>
      <c r="K25" s="7"/>
      <c r="L25" s="77"/>
      <c r="M25" s="85"/>
      <c r="N25" s="85"/>
      <c r="O25" s="80"/>
      <c r="P25" s="86"/>
      <c r="Q25" s="7"/>
      <c r="R25" s="77"/>
      <c r="S25" s="82"/>
      <c r="T25" s="91"/>
      <c r="U25" s="107"/>
    </row>
    <row r="26" spans="2:21">
      <c r="B26" s="106"/>
      <c r="C26" s="37" t="s">
        <v>30</v>
      </c>
      <c r="D26" s="7"/>
      <c r="E26" s="7" t="s">
        <v>0</v>
      </c>
      <c r="F26" s="7"/>
      <c r="G26" s="7"/>
      <c r="H26" s="7"/>
      <c r="I26" s="77"/>
      <c r="J26" s="78"/>
      <c r="K26" s="7"/>
      <c r="L26" s="77"/>
      <c r="M26" s="85"/>
      <c r="N26" s="85"/>
      <c r="O26" s="80"/>
      <c r="P26" s="86"/>
      <c r="Q26" s="7"/>
      <c r="R26" s="77"/>
      <c r="S26" s="82"/>
      <c r="T26" s="91"/>
      <c r="U26" s="107"/>
    </row>
    <row r="27" spans="2:21">
      <c r="B27" s="106"/>
      <c r="C27" s="44" t="s">
        <v>21</v>
      </c>
      <c r="D27" s="45" t="str">
        <f t="array" aca="1" ref="D27:D30" ca="1">_xll.meLWOCurveCalibrate(D20,D21,D13,D22)</f>
        <v>USD_SWAP_3M_CURVE@6:0</v>
      </c>
      <c r="E27" s="7" t="s">
        <v>0</v>
      </c>
      <c r="F27" s="7"/>
      <c r="G27" s="7"/>
      <c r="H27" s="7"/>
      <c r="I27" s="77"/>
      <c r="J27" s="78"/>
      <c r="K27" s="7"/>
      <c r="L27" s="77"/>
      <c r="M27" s="85"/>
      <c r="N27" s="85"/>
      <c r="O27" s="80"/>
      <c r="P27" s="86"/>
      <c r="Q27" s="7"/>
      <c r="R27" s="77"/>
      <c r="S27" s="82"/>
      <c r="T27" s="91"/>
      <c r="U27" s="107"/>
    </row>
    <row r="28" spans="2:21">
      <c r="B28" s="106"/>
      <c r="C28" s="48" t="s">
        <v>31</v>
      </c>
      <c r="D28" s="46" t="str">
        <f ca="1"/>
        <v>USDYC</v>
      </c>
      <c r="E28" s="7" t="s">
        <v>0</v>
      </c>
      <c r="F28" s="7"/>
      <c r="G28" s="7"/>
      <c r="H28" s="7"/>
      <c r="I28" s="77"/>
      <c r="J28" s="78"/>
      <c r="K28" s="7"/>
      <c r="L28" s="77"/>
      <c r="M28" s="85"/>
      <c r="N28" s="85"/>
      <c r="O28" s="80"/>
      <c r="P28" s="86"/>
      <c r="Q28" s="7"/>
      <c r="R28" s="77"/>
      <c r="S28" s="82"/>
      <c r="T28" s="91"/>
      <c r="U28" s="107"/>
    </row>
    <row r="29" spans="2:21">
      <c r="B29" s="106"/>
      <c r="C29" s="48" t="s">
        <v>32</v>
      </c>
      <c r="D29" s="46" t="str">
        <f ca="1"/>
        <v>STD:USD3ML</v>
      </c>
      <c r="E29" s="7" t="s">
        <v>0</v>
      </c>
      <c r="F29" s="7"/>
      <c r="G29" s="7"/>
      <c r="H29" s="7"/>
      <c r="I29" s="77"/>
      <c r="J29" s="78"/>
      <c r="K29" s="7"/>
      <c r="L29" s="77"/>
      <c r="M29" s="85"/>
      <c r="N29" s="85"/>
      <c r="O29" s="80"/>
      <c r="P29" s="86"/>
      <c r="Q29" s="7"/>
      <c r="R29" s="77"/>
      <c r="S29" s="82"/>
      <c r="T29" s="91"/>
      <c r="U29" s="107"/>
    </row>
    <row r="30" spans="2:21">
      <c r="B30" s="106"/>
      <c r="C30" s="50" t="s">
        <v>33</v>
      </c>
      <c r="D30" s="47" t="str">
        <f ca="1"/>
        <v>0.00800 sec</v>
      </c>
      <c r="E30" s="7"/>
      <c r="F30" s="7"/>
      <c r="G30" s="7"/>
      <c r="H30" s="7"/>
      <c r="I30" s="93"/>
      <c r="J30" s="94"/>
      <c r="K30" s="7"/>
      <c r="L30" s="93"/>
      <c r="M30" s="95"/>
      <c r="N30" s="95"/>
      <c r="O30" s="96"/>
      <c r="P30" s="97"/>
      <c r="Q30" s="7"/>
      <c r="R30" s="93"/>
      <c r="S30" s="98"/>
      <c r="T30" s="99"/>
      <c r="U30" s="107"/>
    </row>
    <row r="31" spans="2:21">
      <c r="B31" s="108"/>
      <c r="C31" s="109"/>
      <c r="D31" s="110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workbookViewId="0"/>
  </sheetViews>
  <sheetFormatPr defaultRowHeight="15"/>
  <cols>
    <col min="3" max="3" width="25.28515625" bestFit="1" customWidth="1"/>
    <col min="4" max="4" width="40.7109375" bestFit="1" customWidth="1"/>
  </cols>
  <sheetData>
    <row r="2" spans="2:11">
      <c r="B2" s="103"/>
      <c r="C2" s="104"/>
      <c r="D2" s="104"/>
      <c r="E2" s="104"/>
      <c r="F2" s="104"/>
      <c r="G2" s="104"/>
      <c r="H2" s="104"/>
      <c r="I2" s="104"/>
      <c r="J2" s="104"/>
      <c r="K2" s="105"/>
    </row>
    <row r="3" spans="2:11">
      <c r="B3" s="106"/>
      <c r="C3" s="9" t="s">
        <v>1</v>
      </c>
      <c r="D3" s="7"/>
      <c r="E3" s="7"/>
      <c r="F3" s="9" t="s">
        <v>38</v>
      </c>
      <c r="G3" s="7"/>
      <c r="H3" s="7"/>
      <c r="I3" s="9" t="s">
        <v>106</v>
      </c>
      <c r="J3" s="7"/>
      <c r="K3" s="107"/>
    </row>
    <row r="4" spans="2:11">
      <c r="B4" s="106"/>
      <c r="C4" s="61" t="s">
        <v>12</v>
      </c>
      <c r="D4" s="62" t="s">
        <v>13</v>
      </c>
      <c r="E4" s="7" t="s">
        <v>0</v>
      </c>
      <c r="F4" s="64" t="s">
        <v>6</v>
      </c>
      <c r="G4" s="10" t="s">
        <v>7</v>
      </c>
      <c r="H4" s="7"/>
      <c r="I4" s="64" t="s">
        <v>6</v>
      </c>
      <c r="J4" s="10" t="s">
        <v>7</v>
      </c>
      <c r="K4" s="107"/>
    </row>
    <row r="5" spans="2:11">
      <c r="B5" s="106"/>
      <c r="C5" s="65" t="s">
        <v>14</v>
      </c>
      <c r="D5" s="66" t="s">
        <v>105</v>
      </c>
      <c r="E5" s="7" t="s">
        <v>0</v>
      </c>
      <c r="F5" s="69"/>
      <c r="G5" s="70"/>
      <c r="H5" s="7"/>
      <c r="I5" s="69" t="s">
        <v>48</v>
      </c>
      <c r="J5" s="70">
        <v>8.9999999999999998E-4</v>
      </c>
      <c r="K5" s="107"/>
    </row>
    <row r="6" spans="2:11">
      <c r="B6" s="106"/>
      <c r="C6" s="65" t="s">
        <v>17</v>
      </c>
      <c r="D6" s="66" t="s">
        <v>36</v>
      </c>
      <c r="E6" s="7" t="s">
        <v>0</v>
      </c>
      <c r="F6" s="77"/>
      <c r="G6" s="78"/>
      <c r="H6" s="7"/>
      <c r="I6" s="77" t="s">
        <v>50</v>
      </c>
      <c r="J6" s="78">
        <v>9.7499999999999996E-4</v>
      </c>
      <c r="K6" s="107"/>
    </row>
    <row r="7" spans="2:11">
      <c r="B7" s="106"/>
      <c r="C7" s="65" t="s">
        <v>19</v>
      </c>
      <c r="D7" s="84">
        <v>43265</v>
      </c>
      <c r="E7" s="7" t="s">
        <v>0</v>
      </c>
      <c r="F7" s="77"/>
      <c r="G7" s="78"/>
      <c r="H7" s="7"/>
      <c r="I7" s="77" t="s">
        <v>34</v>
      </c>
      <c r="J7" s="78">
        <v>1.0124999999999999E-3</v>
      </c>
      <c r="K7" s="107"/>
    </row>
    <row r="8" spans="2:11">
      <c r="B8" s="106"/>
      <c r="C8" s="12"/>
      <c r="D8" s="87"/>
      <c r="E8" s="7" t="s">
        <v>0</v>
      </c>
      <c r="F8" s="77"/>
      <c r="G8" s="78"/>
      <c r="H8" s="7"/>
      <c r="I8" s="77" t="s">
        <v>53</v>
      </c>
      <c r="J8" s="78">
        <v>1.0375E-3</v>
      </c>
      <c r="K8" s="107"/>
    </row>
    <row r="9" spans="2:11">
      <c r="B9" s="106"/>
      <c r="C9" s="28"/>
      <c r="D9" s="88"/>
      <c r="E9" s="7" t="s">
        <v>0</v>
      </c>
      <c r="F9" s="77"/>
      <c r="G9" s="78"/>
      <c r="H9" s="7"/>
      <c r="I9" s="77" t="s">
        <v>55</v>
      </c>
      <c r="J9" s="78">
        <v>1.075E-3</v>
      </c>
      <c r="K9" s="107"/>
    </row>
    <row r="10" spans="2:11">
      <c r="B10" s="106"/>
      <c r="C10" s="7"/>
      <c r="D10" s="7"/>
      <c r="E10" s="7" t="s">
        <v>0</v>
      </c>
      <c r="F10" s="77"/>
      <c r="G10" s="78"/>
      <c r="H10" s="7"/>
      <c r="I10" s="77" t="s">
        <v>78</v>
      </c>
      <c r="J10" s="78">
        <v>1.1125E-3</v>
      </c>
      <c r="K10" s="107"/>
    </row>
    <row r="11" spans="2:11">
      <c r="B11" s="106"/>
      <c r="C11" s="37" t="s">
        <v>20</v>
      </c>
      <c r="D11" s="10"/>
      <c r="E11" s="7" t="s">
        <v>0</v>
      </c>
      <c r="F11" s="77"/>
      <c r="G11" s="78"/>
      <c r="H11" s="7"/>
      <c r="I11" s="77" t="s">
        <v>57</v>
      </c>
      <c r="J11" s="78">
        <v>1.15E-3</v>
      </c>
      <c r="K11" s="107"/>
    </row>
    <row r="12" spans="2:11">
      <c r="B12" s="106"/>
      <c r="C12" s="6" t="s">
        <v>21</v>
      </c>
      <c r="D12" s="34" t="s">
        <v>107</v>
      </c>
      <c r="E12" s="7" t="s">
        <v>0</v>
      </c>
      <c r="F12" s="77"/>
      <c r="G12" s="78"/>
      <c r="H12" s="7"/>
      <c r="I12" s="77" t="s">
        <v>73</v>
      </c>
      <c r="J12" s="78">
        <v>1.1875E-3</v>
      </c>
      <c r="K12" s="107"/>
    </row>
    <row r="13" spans="2:11">
      <c r="B13" s="106"/>
      <c r="C13" s="28" t="s">
        <v>23</v>
      </c>
      <c r="D13" s="36" t="str">
        <f ca="1">_xll.meLWOCurveMarketDataCreate(D12,C3,C4:D9,F3,F5:G30,I3,I5:J30)</f>
        <v>USD_BASIS_6M_CURVE_MARKETDATA@1:1</v>
      </c>
      <c r="E13" s="7" t="s">
        <v>0</v>
      </c>
      <c r="F13" s="77"/>
      <c r="G13" s="78"/>
      <c r="H13" s="7"/>
      <c r="I13" s="77" t="s">
        <v>75</v>
      </c>
      <c r="J13" s="78">
        <v>1.225E-3</v>
      </c>
      <c r="K13" s="107"/>
    </row>
    <row r="14" spans="2:11">
      <c r="B14" s="106"/>
      <c r="C14" s="7"/>
      <c r="D14" s="7"/>
      <c r="E14" s="7" t="s">
        <v>0</v>
      </c>
      <c r="F14" s="77"/>
      <c r="G14" s="78"/>
      <c r="H14" s="7"/>
      <c r="I14" s="77" t="s">
        <v>58</v>
      </c>
      <c r="J14" s="78">
        <v>1.25E-3</v>
      </c>
      <c r="K14" s="107"/>
    </row>
    <row r="15" spans="2:11">
      <c r="B15" s="106"/>
      <c r="C15" s="7"/>
      <c r="D15" s="7"/>
      <c r="E15" s="7" t="s">
        <v>0</v>
      </c>
      <c r="F15" s="77"/>
      <c r="G15" s="78"/>
      <c r="H15" s="7"/>
      <c r="I15" s="77" t="s">
        <v>60</v>
      </c>
      <c r="J15" s="78">
        <v>1.325E-3</v>
      </c>
      <c r="K15" s="107"/>
    </row>
    <row r="16" spans="2:11">
      <c r="B16" s="106"/>
      <c r="C16" s="7"/>
      <c r="D16" s="7"/>
      <c r="E16" s="7" t="s">
        <v>0</v>
      </c>
      <c r="F16" s="77"/>
      <c r="G16" s="78"/>
      <c r="H16" s="7"/>
      <c r="I16" s="77" t="s">
        <v>62</v>
      </c>
      <c r="J16" s="78">
        <v>1.3625E-3</v>
      </c>
      <c r="K16" s="107"/>
    </row>
    <row r="17" spans="2:11">
      <c r="B17" s="106"/>
      <c r="C17" s="7"/>
      <c r="D17" s="7"/>
      <c r="E17" s="7" t="s">
        <v>0</v>
      </c>
      <c r="F17" s="77"/>
      <c r="G17" s="78"/>
      <c r="H17" s="7"/>
      <c r="I17" s="77" t="s">
        <v>63</v>
      </c>
      <c r="J17" s="78">
        <v>1.3749999999999999E-3</v>
      </c>
      <c r="K17" s="107"/>
    </row>
    <row r="18" spans="2:11">
      <c r="B18" s="106"/>
      <c r="C18" s="7"/>
      <c r="D18" s="7"/>
      <c r="E18" s="7" t="s">
        <v>0</v>
      </c>
      <c r="F18" s="77"/>
      <c r="G18" s="78"/>
      <c r="H18" s="7"/>
      <c r="I18" s="77" t="s">
        <v>65</v>
      </c>
      <c r="J18" s="78">
        <v>1.3500000000000001E-3</v>
      </c>
      <c r="K18" s="107"/>
    </row>
    <row r="19" spans="2:11">
      <c r="B19" s="106"/>
      <c r="C19" s="37" t="s">
        <v>24</v>
      </c>
      <c r="D19" s="92"/>
      <c r="E19" s="7" t="s">
        <v>0</v>
      </c>
      <c r="F19" s="77"/>
      <c r="G19" s="78"/>
      <c r="H19" s="7"/>
      <c r="I19" s="77" t="s">
        <v>66</v>
      </c>
      <c r="J19" s="78">
        <v>1.3125000000000001E-3</v>
      </c>
      <c r="K19" s="107"/>
    </row>
    <row r="20" spans="2:11">
      <c r="B20" s="106"/>
      <c r="C20" s="38" t="s">
        <v>21</v>
      </c>
      <c r="D20" s="39" t="s">
        <v>108</v>
      </c>
      <c r="E20" s="7" t="s">
        <v>0</v>
      </c>
      <c r="F20" s="77"/>
      <c r="G20" s="78"/>
      <c r="H20" s="7"/>
      <c r="I20" s="77"/>
      <c r="J20" s="78"/>
      <c r="K20" s="107"/>
    </row>
    <row r="21" spans="2:11">
      <c r="B21" s="106"/>
      <c r="C21" s="40" t="s">
        <v>26</v>
      </c>
      <c r="D21" s="48" t="s">
        <v>109</v>
      </c>
      <c r="E21" s="7" t="s">
        <v>0</v>
      </c>
      <c r="F21" s="77"/>
      <c r="G21" s="78"/>
      <c r="H21" s="7"/>
      <c r="I21" s="77"/>
      <c r="J21" s="78"/>
      <c r="K21" s="107"/>
    </row>
    <row r="22" spans="2:11">
      <c r="B22" s="106"/>
      <c r="C22" s="40" t="s">
        <v>28</v>
      </c>
      <c r="D22" s="41" t="s">
        <v>16</v>
      </c>
      <c r="E22" s="7" t="s">
        <v>0</v>
      </c>
      <c r="F22" s="77"/>
      <c r="G22" s="78"/>
      <c r="H22" s="7"/>
      <c r="I22" s="77"/>
      <c r="J22" s="78"/>
      <c r="K22" s="107"/>
    </row>
    <row r="23" spans="2:11">
      <c r="B23" s="106"/>
      <c r="C23" s="42" t="s">
        <v>29</v>
      </c>
      <c r="D23" s="43"/>
      <c r="E23" s="7" t="s">
        <v>0</v>
      </c>
      <c r="F23" s="77"/>
      <c r="G23" s="78"/>
      <c r="H23" s="7"/>
      <c r="I23" s="77"/>
      <c r="J23" s="78"/>
      <c r="K23" s="107"/>
    </row>
    <row r="24" spans="2:11">
      <c r="B24" s="106"/>
      <c r="C24" s="7"/>
      <c r="D24" s="7"/>
      <c r="E24" s="7" t="s">
        <v>0</v>
      </c>
      <c r="F24" s="77"/>
      <c r="G24" s="78"/>
      <c r="H24" s="7"/>
      <c r="I24" s="77"/>
      <c r="J24" s="78"/>
      <c r="K24" s="107"/>
    </row>
    <row r="25" spans="2:11">
      <c r="B25" s="106"/>
      <c r="C25" s="7"/>
      <c r="D25" s="7"/>
      <c r="E25" s="7" t="s">
        <v>0</v>
      </c>
      <c r="F25" s="77"/>
      <c r="G25" s="78"/>
      <c r="H25" s="7"/>
      <c r="I25" s="77"/>
      <c r="J25" s="78"/>
      <c r="K25" s="107"/>
    </row>
    <row r="26" spans="2:11">
      <c r="B26" s="106"/>
      <c r="C26" s="37" t="s">
        <v>30</v>
      </c>
      <c r="D26" s="7"/>
      <c r="E26" s="7" t="s">
        <v>0</v>
      </c>
      <c r="F26" s="77"/>
      <c r="G26" s="78"/>
      <c r="H26" s="7"/>
      <c r="I26" s="77"/>
      <c r="J26" s="78"/>
      <c r="K26" s="107"/>
    </row>
    <row r="27" spans="2:11">
      <c r="B27" s="106"/>
      <c r="C27" s="44" t="s">
        <v>21</v>
      </c>
      <c r="D27" s="45" t="str">
        <f t="array" aca="1" ref="D27:D30" ca="1">_xll.meLWOCurveCalibrate(D20,D21,D13,D22)</f>
        <v>USD_BASIS_6M_CURVE@5:0</v>
      </c>
      <c r="E27" s="7" t="s">
        <v>0</v>
      </c>
      <c r="F27" s="77"/>
      <c r="G27" s="78"/>
      <c r="H27" s="7"/>
      <c r="I27" s="77"/>
      <c r="J27" s="78"/>
      <c r="K27" s="107"/>
    </row>
    <row r="28" spans="2:11">
      <c r="B28" s="106"/>
      <c r="C28" s="48" t="s">
        <v>31</v>
      </c>
      <c r="D28" s="46" t="str">
        <f ca="1"/>
        <v>USDYC</v>
      </c>
      <c r="E28" s="7" t="s">
        <v>0</v>
      </c>
      <c r="F28" s="77"/>
      <c r="G28" s="78"/>
      <c r="H28" s="7"/>
      <c r="I28" s="77"/>
      <c r="J28" s="78"/>
      <c r="K28" s="107"/>
    </row>
    <row r="29" spans="2:11">
      <c r="B29" s="106"/>
      <c r="C29" s="48" t="s">
        <v>32</v>
      </c>
      <c r="D29" s="46" t="str">
        <f ca="1"/>
        <v>3M6MBasis:USD6ML</v>
      </c>
      <c r="E29" s="7" t="s">
        <v>0</v>
      </c>
      <c r="F29" s="77"/>
      <c r="G29" s="78"/>
      <c r="H29" s="7"/>
      <c r="I29" s="77"/>
      <c r="J29" s="78"/>
      <c r="K29" s="107"/>
    </row>
    <row r="30" spans="2:11">
      <c r="B30" s="106"/>
      <c r="C30" s="50" t="s">
        <v>33</v>
      </c>
      <c r="D30" s="47" t="str">
        <f ca="1"/>
        <v>0.00700 sec</v>
      </c>
      <c r="E30" s="7" t="s">
        <v>0</v>
      </c>
      <c r="F30" s="93"/>
      <c r="G30" s="94"/>
      <c r="H30" s="7"/>
      <c r="I30" s="93"/>
      <c r="J30" s="94"/>
      <c r="K30" s="107"/>
    </row>
    <row r="31" spans="2:11">
      <c r="B31" s="108"/>
      <c r="C31" s="109"/>
      <c r="D31" s="110"/>
      <c r="E31" s="111"/>
      <c r="F31" s="111"/>
      <c r="G31" s="111"/>
      <c r="H31" s="111"/>
      <c r="I31" s="111"/>
      <c r="J31" s="111"/>
      <c r="K31" s="1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tabSelected="1" zoomScaleNormal="100" workbookViewId="0"/>
  </sheetViews>
  <sheetFormatPr defaultRowHeight="15"/>
  <cols>
    <col min="2" max="2" width="15.28515625" bestFit="1" customWidth="1"/>
    <col min="6" max="6" width="14.7109375" bestFit="1" customWidth="1"/>
    <col min="7" max="7" width="14.28515625" bestFit="1" customWidth="1"/>
    <col min="9" max="9" width="21.140625" customWidth="1"/>
    <col min="15" max="15" width="16.85546875" customWidth="1"/>
    <col min="16" max="16" width="16" customWidth="1"/>
    <col min="19" max="19" width="10.140625" bestFit="1" customWidth="1"/>
    <col min="20" max="20" width="14.7109375" bestFit="1" customWidth="1"/>
    <col min="21" max="21" width="15.140625" bestFit="1" customWidth="1"/>
  </cols>
  <sheetData>
    <row r="1" spans="1:22">
      <c r="A1" t="s">
        <v>0</v>
      </c>
      <c r="D1" t="s">
        <v>0</v>
      </c>
      <c r="H1" t="s">
        <v>0</v>
      </c>
      <c r="N1" t="s">
        <v>0</v>
      </c>
      <c r="Q1" t="s">
        <v>0</v>
      </c>
      <c r="V1" t="s">
        <v>0</v>
      </c>
    </row>
    <row r="2" spans="1:22">
      <c r="A2" t="s">
        <v>0</v>
      </c>
      <c r="D2" t="s">
        <v>0</v>
      </c>
      <c r="H2" t="s">
        <v>0</v>
      </c>
      <c r="N2" t="s">
        <v>0</v>
      </c>
      <c r="Q2" t="s">
        <v>0</v>
      </c>
      <c r="V2" t="s">
        <v>0</v>
      </c>
    </row>
    <row r="3" spans="1:22">
      <c r="A3" t="s">
        <v>0</v>
      </c>
      <c r="D3" t="s">
        <v>0</v>
      </c>
      <c r="H3" t="s">
        <v>0</v>
      </c>
      <c r="N3" t="s">
        <v>0</v>
      </c>
      <c r="Q3" t="s">
        <v>0</v>
      </c>
      <c r="V3" t="s">
        <v>0</v>
      </c>
    </row>
    <row r="4" spans="1:22">
      <c r="A4" t="s">
        <v>0</v>
      </c>
      <c r="B4" s="115" t="s">
        <v>81</v>
      </c>
      <c r="D4" t="s">
        <v>0</v>
      </c>
      <c r="E4" s="113"/>
      <c r="F4" s="114" t="s">
        <v>79</v>
      </c>
      <c r="G4" s="114" t="s">
        <v>80</v>
      </c>
      <c r="H4" t="s">
        <v>0</v>
      </c>
      <c r="I4" s="148" t="s">
        <v>84</v>
      </c>
      <c r="N4" t="s">
        <v>0</v>
      </c>
      <c r="O4" s="35" t="s">
        <v>86</v>
      </c>
      <c r="Q4" t="s">
        <v>0</v>
      </c>
      <c r="V4" t="s">
        <v>0</v>
      </c>
    </row>
    <row r="5" spans="1:22">
      <c r="A5" t="s">
        <v>0</v>
      </c>
      <c r="B5" t="s">
        <v>15</v>
      </c>
      <c r="C5" t="s">
        <v>16</v>
      </c>
      <c r="D5" t="s">
        <v>0</v>
      </c>
      <c r="E5" s="113" t="s">
        <v>48</v>
      </c>
      <c r="F5" s="116">
        <f ca="1">_xll.meDateFromTenor(TODAY(),E5)</f>
        <v>43631</v>
      </c>
      <c r="G5" s="117">
        <v>0.99</v>
      </c>
      <c r="H5" t="s">
        <v>0</v>
      </c>
      <c r="I5" s="146" t="s">
        <v>103</v>
      </c>
      <c r="J5" s="138"/>
      <c r="K5" s="138"/>
      <c r="L5" s="138"/>
      <c r="M5" s="138"/>
      <c r="N5" t="s">
        <v>0</v>
      </c>
      <c r="O5" s="136" t="str">
        <f t="array" aca="1" ref="O5:P18" ca="1">_xll.meCurveDiscountFactorsDisplay(C5,C6)</f>
        <v>PaymentDates</v>
      </c>
      <c r="P5" s="136" t="str">
        <f ca="1"/>
        <v>DiscountFactors</v>
      </c>
      <c r="Q5" t="s">
        <v>0</v>
      </c>
      <c r="R5" s="138"/>
      <c r="V5" t="s">
        <v>0</v>
      </c>
    </row>
    <row r="6" spans="1:22">
      <c r="A6" t="s">
        <v>0</v>
      </c>
      <c r="B6" t="s">
        <v>82</v>
      </c>
      <c r="C6" t="s">
        <v>83</v>
      </c>
      <c r="D6" t="s">
        <v>0</v>
      </c>
      <c r="E6" s="113" t="s">
        <v>50</v>
      </c>
      <c r="F6" s="116">
        <f ca="1">_xll.meDateFromTenor(TODAY(),E6)</f>
        <v>43997</v>
      </c>
      <c r="G6" s="117">
        <f>G5-0.01</f>
        <v>0.98</v>
      </c>
      <c r="H6" t="s">
        <v>0</v>
      </c>
      <c r="I6" s="147" t="str">
        <f t="array" ref="I6:I7">IF($I$5="ON",_xll.meCurveDiscountFactorsOverride($C$5,$C$6,$F$5:$F$15,$G$5:$G$15),"Disabled")</f>
        <v>Disabled</v>
      </c>
      <c r="J6" s="138"/>
      <c r="K6" s="138"/>
      <c r="L6" s="138"/>
      <c r="M6" s="138"/>
      <c r="N6" t="s">
        <v>0</v>
      </c>
      <c r="O6" s="121">
        <f ca="1"/>
        <v>43265</v>
      </c>
      <c r="P6" s="137">
        <f ca="1"/>
        <v>1</v>
      </c>
      <c r="Q6" t="s">
        <v>0</v>
      </c>
      <c r="R6" s="138"/>
      <c r="S6" s="123"/>
      <c r="V6" t="s">
        <v>0</v>
      </c>
    </row>
    <row r="7" spans="1:22">
      <c r="A7" t="s">
        <v>0</v>
      </c>
      <c r="D7" t="s">
        <v>0</v>
      </c>
      <c r="E7" s="113" t="s">
        <v>34</v>
      </c>
      <c r="F7" s="116">
        <f ca="1">_xll.meDateFromTenor(TODAY(),E7)</f>
        <v>44362</v>
      </c>
      <c r="G7" s="117">
        <f t="shared" ref="G7:G15" si="0">G6-0.01</f>
        <v>0.97</v>
      </c>
      <c r="H7" t="s">
        <v>0</v>
      </c>
      <c r="I7" s="147" t="str">
        <v>Disabled</v>
      </c>
      <c r="N7" t="s">
        <v>0</v>
      </c>
      <c r="O7" s="121">
        <f ca="1"/>
        <v>43266</v>
      </c>
      <c r="P7" s="137">
        <f ca="1"/>
        <v>0.99995278000761068</v>
      </c>
      <c r="Q7" t="s">
        <v>0</v>
      </c>
      <c r="S7" s="123"/>
      <c r="V7" t="s">
        <v>0</v>
      </c>
    </row>
    <row r="8" spans="1:22">
      <c r="A8" t="s">
        <v>0</v>
      </c>
      <c r="D8" t="s">
        <v>0</v>
      </c>
      <c r="E8" s="113" t="s">
        <v>53</v>
      </c>
      <c r="F8" s="116">
        <f ca="1">_xll.meDateFromTenor(TODAY(),E8)</f>
        <v>44727</v>
      </c>
      <c r="G8" s="117">
        <f t="shared" si="0"/>
        <v>0.96</v>
      </c>
      <c r="H8" t="s">
        <v>0</v>
      </c>
      <c r="N8" t="s">
        <v>0</v>
      </c>
      <c r="O8" s="121">
        <f ca="1"/>
        <v>43269</v>
      </c>
      <c r="P8" s="137">
        <f ca="1"/>
        <v>0.99981114009609706</v>
      </c>
      <c r="Q8" t="s">
        <v>0</v>
      </c>
      <c r="S8" s="123"/>
      <c r="V8" t="s">
        <v>0</v>
      </c>
    </row>
    <row r="9" spans="1:22">
      <c r="A9" t="s">
        <v>0</v>
      </c>
      <c r="D9" t="s">
        <v>0</v>
      </c>
      <c r="E9" s="113" t="s">
        <v>55</v>
      </c>
      <c r="F9" s="116">
        <f ca="1">_xll.meDateFromTenor(TODAY(),E9)</f>
        <v>45092</v>
      </c>
      <c r="G9" s="117">
        <f t="shared" si="0"/>
        <v>0.95</v>
      </c>
      <c r="H9" t="s">
        <v>0</v>
      </c>
      <c r="J9" s="138"/>
      <c r="K9" s="138"/>
      <c r="L9" s="138"/>
      <c r="M9" s="138"/>
      <c r="N9" t="s">
        <v>0</v>
      </c>
      <c r="O9" s="121">
        <f ca="1"/>
        <v>43276</v>
      </c>
      <c r="P9" s="137">
        <f ca="1"/>
        <v>0.99943962813082488</v>
      </c>
      <c r="Q9" t="s">
        <v>0</v>
      </c>
      <c r="R9" s="138"/>
      <c r="S9" s="123"/>
      <c r="V9" t="s">
        <v>0</v>
      </c>
    </row>
    <row r="10" spans="1:22">
      <c r="A10" t="s">
        <v>0</v>
      </c>
      <c r="D10" t="s">
        <v>0</v>
      </c>
      <c r="E10" s="113" t="s">
        <v>78</v>
      </c>
      <c r="F10" s="116">
        <f ca="1">_xll.meDateFromTenor(TODAY(),E10)</f>
        <v>45458</v>
      </c>
      <c r="G10" s="117">
        <f t="shared" si="0"/>
        <v>0.94</v>
      </c>
      <c r="H10" t="s">
        <v>0</v>
      </c>
      <c r="J10" s="138"/>
      <c r="K10" s="138"/>
      <c r="L10" s="138"/>
      <c r="M10" s="138"/>
      <c r="N10" t="s">
        <v>0</v>
      </c>
      <c r="O10" s="121">
        <f ca="1"/>
        <v>43283</v>
      </c>
      <c r="P10" s="137">
        <f ca="1"/>
        <v>0.99906893946861719</v>
      </c>
      <c r="Q10" t="s">
        <v>0</v>
      </c>
      <c r="R10" s="138"/>
      <c r="S10" s="123"/>
      <c r="V10" t="s">
        <v>0</v>
      </c>
    </row>
    <row r="11" spans="1:22">
      <c r="A11" t="s">
        <v>0</v>
      </c>
      <c r="D11" t="s">
        <v>0</v>
      </c>
      <c r="E11" s="113" t="s">
        <v>57</v>
      </c>
      <c r="F11" s="116">
        <f ca="1">_xll.meDateFromTenor(TODAY(),E11)</f>
        <v>45823</v>
      </c>
      <c r="G11" s="117">
        <f t="shared" si="0"/>
        <v>0.92999999999999994</v>
      </c>
      <c r="H11" t="s">
        <v>0</v>
      </c>
      <c r="N11" t="s">
        <v>0</v>
      </c>
      <c r="O11" s="121">
        <f ca="1"/>
        <v>43290</v>
      </c>
      <c r="P11" s="137">
        <f ca="1"/>
        <v>0.99869670654950993</v>
      </c>
      <c r="Q11" t="s">
        <v>0</v>
      </c>
      <c r="S11" s="123"/>
      <c r="V11" t="s">
        <v>0</v>
      </c>
    </row>
    <row r="12" spans="1:22">
      <c r="A12" t="s">
        <v>0</v>
      </c>
      <c r="D12" t="s">
        <v>0</v>
      </c>
      <c r="E12" s="113" t="s">
        <v>73</v>
      </c>
      <c r="F12" s="116">
        <f ca="1">_xll.meDateFromTenor(TODAY(),E12)</f>
        <v>46188</v>
      </c>
      <c r="G12" s="117">
        <f t="shared" si="0"/>
        <v>0.91999999999999993</v>
      </c>
      <c r="H12" t="s">
        <v>0</v>
      </c>
      <c r="I12" s="35" t="s">
        <v>85</v>
      </c>
      <c r="N12" t="s">
        <v>0</v>
      </c>
      <c r="O12" s="121">
        <f ca="1"/>
        <v>43299</v>
      </c>
      <c r="P12" s="137">
        <f ca="1"/>
        <v>0.99821821654908749</v>
      </c>
      <c r="Q12" t="s">
        <v>0</v>
      </c>
      <c r="S12" s="123"/>
      <c r="V12" t="s">
        <v>0</v>
      </c>
    </row>
    <row r="13" spans="1:22">
      <c r="A13" t="s">
        <v>0</v>
      </c>
      <c r="D13" t="s">
        <v>0</v>
      </c>
      <c r="E13" s="113" t="s">
        <v>58</v>
      </c>
      <c r="F13" s="116">
        <f ca="1">_xll.meDateFromTenor(TODAY(),E13)</f>
        <v>46919</v>
      </c>
      <c r="G13" s="117">
        <f t="shared" si="0"/>
        <v>0.90999999999999992</v>
      </c>
      <c r="H13" t="s">
        <v>0</v>
      </c>
      <c r="I13" s="146" t="s">
        <v>103</v>
      </c>
      <c r="N13" t="s">
        <v>0</v>
      </c>
      <c r="O13" s="121">
        <f ca="1"/>
        <v>43332</v>
      </c>
      <c r="P13" s="137">
        <f ca="1"/>
        <v>0.99646369294083137</v>
      </c>
      <c r="Q13" t="s">
        <v>0</v>
      </c>
      <c r="S13" s="123"/>
      <c r="V13" t="s">
        <v>0</v>
      </c>
    </row>
    <row r="14" spans="1:22">
      <c r="A14" t="s">
        <v>0</v>
      </c>
      <c r="D14" t="s">
        <v>0</v>
      </c>
      <c r="E14" s="113" t="s">
        <v>63</v>
      </c>
      <c r="F14" s="116">
        <f ca="1">_xll.meDateFromTenor(TODAY(),E14)</f>
        <v>50571</v>
      </c>
      <c r="G14" s="117">
        <f t="shared" si="0"/>
        <v>0.89999999999999991</v>
      </c>
      <c r="H14" t="s">
        <v>0</v>
      </c>
      <c r="I14" s="147" t="str">
        <f t="array" ref="I14:I15">IF(I13="ON",_xll.meCurveDiscountFactorsSetToOne($C$5,$C$6),"Disabled")</f>
        <v>Disabled</v>
      </c>
      <c r="N14" t="s">
        <v>0</v>
      </c>
      <c r="O14" s="121">
        <f ca="1"/>
        <v>43361</v>
      </c>
      <c r="P14" s="137">
        <f ca="1"/>
        <v>0.9949209906055857</v>
      </c>
      <c r="Q14" t="s">
        <v>0</v>
      </c>
      <c r="S14" s="123"/>
      <c r="V14" t="s">
        <v>0</v>
      </c>
    </row>
    <row r="15" spans="1:22">
      <c r="A15" t="s">
        <v>0</v>
      </c>
      <c r="D15" t="s">
        <v>0</v>
      </c>
      <c r="E15" s="113" t="s">
        <v>66</v>
      </c>
      <c r="F15" s="116">
        <f ca="1">_xll.meDateFromTenor(TODAY(),E15)</f>
        <v>54224</v>
      </c>
      <c r="G15" s="117">
        <f t="shared" si="0"/>
        <v>0.8899999999999999</v>
      </c>
      <c r="H15" t="s">
        <v>0</v>
      </c>
      <c r="I15" s="147" t="str">
        <v>Disabled</v>
      </c>
      <c r="N15" t="s">
        <v>0</v>
      </c>
      <c r="O15" s="121">
        <f ca="1"/>
        <v>43391</v>
      </c>
      <c r="P15" s="137">
        <f ca="1"/>
        <v>0.99320399106642454</v>
      </c>
      <c r="Q15" t="s">
        <v>0</v>
      </c>
      <c r="S15" s="123"/>
    </row>
    <row r="16" spans="1:22">
      <c r="A16" t="s">
        <v>0</v>
      </c>
      <c r="D16" t="s">
        <v>0</v>
      </c>
      <c r="H16" t="s">
        <v>0</v>
      </c>
      <c r="N16" t="s">
        <v>0</v>
      </c>
      <c r="O16" s="121">
        <f ca="1"/>
        <v>43423</v>
      </c>
      <c r="P16" s="137">
        <f ca="1"/>
        <v>0.9913132577198015</v>
      </c>
      <c r="Q16" t="s">
        <v>0</v>
      </c>
      <c r="S16" s="123"/>
      <c r="V16" t="s">
        <v>0</v>
      </c>
    </row>
    <row r="17" spans="1:22">
      <c r="A17" t="s">
        <v>0</v>
      </c>
      <c r="D17" t="s">
        <v>0</v>
      </c>
      <c r="H17" t="s">
        <v>0</v>
      </c>
      <c r="N17" t="s">
        <v>0</v>
      </c>
      <c r="O17" s="121">
        <f ca="1"/>
        <v>43452</v>
      </c>
      <c r="P17" s="137">
        <f ca="1"/>
        <v>0.98959031399949759</v>
      </c>
      <c r="Q17" t="s">
        <v>0</v>
      </c>
      <c r="S17" s="123"/>
      <c r="V17" t="s">
        <v>0</v>
      </c>
    </row>
    <row r="18" spans="1:22">
      <c r="A18" t="s">
        <v>0</v>
      </c>
      <c r="D18" t="s">
        <v>0</v>
      </c>
      <c r="E18" s="113"/>
      <c r="H18" t="s">
        <v>0</v>
      </c>
      <c r="N18" t="s">
        <v>0</v>
      </c>
      <c r="O18" s="121">
        <f ca="1"/>
        <v>43542</v>
      </c>
      <c r="P18" s="137">
        <f ca="1"/>
        <v>0.98385729194442728</v>
      </c>
      <c r="Q18" t="s">
        <v>0</v>
      </c>
      <c r="S18" s="123"/>
      <c r="V18" t="s">
        <v>0</v>
      </c>
    </row>
    <row r="19" spans="1:22">
      <c r="A19" t="s">
        <v>0</v>
      </c>
      <c r="D19" t="s">
        <v>0</v>
      </c>
      <c r="E19" s="113"/>
      <c r="H19" t="s">
        <v>0</v>
      </c>
      <c r="N19" t="s">
        <v>0</v>
      </c>
      <c r="O19" s="121"/>
      <c r="P19" s="137"/>
      <c r="Q19" t="s">
        <v>0</v>
      </c>
      <c r="S19" s="123"/>
    </row>
    <row r="20" spans="1:22">
      <c r="A20" t="s">
        <v>0</v>
      </c>
      <c r="D20" t="s">
        <v>0</v>
      </c>
      <c r="E20" s="113"/>
      <c r="H20" t="s">
        <v>0</v>
      </c>
      <c r="N20" t="s">
        <v>0</v>
      </c>
      <c r="O20" s="121"/>
      <c r="P20" s="137"/>
      <c r="Q20" t="s">
        <v>0</v>
      </c>
      <c r="S20" s="123"/>
    </row>
    <row r="21" spans="1:22">
      <c r="A21" t="s">
        <v>0</v>
      </c>
      <c r="D21" t="s">
        <v>0</v>
      </c>
      <c r="E21" s="113"/>
      <c r="H21" t="s">
        <v>0</v>
      </c>
      <c r="N21" t="s">
        <v>0</v>
      </c>
      <c r="Q21" t="s">
        <v>0</v>
      </c>
      <c r="S21" s="123"/>
      <c r="V21" t="s">
        <v>0</v>
      </c>
    </row>
    <row r="22" spans="1:22">
      <c r="A22" t="s">
        <v>0</v>
      </c>
      <c r="D22" t="s">
        <v>0</v>
      </c>
      <c r="F22" s="154">
        <v>10</v>
      </c>
      <c r="H22" t="s">
        <v>0</v>
      </c>
      <c r="N22" t="s">
        <v>0</v>
      </c>
      <c r="Q22" t="s">
        <v>0</v>
      </c>
      <c r="S22" s="123"/>
      <c r="V22" t="s">
        <v>0</v>
      </c>
    </row>
    <row r="23" spans="1:22">
      <c r="A23" t="s">
        <v>0</v>
      </c>
      <c r="D23" t="s">
        <v>0</v>
      </c>
      <c r="H23" t="s">
        <v>0</v>
      </c>
      <c r="N23" t="s">
        <v>0</v>
      </c>
      <c r="Q23" t="s">
        <v>0</v>
      </c>
      <c r="S23" s="123"/>
      <c r="V23" t="s">
        <v>0</v>
      </c>
    </row>
    <row r="24" spans="1:22">
      <c r="A24" t="s">
        <v>0</v>
      </c>
      <c r="B24" s="115" t="s">
        <v>81</v>
      </c>
      <c r="D24" t="s">
        <v>0</v>
      </c>
      <c r="E24" s="113"/>
      <c r="F24" s="150" t="s">
        <v>87</v>
      </c>
      <c r="G24" s="119" t="s">
        <v>88</v>
      </c>
      <c r="H24" t="s">
        <v>0</v>
      </c>
      <c r="I24" s="35" t="s">
        <v>90</v>
      </c>
      <c r="N24" t="s">
        <v>0</v>
      </c>
      <c r="O24" s="113" t="s">
        <v>87</v>
      </c>
      <c r="P24" s="113" t="s">
        <v>104</v>
      </c>
      <c r="Q24" t="s">
        <v>0</v>
      </c>
      <c r="S24" s="123"/>
      <c r="V24" t="s">
        <v>0</v>
      </c>
    </row>
    <row r="25" spans="1:22">
      <c r="A25" t="s">
        <v>0</v>
      </c>
      <c r="B25" t="s">
        <v>15</v>
      </c>
      <c r="C25" t="s">
        <v>16</v>
      </c>
      <c r="D25" t="s">
        <v>0</v>
      </c>
      <c r="E25" s="113" t="s">
        <v>46</v>
      </c>
      <c r="F25" s="116">
        <f>USD6ML!D7+F22</f>
        <v>43275</v>
      </c>
      <c r="G25" s="120">
        <v>0.02</v>
      </c>
      <c r="H25" t="s">
        <v>0</v>
      </c>
      <c r="I25" s="146" t="s">
        <v>103</v>
      </c>
      <c r="N25" t="s">
        <v>0</v>
      </c>
      <c r="O25" s="121">
        <f>IF(F25="","",F25)</f>
        <v>43275</v>
      </c>
      <c r="P25" s="122">
        <f ca="1">IF(O25="","",_xll.meCurveForwardRates(O25,$C$25,$C$26))</f>
        <v>2.5156315497337683E-2</v>
      </c>
      <c r="Q25" t="s">
        <v>0</v>
      </c>
      <c r="S25" s="123"/>
      <c r="V25" t="s">
        <v>0</v>
      </c>
    </row>
    <row r="26" spans="1:22">
      <c r="A26" t="s">
        <v>0</v>
      </c>
      <c r="B26" t="s">
        <v>82</v>
      </c>
      <c r="C26" t="s">
        <v>89</v>
      </c>
      <c r="D26" t="s">
        <v>0</v>
      </c>
      <c r="E26" s="113" t="s">
        <v>45</v>
      </c>
      <c r="F26" s="116"/>
      <c r="G26" s="120"/>
      <c r="H26" t="s">
        <v>0</v>
      </c>
      <c r="I26" s="147" t="str">
        <f t="array" aca="1" ref="I26:I27" ca="1">IF(I25="ON",_xll.meCurveForwardRatesOverride(C25,C26,F25:F44,G25:G44),"Disabled")</f>
        <v>Disabled</v>
      </c>
      <c r="J26" s="138"/>
      <c r="K26" s="138"/>
      <c r="L26" s="138"/>
      <c r="M26" s="138"/>
      <c r="N26" t="s">
        <v>0</v>
      </c>
      <c r="O26" s="121" t="str">
        <f t="shared" ref="O26:O42" si="1">IF(F26="","",F26)</f>
        <v/>
      </c>
      <c r="P26" s="122" t="str">
        <f>IF(O26="","",_xll.meCurveForwardRates(O26,$C$25,$C$26))</f>
        <v/>
      </c>
      <c r="Q26" t="s">
        <v>0</v>
      </c>
      <c r="R26" s="138"/>
      <c r="S26" s="123"/>
      <c r="V26" t="s">
        <v>0</v>
      </c>
    </row>
    <row r="27" spans="1:22">
      <c r="A27" t="s">
        <v>0</v>
      </c>
      <c r="D27" t="s">
        <v>0</v>
      </c>
      <c r="E27" s="113" t="s">
        <v>48</v>
      </c>
      <c r="F27" s="116">
        <v>43451</v>
      </c>
      <c r="G27" s="120">
        <v>0.02</v>
      </c>
      <c r="H27" t="s">
        <v>0</v>
      </c>
      <c r="I27" s="147" t="str">
        <f ca="1"/>
        <v>Disabled</v>
      </c>
      <c r="J27" s="138"/>
      <c r="K27" s="138"/>
      <c r="L27" s="138"/>
      <c r="M27" s="138"/>
      <c r="N27" t="s">
        <v>0</v>
      </c>
      <c r="O27" s="121">
        <f t="shared" si="1"/>
        <v>43451</v>
      </c>
      <c r="P27" s="122">
        <f ca="1">IF(O27="","",_xll.meCurveForwardRates(O27,$C$25,$C$26))</f>
        <v>2.8582791907417745E-2</v>
      </c>
      <c r="Q27" t="s">
        <v>0</v>
      </c>
      <c r="R27" s="138"/>
      <c r="S27" s="123"/>
      <c r="V27" t="s">
        <v>0</v>
      </c>
    </row>
    <row r="28" spans="1:22">
      <c r="A28" t="s">
        <v>0</v>
      </c>
      <c r="D28" t="s">
        <v>0</v>
      </c>
      <c r="E28" s="113" t="s">
        <v>50</v>
      </c>
      <c r="F28" s="116"/>
      <c r="G28" s="120"/>
      <c r="H28" t="s">
        <v>0</v>
      </c>
      <c r="N28" t="s">
        <v>0</v>
      </c>
      <c r="O28" s="121" t="str">
        <f t="shared" si="1"/>
        <v/>
      </c>
      <c r="P28" s="122" t="str">
        <f>IF(O28="","",_xll.meCurveForwardRates(O28,$C$25,$C$26))</f>
        <v/>
      </c>
      <c r="Q28" t="s">
        <v>0</v>
      </c>
      <c r="S28" s="123"/>
    </row>
    <row r="29" spans="1:22">
      <c r="A29" t="s">
        <v>0</v>
      </c>
      <c r="D29" t="s">
        <v>0</v>
      </c>
      <c r="E29" s="113" t="s">
        <v>55</v>
      </c>
      <c r="F29" s="116">
        <v>43633</v>
      </c>
      <c r="G29" s="120">
        <v>0.02</v>
      </c>
      <c r="H29" t="s">
        <v>0</v>
      </c>
      <c r="N29" t="s">
        <v>0</v>
      </c>
      <c r="O29" s="121">
        <f t="shared" si="1"/>
        <v>43633</v>
      </c>
      <c r="P29" s="122">
        <f ca="1">IF(O29="","",_xll.meCurveForwardRates(O29,$C$25,$C$26))</f>
        <v>3.0719450312301947E-2</v>
      </c>
      <c r="Q29" t="s">
        <v>0</v>
      </c>
      <c r="S29" s="123"/>
    </row>
    <row r="30" spans="1:22">
      <c r="A30" t="s">
        <v>0</v>
      </c>
      <c r="D30" t="s">
        <v>0</v>
      </c>
      <c r="E30" s="113" t="s">
        <v>78</v>
      </c>
      <c r="F30" s="116"/>
      <c r="G30" s="120"/>
      <c r="H30" t="s">
        <v>0</v>
      </c>
      <c r="N30" t="s">
        <v>0</v>
      </c>
      <c r="O30" s="121" t="str">
        <f t="shared" si="1"/>
        <v/>
      </c>
      <c r="P30" s="122" t="str">
        <f>IF(O30="","",_xll.meCurveForwardRates(O30,$C$25,$C$26))</f>
        <v/>
      </c>
      <c r="Q30" t="s">
        <v>0</v>
      </c>
      <c r="S30" s="123"/>
    </row>
    <row r="31" spans="1:22">
      <c r="A31" t="s">
        <v>0</v>
      </c>
      <c r="D31" t="s">
        <v>0</v>
      </c>
      <c r="E31" s="113" t="s">
        <v>57</v>
      </c>
      <c r="F31" s="116">
        <v>43815</v>
      </c>
      <c r="G31" s="120">
        <v>0.02</v>
      </c>
      <c r="H31" t="s">
        <v>0</v>
      </c>
      <c r="N31" t="s">
        <v>0</v>
      </c>
      <c r="O31" s="121">
        <f t="shared" si="1"/>
        <v>43815</v>
      </c>
      <c r="P31" s="122">
        <f ca="1">IF(O31="","",_xll.meCurveForwardRates(O31,$C$25,$C$26))</f>
        <v>3.1532672080773275E-2</v>
      </c>
      <c r="Q31" t="s">
        <v>0</v>
      </c>
      <c r="S31" s="123"/>
    </row>
    <row r="32" spans="1:22">
      <c r="A32" t="s">
        <v>0</v>
      </c>
      <c r="D32" t="s">
        <v>0</v>
      </c>
      <c r="E32" s="113" t="s">
        <v>73</v>
      </c>
      <c r="F32" s="116"/>
      <c r="G32" s="120"/>
      <c r="H32" t="s">
        <v>0</v>
      </c>
      <c r="N32" t="s">
        <v>0</v>
      </c>
      <c r="O32" s="121" t="str">
        <f t="shared" si="1"/>
        <v/>
      </c>
      <c r="P32" s="122" t="str">
        <f>IF(O32="","",_xll.meCurveForwardRates(O32,$C$25,$C$26))</f>
        <v/>
      </c>
      <c r="Q32" t="s">
        <v>0</v>
      </c>
      <c r="S32" s="123"/>
    </row>
    <row r="33" spans="1:19">
      <c r="A33" t="s">
        <v>0</v>
      </c>
      <c r="D33" t="s">
        <v>0</v>
      </c>
      <c r="E33" s="113"/>
      <c r="F33" s="116">
        <v>43997</v>
      </c>
      <c r="G33" s="120">
        <v>0.02</v>
      </c>
      <c r="H33" t="s">
        <v>0</v>
      </c>
      <c r="N33" t="s">
        <v>0</v>
      </c>
      <c r="O33" s="121">
        <f t="shared" si="1"/>
        <v>43997</v>
      </c>
      <c r="P33" s="122">
        <f ca="1">IF(O33="","",_xll.meCurveForwardRates(O33,$C$25,$C$26))</f>
        <v>3.1676724803365676E-2</v>
      </c>
      <c r="Q33" t="s">
        <v>0</v>
      </c>
      <c r="S33" s="123"/>
    </row>
    <row r="34" spans="1:19">
      <c r="A34" t="s">
        <v>0</v>
      </c>
      <c r="D34" t="s">
        <v>0</v>
      </c>
      <c r="E34" s="113"/>
      <c r="F34" s="116"/>
      <c r="G34" s="120"/>
      <c r="H34" t="s">
        <v>0</v>
      </c>
      <c r="N34" t="s">
        <v>0</v>
      </c>
      <c r="O34" s="121" t="str">
        <f t="shared" si="1"/>
        <v/>
      </c>
      <c r="P34" s="122" t="str">
        <f>IF(O34="","",_xll.meCurveForwardRates(O34,$C$25,$C$26))</f>
        <v/>
      </c>
      <c r="Q34" t="s">
        <v>0</v>
      </c>
      <c r="S34" s="123"/>
    </row>
    <row r="35" spans="1:19">
      <c r="A35" t="s">
        <v>0</v>
      </c>
      <c r="D35" t="s">
        <v>0</v>
      </c>
      <c r="E35" s="113"/>
      <c r="F35" s="116">
        <v>44180</v>
      </c>
      <c r="G35" s="120">
        <v>0.02</v>
      </c>
      <c r="H35" t="s">
        <v>0</v>
      </c>
      <c r="N35" t="s">
        <v>0</v>
      </c>
      <c r="O35" s="121">
        <f t="shared" si="1"/>
        <v>44180</v>
      </c>
      <c r="P35" s="122">
        <f ca="1">IF(O35="","",_xll.meCurveForwardRates(O35,$C$25,$C$26))</f>
        <v>3.1585315399555954E-2</v>
      </c>
      <c r="Q35" t="s">
        <v>0</v>
      </c>
      <c r="S35" s="123"/>
    </row>
    <row r="36" spans="1:19">
      <c r="A36" t="s">
        <v>0</v>
      </c>
      <c r="D36" t="s">
        <v>0</v>
      </c>
      <c r="F36" s="151"/>
      <c r="G36" s="120"/>
      <c r="H36" t="s">
        <v>0</v>
      </c>
      <c r="N36" t="s">
        <v>0</v>
      </c>
      <c r="O36" s="121" t="str">
        <f t="shared" si="1"/>
        <v/>
      </c>
      <c r="P36" s="122" t="str">
        <f>IF(O36="","",_xll.meCurveForwardRates(O36,$C$25,$C$26))</f>
        <v/>
      </c>
      <c r="Q36" t="s">
        <v>0</v>
      </c>
      <c r="S36" s="123"/>
    </row>
    <row r="37" spans="1:19">
      <c r="A37" t="s">
        <v>0</v>
      </c>
      <c r="D37" t="s">
        <v>0</v>
      </c>
      <c r="F37" s="151">
        <v>44362</v>
      </c>
      <c r="G37" s="120">
        <v>0.02</v>
      </c>
      <c r="H37" t="s">
        <v>0</v>
      </c>
      <c r="N37" t="s">
        <v>0</v>
      </c>
      <c r="O37" s="121">
        <f t="shared" si="1"/>
        <v>44362</v>
      </c>
      <c r="P37" s="122">
        <f ca="1">IF(O37="","",_xll.meCurveForwardRates(O37,$C$25,$C$26))</f>
        <v>3.1266400352211995E-2</v>
      </c>
      <c r="Q37" t="s">
        <v>0</v>
      </c>
      <c r="S37" s="123"/>
    </row>
    <row r="38" spans="1:19">
      <c r="A38" t="s">
        <v>0</v>
      </c>
      <c r="D38" t="s">
        <v>0</v>
      </c>
      <c r="F38" s="151"/>
      <c r="G38" s="120"/>
      <c r="H38" t="s">
        <v>0</v>
      </c>
      <c r="N38" t="s">
        <v>0</v>
      </c>
      <c r="O38" s="121" t="str">
        <f t="shared" si="1"/>
        <v/>
      </c>
      <c r="P38" s="122" t="str">
        <f>IF(O38="","",_xll.meCurveForwardRates(O38,$C$25,$C$26))</f>
        <v/>
      </c>
      <c r="Q38" t="s">
        <v>0</v>
      </c>
      <c r="S38" s="123"/>
    </row>
    <row r="39" spans="1:19">
      <c r="A39" t="s">
        <v>0</v>
      </c>
      <c r="D39" t="s">
        <v>0</v>
      </c>
      <c r="F39" s="151">
        <v>44545</v>
      </c>
      <c r="G39" s="120">
        <v>0.02</v>
      </c>
      <c r="H39" t="s">
        <v>0</v>
      </c>
      <c r="N39" t="s">
        <v>0</v>
      </c>
      <c r="O39" s="121">
        <f t="shared" si="1"/>
        <v>44545</v>
      </c>
      <c r="P39" s="122">
        <f ca="1">IF(O39="","",_xll.meCurveForwardRates(O39,$C$25,$C$26))</f>
        <v>3.1013423264271721E-2</v>
      </c>
      <c r="Q39" t="s">
        <v>0</v>
      </c>
      <c r="S39" s="123"/>
    </row>
    <row r="40" spans="1:19">
      <c r="A40" t="s">
        <v>0</v>
      </c>
      <c r="D40" t="s">
        <v>0</v>
      </c>
      <c r="F40" s="149"/>
      <c r="G40" s="152"/>
      <c r="H40" t="s">
        <v>0</v>
      </c>
      <c r="N40" t="s">
        <v>0</v>
      </c>
      <c r="O40" s="121" t="str">
        <f t="shared" si="1"/>
        <v/>
      </c>
      <c r="P40" s="122" t="str">
        <f>IF(O40="","",_xll.meCurveForwardRates(O40,$C$25,$C$26))</f>
        <v/>
      </c>
      <c r="Q40" t="s">
        <v>0</v>
      </c>
      <c r="S40" s="123"/>
    </row>
    <row r="41" spans="1:19">
      <c r="A41" t="s">
        <v>0</v>
      </c>
      <c r="D41" t="s">
        <v>0</v>
      </c>
      <c r="F41" s="149">
        <v>44727</v>
      </c>
      <c r="G41" s="152">
        <v>0.02</v>
      </c>
      <c r="H41" t="s">
        <v>0</v>
      </c>
      <c r="N41" t="s">
        <v>0</v>
      </c>
      <c r="O41" s="121">
        <f t="shared" si="1"/>
        <v>44727</v>
      </c>
      <c r="P41" s="122">
        <f ca="1">IF(O41="","",_xll.meCurveForwardRates(O41,$C$25,$C$26))</f>
        <v>3.0898479311643506E-2</v>
      </c>
      <c r="Q41" t="s">
        <v>0</v>
      </c>
      <c r="S41" s="123"/>
    </row>
    <row r="42" spans="1:19">
      <c r="A42" t="s">
        <v>0</v>
      </c>
      <c r="D42" t="s">
        <v>0</v>
      </c>
      <c r="F42" s="149"/>
      <c r="G42" s="152"/>
      <c r="H42" t="s">
        <v>0</v>
      </c>
      <c r="N42" t="s">
        <v>0</v>
      </c>
      <c r="O42" s="121" t="str">
        <f t="shared" si="1"/>
        <v/>
      </c>
      <c r="P42" s="122" t="str">
        <f>IF(O42="","",_xll.meCurveForwardRates(O42,$C$25,$C$26))</f>
        <v/>
      </c>
      <c r="Q42" t="s">
        <v>0</v>
      </c>
      <c r="S42" s="123"/>
    </row>
    <row r="43" spans="1:19">
      <c r="A43" t="s">
        <v>0</v>
      </c>
      <c r="D43" t="s">
        <v>0</v>
      </c>
      <c r="F43" s="149">
        <v>44910</v>
      </c>
      <c r="G43" s="152">
        <v>0.02</v>
      </c>
      <c r="H43" t="s">
        <v>0</v>
      </c>
      <c r="N43" t="s">
        <v>0</v>
      </c>
      <c r="Q43" t="s">
        <v>0</v>
      </c>
    </row>
    <row r="44" spans="1:19">
      <c r="A44" t="s">
        <v>0</v>
      </c>
      <c r="B44" t="s">
        <v>0</v>
      </c>
      <c r="C44" t="s">
        <v>0</v>
      </c>
      <c r="D44" t="s">
        <v>0</v>
      </c>
      <c r="E44" t="s">
        <v>0</v>
      </c>
      <c r="F44">
        <v>45000</v>
      </c>
      <c r="G44" s="153">
        <v>0.02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</row>
    <row r="45" spans="1:19">
      <c r="F45" s="149"/>
      <c r="G45" s="149"/>
    </row>
    <row r="46" spans="1:19">
      <c r="F46" s="149"/>
      <c r="G46" s="149"/>
    </row>
    <row r="47" spans="1:19">
      <c r="F47" s="149"/>
      <c r="G47" s="149"/>
    </row>
    <row r="48" spans="1:19">
      <c r="F48" s="149"/>
      <c r="G48" s="149"/>
    </row>
    <row r="49" spans="6:7">
      <c r="F49" s="149"/>
      <c r="G49" s="149"/>
    </row>
    <row r="50" spans="6:7">
      <c r="F50" s="149"/>
      <c r="G50" s="149"/>
    </row>
    <row r="51" spans="6:7">
      <c r="F51" s="149"/>
      <c r="G51" s="149"/>
    </row>
    <row r="52" spans="6:7">
      <c r="F52" s="149"/>
      <c r="G52" s="149"/>
    </row>
    <row r="53" spans="6:7">
      <c r="F53" s="149"/>
      <c r="G53" s="149"/>
    </row>
    <row r="54" spans="6:7">
      <c r="F54" s="149"/>
      <c r="G54" s="149"/>
    </row>
    <row r="55" spans="6:7">
      <c r="F55" s="149"/>
      <c r="G55" s="149"/>
    </row>
    <row r="56" spans="6:7">
      <c r="F56" s="149"/>
      <c r="G56" s="149"/>
    </row>
    <row r="57" spans="6:7">
      <c r="F57" s="149"/>
      <c r="G57" s="149"/>
    </row>
    <row r="58" spans="6:7">
      <c r="F58" s="149"/>
      <c r="G58" s="149"/>
    </row>
    <row r="59" spans="6:7">
      <c r="F59" s="149"/>
      <c r="G59" s="149"/>
    </row>
    <row r="60" spans="6:7">
      <c r="F60" s="149"/>
      <c r="G60" s="149"/>
    </row>
    <row r="61" spans="6:7">
      <c r="F61" s="149"/>
      <c r="G61" s="149"/>
    </row>
    <row r="62" spans="6:7">
      <c r="F62" s="149"/>
      <c r="G62" s="149"/>
    </row>
    <row r="63" spans="6:7">
      <c r="F63" s="149"/>
      <c r="G63" s="149"/>
    </row>
    <row r="64" spans="6:7">
      <c r="F64" s="149"/>
      <c r="G64" s="149"/>
    </row>
    <row r="65" spans="6:7">
      <c r="F65" s="149"/>
      <c r="G65" s="149"/>
    </row>
    <row r="66" spans="6:7">
      <c r="F66" s="149"/>
      <c r="G66" s="149"/>
    </row>
  </sheetData>
  <dataValidations count="1">
    <dataValidation type="list" allowBlank="1" showInputMessage="1" showErrorMessage="1" sqref="I25 I5 I13">
      <formula1>"ON,OFF"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5"/>
  <sheetViews>
    <sheetView workbookViewId="0">
      <selection activeCell="F40" sqref="F40"/>
    </sheetView>
  </sheetViews>
  <sheetFormatPr defaultRowHeight="15"/>
  <cols>
    <col min="2" max="2" width="15.85546875" customWidth="1"/>
    <col min="3" max="3" width="17.5703125" bestFit="1" customWidth="1"/>
    <col min="4" max="4" width="11.5703125" bestFit="1" customWidth="1"/>
    <col min="5" max="6" width="19.5703125" bestFit="1" customWidth="1"/>
    <col min="7" max="7" width="12.42578125" bestFit="1" customWidth="1"/>
    <col min="8" max="8" width="17.28515625" bestFit="1" customWidth="1"/>
    <col min="11" max="11" width="11.5703125" bestFit="1" customWidth="1"/>
    <col min="12" max="12" width="14.28515625" bestFit="1" customWidth="1"/>
    <col min="13" max="13" width="18" bestFit="1" customWidth="1"/>
    <col min="14" max="14" width="25.5703125" bestFit="1" customWidth="1"/>
    <col min="16" max="16" width="12.42578125" bestFit="1" customWidth="1"/>
    <col min="17" max="17" width="14.28515625" bestFit="1" customWidth="1"/>
    <col min="18" max="18" width="12" bestFit="1" customWidth="1"/>
  </cols>
  <sheetData>
    <row r="2" spans="2:21">
      <c r="B2" s="115" t="s">
        <v>91</v>
      </c>
    </row>
    <row r="3" spans="2:21">
      <c r="B3" t="s">
        <v>92</v>
      </c>
    </row>
    <row r="5" spans="2:21">
      <c r="B5" s="115" t="s">
        <v>93</v>
      </c>
      <c r="C5" s="128" t="str">
        <f ca="1">_xll.meLWOSwapCreateFromGenerator("USD_IRS_6ML",B3,C8,C9,C10,C11,C12,C13)</f>
        <v>USD_IRS_6ML@2:1</v>
      </c>
    </row>
    <row r="6" spans="2:21">
      <c r="B6" t="s">
        <v>15</v>
      </c>
      <c r="C6" t="s">
        <v>16</v>
      </c>
    </row>
    <row r="8" spans="2:21">
      <c r="B8" t="s">
        <v>94</v>
      </c>
      <c r="C8" s="113" t="s">
        <v>98</v>
      </c>
    </row>
    <row r="9" spans="2:21">
      <c r="B9" t="s">
        <v>95</v>
      </c>
      <c r="C9" s="127">
        <v>1000000</v>
      </c>
    </row>
    <row r="10" spans="2:21">
      <c r="B10" t="s">
        <v>96</v>
      </c>
      <c r="C10" s="118">
        <v>43266</v>
      </c>
    </row>
    <row r="11" spans="2:21">
      <c r="B11" t="s">
        <v>97</v>
      </c>
      <c r="C11" s="113" t="s">
        <v>55</v>
      </c>
    </row>
    <row r="12" spans="2:21">
      <c r="B12" t="s">
        <v>99</v>
      </c>
      <c r="C12" s="125">
        <v>0.01</v>
      </c>
    </row>
    <row r="13" spans="2:21">
      <c r="B13" t="s">
        <v>100</v>
      </c>
      <c r="C13" s="126">
        <v>0</v>
      </c>
      <c r="D13" t="s">
        <v>101</v>
      </c>
    </row>
    <row r="15" spans="2:21">
      <c r="B15" s="115" t="s">
        <v>102</v>
      </c>
    </row>
    <row r="16" spans="2:21">
      <c r="B16" t="str">
        <f t="array" aca="1" ref="B16:U49" ca="1">_xll.meUtilityResize(_xll.meLWOSwapDisplayCashflows(C5,C6),50,50)</f>
        <v>LEG1:FIXED Leg Schedule &amp; Cashflows</v>
      </c>
      <c r="C16" t="str">
        <f ca="1"/>
        <v/>
      </c>
      <c r="D16" t="str">
        <f ca="1"/>
        <v/>
      </c>
      <c r="E16" t="str">
        <f ca="1"/>
        <v/>
      </c>
      <c r="F16" t="str">
        <f ca="1"/>
        <v/>
      </c>
      <c r="G16" t="str">
        <f ca="1"/>
        <v/>
      </c>
      <c r="H16" t="str">
        <f ca="1"/>
        <v/>
      </c>
      <c r="I16" t="str">
        <f ca="1"/>
        <v/>
      </c>
      <c r="J16" t="str">
        <f ca="1"/>
        <v/>
      </c>
      <c r="K16" t="str">
        <f ca="1"/>
        <v/>
      </c>
      <c r="L16" t="str">
        <f ca="1"/>
        <v/>
      </c>
      <c r="M16" t="str">
        <f ca="1"/>
        <v/>
      </c>
      <c r="N16" t="str">
        <f ca="1"/>
        <v/>
      </c>
      <c r="O16" t="str">
        <f ca="1"/>
        <v/>
      </c>
      <c r="P16" t="str">
        <f ca="1"/>
        <v/>
      </c>
      <c r="Q16" t="str">
        <f ca="1"/>
        <v/>
      </c>
      <c r="R16" t="str">
        <f ca="1"/>
        <v/>
      </c>
      <c r="S16" t="str">
        <f ca="1"/>
        <v/>
      </c>
      <c r="T16" t="str">
        <f ca="1"/>
        <v/>
      </c>
      <c r="U16" t="str">
        <f ca="1"/>
        <v/>
      </c>
    </row>
    <row r="17" spans="1:21">
      <c r="B17" s="113" t="str">
        <f ca="1"/>
        <v>AccrualStart</v>
      </c>
      <c r="C17" s="113" t="str">
        <f ca="1"/>
        <v>AccrualEnd</v>
      </c>
      <c r="D17" s="113" t="str">
        <f ca="1"/>
        <v>AccrualDays</v>
      </c>
      <c r="E17" s="113" t="str">
        <f ca="1"/>
        <v>AccrualYearFractions</v>
      </c>
      <c r="F17" s="113" t="str">
        <f ca="1"/>
        <v>PaymentDate</v>
      </c>
      <c r="G17" s="113" t="str">
        <f ca="1"/>
        <v>Notional</v>
      </c>
      <c r="H17" s="113" t="str">
        <f ca="1"/>
        <v>NotionalExchange</v>
      </c>
      <c r="I17" s="113" t="str">
        <f ca="1"/>
        <v>Leverage</v>
      </c>
      <c r="J17" s="113" t="str">
        <f ca="1"/>
        <v>FixedRate</v>
      </c>
      <c r="K17" s="113" t="str">
        <f ca="1"/>
        <v>Coupon</v>
      </c>
      <c r="L17" s="113" t="str">
        <f ca="1"/>
        <v>DiscountFactor</v>
      </c>
      <c r="M17" s="113" t="str">
        <f ca="1"/>
        <v>CouponPV</v>
      </c>
      <c r="N17" s="113" t="str">
        <f ca="1"/>
        <v/>
      </c>
      <c r="O17" s="113" t="str">
        <f ca="1"/>
        <v/>
      </c>
      <c r="P17" s="113" t="str">
        <f ca="1"/>
        <v/>
      </c>
      <c r="Q17" s="113" t="str">
        <f ca="1"/>
        <v/>
      </c>
      <c r="R17" s="113" t="str">
        <f ca="1"/>
        <v/>
      </c>
      <c r="S17" t="str">
        <f ca="1"/>
        <v/>
      </c>
      <c r="T17" t="str">
        <f ca="1"/>
        <v/>
      </c>
      <c r="U17" t="str">
        <f ca="1"/>
        <v/>
      </c>
    </row>
    <row r="18" spans="1:21">
      <c r="B18" s="118">
        <f ca="1"/>
        <v>43266</v>
      </c>
      <c r="C18" s="118">
        <f ca="1"/>
        <v>43451</v>
      </c>
      <c r="D18" s="113">
        <f ca="1"/>
        <v>185</v>
      </c>
      <c r="E18" s="126">
        <f ca="1"/>
        <v>0.50555555555555598</v>
      </c>
      <c r="F18" s="118">
        <f ca="1"/>
        <v>43451</v>
      </c>
      <c r="G18" s="127">
        <f ca="1"/>
        <v>-1000000</v>
      </c>
      <c r="H18" s="113">
        <f ca="1"/>
        <v>0</v>
      </c>
      <c r="I18" s="126">
        <f ca="1"/>
        <v>1</v>
      </c>
      <c r="J18" s="125">
        <f ca="1"/>
        <v>0.01</v>
      </c>
      <c r="K18" s="127">
        <f ca="1"/>
        <v>-5055.5555555555602</v>
      </c>
      <c r="L18" s="132">
        <f ca="1"/>
        <v>0.98965051650253</v>
      </c>
      <c r="M18" s="127">
        <f ca="1"/>
        <v>-5003.2331667627896</v>
      </c>
      <c r="N18" s="113" t="str">
        <f ca="1"/>
        <v/>
      </c>
      <c r="O18" s="113" t="str">
        <f ca="1"/>
        <v/>
      </c>
      <c r="P18" s="113" t="str">
        <f ca="1"/>
        <v/>
      </c>
      <c r="Q18" s="113" t="str">
        <f ca="1"/>
        <v/>
      </c>
      <c r="R18" s="113" t="str">
        <f ca="1"/>
        <v/>
      </c>
      <c r="S18" t="str">
        <f ca="1"/>
        <v/>
      </c>
      <c r="T18" t="str">
        <f ca="1"/>
        <v/>
      </c>
      <c r="U18" t="str">
        <f ca="1"/>
        <v/>
      </c>
    </row>
    <row r="19" spans="1:21">
      <c r="B19" s="118">
        <f ca="1"/>
        <v>43451</v>
      </c>
      <c r="C19" s="118">
        <f ca="1"/>
        <v>43633</v>
      </c>
      <c r="D19" s="113">
        <f ca="1"/>
        <v>182</v>
      </c>
      <c r="E19" s="126">
        <f ca="1"/>
        <v>0.5</v>
      </c>
      <c r="F19" s="118">
        <f ca="1"/>
        <v>43633</v>
      </c>
      <c r="G19" s="127">
        <f ca="1"/>
        <v>-1000000</v>
      </c>
      <c r="H19" s="113">
        <f ca="1"/>
        <v>0</v>
      </c>
      <c r="I19" s="126">
        <f ca="1"/>
        <v>1</v>
      </c>
      <c r="J19" s="125">
        <f ca="1"/>
        <v>0.01</v>
      </c>
      <c r="K19" s="127">
        <f ca="1"/>
        <v>-5000</v>
      </c>
      <c r="L19" s="132">
        <f ca="1"/>
        <v>0.97767591220326999</v>
      </c>
      <c r="M19" s="127">
        <f ca="1"/>
        <v>-4888.3795610163497</v>
      </c>
      <c r="N19" s="113" t="str">
        <f ca="1"/>
        <v/>
      </c>
      <c r="O19" s="113" t="str">
        <f ca="1"/>
        <v/>
      </c>
      <c r="P19" s="113" t="str">
        <f ca="1"/>
        <v/>
      </c>
      <c r="Q19" s="113" t="str">
        <f ca="1"/>
        <v/>
      </c>
      <c r="R19" s="113" t="str">
        <f ca="1"/>
        <v/>
      </c>
      <c r="S19" t="str">
        <f ca="1"/>
        <v/>
      </c>
      <c r="T19" t="str">
        <f ca="1"/>
        <v/>
      </c>
      <c r="U19" t="str">
        <f ca="1"/>
        <v/>
      </c>
    </row>
    <row r="20" spans="1:21">
      <c r="B20" s="118">
        <f ca="1"/>
        <v>43633</v>
      </c>
      <c r="C20" s="118">
        <f ca="1"/>
        <v>43815</v>
      </c>
      <c r="D20" s="113">
        <f ca="1"/>
        <v>182</v>
      </c>
      <c r="E20" s="126">
        <f ca="1"/>
        <v>0.49722222222222201</v>
      </c>
      <c r="F20" s="118">
        <f ca="1"/>
        <v>43815</v>
      </c>
      <c r="G20" s="127">
        <f ca="1"/>
        <v>-1000000</v>
      </c>
      <c r="H20" s="113">
        <f ca="1"/>
        <v>0</v>
      </c>
      <c r="I20" s="126">
        <f ca="1"/>
        <v>1</v>
      </c>
      <c r="J20" s="125">
        <f ca="1"/>
        <v>0.01</v>
      </c>
      <c r="K20" s="127">
        <f ca="1"/>
        <v>-4972.2222222222199</v>
      </c>
      <c r="L20" s="132">
        <f ca="1"/>
        <v>0.96462746015474898</v>
      </c>
      <c r="M20" s="127">
        <f ca="1"/>
        <v>-4796.3420935472204</v>
      </c>
      <c r="N20" s="113" t="str">
        <f ca="1"/>
        <v/>
      </c>
      <c r="O20" s="113" t="str">
        <f ca="1"/>
        <v/>
      </c>
      <c r="P20" s="113" t="str">
        <f ca="1"/>
        <v/>
      </c>
      <c r="Q20" s="113" t="str">
        <f ca="1"/>
        <v/>
      </c>
      <c r="R20" s="113" t="str">
        <f ca="1"/>
        <v/>
      </c>
      <c r="S20" t="str">
        <f ca="1"/>
        <v/>
      </c>
      <c r="T20" t="str">
        <f ca="1"/>
        <v/>
      </c>
      <c r="U20" t="str">
        <f ca="1"/>
        <v/>
      </c>
    </row>
    <row r="21" spans="1:21">
      <c r="B21" s="118">
        <f ca="1"/>
        <v>43815</v>
      </c>
      <c r="C21" s="118">
        <f ca="1"/>
        <v>43997</v>
      </c>
      <c r="D21" s="113">
        <f ca="1"/>
        <v>182</v>
      </c>
      <c r="E21" s="126">
        <f ca="1"/>
        <v>0.49722222222222201</v>
      </c>
      <c r="F21" s="118">
        <f ca="1"/>
        <v>43997</v>
      </c>
      <c r="G21" s="127">
        <f ca="1"/>
        <v>-1000000</v>
      </c>
      <c r="H21" s="113">
        <f ca="1"/>
        <v>0</v>
      </c>
      <c r="I21" s="126">
        <f ca="1"/>
        <v>1</v>
      </c>
      <c r="J21" s="125">
        <f ca="1"/>
        <v>0.01</v>
      </c>
      <c r="K21" s="127">
        <f ca="1"/>
        <v>-4972.2222222222199</v>
      </c>
      <c r="L21" s="132">
        <f ca="1"/>
        <v>0.951381343118471</v>
      </c>
      <c r="M21" s="127">
        <f ca="1"/>
        <v>-4730.47945606129</v>
      </c>
      <c r="N21" s="113" t="str">
        <f ca="1"/>
        <v/>
      </c>
      <c r="O21" s="113" t="str">
        <f ca="1"/>
        <v/>
      </c>
      <c r="P21" s="113" t="str">
        <f ca="1"/>
        <v/>
      </c>
      <c r="Q21" s="113" t="str">
        <f ca="1"/>
        <v/>
      </c>
      <c r="R21" s="113" t="str">
        <f ca="1"/>
        <v/>
      </c>
      <c r="S21" t="str">
        <f ca="1"/>
        <v/>
      </c>
      <c r="T21" t="str">
        <f ca="1"/>
        <v/>
      </c>
      <c r="U21" t="str">
        <f ca="1"/>
        <v/>
      </c>
    </row>
    <row r="22" spans="1:21">
      <c r="B22" s="135">
        <f ca="1"/>
        <v>43997</v>
      </c>
      <c r="C22" s="118">
        <f ca="1"/>
        <v>44180</v>
      </c>
      <c r="D22" s="113">
        <f ca="1"/>
        <v>183</v>
      </c>
      <c r="E22" s="126">
        <f ca="1"/>
        <v>0.5</v>
      </c>
      <c r="F22" s="118">
        <f ca="1"/>
        <v>44180</v>
      </c>
      <c r="G22" s="127">
        <f ca="1"/>
        <v>-1000000</v>
      </c>
      <c r="H22" s="113">
        <f ca="1"/>
        <v>0</v>
      </c>
      <c r="I22" s="126">
        <f ca="1"/>
        <v>1</v>
      </c>
      <c r="J22" s="125">
        <f ca="1"/>
        <v>0.01</v>
      </c>
      <c r="K22" s="127">
        <f ca="1"/>
        <v>-5000</v>
      </c>
      <c r="L22" s="145">
        <f ca="1"/>
        <v>0.93868040154991395</v>
      </c>
      <c r="M22" s="127">
        <f ca="1"/>
        <v>-4693.4020077495697</v>
      </c>
      <c r="N22" s="113" t="str">
        <f ca="1"/>
        <v/>
      </c>
      <c r="O22" s="113" t="str">
        <f ca="1"/>
        <v/>
      </c>
      <c r="P22" s="113" t="str">
        <f ca="1"/>
        <v/>
      </c>
      <c r="Q22" s="113" t="str">
        <f ca="1"/>
        <v/>
      </c>
      <c r="R22" s="113" t="str">
        <f ca="1"/>
        <v/>
      </c>
      <c r="S22" t="str">
        <f ca="1"/>
        <v/>
      </c>
      <c r="T22" t="str">
        <f ca="1"/>
        <v/>
      </c>
      <c r="U22" t="str">
        <f ca="1"/>
        <v/>
      </c>
    </row>
    <row r="23" spans="1:21">
      <c r="B23" s="118">
        <f ca="1"/>
        <v>44180</v>
      </c>
      <c r="C23" s="118">
        <f ca="1"/>
        <v>44362</v>
      </c>
      <c r="D23" s="113">
        <f ca="1"/>
        <v>182</v>
      </c>
      <c r="E23" s="126">
        <f ca="1"/>
        <v>0.5</v>
      </c>
      <c r="F23" s="118">
        <f ca="1"/>
        <v>44362</v>
      </c>
      <c r="G23" s="127">
        <f ca="1"/>
        <v>-1000000</v>
      </c>
      <c r="H23" s="113">
        <f ca="1"/>
        <v>0</v>
      </c>
      <c r="I23" s="126">
        <f ca="1"/>
        <v>1</v>
      </c>
      <c r="J23" s="125">
        <f ca="1"/>
        <v>0.01</v>
      </c>
      <c r="K23" s="127">
        <f ca="1"/>
        <v>-5000</v>
      </c>
      <c r="L23" s="145">
        <f ca="1"/>
        <v>0.92656759146213996</v>
      </c>
      <c r="M23" s="127">
        <f ca="1"/>
        <v>-4632.8379573107004</v>
      </c>
      <c r="N23" s="113" t="str">
        <f ca="1"/>
        <v/>
      </c>
      <c r="O23" s="113" t="str">
        <f ca="1"/>
        <v/>
      </c>
      <c r="P23" s="113" t="str">
        <f ca="1"/>
        <v/>
      </c>
      <c r="Q23" s="113" t="str">
        <f ca="1"/>
        <v/>
      </c>
      <c r="R23" s="113" t="str">
        <f ca="1"/>
        <v/>
      </c>
      <c r="S23" t="str">
        <f ca="1"/>
        <v/>
      </c>
      <c r="T23" t="str">
        <f ca="1"/>
        <v/>
      </c>
      <c r="U23" t="str">
        <f ca="1"/>
        <v/>
      </c>
    </row>
    <row r="24" spans="1:21">
      <c r="B24" s="134">
        <f ca="1"/>
        <v>44362</v>
      </c>
      <c r="C24" s="118">
        <f ca="1"/>
        <v>44545</v>
      </c>
      <c r="D24" s="118">
        <f ca="1"/>
        <v>183</v>
      </c>
      <c r="E24" s="113">
        <f ca="1"/>
        <v>0.5</v>
      </c>
      <c r="F24" s="130">
        <f ca="1"/>
        <v>44545</v>
      </c>
      <c r="G24" s="118">
        <f ca="1"/>
        <v>-1000000</v>
      </c>
      <c r="H24" s="127">
        <f ca="1"/>
        <v>0</v>
      </c>
      <c r="I24" s="113">
        <f ca="1"/>
        <v>1</v>
      </c>
      <c r="J24" s="126">
        <f ca="1"/>
        <v>0.01</v>
      </c>
      <c r="K24" s="126">
        <f ca="1"/>
        <v>-5000</v>
      </c>
      <c r="L24" s="133">
        <f ca="1"/>
        <v>0.91430615166364704</v>
      </c>
      <c r="M24" s="126">
        <f ca="1"/>
        <v>-4571.5307583182303</v>
      </c>
      <c r="N24" s="126" t="str">
        <f ca="1"/>
        <v/>
      </c>
      <c r="O24" s="127" t="str">
        <f ca="1"/>
        <v/>
      </c>
      <c r="P24" s="127" t="str">
        <f ca="1"/>
        <v/>
      </c>
      <c r="Q24" s="132" t="str">
        <f ca="1"/>
        <v/>
      </c>
      <c r="R24" s="126" t="str">
        <f ca="1"/>
        <v/>
      </c>
      <c r="S24" t="str">
        <f ca="1"/>
        <v/>
      </c>
      <c r="T24" t="str">
        <f ca="1"/>
        <v/>
      </c>
      <c r="U24" t="str">
        <f ca="1"/>
        <v/>
      </c>
    </row>
    <row r="25" spans="1:21">
      <c r="B25" s="134">
        <f ca="1"/>
        <v>44545</v>
      </c>
      <c r="C25" s="118">
        <f ca="1"/>
        <v>44727</v>
      </c>
      <c r="D25" s="118">
        <f ca="1"/>
        <v>182</v>
      </c>
      <c r="E25" s="113">
        <f ca="1"/>
        <v>0.5</v>
      </c>
      <c r="F25" s="130">
        <f ca="1"/>
        <v>44727</v>
      </c>
      <c r="G25" s="118">
        <f ca="1"/>
        <v>-1000000</v>
      </c>
      <c r="H25" s="127">
        <f ca="1"/>
        <v>0</v>
      </c>
      <c r="I25" s="113">
        <f ca="1"/>
        <v>1</v>
      </c>
      <c r="J25" s="126">
        <f ca="1"/>
        <v>0.01</v>
      </c>
      <c r="K25" s="126">
        <f ca="1"/>
        <v>-5000</v>
      </c>
      <c r="L25" s="133">
        <f ca="1"/>
        <v>0.90211555835551704</v>
      </c>
      <c r="M25" s="126">
        <f ca="1"/>
        <v>-4510.5777917775804</v>
      </c>
      <c r="N25" s="126" t="str">
        <f ca="1"/>
        <v/>
      </c>
      <c r="O25" s="127" t="str">
        <f ca="1"/>
        <v/>
      </c>
      <c r="P25" s="127" t="str">
        <f ca="1"/>
        <v/>
      </c>
      <c r="Q25" s="132" t="str">
        <f ca="1"/>
        <v/>
      </c>
      <c r="R25" s="126" t="str">
        <f ca="1"/>
        <v/>
      </c>
      <c r="S25" t="str">
        <f ca="1"/>
        <v/>
      </c>
      <c r="T25" t="str">
        <f ca="1"/>
        <v/>
      </c>
      <c r="U25" t="str">
        <f ca="1"/>
        <v/>
      </c>
    </row>
    <row r="26" spans="1:21">
      <c r="B26" s="134">
        <f ca="1"/>
        <v>44727</v>
      </c>
      <c r="C26" s="118">
        <f ca="1"/>
        <v>44910</v>
      </c>
      <c r="D26" s="118">
        <f ca="1"/>
        <v>183</v>
      </c>
      <c r="E26" s="113">
        <f ca="1"/>
        <v>0.5</v>
      </c>
      <c r="F26" s="130">
        <f ca="1"/>
        <v>44910</v>
      </c>
      <c r="G26" s="118">
        <f ca="1"/>
        <v>-1000000</v>
      </c>
      <c r="H26" s="127">
        <f ca="1"/>
        <v>0</v>
      </c>
      <c r="I26" s="113">
        <f ca="1"/>
        <v>1</v>
      </c>
      <c r="J26" s="126">
        <f ca="1"/>
        <v>0.01</v>
      </c>
      <c r="K26" s="126">
        <f ca="1"/>
        <v>-5000</v>
      </c>
      <c r="L26" s="133">
        <f ca="1"/>
        <v>0.89024306878608195</v>
      </c>
      <c r="M26" s="126">
        <f ca="1"/>
        <v>-4451.2153439304102</v>
      </c>
      <c r="N26" s="126" t="str">
        <f ca="1"/>
        <v/>
      </c>
      <c r="O26" s="127" t="str">
        <f ca="1"/>
        <v/>
      </c>
      <c r="P26" s="127" t="str">
        <f ca="1"/>
        <v/>
      </c>
      <c r="Q26" s="132" t="str">
        <f ca="1"/>
        <v/>
      </c>
      <c r="R26" s="126" t="str">
        <f ca="1"/>
        <v/>
      </c>
      <c r="S26" t="str">
        <f ca="1"/>
        <v/>
      </c>
      <c r="T26" t="str">
        <f ca="1"/>
        <v/>
      </c>
      <c r="U26" t="str">
        <f ca="1"/>
        <v/>
      </c>
    </row>
    <row r="27" spans="1:21">
      <c r="B27" s="134">
        <f ca="1"/>
        <v>44910</v>
      </c>
      <c r="C27" s="118">
        <f ca="1"/>
        <v>45092</v>
      </c>
      <c r="D27" s="118">
        <f ca="1"/>
        <v>182</v>
      </c>
      <c r="E27" s="113">
        <f ca="1"/>
        <v>0.5</v>
      </c>
      <c r="F27" s="130">
        <f ca="1"/>
        <v>45092</v>
      </c>
      <c r="G27" s="118">
        <f ca="1"/>
        <v>-1000000</v>
      </c>
      <c r="H27" s="127">
        <f ca="1"/>
        <v>0</v>
      </c>
      <c r="I27" s="113">
        <f ca="1"/>
        <v>1</v>
      </c>
      <c r="J27" s="126">
        <f ca="1"/>
        <v>0.01</v>
      </c>
      <c r="K27" s="126">
        <f ca="1"/>
        <v>-5000</v>
      </c>
      <c r="L27" s="133">
        <f ca="1"/>
        <v>0.87877134148536395</v>
      </c>
      <c r="M27" s="126">
        <f ca="1"/>
        <v>-4393.8567074268203</v>
      </c>
      <c r="N27" s="126" t="str">
        <f ca="1"/>
        <v/>
      </c>
      <c r="O27" s="127" t="str">
        <f ca="1"/>
        <v/>
      </c>
      <c r="P27" s="127" t="str">
        <f ca="1"/>
        <v/>
      </c>
      <c r="Q27" s="132" t="str">
        <f ca="1"/>
        <v/>
      </c>
      <c r="R27" s="126" t="str">
        <f ca="1"/>
        <v/>
      </c>
      <c r="S27" t="str">
        <f ca="1"/>
        <v/>
      </c>
      <c r="T27" t="str">
        <f ca="1"/>
        <v/>
      </c>
      <c r="U27" t="str">
        <f ca="1"/>
        <v/>
      </c>
    </row>
    <row r="28" spans="1:21">
      <c r="B28" s="134" t="str">
        <f ca="1"/>
        <v>LEG2:FLOAT Leg Schedule &amp; Cashflows</v>
      </c>
      <c r="C28" s="118" t="str">
        <f ca="1"/>
        <v/>
      </c>
      <c r="D28" s="118" t="str">
        <f ca="1"/>
        <v/>
      </c>
      <c r="E28" s="113" t="str">
        <f ca="1"/>
        <v/>
      </c>
      <c r="F28" s="130" t="str">
        <f ca="1"/>
        <v/>
      </c>
      <c r="G28" s="118" t="str">
        <f ca="1"/>
        <v/>
      </c>
      <c r="H28" s="127" t="str">
        <f ca="1"/>
        <v/>
      </c>
      <c r="I28" s="113" t="str">
        <f ca="1"/>
        <v/>
      </c>
      <c r="J28" s="126" t="str">
        <f ca="1"/>
        <v/>
      </c>
      <c r="K28" s="126" t="str">
        <f ca="1"/>
        <v/>
      </c>
      <c r="L28" s="133" t="str">
        <f ca="1"/>
        <v/>
      </c>
      <c r="M28" s="126" t="str">
        <f ca="1"/>
        <v/>
      </c>
      <c r="N28" s="126" t="str">
        <f ca="1"/>
        <v/>
      </c>
      <c r="O28" s="127" t="str">
        <f ca="1"/>
        <v/>
      </c>
      <c r="P28" s="127" t="str">
        <f ca="1"/>
        <v/>
      </c>
      <c r="Q28" s="132" t="str">
        <f ca="1"/>
        <v/>
      </c>
      <c r="R28" s="126" t="str">
        <f ca="1"/>
        <v/>
      </c>
      <c r="S28" t="str">
        <f ca="1"/>
        <v/>
      </c>
      <c r="T28" t="str">
        <f ca="1"/>
        <v/>
      </c>
      <c r="U28" t="str">
        <f ca="1"/>
        <v/>
      </c>
    </row>
    <row r="29" spans="1:21">
      <c r="B29" s="134" t="str">
        <f ca="1"/>
        <v>FixingDate</v>
      </c>
      <c r="C29" s="118" t="str">
        <f ca="1"/>
        <v>AccrualStart</v>
      </c>
      <c r="D29" s="118" t="str">
        <f ca="1"/>
        <v>AccrualEnd</v>
      </c>
      <c r="E29" s="113" t="str">
        <f ca="1"/>
        <v>AccrualDays</v>
      </c>
      <c r="F29" s="130" t="str">
        <f ca="1"/>
        <v>AccrualYearFractions</v>
      </c>
      <c r="G29" s="118" t="str">
        <f ca="1"/>
        <v>PaymentDate</v>
      </c>
      <c r="H29" s="127" t="str">
        <f ca="1"/>
        <v>Notional</v>
      </c>
      <c r="I29" s="113" t="str">
        <f ca="1"/>
        <v>NotionalExchange</v>
      </c>
      <c r="J29" s="126" t="str">
        <f ca="1"/>
        <v>Leverage</v>
      </c>
      <c r="K29" s="126" t="str">
        <f ca="1"/>
        <v>FloatSpread</v>
      </c>
      <c r="L29" s="133" t="str">
        <f ca="1"/>
        <v>FloatRate</v>
      </c>
      <c r="M29" s="126" t="str">
        <f ca="1"/>
        <v>SurvivalProbability</v>
      </c>
      <c r="N29" s="126" t="str">
        <f ca="1"/>
        <v>MarginalDefaultProbability</v>
      </c>
      <c r="O29" s="127" t="str">
        <f ca="1"/>
        <v>Coupon</v>
      </c>
      <c r="P29" s="127" t="str">
        <f ca="1"/>
        <v>RiskyCoupon</v>
      </c>
      <c r="Q29" s="132" t="str">
        <f ca="1"/>
        <v>DiscountFactor</v>
      </c>
      <c r="R29" s="126" t="str">
        <f ca="1"/>
        <v>CouponPV</v>
      </c>
      <c r="S29" t="str">
        <f ca="1"/>
        <v/>
      </c>
      <c r="T29" t="str">
        <f ca="1"/>
        <v/>
      </c>
      <c r="U29" t="str">
        <f ca="1"/>
        <v/>
      </c>
    </row>
    <row r="30" spans="1:21">
      <c r="B30" s="134">
        <f ca="1"/>
        <v>43266</v>
      </c>
      <c r="C30" s="118">
        <f ca="1"/>
        <v>43266</v>
      </c>
      <c r="D30" s="118">
        <f ca="1"/>
        <v>43360</v>
      </c>
      <c r="E30" s="113">
        <f ca="1"/>
        <v>94</v>
      </c>
      <c r="F30" s="130">
        <f ca="1"/>
        <v>0.26111111111111102</v>
      </c>
      <c r="G30" s="118">
        <f ca="1"/>
        <v>43360</v>
      </c>
      <c r="H30" s="127">
        <f ca="1"/>
        <v>1000000</v>
      </c>
      <c r="I30" s="113">
        <f ca="1"/>
        <v>0</v>
      </c>
      <c r="J30" s="126">
        <f ca="1"/>
        <v>1</v>
      </c>
      <c r="K30" s="126">
        <f ca="1"/>
        <v>0</v>
      </c>
      <c r="L30" s="133">
        <f ca="1"/>
        <v>2.49920891719486E-2</v>
      </c>
      <c r="M30" s="126">
        <f ca="1"/>
        <v>1</v>
      </c>
      <c r="N30" s="126">
        <f ca="1"/>
        <v>0</v>
      </c>
      <c r="O30" s="127">
        <f ca="1"/>
        <v>6525.7121726754604</v>
      </c>
      <c r="P30" s="127">
        <f ca="1"/>
        <v>6525.7121726754604</v>
      </c>
      <c r="Q30" s="132">
        <f ca="1"/>
        <v>0.99497582692448205</v>
      </c>
      <c r="R30" s="126">
        <f ca="1"/>
        <v>6492.9258652789304</v>
      </c>
      <c r="S30" t="str">
        <f ca="1"/>
        <v/>
      </c>
      <c r="T30" t="str">
        <f ca="1"/>
        <v/>
      </c>
      <c r="U30" t="str">
        <f ca="1"/>
        <v/>
      </c>
    </row>
    <row r="31" spans="1:21">
      <c r="B31" s="134">
        <f ca="1"/>
        <v>43360</v>
      </c>
      <c r="C31" s="118">
        <f ca="1"/>
        <v>43360</v>
      </c>
      <c r="D31" s="118">
        <f ca="1"/>
        <v>43451</v>
      </c>
      <c r="E31" s="113">
        <f ca="1"/>
        <v>91</v>
      </c>
      <c r="F31" s="130">
        <f ca="1"/>
        <v>0.25277777777777799</v>
      </c>
      <c r="G31" s="118">
        <f ca="1"/>
        <v>43451</v>
      </c>
      <c r="H31" s="127">
        <f ca="1"/>
        <v>1000000</v>
      </c>
      <c r="I31" s="113">
        <f ca="1"/>
        <v>0</v>
      </c>
      <c r="J31" s="126">
        <f ca="1"/>
        <v>1</v>
      </c>
      <c r="K31" s="126">
        <f ca="1"/>
        <v>0</v>
      </c>
      <c r="L31" s="133">
        <f ca="1"/>
        <v>2.68692434648251E-2</v>
      </c>
      <c r="M31" s="126">
        <f ca="1"/>
        <v>1</v>
      </c>
      <c r="N31" s="126">
        <f ca="1"/>
        <v>0</v>
      </c>
      <c r="O31" s="127">
        <f ca="1"/>
        <v>6791.9476536085804</v>
      </c>
      <c r="P31" s="127">
        <f ca="1"/>
        <v>6791.9476536085804</v>
      </c>
      <c r="Q31" s="132">
        <f ca="1"/>
        <v>0.98965051650253</v>
      </c>
      <c r="R31" s="126">
        <f ca="1"/>
        <v>6721.6545034518704</v>
      </c>
      <c r="S31" t="str">
        <f ca="1"/>
        <v/>
      </c>
      <c r="T31" t="str">
        <f ca="1"/>
        <v/>
      </c>
      <c r="U31" t="str">
        <f ca="1"/>
        <v/>
      </c>
    </row>
    <row r="32" spans="1:21">
      <c r="A32" s="138"/>
      <c r="B32" s="139">
        <f ca="1"/>
        <v>43451</v>
      </c>
      <c r="C32" s="139">
        <f ca="1"/>
        <v>43451</v>
      </c>
      <c r="D32" s="139">
        <f ca="1"/>
        <v>43539</v>
      </c>
      <c r="E32" s="140">
        <f ca="1"/>
        <v>88</v>
      </c>
      <c r="F32" s="141">
        <f ca="1"/>
        <v>0.24444444444444399</v>
      </c>
      <c r="G32" s="139">
        <f ca="1"/>
        <v>43539</v>
      </c>
      <c r="H32" s="142">
        <f ca="1"/>
        <v>1000000</v>
      </c>
      <c r="I32" s="140">
        <f ca="1"/>
        <v>0</v>
      </c>
      <c r="J32" s="143">
        <f ca="1"/>
        <v>1</v>
      </c>
      <c r="K32" s="143">
        <f ca="1"/>
        <v>0</v>
      </c>
      <c r="L32" s="144">
        <f ca="1"/>
        <v>2.85827919074177E-2</v>
      </c>
      <c r="M32" s="140">
        <f ca="1"/>
        <v>1</v>
      </c>
      <c r="N32" s="140">
        <f ca="1"/>
        <v>0</v>
      </c>
      <c r="O32" s="142">
        <f ca="1"/>
        <v>6986.90468847989</v>
      </c>
      <c r="P32" s="142">
        <f ca="1"/>
        <v>6986.90468847989</v>
      </c>
      <c r="Q32" s="145">
        <f ca="1"/>
        <v>0.98405598217925505</v>
      </c>
      <c r="R32" s="143">
        <f ca="1"/>
        <v>6875.5053556149196</v>
      </c>
      <c r="S32" t="str">
        <f ca="1"/>
        <v/>
      </c>
      <c r="T32" t="str">
        <f ca="1"/>
        <v/>
      </c>
      <c r="U32" t="str">
        <f ca="1"/>
        <v/>
      </c>
    </row>
    <row r="33" spans="1:21">
      <c r="A33" s="138"/>
      <c r="B33" s="139">
        <f ca="1"/>
        <v>43539</v>
      </c>
      <c r="C33" s="139">
        <f ca="1"/>
        <v>43539</v>
      </c>
      <c r="D33" s="139">
        <f ca="1"/>
        <v>43633</v>
      </c>
      <c r="E33" s="140">
        <f ca="1"/>
        <v>94</v>
      </c>
      <c r="F33" s="141">
        <f ca="1"/>
        <v>0.26111111111111102</v>
      </c>
      <c r="G33" s="139">
        <f ca="1"/>
        <v>43633</v>
      </c>
      <c r="H33" s="142">
        <f ca="1"/>
        <v>1000000</v>
      </c>
      <c r="I33" s="140">
        <f ca="1"/>
        <v>0</v>
      </c>
      <c r="J33" s="143">
        <f ca="1"/>
        <v>1</v>
      </c>
      <c r="K33" s="143">
        <f ca="1"/>
        <v>0</v>
      </c>
      <c r="L33" s="144">
        <f ca="1"/>
        <v>2.9837024559187499E-2</v>
      </c>
      <c r="M33" s="140">
        <f ca="1"/>
        <v>1</v>
      </c>
      <c r="N33" s="140">
        <f ca="1"/>
        <v>0</v>
      </c>
      <c r="O33" s="142">
        <f ca="1"/>
        <v>7790.7786348989703</v>
      </c>
      <c r="P33" s="142">
        <f ca="1"/>
        <v>7790.7786348989703</v>
      </c>
      <c r="Q33" s="145">
        <f ca="1"/>
        <v>0.97767591220326999</v>
      </c>
      <c r="R33" s="143">
        <f ca="1"/>
        <v>7616.8566086485998</v>
      </c>
      <c r="S33" t="str">
        <f ca="1"/>
        <v/>
      </c>
      <c r="T33" t="str">
        <f ca="1"/>
        <v/>
      </c>
      <c r="U33" t="str">
        <f ca="1"/>
        <v/>
      </c>
    </row>
    <row r="34" spans="1:21">
      <c r="A34" s="138"/>
      <c r="B34" s="139">
        <f ca="1"/>
        <v>43633</v>
      </c>
      <c r="C34" s="139">
        <f ca="1"/>
        <v>43633</v>
      </c>
      <c r="D34" s="139">
        <f ca="1"/>
        <v>43724</v>
      </c>
      <c r="E34" s="140">
        <f ca="1"/>
        <v>91</v>
      </c>
      <c r="F34" s="141">
        <f ca="1"/>
        <v>0.25277777777777799</v>
      </c>
      <c r="G34" s="139">
        <f ca="1"/>
        <v>43724</v>
      </c>
      <c r="H34" s="142">
        <f ca="1"/>
        <v>1000000</v>
      </c>
      <c r="I34" s="140">
        <f ca="1"/>
        <v>0</v>
      </c>
      <c r="J34" s="143">
        <f ca="1"/>
        <v>1</v>
      </c>
      <c r="K34" s="143">
        <f ca="1"/>
        <v>0</v>
      </c>
      <c r="L34" s="144">
        <f ca="1"/>
        <v>3.0719450312301898E-2</v>
      </c>
      <c r="M34" s="140">
        <f ca="1"/>
        <v>1</v>
      </c>
      <c r="N34" s="140">
        <f ca="1"/>
        <v>0</v>
      </c>
      <c r="O34" s="142">
        <f ca="1"/>
        <v>7765.1943844985499</v>
      </c>
      <c r="P34" s="142">
        <f ca="1"/>
        <v>7765.1943844985499</v>
      </c>
      <c r="Q34" s="145">
        <f ca="1"/>
        <v>0.97123855271233395</v>
      </c>
      <c r="R34" s="143">
        <f ca="1"/>
        <v>7541.8561555303104</v>
      </c>
      <c r="S34" t="str">
        <f ca="1"/>
        <v/>
      </c>
      <c r="T34" t="str">
        <f ca="1"/>
        <v/>
      </c>
      <c r="U34" t="str">
        <f ca="1"/>
        <v/>
      </c>
    </row>
    <row r="35" spans="1:21">
      <c r="A35" s="138"/>
      <c r="B35" s="139">
        <f ca="1"/>
        <v>43724</v>
      </c>
      <c r="C35" s="139">
        <f ca="1"/>
        <v>43724</v>
      </c>
      <c r="D35" s="139">
        <f ca="1"/>
        <v>43815</v>
      </c>
      <c r="E35" s="140">
        <f ca="1"/>
        <v>91</v>
      </c>
      <c r="F35" s="141">
        <f ca="1"/>
        <v>0.25277777777777799</v>
      </c>
      <c r="G35" s="139">
        <f ca="1"/>
        <v>43815</v>
      </c>
      <c r="H35" s="142">
        <f ca="1"/>
        <v>1000000</v>
      </c>
      <c r="I35" s="140">
        <f ca="1"/>
        <v>0</v>
      </c>
      <c r="J35" s="143">
        <f ca="1"/>
        <v>1</v>
      </c>
      <c r="K35" s="143">
        <f ca="1"/>
        <v>0</v>
      </c>
      <c r="L35" s="144">
        <f ca="1"/>
        <v>3.1245042404425299E-2</v>
      </c>
      <c r="M35" s="140">
        <f ca="1"/>
        <v>1</v>
      </c>
      <c r="N35" s="140">
        <f ca="1"/>
        <v>0</v>
      </c>
      <c r="O35" s="142">
        <f ca="1"/>
        <v>7898.0523855630699</v>
      </c>
      <c r="P35" s="142">
        <f ca="1"/>
        <v>7898.0523855630699</v>
      </c>
      <c r="Q35" s="145">
        <f ca="1"/>
        <v>0.96462746015474898</v>
      </c>
      <c r="R35" s="143">
        <f ca="1"/>
        <v>7618.6782128548602</v>
      </c>
      <c r="S35" t="str">
        <f ca="1"/>
        <v/>
      </c>
      <c r="T35" t="str">
        <f ca="1"/>
        <v/>
      </c>
      <c r="U35" t="str">
        <f ca="1"/>
        <v/>
      </c>
    </row>
    <row r="36" spans="1:21">
      <c r="A36" s="138"/>
      <c r="B36" s="139">
        <f ca="1"/>
        <v>43815</v>
      </c>
      <c r="C36" s="139">
        <f ca="1"/>
        <v>43815</v>
      </c>
      <c r="D36" s="139">
        <f ca="1"/>
        <v>43906</v>
      </c>
      <c r="E36" s="140">
        <f ca="1"/>
        <v>91</v>
      </c>
      <c r="F36" s="141">
        <f ca="1"/>
        <v>0.25277777777777799</v>
      </c>
      <c r="G36" s="139">
        <f ca="1"/>
        <v>43906</v>
      </c>
      <c r="H36" s="142">
        <f ca="1"/>
        <v>1000000</v>
      </c>
      <c r="I36" s="140">
        <f ca="1"/>
        <v>0</v>
      </c>
      <c r="J36" s="143">
        <f ca="1"/>
        <v>1</v>
      </c>
      <c r="K36" s="143">
        <f ca="1"/>
        <v>0</v>
      </c>
      <c r="L36" s="144">
        <f ca="1"/>
        <v>3.1532672080773302E-2</v>
      </c>
      <c r="M36" s="140">
        <f ca="1"/>
        <v>1</v>
      </c>
      <c r="N36" s="140">
        <f ca="1"/>
        <v>0</v>
      </c>
      <c r="O36" s="142">
        <f ca="1"/>
        <v>7970.7587759732396</v>
      </c>
      <c r="P36" s="142">
        <f ca="1"/>
        <v>7970.7587759732396</v>
      </c>
      <c r="Q36" s="145">
        <f ca="1"/>
        <v>0.95797131682707803</v>
      </c>
      <c r="R36" s="143">
        <f ca="1"/>
        <v>7635.7582807300796</v>
      </c>
      <c r="S36" t="str">
        <f ca="1"/>
        <v/>
      </c>
      <c r="T36" t="str">
        <f ca="1"/>
        <v/>
      </c>
      <c r="U36" t="str">
        <f ca="1"/>
        <v/>
      </c>
    </row>
    <row r="37" spans="1:21">
      <c r="A37" s="138"/>
      <c r="B37" s="139">
        <f ca="1"/>
        <v>43906</v>
      </c>
      <c r="C37" s="139">
        <f ca="1"/>
        <v>43906</v>
      </c>
      <c r="D37" s="139">
        <f ca="1"/>
        <v>43997</v>
      </c>
      <c r="E37" s="140">
        <f ca="1"/>
        <v>91</v>
      </c>
      <c r="F37" s="141">
        <f ca="1"/>
        <v>0.25277777777777799</v>
      </c>
      <c r="G37" s="139">
        <f ca="1"/>
        <v>43997</v>
      </c>
      <c r="H37" s="142">
        <f ca="1"/>
        <v>1000000</v>
      </c>
      <c r="I37" s="140">
        <f ca="1"/>
        <v>0</v>
      </c>
      <c r="J37" s="143">
        <f ca="1"/>
        <v>1</v>
      </c>
      <c r="K37" s="143">
        <f ca="1"/>
        <v>0</v>
      </c>
      <c r="L37" s="144">
        <f ca="1"/>
        <v>3.1665848783159901E-2</v>
      </c>
      <c r="M37" s="140">
        <f ca="1"/>
        <v>1</v>
      </c>
      <c r="N37" s="140">
        <f ca="1"/>
        <v>0</v>
      </c>
      <c r="O37" s="142">
        <f ca="1"/>
        <v>8004.4228868542996</v>
      </c>
      <c r="P37" s="142">
        <f ca="1"/>
        <v>8004.4228868542996</v>
      </c>
      <c r="Q37" s="145">
        <f ca="1"/>
        <v>0.951381343118471</v>
      </c>
      <c r="R37" s="143">
        <f ca="1"/>
        <v>7615.25859698368</v>
      </c>
      <c r="S37" t="str">
        <f ca="1"/>
        <v/>
      </c>
      <c r="T37" t="str">
        <f ca="1"/>
        <v/>
      </c>
      <c r="U37" t="str">
        <f ca="1"/>
        <v/>
      </c>
    </row>
    <row r="38" spans="1:21">
      <c r="A38" s="138"/>
      <c r="B38" s="139">
        <f ca="1"/>
        <v>43997</v>
      </c>
      <c r="C38" s="139">
        <f ca="1"/>
        <v>43997</v>
      </c>
      <c r="D38" s="139">
        <f ca="1"/>
        <v>44089</v>
      </c>
      <c r="E38" s="140">
        <f ca="1"/>
        <v>92</v>
      </c>
      <c r="F38" s="141">
        <f ca="1"/>
        <v>0.25555555555555598</v>
      </c>
      <c r="G38" s="139">
        <f ca="1"/>
        <v>44089</v>
      </c>
      <c r="H38" s="142">
        <f ca="1"/>
        <v>1000000</v>
      </c>
      <c r="I38" s="140">
        <f ca="1"/>
        <v>0</v>
      </c>
      <c r="J38" s="143">
        <f ca="1"/>
        <v>1</v>
      </c>
      <c r="K38" s="143">
        <f ca="1"/>
        <v>0</v>
      </c>
      <c r="L38" s="144">
        <f ca="1"/>
        <v>3.1676724803365697E-2</v>
      </c>
      <c r="M38" s="140">
        <f ca="1"/>
        <v>1</v>
      </c>
      <c r="N38" s="140">
        <f ca="1"/>
        <v>0</v>
      </c>
      <c r="O38" s="142">
        <f ca="1"/>
        <v>8095.1630053045601</v>
      </c>
      <c r="P38" s="142">
        <f ca="1"/>
        <v>8095.1630053045601</v>
      </c>
      <c r="Q38" s="145">
        <f ca="1"/>
        <v>0.94489825119215498</v>
      </c>
      <c r="R38" s="143">
        <f ca="1"/>
        <v>7649.10536682771</v>
      </c>
      <c r="S38" t="str">
        <f ca="1"/>
        <v/>
      </c>
      <c r="T38" t="str">
        <f ca="1"/>
        <v/>
      </c>
      <c r="U38" t="str">
        <f ca="1"/>
        <v/>
      </c>
    </row>
    <row r="39" spans="1:21">
      <c r="A39" s="138"/>
      <c r="B39" s="139">
        <f ca="1"/>
        <v>44089</v>
      </c>
      <c r="C39" s="139">
        <f ca="1"/>
        <v>44089</v>
      </c>
      <c r="D39" s="139">
        <f ca="1"/>
        <v>44180</v>
      </c>
      <c r="E39" s="140">
        <f ca="1"/>
        <v>91</v>
      </c>
      <c r="F39" s="141">
        <f ca="1"/>
        <v>0.25277777777777799</v>
      </c>
      <c r="G39" s="139">
        <f ca="1"/>
        <v>44180</v>
      </c>
      <c r="H39" s="142">
        <f ca="1"/>
        <v>1000000</v>
      </c>
      <c r="I39" s="140">
        <f ca="1"/>
        <v>0</v>
      </c>
      <c r="J39" s="143">
        <f ca="1"/>
        <v>1</v>
      </c>
      <c r="K39" s="143">
        <f ca="1"/>
        <v>0</v>
      </c>
      <c r="L39" s="144">
        <f ca="1"/>
        <v>3.1652794933792097E-2</v>
      </c>
      <c r="M39" s="140">
        <f ca="1"/>
        <v>1</v>
      </c>
      <c r="N39" s="140">
        <f ca="1"/>
        <v>0</v>
      </c>
      <c r="O39" s="142">
        <f ca="1"/>
        <v>8001.1231638196796</v>
      </c>
      <c r="P39" s="142">
        <f ca="1"/>
        <v>8001.1231638196796</v>
      </c>
      <c r="Q39" s="145">
        <f ca="1"/>
        <v>0.93868040154991395</v>
      </c>
      <c r="R39" s="143">
        <f ca="1"/>
        <v>7510.4975042645701</v>
      </c>
      <c r="S39" t="str">
        <f ca="1"/>
        <v/>
      </c>
      <c r="T39" t="str">
        <f ca="1"/>
        <v/>
      </c>
      <c r="U39" t="str">
        <f ca="1"/>
        <v/>
      </c>
    </row>
    <row r="40" spans="1:21">
      <c r="A40" s="138"/>
      <c r="B40" s="139">
        <f ca="1"/>
        <v>44180</v>
      </c>
      <c r="C40" s="139">
        <f ca="1"/>
        <v>44180</v>
      </c>
      <c r="D40" s="139">
        <f ca="1"/>
        <v>44270</v>
      </c>
      <c r="E40" s="140">
        <f ca="1"/>
        <v>90</v>
      </c>
      <c r="F40" s="141">
        <f ca="1"/>
        <v>0.25</v>
      </c>
      <c r="G40" s="139">
        <f ca="1"/>
        <v>44270</v>
      </c>
      <c r="H40" s="142">
        <f ca="1"/>
        <v>1000000</v>
      </c>
      <c r="I40" s="140">
        <f ca="1"/>
        <v>0</v>
      </c>
      <c r="J40" s="143">
        <f ca="1"/>
        <v>1</v>
      </c>
      <c r="K40" s="143">
        <f ca="1"/>
        <v>0</v>
      </c>
      <c r="L40" s="144">
        <f ca="1"/>
        <v>3.1585315399556002E-2</v>
      </c>
      <c r="M40" s="140">
        <f ca="1"/>
        <v>1</v>
      </c>
      <c r="N40" s="140">
        <f ca="1"/>
        <v>0</v>
      </c>
      <c r="O40" s="142">
        <f ca="1"/>
        <v>7896.3288498889897</v>
      </c>
      <c r="P40" s="142">
        <f ca="1"/>
        <v>7896.3288498889897</v>
      </c>
      <c r="Q40" s="145">
        <f ca="1"/>
        <v>0.93266275491429795</v>
      </c>
      <c r="R40" s="143">
        <f ca="1"/>
        <v>7364.6118188467199</v>
      </c>
      <c r="S40" t="str">
        <f ca="1"/>
        <v/>
      </c>
      <c r="T40" t="str">
        <f ca="1"/>
        <v/>
      </c>
      <c r="U40" t="str">
        <f ca="1"/>
        <v/>
      </c>
    </row>
    <row r="41" spans="1:21">
      <c r="A41" s="138"/>
      <c r="B41" s="139">
        <f ca="1"/>
        <v>44270</v>
      </c>
      <c r="C41" s="139">
        <f ca="1"/>
        <v>44270</v>
      </c>
      <c r="D41" s="139">
        <f ca="1"/>
        <v>44362</v>
      </c>
      <c r="E41" s="140">
        <f ca="1"/>
        <v>92</v>
      </c>
      <c r="F41" s="141">
        <f ca="1"/>
        <v>0.25555555555555598</v>
      </c>
      <c r="G41" s="139">
        <f ca="1"/>
        <v>44362</v>
      </c>
      <c r="H41" s="142">
        <f ca="1"/>
        <v>1000000</v>
      </c>
      <c r="I41" s="140">
        <f ca="1"/>
        <v>0</v>
      </c>
      <c r="J41" s="143">
        <f ca="1"/>
        <v>1</v>
      </c>
      <c r="K41" s="143">
        <f ca="1"/>
        <v>0</v>
      </c>
      <c r="L41" s="144">
        <f ca="1"/>
        <v>3.1437465084371202E-2</v>
      </c>
      <c r="M41" s="140">
        <f ca="1"/>
        <v>1</v>
      </c>
      <c r="N41" s="140">
        <f ca="1"/>
        <v>0</v>
      </c>
      <c r="O41" s="142">
        <f ca="1"/>
        <v>8034.0188548948499</v>
      </c>
      <c r="P41" s="142">
        <f ca="1"/>
        <v>8034.0188548948499</v>
      </c>
      <c r="Q41" s="145">
        <f ca="1"/>
        <v>0.92656759146213996</v>
      </c>
      <c r="R41" s="143">
        <f ca="1"/>
        <v>7444.0615001413498</v>
      </c>
      <c r="S41" t="str">
        <f ca="1"/>
        <v/>
      </c>
      <c r="T41" t="str">
        <f ca="1"/>
        <v/>
      </c>
      <c r="U41" t="str">
        <f ca="1"/>
        <v/>
      </c>
    </row>
    <row r="42" spans="1:21">
      <c r="A42" s="138"/>
      <c r="B42" s="139">
        <f ca="1"/>
        <v>44362</v>
      </c>
      <c r="C42" s="139">
        <f ca="1"/>
        <v>44362</v>
      </c>
      <c r="D42" s="139">
        <f ca="1"/>
        <v>44454</v>
      </c>
      <c r="E42" s="140">
        <f ca="1"/>
        <v>92</v>
      </c>
      <c r="F42" s="141">
        <f ca="1"/>
        <v>0.25555555555555598</v>
      </c>
      <c r="G42" s="139">
        <f ca="1"/>
        <v>44454</v>
      </c>
      <c r="H42" s="142">
        <f ca="1"/>
        <v>1000000</v>
      </c>
      <c r="I42" s="140">
        <f ca="1"/>
        <v>0</v>
      </c>
      <c r="J42" s="143">
        <f ca="1"/>
        <v>1</v>
      </c>
      <c r="K42" s="143">
        <f ca="1"/>
        <v>0</v>
      </c>
      <c r="L42" s="144">
        <f ca="1"/>
        <v>3.1266400352212002E-2</v>
      </c>
      <c r="M42" s="140">
        <f ca="1"/>
        <v>1</v>
      </c>
      <c r="N42" s="140">
        <f ca="1"/>
        <v>0</v>
      </c>
      <c r="O42" s="142">
        <f ca="1"/>
        <v>7990.3023122319501</v>
      </c>
      <c r="P42" s="142">
        <f ca="1"/>
        <v>7990.3023122319501</v>
      </c>
      <c r="Q42" s="145">
        <f ca="1"/>
        <v>0.92042629724453096</v>
      </c>
      <c r="R42" s="143">
        <f ca="1"/>
        <v>7354.4843711120702</v>
      </c>
      <c r="S42" t="str">
        <f ca="1"/>
        <v/>
      </c>
      <c r="T42" t="str">
        <f ca="1"/>
        <v/>
      </c>
      <c r="U42" t="str">
        <f ca="1"/>
        <v/>
      </c>
    </row>
    <row r="43" spans="1:21">
      <c r="A43" s="138"/>
      <c r="B43" s="139">
        <f ca="1"/>
        <v>44454</v>
      </c>
      <c r="C43" s="139">
        <f ca="1"/>
        <v>44454</v>
      </c>
      <c r="D43" s="139">
        <f ca="1"/>
        <v>44545</v>
      </c>
      <c r="E43" s="140">
        <f ca="1"/>
        <v>91</v>
      </c>
      <c r="F43" s="141">
        <f ca="1"/>
        <v>0.25277777777777799</v>
      </c>
      <c r="G43" s="139">
        <f ca="1"/>
        <v>44545</v>
      </c>
      <c r="H43" s="142">
        <f ca="1"/>
        <v>1000000</v>
      </c>
      <c r="I43" s="140">
        <f ca="1"/>
        <v>0</v>
      </c>
      <c r="J43" s="143">
        <f ca="1"/>
        <v>1</v>
      </c>
      <c r="K43" s="143">
        <f ca="1"/>
        <v>0</v>
      </c>
      <c r="L43" s="144">
        <f ca="1"/>
        <v>3.1120961227081901E-2</v>
      </c>
      <c r="M43" s="140">
        <f ca="1"/>
        <v>1</v>
      </c>
      <c r="N43" s="140">
        <f ca="1"/>
        <v>0</v>
      </c>
      <c r="O43" s="142">
        <f ca="1"/>
        <v>7866.6874212901603</v>
      </c>
      <c r="P43" s="142">
        <f ca="1"/>
        <v>7866.6874212901603</v>
      </c>
      <c r="Q43" s="145">
        <f ca="1"/>
        <v>0.91430615166364704</v>
      </c>
      <c r="R43" s="143">
        <f ca="1"/>
        <v>7192.5607025006202</v>
      </c>
      <c r="S43" t="str">
        <f ca="1"/>
        <v/>
      </c>
      <c r="T43" t="str">
        <f ca="1"/>
        <v/>
      </c>
      <c r="U43" t="str">
        <f ca="1"/>
        <v/>
      </c>
    </row>
    <row r="44" spans="1:21">
      <c r="A44" s="138"/>
      <c r="B44" s="139">
        <f ca="1"/>
        <v>44545</v>
      </c>
      <c r="C44" s="139">
        <f ca="1"/>
        <v>44545</v>
      </c>
      <c r="D44" s="139">
        <f ca="1"/>
        <v>44635</v>
      </c>
      <c r="E44" s="140">
        <f ca="1"/>
        <v>90</v>
      </c>
      <c r="F44" s="141">
        <f ca="1"/>
        <v>0.25</v>
      </c>
      <c r="G44" s="139">
        <f ca="1"/>
        <v>44635</v>
      </c>
      <c r="H44" s="142">
        <f ca="1"/>
        <v>1000000</v>
      </c>
      <c r="I44" s="140">
        <f ca="1"/>
        <v>0</v>
      </c>
      <c r="J44" s="143">
        <f ca="1"/>
        <v>1</v>
      </c>
      <c r="K44" s="143">
        <f ca="1"/>
        <v>0</v>
      </c>
      <c r="L44" s="144">
        <f ca="1"/>
        <v>3.10134232642717E-2</v>
      </c>
      <c r="M44" s="140">
        <f ca="1"/>
        <v>1</v>
      </c>
      <c r="N44" s="140">
        <f ca="1"/>
        <v>0</v>
      </c>
      <c r="O44" s="142">
        <f ca="1"/>
        <v>7753.3558160679304</v>
      </c>
      <c r="P44" s="142">
        <f ca="1"/>
        <v>7753.3558160679304</v>
      </c>
      <c r="Q44" s="145">
        <f ca="1"/>
        <v>0.90825099942981002</v>
      </c>
      <c r="R44" s="143">
        <f ca="1"/>
        <v>7041.9931688786301</v>
      </c>
      <c r="S44" t="str">
        <f ca="1"/>
        <v/>
      </c>
      <c r="T44" t="str">
        <f ca="1"/>
        <v/>
      </c>
      <c r="U44" t="str">
        <f ca="1"/>
        <v/>
      </c>
    </row>
    <row r="45" spans="1:21">
      <c r="A45" s="138"/>
      <c r="B45" s="139">
        <f ca="1"/>
        <v>44635</v>
      </c>
      <c r="C45" s="139">
        <f ca="1"/>
        <v>44635</v>
      </c>
      <c r="D45" s="139">
        <f ca="1"/>
        <v>44727</v>
      </c>
      <c r="E45" s="140">
        <f ca="1"/>
        <v>92</v>
      </c>
      <c r="F45" s="141">
        <f ca="1"/>
        <v>0.25555555555555598</v>
      </c>
      <c r="G45" s="139">
        <f ca="1"/>
        <v>44727</v>
      </c>
      <c r="H45" s="142">
        <f ca="1"/>
        <v>1000000</v>
      </c>
      <c r="I45" s="140">
        <f ca="1"/>
        <v>0</v>
      </c>
      <c r="J45" s="143">
        <f ca="1"/>
        <v>1</v>
      </c>
      <c r="K45" s="143">
        <f ca="1"/>
        <v>0</v>
      </c>
      <c r="L45" s="144">
        <f ca="1"/>
        <v>3.0941872811641499E-2</v>
      </c>
      <c r="M45" s="140">
        <f ca="1"/>
        <v>1</v>
      </c>
      <c r="N45" s="140">
        <f ca="1"/>
        <v>0</v>
      </c>
      <c r="O45" s="142">
        <f ca="1"/>
        <v>7907.3674963083804</v>
      </c>
      <c r="P45" s="142">
        <f ca="1"/>
        <v>7907.3674963083804</v>
      </c>
      <c r="Q45" s="145">
        <f ca="1"/>
        <v>0.90211555835551704</v>
      </c>
      <c r="R45" s="143">
        <f ca="1"/>
        <v>7133.3592440544999</v>
      </c>
      <c r="S45" t="str">
        <f ca="1"/>
        <v/>
      </c>
      <c r="T45" t="str">
        <f ca="1"/>
        <v/>
      </c>
      <c r="U45" t="str">
        <f ca="1"/>
        <v/>
      </c>
    </row>
    <row r="46" spans="1:21">
      <c r="A46" s="138"/>
      <c r="B46" s="139">
        <f ca="1"/>
        <v>44727</v>
      </c>
      <c r="C46" s="139">
        <f ca="1"/>
        <v>44727</v>
      </c>
      <c r="D46" s="139">
        <f ca="1"/>
        <v>44819</v>
      </c>
      <c r="E46" s="140">
        <f ca="1"/>
        <v>92</v>
      </c>
      <c r="F46" s="141">
        <f ca="1"/>
        <v>0.25555555555555598</v>
      </c>
      <c r="G46" s="139">
        <f ca="1"/>
        <v>44819</v>
      </c>
      <c r="H46" s="142">
        <f ca="1"/>
        <v>1000000</v>
      </c>
      <c r="I46" s="140">
        <f ca="1"/>
        <v>0</v>
      </c>
      <c r="J46" s="143">
        <f ca="1"/>
        <v>1</v>
      </c>
      <c r="K46" s="143">
        <f ca="1"/>
        <v>0</v>
      </c>
      <c r="L46" s="144">
        <f ca="1"/>
        <v>3.0898479311643499E-2</v>
      </c>
      <c r="M46" s="140">
        <f ca="1"/>
        <v>1</v>
      </c>
      <c r="N46" s="140">
        <f ca="1"/>
        <v>0</v>
      </c>
      <c r="O46" s="142">
        <f ca="1"/>
        <v>7896.2780463089002</v>
      </c>
      <c r="P46" s="142">
        <f ca="1"/>
        <v>7896.2780463089002</v>
      </c>
      <c r="Q46" s="145">
        <f ca="1"/>
        <v>0.89609170767600199</v>
      </c>
      <c r="R46" s="143">
        <f ca="1"/>
        <v>7075.7892788014597</v>
      </c>
      <c r="S46" t="str">
        <f ca="1"/>
        <v/>
      </c>
      <c r="T46" t="str">
        <f ca="1"/>
        <v/>
      </c>
      <c r="U46" t="str">
        <f ca="1"/>
        <v/>
      </c>
    </row>
    <row r="47" spans="1:21">
      <c r="A47" s="138"/>
      <c r="B47" s="139">
        <f ca="1"/>
        <v>44819</v>
      </c>
      <c r="C47" s="139">
        <f ca="1"/>
        <v>44819</v>
      </c>
      <c r="D47" s="139">
        <f ca="1"/>
        <v>44910</v>
      </c>
      <c r="E47" s="140">
        <f ca="1"/>
        <v>91</v>
      </c>
      <c r="F47" s="141">
        <f ca="1"/>
        <v>0.25277777777777799</v>
      </c>
      <c r="G47" s="139">
        <f ca="1"/>
        <v>44910</v>
      </c>
      <c r="H47" s="142">
        <f ca="1"/>
        <v>1000000</v>
      </c>
      <c r="I47" s="140">
        <f ca="1"/>
        <v>0</v>
      </c>
      <c r="J47" s="143">
        <f ca="1"/>
        <v>1</v>
      </c>
      <c r="K47" s="143">
        <f ca="1"/>
        <v>0</v>
      </c>
      <c r="L47" s="144">
        <f ca="1"/>
        <v>3.08848890476453E-2</v>
      </c>
      <c r="M47" s="140">
        <f ca="1"/>
        <v>1</v>
      </c>
      <c r="N47" s="140">
        <f ca="1"/>
        <v>0</v>
      </c>
      <c r="O47" s="142">
        <f ca="1"/>
        <v>7807.0136203770098</v>
      </c>
      <c r="P47" s="142">
        <f ca="1"/>
        <v>7807.0136203770098</v>
      </c>
      <c r="Q47" s="145">
        <f ca="1"/>
        <v>0.89024306878608195</v>
      </c>
      <c r="R47" s="143">
        <f ca="1"/>
        <v>6950.1397634591704</v>
      </c>
      <c r="S47" t="str">
        <f ca="1"/>
        <v/>
      </c>
      <c r="T47" t="str">
        <f ca="1"/>
        <v/>
      </c>
      <c r="U47" t="str">
        <f ca="1"/>
        <v/>
      </c>
    </row>
    <row r="48" spans="1:21">
      <c r="A48" s="138"/>
      <c r="B48" s="139">
        <f ca="1"/>
        <v>44910</v>
      </c>
      <c r="C48" s="139">
        <f ca="1"/>
        <v>44910</v>
      </c>
      <c r="D48" s="139">
        <f ca="1"/>
        <v>45000</v>
      </c>
      <c r="E48" s="140">
        <f ca="1"/>
        <v>90</v>
      </c>
      <c r="F48" s="141">
        <f ca="1"/>
        <v>0.25</v>
      </c>
      <c r="G48" s="139">
        <f ca="1"/>
        <v>45000</v>
      </c>
      <c r="H48" s="142">
        <f ca="1"/>
        <v>1000000</v>
      </c>
      <c r="I48" s="140">
        <f ca="1"/>
        <v>0</v>
      </c>
      <c r="J48" s="143">
        <f ca="1"/>
        <v>1</v>
      </c>
      <c r="K48" s="143">
        <f ca="1"/>
        <v>0</v>
      </c>
      <c r="L48" s="144">
        <f ca="1"/>
        <v>3.0906079932849901E-2</v>
      </c>
      <c r="M48" s="140">
        <f ca="1"/>
        <v>1</v>
      </c>
      <c r="N48" s="140">
        <f ca="1"/>
        <v>0</v>
      </c>
      <c r="O48" s="142">
        <f ca="1"/>
        <v>7726.5199832124699</v>
      </c>
      <c r="P48" s="142">
        <f ca="1"/>
        <v>7726.5199832124699</v>
      </c>
      <c r="Q48" s="145">
        <f ca="1"/>
        <v>0.88454285082905604</v>
      </c>
      <c r="R48" s="143">
        <f ca="1"/>
        <v>6834.4380129384299</v>
      </c>
      <c r="S48" t="str">
        <f ca="1"/>
        <v/>
      </c>
      <c r="T48" t="str">
        <f ca="1"/>
        <v/>
      </c>
      <c r="U48" t="str">
        <f ca="1"/>
        <v/>
      </c>
    </row>
    <row r="49" spans="1:21">
      <c r="A49" s="138"/>
      <c r="B49" s="139">
        <f ca="1"/>
        <v>45000</v>
      </c>
      <c r="C49" s="139">
        <f ca="1"/>
        <v>45000</v>
      </c>
      <c r="D49" s="139">
        <f ca="1"/>
        <v>45092</v>
      </c>
      <c r="E49" s="140">
        <f ca="1"/>
        <v>92</v>
      </c>
      <c r="F49" s="141">
        <f ca="1"/>
        <v>0.25555555555555598</v>
      </c>
      <c r="G49" s="139">
        <f ca="1"/>
        <v>45092</v>
      </c>
      <c r="H49" s="142">
        <f ca="1"/>
        <v>1000000</v>
      </c>
      <c r="I49" s="140">
        <f ca="1"/>
        <v>0</v>
      </c>
      <c r="J49" s="143">
        <f ca="1"/>
        <v>1</v>
      </c>
      <c r="K49" s="143">
        <f ca="1"/>
        <v>0</v>
      </c>
      <c r="L49" s="144">
        <f ca="1"/>
        <v>3.0956980981539199E-2</v>
      </c>
      <c r="M49" s="140">
        <f ca="1"/>
        <v>1</v>
      </c>
      <c r="N49" s="140">
        <f ca="1"/>
        <v>0</v>
      </c>
      <c r="O49" s="142">
        <f ca="1"/>
        <v>7911.2284730600304</v>
      </c>
      <c r="P49" s="142">
        <f ca="1"/>
        <v>7911.2284730600304</v>
      </c>
      <c r="Q49" s="145">
        <f ca="1"/>
        <v>0.87877134148536395</v>
      </c>
      <c r="R49" s="143">
        <f ca="1"/>
        <v>6952.1608580681695</v>
      </c>
      <c r="S49" t="str">
        <f ca="1"/>
        <v/>
      </c>
      <c r="T49" t="str">
        <f ca="1"/>
        <v/>
      </c>
      <c r="U49" t="str">
        <f ca="1"/>
        <v/>
      </c>
    </row>
    <row r="50" spans="1:21">
      <c r="B50" s="123"/>
      <c r="C50" s="123"/>
      <c r="D50" s="123"/>
      <c r="F50" s="130"/>
      <c r="G50" s="123"/>
      <c r="H50" s="131"/>
      <c r="J50" s="124"/>
      <c r="K50" s="124"/>
      <c r="L50" s="129"/>
      <c r="O50" s="131"/>
      <c r="P50" s="131"/>
      <c r="Q50" s="117"/>
      <c r="R50" s="131"/>
    </row>
    <row r="51" spans="1:21">
      <c r="B51" s="123"/>
      <c r="C51" s="123"/>
      <c r="D51" s="123"/>
      <c r="F51" s="130"/>
      <c r="G51" s="123"/>
      <c r="H51" s="131"/>
      <c r="J51" s="124"/>
      <c r="K51" s="124"/>
      <c r="L51" s="129"/>
      <c r="O51" s="131"/>
      <c r="P51" s="131"/>
      <c r="Q51" s="117"/>
      <c r="R51" s="131"/>
    </row>
    <row r="52" spans="1:21">
      <c r="B52" s="123"/>
      <c r="C52" s="123"/>
      <c r="D52" s="123"/>
      <c r="F52" s="130"/>
      <c r="G52" s="123"/>
      <c r="H52" s="131"/>
      <c r="J52" s="124"/>
      <c r="K52" s="124"/>
      <c r="L52" s="129"/>
      <c r="O52" s="131"/>
      <c r="P52" s="131"/>
      <c r="Q52" s="117"/>
      <c r="R52" s="131"/>
    </row>
    <row r="53" spans="1:21">
      <c r="B53" s="123"/>
      <c r="C53" s="123"/>
      <c r="D53" s="123"/>
      <c r="F53" s="130"/>
      <c r="G53" s="123"/>
      <c r="H53" s="131"/>
      <c r="J53" s="124"/>
      <c r="K53" s="124"/>
      <c r="L53" s="129"/>
      <c r="O53" s="131"/>
      <c r="P53" s="131"/>
      <c r="Q53" s="117"/>
      <c r="R53" s="131"/>
    </row>
    <row r="54" spans="1:21">
      <c r="B54" s="123"/>
      <c r="C54" s="123"/>
      <c r="D54" s="123"/>
      <c r="F54" s="130"/>
      <c r="G54" s="123"/>
      <c r="H54" s="131"/>
      <c r="J54" s="124"/>
      <c r="K54" s="124"/>
      <c r="L54" s="129"/>
      <c r="O54" s="131"/>
      <c r="P54" s="131"/>
      <c r="Q54" s="117"/>
      <c r="R54" s="131"/>
    </row>
    <row r="55" spans="1:21">
      <c r="B55" s="123"/>
      <c r="C55" s="123"/>
      <c r="D55" s="123"/>
      <c r="F55" s="130"/>
      <c r="G55" s="123"/>
      <c r="H55" s="131"/>
      <c r="J55" s="124"/>
      <c r="K55" s="124"/>
      <c r="L55" s="129"/>
      <c r="O55" s="131"/>
      <c r="P55" s="131"/>
      <c r="Q55" s="117"/>
      <c r="R55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USDOIS</vt:lpstr>
      <vt:lpstr>USD3ML</vt:lpstr>
      <vt:lpstr>USD6ML</vt:lpstr>
      <vt:lpstr>CurveOverrides</vt:lpstr>
      <vt:lpstr>TradeCashflowDisplay</vt:lpstr>
      <vt:lpstr>AsOfDate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2018-06-14T16:30:46Z</dcterms:created>
  <dcterms:modified xsi:type="dcterms:W3CDTF">2018-06-15T21:35:45Z</dcterms:modified>
</cp:coreProperties>
</file>