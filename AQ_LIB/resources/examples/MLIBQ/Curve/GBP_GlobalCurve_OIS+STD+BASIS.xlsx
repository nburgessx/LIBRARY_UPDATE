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480" yWindow="90" windowWidth="20700" windowHeight="11700"/>
  </bookViews>
  <sheets>
    <sheet name="GBP GLOBAL CURVE" sheetId="20" r:id="rId1"/>
    <sheet name="DISPLAY_CURVE" sheetId="21" r:id="rId2"/>
    <sheet name="PRICING" sheetId="22" r:id="rId3"/>
    <sheet name="RISK" sheetId="23" r:id="rId4"/>
  </sheets>
  <calcPr calcId="162913" calcMode="manual" calcCompleted="0" calcOnSave="0"/>
</workbook>
</file>

<file path=xl/calcChain.xml><?xml version="1.0" encoding="utf-8"?>
<calcChain xmlns="http://schemas.openxmlformats.org/spreadsheetml/2006/main">
  <c r="I103" i="20" l="1"/>
  <c r="I77" i="20"/>
  <c r="I52" i="20"/>
  <c r="I30" i="20"/>
  <c r="O91" i="20"/>
  <c r="O66" i="20"/>
  <c r="O117" i="20"/>
  <c r="U42" i="20"/>
  <c r="U18" i="20"/>
  <c r="S8" i="22"/>
  <c r="T8" i="22"/>
  <c r="S9" i="22"/>
  <c r="T9" i="22"/>
  <c r="S10" i="22"/>
  <c r="T10" i="22"/>
  <c r="S11" i="22"/>
  <c r="T11" i="22"/>
  <c r="S12" i="22"/>
  <c r="T12" i="22"/>
  <c r="S13" i="22"/>
  <c r="T13" i="22"/>
  <c r="S14" i="22"/>
  <c r="T14" i="22"/>
  <c r="S15" i="22"/>
  <c r="T15" i="22"/>
  <c r="S16" i="22"/>
  <c r="T16" i="22"/>
  <c r="S17" i="22"/>
  <c r="T17" i="22"/>
  <c r="S18" i="22"/>
  <c r="T18" i="22"/>
  <c r="S19" i="22"/>
  <c r="T19" i="22"/>
  <c r="S20" i="22"/>
  <c r="T20" i="22"/>
  <c r="I57" i="20"/>
  <c r="I35" i="20"/>
  <c r="I14" i="20"/>
  <c r="I82" i="20"/>
  <c r="I108" i="20"/>
  <c r="C18" i="23" l="1"/>
  <c r="C17" i="23"/>
  <c r="C16" i="23"/>
  <c r="C15" i="23"/>
  <c r="C14" i="23"/>
  <c r="C13" i="23"/>
  <c r="C12" i="23"/>
  <c r="C11" i="23"/>
  <c r="C10" i="23"/>
  <c r="C9" i="23"/>
  <c r="C8" i="23"/>
  <c r="C7" i="23"/>
  <c r="C6" i="23"/>
  <c r="C5" i="23"/>
  <c r="C4" i="23"/>
  <c r="C3" i="23"/>
  <c r="B9" i="23"/>
  <c r="B9" i="21" a="1"/>
  <c r="D27" i="20" l="1"/>
  <c r="D29" i="20"/>
  <c r="D30" i="20"/>
  <c r="C10" i="21"/>
  <c r="E11" i="21"/>
  <c r="G12" i="21"/>
  <c r="C14" i="21"/>
  <c r="E15" i="21"/>
  <c r="G16" i="21"/>
  <c r="C18" i="21"/>
  <c r="E19" i="21"/>
  <c r="G20" i="21"/>
  <c r="C22" i="21"/>
  <c r="E23" i="21"/>
  <c r="G24" i="21"/>
  <c r="C26" i="21"/>
  <c r="E27" i="21"/>
  <c r="F9" i="21"/>
  <c r="B11" i="21"/>
  <c r="D12" i="21"/>
  <c r="F13" i="21"/>
  <c r="B15" i="21"/>
  <c r="D16" i="21"/>
  <c r="F17" i="21"/>
  <c r="B19" i="21"/>
  <c r="D20" i="21"/>
  <c r="F21" i="21"/>
  <c r="B23" i="21"/>
  <c r="D24" i="21"/>
  <c r="B10" i="21"/>
  <c r="D11" i="21"/>
  <c r="F12" i="21"/>
  <c r="B14" i="21"/>
  <c r="D15" i="21"/>
  <c r="F16" i="21"/>
  <c r="B18" i="21"/>
  <c r="D19" i="21"/>
  <c r="F20" i="21"/>
  <c r="B22" i="21"/>
  <c r="D23" i="21"/>
  <c r="F24" i="21"/>
  <c r="B26" i="21"/>
  <c r="D27" i="21"/>
  <c r="F28" i="21"/>
  <c r="B30" i="21"/>
  <c r="D31" i="21"/>
  <c r="F32" i="21"/>
  <c r="B34" i="21"/>
  <c r="D35" i="21"/>
  <c r="F36" i="21"/>
  <c r="B38" i="21"/>
  <c r="D39" i="21"/>
  <c r="F40" i="21"/>
  <c r="B42" i="21"/>
  <c r="D43" i="21"/>
  <c r="F44" i="21"/>
  <c r="B46" i="21"/>
  <c r="D47" i="21"/>
  <c r="F48" i="21"/>
  <c r="B50" i="21"/>
  <c r="D51" i="21"/>
  <c r="F52" i="21"/>
  <c r="B54" i="21"/>
  <c r="D55" i="21"/>
  <c r="F56" i="21"/>
  <c r="B58" i="21"/>
  <c r="D59" i="21"/>
  <c r="F60" i="21"/>
  <c r="B62" i="21"/>
  <c r="D63" i="21"/>
  <c r="F64" i="21"/>
  <c r="B66" i="21"/>
  <c r="D67" i="21"/>
  <c r="F68" i="21"/>
  <c r="B70" i="21"/>
  <c r="D71" i="21"/>
  <c r="F72" i="21"/>
  <c r="B74" i="21"/>
  <c r="D75" i="21"/>
  <c r="F76" i="21"/>
  <c r="B78" i="21"/>
  <c r="D79" i="21"/>
  <c r="F80" i="21"/>
  <c r="B82" i="21"/>
  <c r="D83" i="21"/>
  <c r="F84" i="21"/>
  <c r="B86" i="21"/>
  <c r="D87" i="21"/>
  <c r="F88" i="21"/>
  <c r="B90" i="21"/>
  <c r="D91" i="21"/>
  <c r="F92" i="21"/>
  <c r="B94" i="21"/>
  <c r="D95" i="21"/>
  <c r="F96" i="21"/>
  <c r="B98" i="21"/>
  <c r="D99" i="21"/>
  <c r="F100" i="21"/>
  <c r="B102" i="21"/>
  <c r="D103" i="21"/>
  <c r="F104" i="21"/>
  <c r="B106" i="21"/>
  <c r="D107" i="21"/>
  <c r="F108" i="21"/>
  <c r="B110" i="21"/>
  <c r="D111" i="21"/>
  <c r="F112" i="21"/>
  <c r="B114" i="21"/>
  <c r="D115" i="21"/>
  <c r="F116" i="21"/>
  <c r="B118" i="21"/>
  <c r="D119" i="21"/>
  <c r="F120" i="21"/>
  <c r="B122" i="21"/>
  <c r="B9" i="21"/>
  <c r="G10" i="21"/>
  <c r="C13" i="21"/>
  <c r="C15" i="21"/>
  <c r="D17" i="21"/>
  <c r="F19" i="21"/>
  <c r="E21" i="21"/>
  <c r="G23" i="21"/>
  <c r="F25" i="21"/>
  <c r="F27" i="21"/>
  <c r="C29" i="21"/>
  <c r="F30" i="21"/>
  <c r="C32" i="21"/>
  <c r="F33" i="21"/>
  <c r="C35" i="21"/>
  <c r="G36" i="21"/>
  <c r="D38" i="21"/>
  <c r="G39" i="21"/>
  <c r="D41" i="21"/>
  <c r="G42" i="21"/>
  <c r="D44" i="21"/>
  <c r="E9" i="21"/>
  <c r="G11" i="21"/>
  <c r="G13" i="21"/>
  <c r="B16" i="21"/>
  <c r="D18" i="21"/>
  <c r="C20" i="21"/>
  <c r="E22" i="21"/>
  <c r="E24" i="21"/>
  <c r="E26" i="21"/>
  <c r="C28" i="21"/>
  <c r="F29" i="21"/>
  <c r="C31" i="21"/>
  <c r="G32" i="21"/>
  <c r="D34" i="21"/>
  <c r="G35" i="21"/>
  <c r="D37" i="21"/>
  <c r="G38" i="21"/>
  <c r="D40" i="21"/>
  <c r="G41" i="21"/>
  <c r="E43" i="21"/>
  <c r="B45" i="21"/>
  <c r="E46" i="21"/>
  <c r="B48" i="21"/>
  <c r="E49" i="21"/>
  <c r="B51" i="21"/>
  <c r="E52" i="21"/>
  <c r="C54" i="21"/>
  <c r="F55" i="21"/>
  <c r="C57" i="21"/>
  <c r="F58" i="21"/>
  <c r="C60" i="21"/>
  <c r="F61" i="21"/>
  <c r="C63" i="21"/>
  <c r="G64" i="21"/>
  <c r="D66" i="21"/>
  <c r="G67" i="21"/>
  <c r="D69" i="21"/>
  <c r="G70" i="21"/>
  <c r="D72" i="21"/>
  <c r="G73" i="21"/>
  <c r="E75" i="21"/>
  <c r="B77" i="21"/>
  <c r="E78" i="21"/>
  <c r="B80" i="21"/>
  <c r="E81" i="21"/>
  <c r="B83" i="21"/>
  <c r="E84" i="21"/>
  <c r="C86" i="21"/>
  <c r="F87" i="21"/>
  <c r="C89" i="21"/>
  <c r="F90" i="21"/>
  <c r="C92" i="21"/>
  <c r="F93" i="21"/>
  <c r="C95" i="21"/>
  <c r="G96" i="21"/>
  <c r="D98" i="21"/>
  <c r="G99" i="21"/>
  <c r="D101" i="21"/>
  <c r="G102" i="21"/>
  <c r="D104" i="21"/>
  <c r="G105" i="21"/>
  <c r="E107" i="21"/>
  <c r="B109" i="21"/>
  <c r="E110" i="21"/>
  <c r="B112" i="21"/>
  <c r="E113" i="21"/>
  <c r="B115" i="21"/>
  <c r="E116" i="21"/>
  <c r="C118" i="21"/>
  <c r="F119" i="21"/>
  <c r="C121" i="21"/>
  <c r="F122" i="21"/>
  <c r="B124" i="21"/>
  <c r="D125" i="21"/>
  <c r="F126" i="21"/>
  <c r="B128" i="21"/>
  <c r="D129" i="21"/>
  <c r="F130" i="21"/>
  <c r="B132" i="21"/>
  <c r="D133" i="21"/>
  <c r="F134" i="21"/>
  <c r="B136" i="21"/>
  <c r="D137" i="21"/>
  <c r="F138" i="21"/>
  <c r="B140" i="21"/>
  <c r="G9" i="21"/>
  <c r="B12" i="21"/>
  <c r="D14" i="21"/>
  <c r="C16" i="21"/>
  <c r="E18" i="21"/>
  <c r="E20" i="21"/>
  <c r="F22" i="21"/>
  <c r="B25" i="21"/>
  <c r="F26" i="21"/>
  <c r="D28" i="21"/>
  <c r="G29" i="21"/>
  <c r="E31" i="21"/>
  <c r="B33" i="21"/>
  <c r="E34" i="21"/>
  <c r="B36" i="21"/>
  <c r="E37" i="21"/>
  <c r="B39" i="21"/>
  <c r="E40" i="21"/>
  <c r="C42" i="21"/>
  <c r="F43" i="21"/>
  <c r="F10" i="21"/>
  <c r="B13" i="21"/>
  <c r="G14" i="21"/>
  <c r="C17" i="21"/>
  <c r="C19" i="21"/>
  <c r="D21" i="21"/>
  <c r="F23" i="21"/>
  <c r="E25" i="21"/>
  <c r="C27" i="21"/>
  <c r="B29" i="21"/>
  <c r="E30" i="21"/>
  <c r="B32" i="21"/>
  <c r="E33" i="21"/>
  <c r="B35" i="21"/>
  <c r="E36" i="21"/>
  <c r="C38" i="21"/>
  <c r="F39" i="21"/>
  <c r="C41" i="21"/>
  <c r="F42" i="21"/>
  <c r="C44" i="21"/>
  <c r="F45" i="21"/>
  <c r="C47" i="21"/>
  <c r="G48" i="21"/>
  <c r="D50" i="21"/>
  <c r="G51" i="21"/>
  <c r="D53" i="21"/>
  <c r="G54" i="21"/>
  <c r="D56" i="21"/>
  <c r="G57" i="21"/>
  <c r="E59" i="21"/>
  <c r="B61" i="21"/>
  <c r="E62" i="21"/>
  <c r="B64" i="21"/>
  <c r="E65" i="21"/>
  <c r="B67" i="21"/>
  <c r="E68" i="21"/>
  <c r="C70" i="21"/>
  <c r="F71" i="21"/>
  <c r="C73" i="21"/>
  <c r="F74" i="21"/>
  <c r="C76" i="21"/>
  <c r="F77" i="21"/>
  <c r="C79" i="21"/>
  <c r="G80" i="21"/>
  <c r="D82" i="21"/>
  <c r="G83" i="21"/>
  <c r="D85" i="21"/>
  <c r="G86" i="21"/>
  <c r="D88" i="21"/>
  <c r="G89" i="21"/>
  <c r="E91" i="21"/>
  <c r="B93" i="21"/>
  <c r="E94" i="21"/>
  <c r="B96" i="21"/>
  <c r="E97" i="21"/>
  <c r="B99" i="21"/>
  <c r="E100" i="21"/>
  <c r="C102" i="21"/>
  <c r="F103" i="21"/>
  <c r="C105" i="21"/>
  <c r="F106" i="21"/>
  <c r="C108" i="21"/>
  <c r="F109" i="21"/>
  <c r="C111" i="21"/>
  <c r="G112" i="21"/>
  <c r="D114" i="21"/>
  <c r="G115" i="21"/>
  <c r="D117" i="21"/>
  <c r="G118" i="21"/>
  <c r="D120" i="21"/>
  <c r="G121" i="21"/>
  <c r="D123" i="21"/>
  <c r="F124" i="21"/>
  <c r="B126" i="21"/>
  <c r="D127" i="21"/>
  <c r="F128" i="21"/>
  <c r="B130" i="21"/>
  <c r="D131" i="21"/>
  <c r="F132" i="21"/>
  <c r="B134" i="21"/>
  <c r="D135" i="21"/>
  <c r="C9" i="21"/>
  <c r="D13" i="21"/>
  <c r="E17" i="21"/>
  <c r="G21" i="21"/>
  <c r="G25" i="21"/>
  <c r="D29" i="21"/>
  <c r="D32" i="21"/>
  <c r="E35" i="21"/>
  <c r="E38" i="21"/>
  <c r="E41" i="21"/>
  <c r="E44" i="21"/>
  <c r="F46" i="21"/>
  <c r="E48" i="21"/>
  <c r="F50" i="21"/>
  <c r="G52" i="21"/>
  <c r="F54" i="21"/>
  <c r="G56" i="21"/>
  <c r="G58" i="21"/>
  <c r="G60" i="21"/>
  <c r="G62" i="21"/>
  <c r="B65" i="21"/>
  <c r="G66" i="21"/>
  <c r="B69" i="21"/>
  <c r="B71" i="21"/>
  <c r="B73" i="21"/>
  <c r="B75" i="21"/>
  <c r="C77" i="21"/>
  <c r="B79" i="21"/>
  <c r="C81" i="21"/>
  <c r="C83" i="21"/>
  <c r="C85" i="21"/>
  <c r="C87" i="21"/>
  <c r="D89" i="21"/>
  <c r="C91" i="21"/>
  <c r="D93" i="21"/>
  <c r="E95" i="21"/>
  <c r="D97" i="21"/>
  <c r="E99" i="21"/>
  <c r="E101" i="21"/>
  <c r="E103" i="21"/>
  <c r="E105" i="21"/>
  <c r="F107" i="21"/>
  <c r="E109" i="21"/>
  <c r="F111" i="21"/>
  <c r="F113" i="21"/>
  <c r="F115" i="21"/>
  <c r="F117" i="21"/>
  <c r="G119" i="21"/>
  <c r="F121" i="21"/>
  <c r="F123" i="21"/>
  <c r="E125" i="21"/>
  <c r="C127" i="21"/>
  <c r="B129" i="21"/>
  <c r="G130" i="21"/>
  <c r="E132" i="21"/>
  <c r="D134" i="21"/>
  <c r="C136" i="21"/>
  <c r="F137" i="21"/>
  <c r="C139" i="21"/>
  <c r="F140" i="21"/>
  <c r="B142" i="21"/>
  <c r="D143" i="21"/>
  <c r="F144" i="21"/>
  <c r="B146" i="21"/>
  <c r="D147" i="21"/>
  <c r="F148" i="21"/>
  <c r="B150" i="21"/>
  <c r="D151" i="21"/>
  <c r="F152" i="21"/>
  <c r="B154" i="21"/>
  <c r="D155" i="21"/>
  <c r="F156" i="21"/>
  <c r="B158" i="21"/>
  <c r="D159" i="21"/>
  <c r="F160" i="21"/>
  <c r="B162" i="21"/>
  <c r="D163" i="21"/>
  <c r="E10" i="21"/>
  <c r="F14" i="21"/>
  <c r="G18" i="21"/>
  <c r="C23" i="21"/>
  <c r="B27" i="21"/>
  <c r="D30" i="21"/>
  <c r="D33" i="21"/>
  <c r="D36" i="21"/>
  <c r="E39" i="21"/>
  <c r="E42" i="21"/>
  <c r="D45" i="21"/>
  <c r="E47" i="21"/>
  <c r="D49" i="21"/>
  <c r="E51" i="21"/>
  <c r="E53" i="21"/>
  <c r="E55" i="21"/>
  <c r="E57" i="21"/>
  <c r="F59" i="21"/>
  <c r="E61" i="21"/>
  <c r="F63" i="21"/>
  <c r="F65" i="21"/>
  <c r="F67" i="21"/>
  <c r="F69" i="21"/>
  <c r="G71" i="21"/>
  <c r="F73" i="21"/>
  <c r="G75" i="21"/>
  <c r="G77" i="21"/>
  <c r="G79" i="21"/>
  <c r="G81" i="21"/>
  <c r="B84" i="21"/>
  <c r="G85" i="21"/>
  <c r="B88" i="21"/>
  <c r="C90" i="21"/>
  <c r="B92" i="21"/>
  <c r="C94" i="21"/>
  <c r="C96" i="21"/>
  <c r="C98" i="21"/>
  <c r="C100" i="21"/>
  <c r="D102" i="21"/>
  <c r="C104" i="21"/>
  <c r="D106" i="21"/>
  <c r="D108" i="21"/>
  <c r="D110" i="21"/>
  <c r="D112" i="21"/>
  <c r="E114" i="21"/>
  <c r="D116" i="21"/>
  <c r="E118" i="21"/>
  <c r="E120" i="21"/>
  <c r="E122" i="21"/>
  <c r="D124" i="21"/>
  <c r="C126" i="21"/>
  <c r="G127" i="21"/>
  <c r="F129" i="21"/>
  <c r="E131" i="21"/>
  <c r="C133" i="21"/>
  <c r="B135" i="21"/>
  <c r="F136" i="21"/>
  <c r="C138" i="21"/>
  <c r="F139" i="21"/>
  <c r="C141" i="21"/>
  <c r="E142" i="21"/>
  <c r="G143" i="21"/>
  <c r="C145" i="21"/>
  <c r="E146" i="21"/>
  <c r="G147" i="21"/>
  <c r="C149" i="21"/>
  <c r="E150" i="21"/>
  <c r="G151" i="21"/>
  <c r="C153" i="21"/>
  <c r="E154" i="21"/>
  <c r="G155" i="21"/>
  <c r="C157" i="21"/>
  <c r="E158" i="21"/>
  <c r="G159" i="21"/>
  <c r="C161" i="21"/>
  <c r="E162" i="21"/>
  <c r="G163" i="21"/>
  <c r="C165" i="21"/>
  <c r="E166" i="21"/>
  <c r="G167" i="21"/>
  <c r="C169" i="21"/>
  <c r="E170" i="21"/>
  <c r="G171" i="21"/>
  <c r="C173" i="21"/>
  <c r="E174" i="21"/>
  <c r="G175" i="21"/>
  <c r="C177" i="21"/>
  <c r="E178" i="21"/>
  <c r="G179" i="21"/>
  <c r="C181" i="21"/>
  <c r="E182" i="21"/>
  <c r="G183" i="21"/>
  <c r="C185" i="21"/>
  <c r="E186" i="21"/>
  <c r="G187" i="21"/>
  <c r="C189" i="21"/>
  <c r="E190" i="21"/>
  <c r="G191" i="21"/>
  <c r="C193" i="21"/>
  <c r="E194" i="21"/>
  <c r="G195" i="21"/>
  <c r="C197" i="21"/>
  <c r="E198" i="21"/>
  <c r="G199" i="21"/>
  <c r="C201" i="21"/>
  <c r="E202" i="21"/>
  <c r="G203" i="21"/>
  <c r="C205" i="21"/>
  <c r="E206" i="21"/>
  <c r="G207" i="21"/>
  <c r="C209" i="21"/>
  <c r="E210" i="21"/>
  <c r="G211" i="21"/>
  <c r="C213" i="21"/>
  <c r="E214" i="21"/>
  <c r="G215" i="21"/>
  <c r="C217" i="21"/>
  <c r="E218" i="21"/>
  <c r="G219" i="21"/>
  <c r="C221" i="21"/>
  <c r="E222" i="21"/>
  <c r="G223" i="21"/>
  <c r="C225" i="21"/>
  <c r="E226" i="21"/>
  <c r="G227" i="21"/>
  <c r="C229" i="21"/>
  <c r="E230" i="21"/>
  <c r="G231" i="21"/>
  <c r="C233" i="21"/>
  <c r="E234" i="21"/>
  <c r="G235" i="21"/>
  <c r="C237" i="21"/>
  <c r="E238" i="21"/>
  <c r="G239" i="21"/>
  <c r="C241" i="21"/>
  <c r="E242" i="21"/>
  <c r="G243" i="21"/>
  <c r="C245" i="21"/>
  <c r="E246" i="21"/>
  <c r="G247" i="21"/>
  <c r="C249" i="21"/>
  <c r="E250" i="21"/>
  <c r="G251" i="21"/>
  <c r="C253" i="21"/>
  <c r="E254" i="21"/>
  <c r="G255" i="21"/>
  <c r="C257" i="21"/>
  <c r="E258" i="21"/>
  <c r="G259" i="21"/>
  <c r="C261" i="21"/>
  <c r="E262" i="21"/>
  <c r="G263" i="21"/>
  <c r="C265" i="21"/>
  <c r="E266" i="21"/>
  <c r="G267" i="21"/>
  <c r="C269" i="21"/>
  <c r="E270" i="21"/>
  <c r="G271" i="21"/>
  <c r="C273" i="21"/>
  <c r="E274" i="21"/>
  <c r="G275" i="21"/>
  <c r="C277" i="21"/>
  <c r="E278" i="21"/>
  <c r="G279" i="21"/>
  <c r="C281" i="21"/>
  <c r="E282" i="21"/>
  <c r="G283" i="21"/>
  <c r="C285" i="21"/>
  <c r="E286" i="21"/>
  <c r="G287" i="21"/>
  <c r="C11" i="21"/>
  <c r="F15" i="21"/>
  <c r="G19" i="21"/>
  <c r="B24" i="21"/>
  <c r="G27" i="21"/>
  <c r="G30" i="21"/>
  <c r="G33" i="21"/>
  <c r="B37" i="21"/>
  <c r="B40" i="21"/>
  <c r="B43" i="21"/>
  <c r="E45" i="21"/>
  <c r="F47" i="21"/>
  <c r="F49" i="21"/>
  <c r="F51" i="21"/>
  <c r="F53" i="21"/>
  <c r="G55" i="21"/>
  <c r="F57" i="21"/>
  <c r="G59" i="21"/>
  <c r="G61" i="21"/>
  <c r="G63" i="21"/>
  <c r="G65" i="21"/>
  <c r="B68" i="21"/>
  <c r="G69" i="21"/>
  <c r="B72" i="21"/>
  <c r="C74" i="21"/>
  <c r="B76" i="21"/>
  <c r="C78" i="21"/>
  <c r="C80" i="21"/>
  <c r="C82" i="21"/>
  <c r="C84" i="21"/>
  <c r="D86" i="21"/>
  <c r="C88" i="21"/>
  <c r="D90" i="21"/>
  <c r="D92" i="21"/>
  <c r="D94" i="21"/>
  <c r="D96" i="21"/>
  <c r="E98" i="21"/>
  <c r="D100" i="21"/>
  <c r="E102" i="21"/>
  <c r="E104" i="21"/>
  <c r="E106" i="21"/>
  <c r="E108" i="21"/>
  <c r="F110" i="21"/>
  <c r="E112" i="21"/>
  <c r="F114" i="21"/>
  <c r="G116" i="21"/>
  <c r="F118" i="21"/>
  <c r="G120" i="21"/>
  <c r="G122" i="21"/>
  <c r="E124" i="21"/>
  <c r="D126" i="21"/>
  <c r="C128" i="21"/>
  <c r="G129" i="21"/>
  <c r="F131" i="21"/>
  <c r="E133" i="21"/>
  <c r="C135" i="21"/>
  <c r="G136" i="21"/>
  <c r="D138" i="21"/>
  <c r="G139" i="21"/>
  <c r="D141" i="21"/>
  <c r="F142" i="21"/>
  <c r="B144" i="21"/>
  <c r="D145" i="21"/>
  <c r="F146" i="21"/>
  <c r="B148" i="21"/>
  <c r="D149" i="21"/>
  <c r="F150" i="21"/>
  <c r="B152" i="21"/>
  <c r="D153" i="21"/>
  <c r="F154" i="21"/>
  <c r="B156" i="21"/>
  <c r="D157" i="21"/>
  <c r="F158" i="21"/>
  <c r="B160" i="21"/>
  <c r="D161" i="21"/>
  <c r="F162" i="21"/>
  <c r="B164" i="21"/>
  <c r="E12" i="21"/>
  <c r="B17" i="21"/>
  <c r="C21" i="21"/>
  <c r="D25" i="21"/>
  <c r="G28" i="21"/>
  <c r="G31" i="21"/>
  <c r="G34" i="21"/>
  <c r="G37" i="21"/>
  <c r="B41" i="21"/>
  <c r="B44" i="21"/>
  <c r="D46" i="21"/>
  <c r="D48" i="21"/>
  <c r="E50" i="21"/>
  <c r="D52" i="21"/>
  <c r="E54" i="21"/>
  <c r="E56" i="21"/>
  <c r="E58" i="21"/>
  <c r="E60" i="21"/>
  <c r="F62" i="21"/>
  <c r="E64" i="21"/>
  <c r="F66" i="21"/>
  <c r="G68" i="21"/>
  <c r="F70" i="21"/>
  <c r="G72" i="21"/>
  <c r="G74" i="21"/>
  <c r="G76" i="21"/>
  <c r="G78" i="21"/>
  <c r="B81" i="21"/>
  <c r="G82" i="21"/>
  <c r="B85" i="21"/>
  <c r="B87" i="21"/>
  <c r="B89" i="21"/>
  <c r="B91" i="21"/>
  <c r="C93" i="21"/>
  <c r="B95" i="21"/>
  <c r="C97" i="21"/>
  <c r="C99" i="21"/>
  <c r="C101" i="21"/>
  <c r="C103" i="21"/>
  <c r="D105" i="21"/>
  <c r="C107" i="21"/>
  <c r="D109" i="21"/>
  <c r="E111" i="21"/>
  <c r="D113" i="21"/>
  <c r="E115" i="21"/>
  <c r="E117" i="21"/>
  <c r="E119" i="21"/>
  <c r="E121" i="21"/>
  <c r="E123" i="21"/>
  <c r="C125" i="21"/>
  <c r="B127" i="21"/>
  <c r="G128" i="21"/>
  <c r="E130" i="21"/>
  <c r="D132" i="21"/>
  <c r="C134" i="21"/>
  <c r="G135" i="21"/>
  <c r="E137" i="21"/>
  <c r="B139" i="21"/>
  <c r="E140" i="21"/>
  <c r="G141" i="21"/>
  <c r="C143" i="21"/>
  <c r="E144" i="21"/>
  <c r="G145" i="21"/>
  <c r="C147" i="21"/>
  <c r="E148" i="21"/>
  <c r="G149" i="21"/>
  <c r="C151" i="21"/>
  <c r="E152" i="21"/>
  <c r="G153" i="21"/>
  <c r="C155" i="21"/>
  <c r="E156" i="21"/>
  <c r="G157" i="21"/>
  <c r="C159" i="21"/>
  <c r="E160" i="21"/>
  <c r="G161" i="21"/>
  <c r="C163" i="21"/>
  <c r="E164" i="21"/>
  <c r="G165" i="21"/>
  <c r="C167" i="21"/>
  <c r="E168" i="21"/>
  <c r="G169" i="21"/>
  <c r="C171" i="21"/>
  <c r="E172" i="21"/>
  <c r="G173" i="21"/>
  <c r="C175" i="21"/>
  <c r="E176" i="21"/>
  <c r="G177" i="21"/>
  <c r="C179" i="21"/>
  <c r="E180" i="21"/>
  <c r="G181" i="21"/>
  <c r="C183" i="21"/>
  <c r="E184" i="21"/>
  <c r="G185" i="21"/>
  <c r="C187" i="21"/>
  <c r="E188" i="21"/>
  <c r="G189" i="21"/>
  <c r="C191" i="21"/>
  <c r="E192" i="21"/>
  <c r="G193" i="21"/>
  <c r="C195" i="21"/>
  <c r="E196" i="21"/>
  <c r="G197" i="21"/>
  <c r="C199" i="21"/>
  <c r="E200" i="21"/>
  <c r="G201" i="21"/>
  <c r="C203" i="21"/>
  <c r="E204" i="21"/>
  <c r="G205" i="21"/>
  <c r="C207" i="21"/>
  <c r="E208" i="21"/>
  <c r="G209" i="21"/>
  <c r="C211" i="21"/>
  <c r="E212" i="21"/>
  <c r="G213" i="21"/>
  <c r="C215" i="21"/>
  <c r="E216" i="21"/>
  <c r="G217" i="21"/>
  <c r="C219" i="21"/>
  <c r="E220" i="21"/>
  <c r="G221" i="21"/>
  <c r="C223" i="21"/>
  <c r="E224" i="21"/>
  <c r="G225" i="21"/>
  <c r="C227" i="21"/>
  <c r="E228" i="21"/>
  <c r="G229" i="21"/>
  <c r="C231" i="21"/>
  <c r="E232" i="21"/>
  <c r="G233" i="21"/>
  <c r="C235" i="21"/>
  <c r="E236" i="21"/>
  <c r="G237" i="21"/>
  <c r="C239" i="21"/>
  <c r="E240" i="21"/>
  <c r="G241" i="21"/>
  <c r="C243" i="21"/>
  <c r="E244" i="21"/>
  <c r="G245" i="21"/>
  <c r="C247" i="21"/>
  <c r="E248" i="21"/>
  <c r="G249" i="21"/>
  <c r="C251" i="21"/>
  <c r="E252" i="21"/>
  <c r="G253" i="21"/>
  <c r="C255" i="21"/>
  <c r="E256" i="21"/>
  <c r="G257" i="21"/>
  <c r="C259" i="21"/>
  <c r="E260" i="21"/>
  <c r="G261" i="21"/>
  <c r="C263" i="21"/>
  <c r="E264" i="21"/>
  <c r="G265" i="21"/>
  <c r="C267" i="21"/>
  <c r="E268" i="21"/>
  <c r="G269" i="21"/>
  <c r="C271" i="21"/>
  <c r="E272" i="21"/>
  <c r="G273" i="21"/>
  <c r="C275" i="21"/>
  <c r="E276" i="21"/>
  <c r="G277" i="21"/>
  <c r="C279" i="21"/>
  <c r="E280" i="21"/>
  <c r="G281" i="21"/>
  <c r="C283" i="21"/>
  <c r="E284" i="21"/>
  <c r="G285" i="21"/>
  <c r="C287" i="21"/>
  <c r="E288" i="21"/>
  <c r="C12" i="21"/>
  <c r="B21" i="21"/>
  <c r="E28" i="21"/>
  <c r="F34" i="21"/>
  <c r="G40" i="21"/>
  <c r="C46" i="21"/>
  <c r="C50" i="21"/>
  <c r="D54" i="21"/>
  <c r="D58" i="21"/>
  <c r="D62" i="21"/>
  <c r="E66" i="21"/>
  <c r="E70" i="21"/>
  <c r="E74" i="21"/>
  <c r="F78" i="21"/>
  <c r="F82" i="21"/>
  <c r="F86" i="21"/>
  <c r="G90" i="21"/>
  <c r="G94" i="21"/>
  <c r="G98" i="21"/>
  <c r="B103" i="21"/>
  <c r="B107" i="21"/>
  <c r="B111" i="21"/>
  <c r="C115" i="21"/>
  <c r="C119" i="21"/>
  <c r="C123" i="21"/>
  <c r="G126" i="21"/>
  <c r="D130" i="21"/>
  <c r="G133" i="21"/>
  <c r="C137" i="21"/>
  <c r="D140" i="21"/>
  <c r="B143" i="21"/>
  <c r="F145" i="21"/>
  <c r="D148" i="21"/>
  <c r="B151" i="21"/>
  <c r="F153" i="21"/>
  <c r="D156" i="21"/>
  <c r="B159" i="21"/>
  <c r="F161" i="21"/>
  <c r="D164" i="21"/>
  <c r="C166" i="21"/>
  <c r="B168" i="21"/>
  <c r="F169" i="21"/>
  <c r="E171" i="21"/>
  <c r="D173" i="21"/>
  <c r="B175" i="21"/>
  <c r="G176" i="21"/>
  <c r="F178" i="21"/>
  <c r="D180" i="21"/>
  <c r="C182" i="21"/>
  <c r="B184" i="21"/>
  <c r="F185" i="21"/>
  <c r="E187" i="21"/>
  <c r="D189" i="21"/>
  <c r="B191" i="21"/>
  <c r="G192" i="21"/>
  <c r="F194" i="21"/>
  <c r="D196" i="21"/>
  <c r="C198" i="21"/>
  <c r="B200" i="21"/>
  <c r="F201" i="21"/>
  <c r="E203" i="21"/>
  <c r="D205" i="21"/>
  <c r="B207" i="21"/>
  <c r="G208" i="21"/>
  <c r="F210" i="21"/>
  <c r="D212" i="21"/>
  <c r="C214" i="21"/>
  <c r="B216" i="21"/>
  <c r="F217" i="21"/>
  <c r="E219" i="21"/>
  <c r="D221" i="21"/>
  <c r="B223" i="21"/>
  <c r="G224" i="21"/>
  <c r="F226" i="21"/>
  <c r="D228" i="21"/>
  <c r="C230" i="21"/>
  <c r="B232" i="21"/>
  <c r="F233" i="21"/>
  <c r="E235" i="21"/>
  <c r="D237" i="21"/>
  <c r="B239" i="21"/>
  <c r="G240" i="21"/>
  <c r="F242" i="21"/>
  <c r="D244" i="21"/>
  <c r="C246" i="21"/>
  <c r="B248" i="21"/>
  <c r="F249" i="21"/>
  <c r="E251" i="21"/>
  <c r="D253" i="21"/>
  <c r="B255" i="21"/>
  <c r="G256" i="21"/>
  <c r="F258" i="21"/>
  <c r="D260" i="21"/>
  <c r="C262" i="21"/>
  <c r="B264" i="21"/>
  <c r="F265" i="21"/>
  <c r="E267" i="21"/>
  <c r="D269" i="21"/>
  <c r="B271" i="21"/>
  <c r="G272" i="21"/>
  <c r="F274" i="21"/>
  <c r="D276" i="21"/>
  <c r="C278" i="21"/>
  <c r="B280" i="21"/>
  <c r="F281" i="21"/>
  <c r="E283" i="21"/>
  <c r="D285" i="21"/>
  <c r="B287" i="21"/>
  <c r="G288" i="21"/>
  <c r="C290" i="21"/>
  <c r="E291" i="21"/>
  <c r="G292" i="21"/>
  <c r="C294" i="21"/>
  <c r="E295" i="21"/>
  <c r="G296" i="21"/>
  <c r="C298" i="21"/>
  <c r="E299" i="21"/>
  <c r="G300" i="21"/>
  <c r="C302" i="21"/>
  <c r="E303" i="21"/>
  <c r="G304" i="21"/>
  <c r="C306" i="21"/>
  <c r="E307" i="21"/>
  <c r="G308" i="21"/>
  <c r="C310" i="21"/>
  <c r="E311" i="21"/>
  <c r="G312" i="21"/>
  <c r="C314" i="21"/>
  <c r="E315" i="21"/>
  <c r="G316" i="21"/>
  <c r="C318" i="21"/>
  <c r="E319" i="21"/>
  <c r="G320" i="21"/>
  <c r="C322" i="21"/>
  <c r="E323" i="21"/>
  <c r="G324" i="21"/>
  <c r="C326" i="21"/>
  <c r="E327" i="21"/>
  <c r="G328" i="21"/>
  <c r="C330" i="21"/>
  <c r="E331" i="21"/>
  <c r="G332" i="21"/>
  <c r="C334" i="21"/>
  <c r="E335" i="21"/>
  <c r="G336" i="21"/>
  <c r="C338" i="21"/>
  <c r="E339" i="21"/>
  <c r="G340" i="21"/>
  <c r="C342" i="21"/>
  <c r="E343" i="21"/>
  <c r="G344" i="21"/>
  <c r="C346" i="21"/>
  <c r="E347" i="21"/>
  <c r="G348" i="21"/>
  <c r="C350" i="21"/>
  <c r="E351" i="21"/>
  <c r="G352" i="21"/>
  <c r="C354" i="21"/>
  <c r="E355" i="21"/>
  <c r="G356" i="21"/>
  <c r="C358" i="21"/>
  <c r="E359" i="21"/>
  <c r="G360" i="21"/>
  <c r="C362" i="21"/>
  <c r="E363" i="21"/>
  <c r="G364" i="21"/>
  <c r="C366" i="21"/>
  <c r="E367" i="21"/>
  <c r="G368" i="21"/>
  <c r="C370" i="21"/>
  <c r="E371" i="21"/>
  <c r="E16" i="21"/>
  <c r="C25" i="21"/>
  <c r="F31" i="21"/>
  <c r="F37" i="21"/>
  <c r="G43" i="21"/>
  <c r="C48" i="21"/>
  <c r="C52" i="21"/>
  <c r="C56" i="21"/>
  <c r="D60" i="21"/>
  <c r="D64" i="21"/>
  <c r="D68" i="21"/>
  <c r="E72" i="21"/>
  <c r="E76" i="21"/>
  <c r="E80" i="21"/>
  <c r="G84" i="21"/>
  <c r="G88" i="21"/>
  <c r="G92" i="21"/>
  <c r="B97" i="21"/>
  <c r="B101" i="21"/>
  <c r="B105" i="21"/>
  <c r="C109" i="21"/>
  <c r="C113" i="21"/>
  <c r="C117" i="21"/>
  <c r="D121" i="21"/>
  <c r="B125" i="21"/>
  <c r="E128" i="21"/>
  <c r="C132" i="21"/>
  <c r="F135" i="21"/>
  <c r="G138" i="21"/>
  <c r="F141" i="21"/>
  <c r="D144" i="21"/>
  <c r="B147" i="21"/>
  <c r="F149" i="21"/>
  <c r="D152" i="21"/>
  <c r="B155" i="21"/>
  <c r="F157" i="21"/>
  <c r="D160" i="21"/>
  <c r="B163" i="21"/>
  <c r="D165" i="21"/>
  <c r="B167" i="21"/>
  <c r="G168" i="21"/>
  <c r="F170" i="21"/>
  <c r="D172" i="21"/>
  <c r="C174" i="21"/>
  <c r="B176" i="21"/>
  <c r="F177" i="21"/>
  <c r="E179" i="21"/>
  <c r="D181" i="21"/>
  <c r="B183" i="21"/>
  <c r="G184" i="21"/>
  <c r="F186" i="21"/>
  <c r="D188" i="21"/>
  <c r="C190" i="21"/>
  <c r="B192" i="21"/>
  <c r="F193" i="21"/>
  <c r="E195" i="21"/>
  <c r="D197" i="21"/>
  <c r="B199" i="21"/>
  <c r="G200" i="21"/>
  <c r="F202" i="21"/>
  <c r="D204" i="21"/>
  <c r="C206" i="21"/>
  <c r="B208" i="21"/>
  <c r="F209" i="21"/>
  <c r="E211" i="21"/>
  <c r="D213" i="21"/>
  <c r="B215" i="21"/>
  <c r="G216" i="21"/>
  <c r="F218" i="21"/>
  <c r="D220" i="21"/>
  <c r="C222" i="21"/>
  <c r="B224" i="21"/>
  <c r="F225" i="21"/>
  <c r="E227" i="21"/>
  <c r="D229" i="21"/>
  <c r="B231" i="21"/>
  <c r="G232" i="21"/>
  <c r="F234" i="21"/>
  <c r="D236" i="21"/>
  <c r="C238" i="21"/>
  <c r="B240" i="21"/>
  <c r="F241" i="21"/>
  <c r="E243" i="21"/>
  <c r="D245" i="21"/>
  <c r="B247" i="21"/>
  <c r="G248" i="21"/>
  <c r="F250" i="21"/>
  <c r="D252" i="21"/>
  <c r="C254" i="21"/>
  <c r="B256" i="21"/>
  <c r="F257" i="21"/>
  <c r="E259" i="21"/>
  <c r="D261" i="21"/>
  <c r="B263" i="21"/>
  <c r="G264" i="21"/>
  <c r="F266" i="21"/>
  <c r="D268" i="21"/>
  <c r="C270" i="21"/>
  <c r="B272" i="21"/>
  <c r="F273" i="21"/>
  <c r="E275" i="21"/>
  <c r="D277" i="21"/>
  <c r="B279" i="21"/>
  <c r="G280" i="21"/>
  <c r="F282" i="21"/>
  <c r="D284" i="21"/>
  <c r="C286" i="21"/>
  <c r="B288" i="21"/>
  <c r="E289" i="21"/>
  <c r="G290" i="21"/>
  <c r="C292" i="21"/>
  <c r="E293" i="21"/>
  <c r="G294" i="21"/>
  <c r="C296" i="21"/>
  <c r="E297" i="21"/>
  <c r="G298" i="21"/>
  <c r="C300" i="21"/>
  <c r="E301" i="21"/>
  <c r="G302" i="21"/>
  <c r="C304" i="21"/>
  <c r="E305" i="21"/>
  <c r="G306" i="21"/>
  <c r="C308" i="21"/>
  <c r="E309" i="21"/>
  <c r="G310" i="21"/>
  <c r="C312" i="21"/>
  <c r="E313" i="21"/>
  <c r="G314" i="21"/>
  <c r="C316" i="21"/>
  <c r="E317" i="21"/>
  <c r="G318" i="21"/>
  <c r="C320" i="21"/>
  <c r="E321" i="21"/>
  <c r="G322" i="21"/>
  <c r="C324" i="21"/>
  <c r="E325" i="21"/>
  <c r="G326" i="21"/>
  <c r="C328" i="21"/>
  <c r="E329" i="21"/>
  <c r="G330" i="21"/>
  <c r="C332" i="21"/>
  <c r="E333" i="21"/>
  <c r="G334" i="21"/>
  <c r="C336" i="21"/>
  <c r="E337" i="21"/>
  <c r="G338" i="21"/>
  <c r="C340" i="21"/>
  <c r="E341" i="21"/>
  <c r="G342" i="21"/>
  <c r="C344" i="21"/>
  <c r="E345" i="21"/>
  <c r="G346" i="21"/>
  <c r="C348" i="21"/>
  <c r="E349" i="21"/>
  <c r="G350" i="21"/>
  <c r="C352" i="21"/>
  <c r="E353" i="21"/>
  <c r="G354" i="21"/>
  <c r="C356" i="21"/>
  <c r="E357" i="21"/>
  <c r="G358" i="21"/>
  <c r="C360" i="21"/>
  <c r="E361" i="21"/>
  <c r="G362" i="21"/>
  <c r="C364" i="21"/>
  <c r="E365" i="21"/>
  <c r="G366" i="21"/>
  <c r="C368" i="21"/>
  <c r="E369" i="21"/>
  <c r="G370" i="21"/>
  <c r="D9" i="21"/>
  <c r="B20" i="21"/>
  <c r="C30" i="21"/>
  <c r="G45" i="21"/>
  <c r="C51" i="21"/>
  <c r="B57" i="21"/>
  <c r="C62" i="21"/>
  <c r="E67" i="21"/>
  <c r="D73" i="21"/>
  <c r="D78" i="21"/>
  <c r="F83" i="21"/>
  <c r="E89" i="21"/>
  <c r="F94" i="21"/>
  <c r="B100" i="21"/>
  <c r="F105" i="21"/>
  <c r="G110" i="21"/>
  <c r="C116" i="21"/>
  <c r="C122" i="21"/>
  <c r="E126" i="21"/>
  <c r="C131" i="21"/>
  <c r="D136" i="21"/>
  <c r="C140" i="21"/>
  <c r="F143" i="21"/>
  <c r="E147" i="21"/>
  <c r="G150" i="21"/>
  <c r="D154" i="21"/>
  <c r="C158" i="21"/>
  <c r="E161" i="21"/>
  <c r="G164" i="21"/>
  <c r="D167" i="21"/>
  <c r="E169" i="21"/>
  <c r="B172" i="21"/>
  <c r="D174" i="21"/>
  <c r="F176" i="21"/>
  <c r="B179" i="21"/>
  <c r="E181" i="21"/>
  <c r="F183" i="21"/>
  <c r="C186" i="21"/>
  <c r="F188" i="21"/>
  <c r="G190" i="21"/>
  <c r="D193" i="21"/>
  <c r="F195" i="21"/>
  <c r="B198" i="21"/>
  <c r="D200" i="21"/>
  <c r="G202" i="21"/>
  <c r="B205" i="21"/>
  <c r="E207" i="21"/>
  <c r="B210" i="21"/>
  <c r="C212" i="21"/>
  <c r="F214" i="21"/>
  <c r="D219" i="21"/>
  <c r="F221" i="21"/>
  <c r="C224" i="21"/>
  <c r="D226" i="21"/>
  <c r="G228" i="21"/>
  <c r="D231" i="21"/>
  <c r="E233" i="21"/>
  <c r="B236" i="21"/>
  <c r="F240" i="21"/>
  <c r="B243" i="21"/>
  <c r="E245" i="21"/>
  <c r="C250" i="21"/>
  <c r="D257" i="21"/>
  <c r="D264" i="21"/>
  <c r="B274" i="21"/>
  <c r="F285" i="21"/>
  <c r="D295" i="21"/>
  <c r="D10" i="21"/>
  <c r="D22" i="21"/>
  <c r="B31" i="21"/>
  <c r="C39" i="21"/>
  <c r="G46" i="21"/>
  <c r="B52" i="21"/>
  <c r="D57" i="21"/>
  <c r="B63" i="21"/>
  <c r="C68" i="21"/>
  <c r="E73" i="21"/>
  <c r="E79" i="21"/>
  <c r="D84" i="21"/>
  <c r="F89" i="21"/>
  <c r="F95" i="21"/>
  <c r="G100" i="21"/>
  <c r="C106" i="21"/>
  <c r="G111" i="21"/>
  <c r="B117" i="21"/>
  <c r="D122" i="21"/>
  <c r="E127" i="21"/>
  <c r="G131" i="21"/>
  <c r="E136" i="21"/>
  <c r="G140" i="21"/>
  <c r="C144" i="21"/>
  <c r="F147" i="21"/>
  <c r="E151" i="21"/>
  <c r="G154" i="21"/>
  <c r="D158" i="21"/>
  <c r="C162" i="21"/>
  <c r="B165" i="21"/>
  <c r="E167" i="21"/>
  <c r="B170" i="21"/>
  <c r="C172" i="21"/>
  <c r="F174" i="21"/>
  <c r="B177" i="21"/>
  <c r="D179" i="21"/>
  <c r="F181" i="21"/>
  <c r="C184" i="21"/>
  <c r="D186" i="21"/>
  <c r="G188" i="21"/>
  <c r="D191" i="21"/>
  <c r="E193" i="21"/>
  <c r="B196" i="21"/>
  <c r="D198" i="21"/>
  <c r="F200" i="21"/>
  <c r="B203" i="21"/>
  <c r="E205" i="21"/>
  <c r="F207" i="21"/>
  <c r="C210" i="21"/>
  <c r="F212" i="21"/>
  <c r="G214" i="21"/>
  <c r="D217" i="21"/>
  <c r="F219" i="21"/>
  <c r="B222" i="21"/>
  <c r="D224" i="21"/>
  <c r="G226" i="21"/>
  <c r="B229" i="21"/>
  <c r="E231" i="21"/>
  <c r="B234" i="21"/>
  <c r="C236" i="21"/>
  <c r="F238" i="21"/>
  <c r="B241" i="21"/>
  <c r="D243" i="21"/>
  <c r="F245" i="21"/>
  <c r="C248" i="21"/>
  <c r="D250" i="21"/>
  <c r="G252" i="21"/>
  <c r="D255" i="21"/>
  <c r="E257" i="21"/>
  <c r="B260" i="21"/>
  <c r="D262" i="21"/>
  <c r="F264" i="21"/>
  <c r="B267" i="21"/>
  <c r="E269" i="21"/>
  <c r="F271" i="21"/>
  <c r="C274" i="21"/>
  <c r="F276" i="21"/>
  <c r="G278" i="21"/>
  <c r="D281" i="21"/>
  <c r="F283" i="21"/>
  <c r="B286" i="21"/>
  <c r="D288" i="21"/>
  <c r="D290" i="21"/>
  <c r="B292" i="21"/>
  <c r="G293" i="21"/>
  <c r="F11" i="21"/>
  <c r="G22" i="21"/>
  <c r="E32" i="21"/>
  <c r="C40" i="21"/>
  <c r="B47" i="21"/>
  <c r="B53" i="21"/>
  <c r="C58" i="21"/>
  <c r="E63" i="21"/>
  <c r="C69" i="21"/>
  <c r="D74" i="21"/>
  <c r="F79" i="21"/>
  <c r="E85" i="21"/>
  <c r="E90" i="21"/>
  <c r="G95" i="21"/>
  <c r="F101" i="21"/>
  <c r="G106" i="21"/>
  <c r="C112" i="21"/>
  <c r="G117" i="21"/>
  <c r="B123" i="21"/>
  <c r="F127" i="21"/>
  <c r="G132" i="21"/>
  <c r="B137" i="21"/>
  <c r="B141" i="21"/>
  <c r="G144" i="21"/>
  <c r="C148" i="21"/>
  <c r="F151" i="21"/>
  <c r="E155" i="21"/>
  <c r="G158" i="21"/>
  <c r="D162" i="21"/>
  <c r="E165" i="21"/>
  <c r="F167" i="21"/>
  <c r="C170" i="21"/>
  <c r="F172" i="21"/>
  <c r="G174" i="21"/>
  <c r="D177" i="21"/>
  <c r="F179" i="21"/>
  <c r="B182" i="21"/>
  <c r="D184" i="21"/>
  <c r="G186" i="21"/>
  <c r="B189" i="21"/>
  <c r="E191" i="21"/>
  <c r="B194" i="21"/>
  <c r="C196" i="21"/>
  <c r="F198" i="21"/>
  <c r="B201" i="21"/>
  <c r="D203" i="21"/>
  <c r="F205" i="21"/>
  <c r="C208" i="21"/>
  <c r="D210" i="21"/>
  <c r="G212" i="21"/>
  <c r="D215" i="21"/>
  <c r="E217" i="21"/>
  <c r="B220" i="21"/>
  <c r="D222" i="21"/>
  <c r="F224" i="21"/>
  <c r="B227" i="21"/>
  <c r="E229" i="21"/>
  <c r="F231" i="21"/>
  <c r="C234" i="21"/>
  <c r="F236" i="21"/>
  <c r="G238" i="21"/>
  <c r="D241" i="21"/>
  <c r="F243" i="21"/>
  <c r="B246" i="21"/>
  <c r="D248" i="21"/>
  <c r="G250" i="21"/>
  <c r="B253" i="21"/>
  <c r="E255" i="21"/>
  <c r="B258" i="21"/>
  <c r="C260" i="21"/>
  <c r="F262" i="21"/>
  <c r="B265" i="21"/>
  <c r="D267" i="21"/>
  <c r="F269" i="21"/>
  <c r="C272" i="21"/>
  <c r="D274" i="21"/>
  <c r="G276" i="21"/>
  <c r="D279" i="21"/>
  <c r="E281" i="21"/>
  <c r="B284" i="21"/>
  <c r="D286" i="21"/>
  <c r="F288" i="21"/>
  <c r="E290" i="21"/>
  <c r="D292" i="21"/>
  <c r="B294" i="21"/>
  <c r="E13" i="21"/>
  <c r="C24" i="21"/>
  <c r="C33" i="21"/>
  <c r="F41" i="21"/>
  <c r="G47" i="21"/>
  <c r="C53" i="21"/>
  <c r="B59" i="21"/>
  <c r="C64" i="21"/>
  <c r="E69" i="21"/>
  <c r="C75" i="21"/>
  <c r="D80" i="21"/>
  <c r="F85" i="21"/>
  <c r="F91" i="21"/>
  <c r="E96" i="21"/>
  <c r="G101" i="21"/>
  <c r="G107" i="21"/>
  <c r="B113" i="21"/>
  <c r="D118" i="21"/>
  <c r="G123" i="21"/>
  <c r="D128" i="21"/>
  <c r="B133" i="21"/>
  <c r="G137" i="21"/>
  <c r="E141" i="21"/>
  <c r="B145" i="21"/>
  <c r="G148" i="21"/>
  <c r="C152" i="21"/>
  <c r="F155" i="21"/>
  <c r="E159" i="21"/>
  <c r="G162" i="21"/>
  <c r="F165" i="21"/>
  <c r="C168" i="21"/>
  <c r="D170" i="21"/>
  <c r="G172" i="21"/>
  <c r="D175" i="21"/>
  <c r="E177" i="21"/>
  <c r="B180" i="21"/>
  <c r="D182" i="21"/>
  <c r="F184" i="21"/>
  <c r="B187" i="21"/>
  <c r="E189" i="21"/>
  <c r="F191" i="21"/>
  <c r="C194" i="21"/>
  <c r="F196" i="21"/>
  <c r="G198" i="21"/>
  <c r="D201" i="21"/>
  <c r="F203" i="21"/>
  <c r="B206" i="21"/>
  <c r="D208" i="21"/>
  <c r="G210" i="21"/>
  <c r="B213" i="21"/>
  <c r="E215" i="21"/>
  <c r="B218" i="21"/>
  <c r="C220" i="21"/>
  <c r="F222" i="21"/>
  <c r="B225" i="21"/>
  <c r="D227" i="21"/>
  <c r="F229" i="21"/>
  <c r="C232" i="21"/>
  <c r="D234" i="21"/>
  <c r="G236" i="21"/>
  <c r="D239" i="21"/>
  <c r="E241" i="21"/>
  <c r="B244" i="21"/>
  <c r="D246" i="21"/>
  <c r="F248" i="21"/>
  <c r="B251" i="21"/>
  <c r="E253" i="21"/>
  <c r="F255" i="21"/>
  <c r="C258" i="21"/>
  <c r="F260" i="21"/>
  <c r="G262" i="21"/>
  <c r="D265" i="21"/>
  <c r="F267" i="21"/>
  <c r="B270" i="21"/>
  <c r="D272" i="21"/>
  <c r="G274" i="21"/>
  <c r="B277" i="21"/>
  <c r="E279" i="21"/>
  <c r="B282" i="21"/>
  <c r="C284" i="21"/>
  <c r="F286" i="21"/>
  <c r="B289" i="21"/>
  <c r="F290" i="21"/>
  <c r="E292" i="21"/>
  <c r="D294" i="21"/>
  <c r="B296" i="21"/>
  <c r="G297" i="21"/>
  <c r="F299" i="21"/>
  <c r="D301" i="21"/>
  <c r="C303" i="21"/>
  <c r="B305" i="21"/>
  <c r="F306" i="21"/>
  <c r="E308" i="21"/>
  <c r="D310" i="21"/>
  <c r="B312" i="21"/>
  <c r="G313" i="21"/>
  <c r="F315" i="21"/>
  <c r="D317" i="21"/>
  <c r="C319" i="21"/>
  <c r="B321" i="21"/>
  <c r="F322" i="21"/>
  <c r="E324" i="21"/>
  <c r="D326" i="21"/>
  <c r="B328" i="21"/>
  <c r="G329" i="21"/>
  <c r="F331" i="21"/>
  <c r="D333" i="21"/>
  <c r="C335" i="21"/>
  <c r="B337" i="21"/>
  <c r="F338" i="21"/>
  <c r="E340" i="21"/>
  <c r="D342" i="21"/>
  <c r="B344" i="21"/>
  <c r="G345" i="21"/>
  <c r="F347" i="21"/>
  <c r="D349" i="21"/>
  <c r="C351" i="21"/>
  <c r="B353" i="21"/>
  <c r="F354" i="21"/>
  <c r="E356" i="21"/>
  <c r="D358" i="21"/>
  <c r="B360" i="21"/>
  <c r="G361" i="21"/>
  <c r="F363" i="21"/>
  <c r="D365" i="21"/>
  <c r="C367" i="21"/>
  <c r="B369" i="21"/>
  <c r="F370" i="21"/>
  <c r="D372" i="21"/>
  <c r="F373" i="21"/>
  <c r="B375" i="21"/>
  <c r="D376" i="21"/>
  <c r="F377" i="21"/>
  <c r="B379" i="21"/>
  <c r="D380" i="21"/>
  <c r="F381" i="21"/>
  <c r="B383" i="21"/>
  <c r="D384" i="21"/>
  <c r="F385" i="21"/>
  <c r="B387" i="21"/>
  <c r="D388" i="21"/>
  <c r="F389" i="21"/>
  <c r="B391" i="21"/>
  <c r="D392" i="21"/>
  <c r="F393" i="21"/>
  <c r="B395" i="21"/>
  <c r="D396" i="21"/>
  <c r="F397" i="21"/>
  <c r="B399" i="21"/>
  <c r="D400" i="21"/>
  <c r="F401" i="21"/>
  <c r="B403" i="21"/>
  <c r="D404" i="21"/>
  <c r="F405" i="21"/>
  <c r="B407" i="21"/>
  <c r="D408" i="21"/>
  <c r="F409" i="21"/>
  <c r="B411" i="21"/>
  <c r="D412" i="21"/>
  <c r="F413" i="21"/>
  <c r="B415" i="21"/>
  <c r="D416" i="21"/>
  <c r="F417" i="21"/>
  <c r="B419" i="21"/>
  <c r="D420" i="21"/>
  <c r="F421" i="21"/>
  <c r="B423" i="21"/>
  <c r="D424" i="21"/>
  <c r="F425" i="21"/>
  <c r="B427" i="21"/>
  <c r="D428" i="21"/>
  <c r="F429" i="21"/>
  <c r="B431" i="21"/>
  <c r="D432" i="21"/>
  <c r="F433" i="21"/>
  <c r="B435" i="21"/>
  <c r="D436" i="21"/>
  <c r="F437" i="21"/>
  <c r="B439" i="21"/>
  <c r="D440" i="21"/>
  <c r="F441" i="21"/>
  <c r="B443" i="21"/>
  <c r="D444" i="21"/>
  <c r="F445" i="21"/>
  <c r="B447" i="21"/>
  <c r="D448" i="21"/>
  <c r="F449" i="21"/>
  <c r="B451" i="21"/>
  <c r="D452" i="21"/>
  <c r="F453" i="21"/>
  <c r="B455" i="21"/>
  <c r="D456" i="21"/>
  <c r="F457" i="21"/>
  <c r="B459" i="21"/>
  <c r="D460" i="21"/>
  <c r="F461" i="21"/>
  <c r="B463" i="21"/>
  <c r="D464" i="21"/>
  <c r="F465" i="21"/>
  <c r="B467" i="21"/>
  <c r="D468" i="21"/>
  <c r="F469" i="21"/>
  <c r="B471" i="21"/>
  <c r="D472" i="21"/>
  <c r="F473" i="21"/>
  <c r="B475" i="21"/>
  <c r="D476" i="21"/>
  <c r="F477" i="21"/>
  <c r="B479" i="21"/>
  <c r="D480" i="21"/>
  <c r="F481" i="21"/>
  <c r="B483" i="21"/>
  <c r="D484" i="21"/>
  <c r="F485" i="21"/>
  <c r="B487" i="21"/>
  <c r="D488" i="21"/>
  <c r="F489" i="21"/>
  <c r="B491" i="21"/>
  <c r="D492" i="21"/>
  <c r="F493" i="21"/>
  <c r="B495" i="21"/>
  <c r="D496" i="21"/>
  <c r="F497" i="21"/>
  <c r="B499" i="21"/>
  <c r="D500" i="21"/>
  <c r="F501" i="21"/>
  <c r="D42" i="21"/>
  <c r="F215" i="21"/>
  <c r="E239" i="21"/>
  <c r="F246" i="21"/>
  <c r="D251" i="21"/>
  <c r="F253" i="21"/>
  <c r="D258" i="21"/>
  <c r="G260" i="21"/>
  <c r="E265" i="21"/>
  <c r="B268" i="21"/>
  <c r="D270" i="21"/>
  <c r="B275" i="21"/>
  <c r="E277" i="21"/>
  <c r="F279" i="21"/>
  <c r="C282" i="21"/>
  <c r="G286" i="21"/>
  <c r="C289" i="21"/>
  <c r="B291" i="21"/>
  <c r="F292" i="21"/>
  <c r="D296" i="21"/>
  <c r="B298" i="21"/>
  <c r="G299" i="21"/>
  <c r="F301" i="21"/>
  <c r="D303" i="21"/>
  <c r="E14" i="21"/>
  <c r="D26" i="21"/>
  <c r="C34" i="21"/>
  <c r="B49" i="21"/>
  <c r="G53" i="21"/>
  <c r="C59" i="21"/>
  <c r="C65" i="21"/>
  <c r="D70" i="21"/>
  <c r="F75" i="21"/>
  <c r="D81" i="21"/>
  <c r="E86" i="21"/>
  <c r="G91" i="21"/>
  <c r="F97" i="21"/>
  <c r="F102" i="21"/>
  <c r="B108" i="21"/>
  <c r="G113" i="21"/>
  <c r="B119" i="21"/>
  <c r="C124" i="21"/>
  <c r="C129" i="21"/>
  <c r="F133" i="21"/>
  <c r="B138" i="21"/>
  <c r="C142" i="21"/>
  <c r="E145" i="21"/>
  <c r="B149" i="21"/>
  <c r="G152" i="21"/>
  <c r="C156" i="21"/>
  <c r="F159" i="21"/>
  <c r="E163" i="21"/>
  <c r="B166" i="21"/>
  <c r="D168" i="21"/>
  <c r="G170" i="21"/>
  <c r="B173" i="21"/>
  <c r="E175" i="21"/>
  <c r="B178" i="21"/>
  <c r="C180" i="21"/>
  <c r="F182" i="21"/>
  <c r="B185" i="21"/>
  <c r="D187" i="21"/>
  <c r="F189" i="21"/>
  <c r="C192" i="21"/>
  <c r="D194" i="21"/>
  <c r="G196" i="21"/>
  <c r="D199" i="21"/>
  <c r="E201" i="21"/>
  <c r="B204" i="21"/>
  <c r="D206" i="21"/>
  <c r="F208" i="21"/>
  <c r="B211" i="21"/>
  <c r="E213" i="21"/>
  <c r="C218" i="21"/>
  <c r="F220" i="21"/>
  <c r="G222" i="21"/>
  <c r="D225" i="21"/>
  <c r="F227" i="21"/>
  <c r="B230" i="21"/>
  <c r="D232" i="21"/>
  <c r="G234" i="21"/>
  <c r="B237" i="21"/>
  <c r="B242" i="21"/>
  <c r="C244" i="21"/>
  <c r="B249" i="21"/>
  <c r="C256" i="21"/>
  <c r="D263" i="21"/>
  <c r="F272" i="21"/>
  <c r="F284" i="21"/>
  <c r="E294" i="21"/>
  <c r="G15" i="21"/>
  <c r="G26" i="21"/>
  <c r="F35" i="21"/>
  <c r="C43" i="21"/>
  <c r="C49" i="21"/>
  <c r="B55" i="21"/>
  <c r="B60" i="21"/>
  <c r="D65" i="21"/>
  <c r="C71" i="21"/>
  <c r="D76" i="21"/>
  <c r="F81" i="21"/>
  <c r="E87" i="21"/>
  <c r="E92" i="21"/>
  <c r="G97" i="21"/>
  <c r="G103" i="21"/>
  <c r="G108" i="21"/>
  <c r="C114" i="21"/>
  <c r="B120" i="21"/>
  <c r="G124" i="21"/>
  <c r="E129" i="21"/>
  <c r="E134" i="21"/>
  <c r="E138" i="21"/>
  <c r="D142" i="21"/>
  <c r="C146" i="21"/>
  <c r="E149" i="21"/>
  <c r="B153" i="21"/>
  <c r="G156" i="21"/>
  <c r="C160" i="21"/>
  <c r="F163" i="21"/>
  <c r="D166" i="21"/>
  <c r="F168" i="21"/>
  <c r="B171" i="21"/>
  <c r="E173" i="21"/>
  <c r="F175" i="21"/>
  <c r="C178" i="21"/>
  <c r="F180" i="21"/>
  <c r="G182" i="21"/>
  <c r="D185" i="21"/>
  <c r="F187" i="21"/>
  <c r="B190" i="21"/>
  <c r="D192" i="21"/>
  <c r="G194" i="21"/>
  <c r="B197" i="21"/>
  <c r="E199" i="21"/>
  <c r="B202" i="21"/>
  <c r="C204" i="21"/>
  <c r="F206" i="21"/>
  <c r="B209" i="21"/>
  <c r="D211" i="21"/>
  <c r="F213" i="21"/>
  <c r="C216" i="21"/>
  <c r="D218" i="21"/>
  <c r="G220" i="21"/>
  <c r="D223" i="21"/>
  <c r="E225" i="21"/>
  <c r="B228" i="21"/>
  <c r="D230" i="21"/>
  <c r="F232" i="21"/>
  <c r="B235" i="21"/>
  <c r="E237" i="21"/>
  <c r="F239" i="21"/>
  <c r="C242" i="21"/>
  <c r="F244" i="21"/>
  <c r="G246" i="21"/>
  <c r="D249" i="21"/>
  <c r="F251" i="21"/>
  <c r="B254" i="21"/>
  <c r="D256" i="21"/>
  <c r="G258" i="21"/>
  <c r="B261" i="21"/>
  <c r="E263" i="21"/>
  <c r="B266" i="21"/>
  <c r="C268" i="21"/>
  <c r="F270" i="21"/>
  <c r="B273" i="21"/>
  <c r="D275" i="21"/>
  <c r="F277" i="21"/>
  <c r="C280" i="21"/>
  <c r="D282" i="21"/>
  <c r="G284" i="21"/>
  <c r="D287" i="21"/>
  <c r="D289" i="21"/>
  <c r="C291" i="21"/>
  <c r="B293" i="21"/>
  <c r="F294" i="21"/>
  <c r="G17" i="21"/>
  <c r="B28" i="21"/>
  <c r="C36" i="21"/>
  <c r="G44" i="21"/>
  <c r="G49" i="21"/>
  <c r="C55" i="21"/>
  <c r="C61" i="21"/>
  <c r="C66" i="21"/>
  <c r="E71" i="21"/>
  <c r="D77" i="21"/>
  <c r="E82" i="21"/>
  <c r="G87" i="21"/>
  <c r="E93" i="21"/>
  <c r="F98" i="21"/>
  <c r="B104" i="21"/>
  <c r="G109" i="21"/>
  <c r="G114" i="21"/>
  <c r="C120" i="21"/>
  <c r="F125" i="21"/>
  <c r="C130" i="21"/>
  <c r="G134" i="21"/>
  <c r="D139" i="21"/>
  <c r="G142" i="21"/>
  <c r="D146" i="21"/>
  <c r="C150" i="21"/>
  <c r="E153" i="21"/>
  <c r="B157" i="21"/>
  <c r="G160" i="21"/>
  <c r="C164" i="21"/>
  <c r="F166" i="21"/>
  <c r="B169" i="21"/>
  <c r="D171" i="21"/>
  <c r="F173" i="21"/>
  <c r="C176" i="21"/>
  <c r="D178" i="21"/>
  <c r="G180" i="21"/>
  <c r="D183" i="21"/>
  <c r="E185" i="21"/>
  <c r="B188" i="21"/>
  <c r="D190" i="21"/>
  <c r="F192" i="21"/>
  <c r="B195" i="21"/>
  <c r="E197" i="21"/>
  <c r="F199" i="21"/>
  <c r="C202" i="21"/>
  <c r="F204" i="21"/>
  <c r="G206" i="21"/>
  <c r="D209" i="21"/>
  <c r="F211" i="21"/>
  <c r="B214" i="21"/>
  <c r="D216" i="21"/>
  <c r="G218" i="21"/>
  <c r="B221" i="21"/>
  <c r="E223" i="21"/>
  <c r="B226" i="21"/>
  <c r="C228" i="21"/>
  <c r="F230" i="21"/>
  <c r="B233" i="21"/>
  <c r="D235" i="21"/>
  <c r="F237" i="21"/>
  <c r="C240" i="21"/>
  <c r="D242" i="21"/>
  <c r="G244" i="21"/>
  <c r="D247" i="21"/>
  <c r="E249" i="21"/>
  <c r="B252" i="21"/>
  <c r="D254" i="21"/>
  <c r="F256" i="21"/>
  <c r="B259" i="21"/>
  <c r="E261" i="21"/>
  <c r="F263" i="21"/>
  <c r="C266" i="21"/>
  <c r="F268" i="21"/>
  <c r="G270" i="21"/>
  <c r="D273" i="21"/>
  <c r="F275" i="21"/>
  <c r="B278" i="21"/>
  <c r="D280" i="21"/>
  <c r="G282" i="21"/>
  <c r="B285" i="21"/>
  <c r="E287" i="21"/>
  <c r="F289" i="21"/>
  <c r="D291" i="21"/>
  <c r="C293" i="21"/>
  <c r="B295" i="21"/>
  <c r="F18" i="21"/>
  <c r="E29" i="21"/>
  <c r="C37" i="21"/>
  <c r="C45" i="21"/>
  <c r="G50" i="21"/>
  <c r="B56" i="21"/>
  <c r="D61" i="21"/>
  <c r="C67" i="21"/>
  <c r="C72" i="21"/>
  <c r="E77" i="21"/>
  <c r="E83" i="21"/>
  <c r="E88" i="21"/>
  <c r="G93" i="21"/>
  <c r="F99" i="21"/>
  <c r="G104" i="21"/>
  <c r="C110" i="21"/>
  <c r="B116" i="21"/>
  <c r="B121" i="21"/>
  <c r="G125" i="21"/>
  <c r="B131" i="21"/>
  <c r="E135" i="21"/>
  <c r="E139" i="21"/>
  <c r="E143" i="21"/>
  <c r="G146" i="21"/>
  <c r="D150" i="21"/>
  <c r="C154" i="21"/>
  <c r="E157" i="21"/>
  <c r="B161" i="21"/>
  <c r="F164" i="21"/>
  <c r="G166" i="21"/>
  <c r="D169" i="21"/>
  <c r="F171" i="21"/>
  <c r="B174" i="21"/>
  <c r="D176" i="21"/>
  <c r="G178" i="21"/>
  <c r="B181" i="21"/>
  <c r="E183" i="21"/>
  <c r="B186" i="21"/>
  <c r="C188" i="21"/>
  <c r="F190" i="21"/>
  <c r="B193" i="21"/>
  <c r="D195" i="21"/>
  <c r="F197" i="21"/>
  <c r="C200" i="21"/>
  <c r="D202" i="21"/>
  <c r="G204" i="21"/>
  <c r="D207" i="21"/>
  <c r="E209" i="21"/>
  <c r="B212" i="21"/>
  <c r="D214" i="21"/>
  <c r="F216" i="21"/>
  <c r="B219" i="21"/>
  <c r="E221" i="21"/>
  <c r="F223" i="21"/>
  <c r="C226" i="21"/>
  <c r="F228" i="21"/>
  <c r="G230" i="21"/>
  <c r="D233" i="21"/>
  <c r="F235" i="21"/>
  <c r="B238" i="21"/>
  <c r="D240" i="21"/>
  <c r="G242" i="21"/>
  <c r="B245" i="21"/>
  <c r="E247" i="21"/>
  <c r="B250" i="21"/>
  <c r="C252" i="21"/>
  <c r="F254" i="21"/>
  <c r="B257" i="21"/>
  <c r="D259" i="21"/>
  <c r="F261" i="21"/>
  <c r="C264" i="21"/>
  <c r="D266" i="21"/>
  <c r="G268" i="21"/>
  <c r="D271" i="21"/>
  <c r="E273" i="21"/>
  <c r="B276" i="21"/>
  <c r="D278" i="21"/>
  <c r="F280" i="21"/>
  <c r="B283" i="21"/>
  <c r="E285" i="21"/>
  <c r="F287" i="21"/>
  <c r="G289" i="21"/>
  <c r="F291" i="21"/>
  <c r="D293" i="21"/>
  <c r="C295" i="21"/>
  <c r="B297" i="21"/>
  <c r="F298" i="21"/>
  <c r="E300" i="21"/>
  <c r="D302" i="21"/>
  <c r="B304" i="21"/>
  <c r="G305" i="21"/>
  <c r="F307" i="21"/>
  <c r="D309" i="21"/>
  <c r="C311" i="21"/>
  <c r="B313" i="21"/>
  <c r="F314" i="21"/>
  <c r="E316" i="21"/>
  <c r="D318" i="21"/>
  <c r="B320" i="21"/>
  <c r="G321" i="21"/>
  <c r="F323" i="21"/>
  <c r="D325" i="21"/>
  <c r="C327" i="21"/>
  <c r="B329" i="21"/>
  <c r="F330" i="21"/>
  <c r="E332" i="21"/>
  <c r="D334" i="21"/>
  <c r="B336" i="21"/>
  <c r="G337" i="21"/>
  <c r="F339" i="21"/>
  <c r="D341" i="21"/>
  <c r="C343" i="21"/>
  <c r="B345" i="21"/>
  <c r="F346" i="21"/>
  <c r="E348" i="21"/>
  <c r="D350" i="21"/>
  <c r="B352" i="21"/>
  <c r="G353" i="21"/>
  <c r="F355" i="21"/>
  <c r="D357" i="21"/>
  <c r="C359" i="21"/>
  <c r="B361" i="21"/>
  <c r="F362" i="21"/>
  <c r="E364" i="21"/>
  <c r="D366" i="21"/>
  <c r="B368" i="21"/>
  <c r="G369" i="21"/>
  <c r="F371" i="21"/>
  <c r="B373" i="21"/>
  <c r="D374" i="21"/>
  <c r="F375" i="21"/>
  <c r="B377" i="21"/>
  <c r="D378" i="21"/>
  <c r="F379" i="21"/>
  <c r="B381" i="21"/>
  <c r="D382" i="21"/>
  <c r="F383" i="21"/>
  <c r="B385" i="21"/>
  <c r="D386" i="21"/>
  <c r="F387" i="21"/>
  <c r="B389" i="21"/>
  <c r="D390" i="21"/>
  <c r="F391" i="21"/>
  <c r="B393" i="21"/>
  <c r="D394" i="21"/>
  <c r="F395" i="21"/>
  <c r="B397" i="21"/>
  <c r="D398" i="21"/>
  <c r="F399" i="21"/>
  <c r="B401" i="21"/>
  <c r="D402" i="21"/>
  <c r="F403" i="21"/>
  <c r="B405" i="21"/>
  <c r="D406" i="21"/>
  <c r="F407" i="21"/>
  <c r="B409" i="21"/>
  <c r="D410" i="21"/>
  <c r="F411" i="21"/>
  <c r="B413" i="21"/>
  <c r="D414" i="21"/>
  <c r="F415" i="21"/>
  <c r="B417" i="21"/>
  <c r="D418" i="21"/>
  <c r="F419" i="21"/>
  <c r="B421" i="21"/>
  <c r="D422" i="21"/>
  <c r="F423" i="21"/>
  <c r="B425" i="21"/>
  <c r="D426" i="21"/>
  <c r="F427" i="21"/>
  <c r="B429" i="21"/>
  <c r="D430" i="21"/>
  <c r="F431" i="21"/>
  <c r="B433" i="21"/>
  <c r="D434" i="21"/>
  <c r="F435" i="21"/>
  <c r="B437" i="21"/>
  <c r="D438" i="21"/>
  <c r="F439" i="21"/>
  <c r="B441" i="21"/>
  <c r="D442" i="21"/>
  <c r="F443" i="21"/>
  <c r="B445" i="21"/>
  <c r="D446" i="21"/>
  <c r="F447" i="21"/>
  <c r="B449" i="21"/>
  <c r="D450" i="21"/>
  <c r="F451" i="21"/>
  <c r="B453" i="21"/>
  <c r="D454" i="21"/>
  <c r="F455" i="21"/>
  <c r="B457" i="21"/>
  <c r="D458" i="21"/>
  <c r="F459" i="21"/>
  <c r="B461" i="21"/>
  <c r="D462" i="21"/>
  <c r="F463" i="21"/>
  <c r="B465" i="21"/>
  <c r="D466" i="21"/>
  <c r="F467" i="21"/>
  <c r="B469" i="21"/>
  <c r="D470" i="21"/>
  <c r="F471" i="21"/>
  <c r="B473" i="21"/>
  <c r="D474" i="21"/>
  <c r="F475" i="21"/>
  <c r="B477" i="21"/>
  <c r="D478" i="21"/>
  <c r="F479" i="21"/>
  <c r="B481" i="21"/>
  <c r="D482" i="21"/>
  <c r="F483" i="21"/>
  <c r="B485" i="21"/>
  <c r="D486" i="21"/>
  <c r="F487" i="21"/>
  <c r="B489" i="21"/>
  <c r="D490" i="21"/>
  <c r="F491" i="21"/>
  <c r="B493" i="21"/>
  <c r="D494" i="21"/>
  <c r="F495" i="21"/>
  <c r="B497" i="21"/>
  <c r="D498" i="21"/>
  <c r="F499" i="21"/>
  <c r="B501" i="21"/>
  <c r="F38" i="21"/>
  <c r="B217" i="21"/>
  <c r="D238" i="21"/>
  <c r="F247" i="21"/>
  <c r="F252" i="21"/>
  <c r="G254" i="21"/>
  <c r="F259" i="21"/>
  <c r="B262" i="21"/>
  <c r="G266" i="21"/>
  <c r="B269" i="21"/>
  <c r="E271" i="21"/>
  <c r="C276" i="21"/>
  <c r="F278" i="21"/>
  <c r="B281" i="21"/>
  <c r="D283" i="21"/>
  <c r="C288" i="21"/>
  <c r="B290" i="21"/>
  <c r="G291" i="21"/>
  <c r="F293" i="21"/>
  <c r="C297" i="21"/>
  <c r="B299" i="21"/>
  <c r="F300" i="21"/>
  <c r="E302" i="21"/>
  <c r="D304" i="21"/>
  <c r="F295" i="21"/>
  <c r="C299" i="21"/>
  <c r="F302" i="21"/>
  <c r="F305" i="21"/>
  <c r="B308" i="21"/>
  <c r="E310" i="21"/>
  <c r="F312" i="21"/>
  <c r="C315" i="21"/>
  <c r="F317" i="21"/>
  <c r="G319" i="21"/>
  <c r="D322" i="21"/>
  <c r="F324" i="21"/>
  <c r="B327" i="21"/>
  <c r="D329" i="21"/>
  <c r="G331" i="21"/>
  <c r="B334" i="21"/>
  <c r="E336" i="21"/>
  <c r="B339" i="21"/>
  <c r="C341" i="21"/>
  <c r="F343" i="21"/>
  <c r="B346" i="21"/>
  <c r="D348" i="21"/>
  <c r="F350" i="21"/>
  <c r="C353" i="21"/>
  <c r="D355" i="21"/>
  <c r="D360" i="21"/>
  <c r="E362" i="21"/>
  <c r="B365" i="21"/>
  <c r="D367" i="21"/>
  <c r="F369" i="21"/>
  <c r="B372" i="21"/>
  <c r="G373" i="21"/>
  <c r="E375" i="21"/>
  <c r="D377" i="21"/>
  <c r="C379" i="21"/>
  <c r="G380" i="21"/>
  <c r="F382" i="21"/>
  <c r="E384" i="21"/>
  <c r="C386" i="21"/>
  <c r="B388" i="21"/>
  <c r="G389" i="21"/>
  <c r="E391" i="21"/>
  <c r="C395" i="21"/>
  <c r="G396" i="21"/>
  <c r="E400" i="21"/>
  <c r="B404" i="21"/>
  <c r="D409" i="21"/>
  <c r="F414" i="21"/>
  <c r="G421" i="21"/>
  <c r="G428" i="21"/>
  <c r="E439" i="21"/>
  <c r="B452" i="21"/>
  <c r="F462" i="21"/>
  <c r="D473" i="21"/>
  <c r="G485" i="21"/>
  <c r="C498" i="21"/>
  <c r="C313" i="21"/>
  <c r="B370" i="21"/>
  <c r="C381" i="21"/>
  <c r="C388" i="21"/>
  <c r="E393" i="21"/>
  <c r="C397" i="21"/>
  <c r="E402" i="21"/>
  <c r="B406" i="21"/>
  <c r="G407" i="21"/>
  <c r="C413" i="21"/>
  <c r="F416" i="21"/>
  <c r="C420" i="21"/>
  <c r="G423" i="21"/>
  <c r="C429" i="21"/>
  <c r="F432" i="21"/>
  <c r="C436" i="21"/>
  <c r="E441" i="21"/>
  <c r="C445" i="21"/>
  <c r="F448" i="21"/>
  <c r="B454" i="21"/>
  <c r="E457" i="21"/>
  <c r="C461" i="21"/>
  <c r="E466" i="21"/>
  <c r="B470" i="21"/>
  <c r="D475" i="21"/>
  <c r="G478" i="21"/>
  <c r="E482" i="21"/>
  <c r="G487" i="21"/>
  <c r="D491" i="21"/>
  <c r="G295" i="21"/>
  <c r="B303" i="21"/>
  <c r="B306" i="21"/>
  <c r="D308" i="21"/>
  <c r="F310" i="21"/>
  <c r="D315" i="21"/>
  <c r="G317" i="21"/>
  <c r="D320" i="21"/>
  <c r="E322" i="21"/>
  <c r="B325" i="21"/>
  <c r="D327" i="21"/>
  <c r="F329" i="21"/>
  <c r="B332" i="21"/>
  <c r="E334" i="21"/>
  <c r="F336" i="21"/>
  <c r="C339" i="21"/>
  <c r="F341" i="21"/>
  <c r="G343" i="21"/>
  <c r="D346" i="21"/>
  <c r="F348" i="21"/>
  <c r="B351" i="21"/>
  <c r="D353" i="21"/>
  <c r="G355" i="21"/>
  <c r="E360" i="21"/>
  <c r="B363" i="21"/>
  <c r="C365" i="21"/>
  <c r="F367" i="21"/>
  <c r="B374" i="21"/>
  <c r="D379" i="21"/>
  <c r="F384" i="21"/>
  <c r="B390" i="21"/>
  <c r="F400" i="21"/>
  <c r="D411" i="21"/>
  <c r="E425" i="21"/>
  <c r="B438" i="21"/>
  <c r="C452" i="21"/>
  <c r="G462" i="21"/>
  <c r="G471" i="21"/>
  <c r="C484" i="21"/>
  <c r="E296" i="21"/>
  <c r="B300" i="21"/>
  <c r="F303" i="21"/>
  <c r="D306" i="21"/>
  <c r="F308" i="21"/>
  <c r="B311" i="21"/>
  <c r="D313" i="21"/>
  <c r="G315" i="21"/>
  <c r="B318" i="21"/>
  <c r="E320" i="21"/>
  <c r="B323" i="21"/>
  <c r="C325" i="21"/>
  <c r="F327" i="21"/>
  <c r="B330" i="21"/>
  <c r="D332" i="21"/>
  <c r="F334" i="21"/>
  <c r="C337" i="21"/>
  <c r="D339" i="21"/>
  <c r="G341" i="21"/>
  <c r="D344" i="21"/>
  <c r="E346" i="21"/>
  <c r="B349" i="21"/>
  <c r="D351" i="21"/>
  <c r="F353" i="21"/>
  <c r="B356" i="21"/>
  <c r="E358" i="21"/>
  <c r="F360" i="21"/>
  <c r="C363" i="21"/>
  <c r="F365" i="21"/>
  <c r="G367" i="21"/>
  <c r="D370" i="21"/>
  <c r="E372" i="21"/>
  <c r="C374" i="21"/>
  <c r="B376" i="21"/>
  <c r="G377" i="21"/>
  <c r="E379" i="21"/>
  <c r="D381" i="21"/>
  <c r="C383" i="21"/>
  <c r="G384" i="21"/>
  <c r="F386" i="21"/>
  <c r="E388" i="21"/>
  <c r="C390" i="21"/>
  <c r="B392" i="21"/>
  <c r="G393" i="21"/>
  <c r="E395" i="21"/>
  <c r="D397" i="21"/>
  <c r="C399" i="21"/>
  <c r="G400" i="21"/>
  <c r="F402" i="21"/>
  <c r="E404" i="21"/>
  <c r="C406" i="21"/>
  <c r="B408" i="21"/>
  <c r="G409" i="21"/>
  <c r="E411" i="21"/>
  <c r="D413" i="21"/>
  <c r="C415" i="21"/>
  <c r="G416" i="21"/>
  <c r="F418" i="21"/>
  <c r="E420" i="21"/>
  <c r="C422" i="21"/>
  <c r="B424" i="21"/>
  <c r="G425" i="21"/>
  <c r="E427" i="21"/>
  <c r="D429" i="21"/>
  <c r="C431" i="21"/>
  <c r="G432" i="21"/>
  <c r="F434" i="21"/>
  <c r="E436" i="21"/>
  <c r="C438" i="21"/>
  <c r="B440" i="21"/>
  <c r="G441" i="21"/>
  <c r="E443" i="21"/>
  <c r="D445" i="21"/>
  <c r="C447" i="21"/>
  <c r="G448" i="21"/>
  <c r="F450" i="21"/>
  <c r="E452" i="21"/>
  <c r="C454" i="21"/>
  <c r="B456" i="21"/>
  <c r="G457" i="21"/>
  <c r="E459" i="21"/>
  <c r="D461" i="21"/>
  <c r="C463" i="21"/>
  <c r="F296" i="21"/>
  <c r="D300" i="21"/>
  <c r="G303" i="21"/>
  <c r="E306" i="21"/>
  <c r="B309" i="21"/>
  <c r="D311" i="21"/>
  <c r="F313" i="21"/>
  <c r="B316" i="21"/>
  <c r="E318" i="21"/>
  <c r="F320" i="21"/>
  <c r="C323" i="21"/>
  <c r="F325" i="21"/>
  <c r="G327" i="21"/>
  <c r="D330" i="21"/>
  <c r="F332" i="21"/>
  <c r="B335" i="21"/>
  <c r="D337" i="21"/>
  <c r="G339" i="21"/>
  <c r="B342" i="21"/>
  <c r="E344" i="21"/>
  <c r="B347" i="21"/>
  <c r="C349" i="21"/>
  <c r="F351" i="21"/>
  <c r="B354" i="21"/>
  <c r="D356" i="21"/>
  <c r="F358" i="21"/>
  <c r="C361" i="21"/>
  <c r="D363" i="21"/>
  <c r="G365" i="21"/>
  <c r="D368" i="21"/>
  <c r="E370" i="21"/>
  <c r="F372" i="21"/>
  <c r="E374" i="21"/>
  <c r="C376" i="21"/>
  <c r="B378" i="21"/>
  <c r="G379" i="21"/>
  <c r="E381" i="21"/>
  <c r="D383" i="21"/>
  <c r="C385" i="21"/>
  <c r="G386" i="21"/>
  <c r="F388" i="21"/>
  <c r="E390" i="21"/>
  <c r="C392" i="21"/>
  <c r="B394" i="21"/>
  <c r="G395" i="21"/>
  <c r="E397" i="21"/>
  <c r="D399" i="21"/>
  <c r="C401" i="21"/>
  <c r="G402" i="21"/>
  <c r="F404" i="21"/>
  <c r="E406" i="21"/>
  <c r="C408" i="21"/>
  <c r="B410" i="21"/>
  <c r="G411" i="21"/>
  <c r="E413" i="21"/>
  <c r="D415" i="21"/>
  <c r="C417" i="21"/>
  <c r="G418" i="21"/>
  <c r="F420" i="21"/>
  <c r="E422" i="21"/>
  <c r="C424" i="21"/>
  <c r="B426" i="21"/>
  <c r="G427" i="21"/>
  <c r="E429" i="21"/>
  <c r="D431" i="21"/>
  <c r="C433" i="21"/>
  <c r="G434" i="21"/>
  <c r="F436" i="21"/>
  <c r="E438" i="21"/>
  <c r="C440" i="21"/>
  <c r="B442" i="21"/>
  <c r="G443" i="21"/>
  <c r="E445" i="21"/>
  <c r="D447" i="21"/>
  <c r="C449" i="21"/>
  <c r="G450" i="21"/>
  <c r="F452" i="21"/>
  <c r="E454" i="21"/>
  <c r="C456" i="21"/>
  <c r="B458" i="21"/>
  <c r="G459" i="21"/>
  <c r="E461" i="21"/>
  <c r="D463" i="21"/>
  <c r="C465" i="21"/>
  <c r="G466" i="21"/>
  <c r="F468" i="21"/>
  <c r="E470" i="21"/>
  <c r="C472" i="21"/>
  <c r="B474" i="21"/>
  <c r="G475" i="21"/>
  <c r="E477" i="21"/>
  <c r="D479" i="21"/>
  <c r="C481" i="21"/>
  <c r="G482" i="21"/>
  <c r="F484" i="21"/>
  <c r="E486" i="21"/>
  <c r="C488" i="21"/>
  <c r="B490" i="21"/>
  <c r="G491" i="21"/>
  <c r="E493" i="21"/>
  <c r="D495" i="21"/>
  <c r="C497" i="21"/>
  <c r="G498" i="21"/>
  <c r="F500" i="21"/>
  <c r="B359" i="21"/>
  <c r="C394" i="21"/>
  <c r="E399" i="21"/>
  <c r="D401" i="21"/>
  <c r="G404" i="21"/>
  <c r="E408" i="21"/>
  <c r="C410" i="21"/>
  <c r="B412" i="21"/>
  <c r="E415" i="21"/>
  <c r="D417" i="21"/>
  <c r="C419" i="21"/>
  <c r="F422" i="21"/>
  <c r="E424" i="21"/>
  <c r="C426" i="21"/>
  <c r="B428" i="21"/>
  <c r="E431" i="21"/>
  <c r="D433" i="21"/>
  <c r="C435" i="21"/>
  <c r="G436" i="21"/>
  <c r="F438" i="21"/>
  <c r="C442" i="21"/>
  <c r="B444" i="21"/>
  <c r="G445" i="21"/>
  <c r="E447" i="21"/>
  <c r="D449" i="21"/>
  <c r="C451" i="21"/>
  <c r="F454" i="21"/>
  <c r="E456" i="21"/>
  <c r="C458" i="21"/>
  <c r="B460" i="21"/>
  <c r="G461" i="21"/>
  <c r="D465" i="21"/>
  <c r="C467" i="21"/>
  <c r="G468" i="21"/>
  <c r="F470" i="21"/>
  <c r="E472" i="21"/>
  <c r="B476" i="21"/>
  <c r="G477" i="21"/>
  <c r="E479" i="21"/>
  <c r="D481" i="21"/>
  <c r="C483" i="21"/>
  <c r="F486" i="21"/>
  <c r="E488" i="21"/>
  <c r="C490" i="21"/>
  <c r="B492" i="21"/>
  <c r="G493" i="21"/>
  <c r="E495" i="21"/>
  <c r="C499" i="21"/>
  <c r="G500" i="21"/>
  <c r="C301" i="21"/>
  <c r="B357" i="21"/>
  <c r="F368" i="21"/>
  <c r="G374" i="21"/>
  <c r="E378" i="21"/>
  <c r="B382" i="21"/>
  <c r="E385" i="21"/>
  <c r="C389" i="21"/>
  <c r="F392" i="21"/>
  <c r="C396" i="21"/>
  <c r="G399" i="21"/>
  <c r="C405" i="21"/>
  <c r="F408" i="21"/>
  <c r="C412" i="21"/>
  <c r="E417" i="21"/>
  <c r="C421" i="21"/>
  <c r="E426" i="21"/>
  <c r="B430" i="21"/>
  <c r="E433" i="21"/>
  <c r="G438" i="21"/>
  <c r="E442" i="21"/>
  <c r="B446" i="21"/>
  <c r="C453" i="21"/>
  <c r="F456" i="21"/>
  <c r="C460" i="21"/>
  <c r="E465" i="21"/>
  <c r="G470" i="21"/>
  <c r="C476" i="21"/>
  <c r="G479" i="21"/>
  <c r="D483" i="21"/>
  <c r="F488" i="21"/>
  <c r="C492" i="21"/>
  <c r="D297" i="21"/>
  <c r="B301" i="21"/>
  <c r="E304" i="21"/>
  <c r="B307" i="21"/>
  <c r="C309" i="21"/>
  <c r="F311" i="21"/>
  <c r="B314" i="21"/>
  <c r="D316" i="21"/>
  <c r="F318" i="21"/>
  <c r="C321" i="21"/>
  <c r="D323" i="21"/>
  <c r="G325" i="21"/>
  <c r="D328" i="21"/>
  <c r="E330" i="21"/>
  <c r="B333" i="21"/>
  <c r="D335" i="21"/>
  <c r="F337" i="21"/>
  <c r="B340" i="21"/>
  <c r="E342" i="21"/>
  <c r="F344" i="21"/>
  <c r="C347" i="21"/>
  <c r="F349" i="21"/>
  <c r="G351" i="21"/>
  <c r="D354" i="21"/>
  <c r="F356" i="21"/>
  <c r="D361" i="21"/>
  <c r="G363" i="21"/>
  <c r="B366" i="21"/>
  <c r="E368" i="21"/>
  <c r="B371" i="21"/>
  <c r="G372" i="21"/>
  <c r="F374" i="21"/>
  <c r="E376" i="21"/>
  <c r="C378" i="21"/>
  <c r="B380" i="21"/>
  <c r="G381" i="21"/>
  <c r="E383" i="21"/>
  <c r="D385" i="21"/>
  <c r="C387" i="21"/>
  <c r="G388" i="21"/>
  <c r="F390" i="21"/>
  <c r="E392" i="21"/>
  <c r="B396" i="21"/>
  <c r="G397" i="21"/>
  <c r="C403" i="21"/>
  <c r="F406" i="21"/>
  <c r="G413" i="21"/>
  <c r="G420" i="21"/>
  <c r="G429" i="21"/>
  <c r="E440" i="21"/>
  <c r="G452" i="21"/>
  <c r="E463" i="21"/>
  <c r="C474" i="21"/>
  <c r="G484" i="21"/>
  <c r="D497" i="21"/>
  <c r="D314" i="21"/>
  <c r="C371" i="21"/>
  <c r="C380" i="21"/>
  <c r="D387" i="21"/>
  <c r="E394" i="21"/>
  <c r="B398" i="21"/>
  <c r="D403" i="21"/>
  <c r="G406" i="21"/>
  <c r="E410" i="21"/>
  <c r="G415" i="21"/>
  <c r="D419" i="21"/>
  <c r="G422" i="21"/>
  <c r="C428" i="21"/>
  <c r="G431" i="21"/>
  <c r="D435" i="21"/>
  <c r="F440" i="21"/>
  <c r="C444" i="21"/>
  <c r="G447" i="21"/>
  <c r="D451" i="21"/>
  <c r="G454" i="21"/>
  <c r="E458" i="21"/>
  <c r="G463" i="21"/>
  <c r="D467" i="21"/>
  <c r="C469" i="21"/>
  <c r="F472" i="21"/>
  <c r="B478" i="21"/>
  <c r="E481" i="21"/>
  <c r="C485" i="21"/>
  <c r="E490" i="21"/>
  <c r="B494" i="21"/>
  <c r="F297" i="21"/>
  <c r="F304" i="21"/>
  <c r="C307" i="21"/>
  <c r="F309" i="21"/>
  <c r="G311" i="21"/>
  <c r="F316" i="21"/>
  <c r="B319" i="21"/>
  <c r="D321" i="21"/>
  <c r="G323" i="21"/>
  <c r="B326" i="21"/>
  <c r="E328" i="21"/>
  <c r="B331" i="21"/>
  <c r="C333" i="21"/>
  <c r="F335" i="21"/>
  <c r="B338" i="21"/>
  <c r="D340" i="21"/>
  <c r="F342" i="21"/>
  <c r="C345" i="21"/>
  <c r="D347" i="21"/>
  <c r="G349" i="21"/>
  <c r="D352" i="21"/>
  <c r="E354" i="21"/>
  <c r="D359" i="21"/>
  <c r="F361" i="21"/>
  <c r="B364" i="21"/>
  <c r="E366" i="21"/>
  <c r="C373" i="21"/>
  <c r="F376" i="21"/>
  <c r="G383" i="21"/>
  <c r="G390" i="21"/>
  <c r="E401" i="21"/>
  <c r="B414" i="21"/>
  <c r="F424" i="21"/>
  <c r="C437" i="21"/>
  <c r="E449" i="21"/>
  <c r="B462" i="21"/>
  <c r="E474" i="21"/>
  <c r="G486" i="21"/>
  <c r="D298" i="21"/>
  <c r="G301" i="21"/>
  <c r="C305" i="21"/>
  <c r="D307" i="21"/>
  <c r="G309" i="21"/>
  <c r="D312" i="21"/>
  <c r="E314" i="21"/>
  <c r="B317" i="21"/>
  <c r="D319" i="21"/>
  <c r="F321" i="21"/>
  <c r="B324" i="21"/>
  <c r="E326" i="21"/>
  <c r="F328" i="21"/>
  <c r="C331" i="21"/>
  <c r="F333" i="21"/>
  <c r="G335" i="21"/>
  <c r="D338" i="21"/>
  <c r="F340" i="21"/>
  <c r="B343" i="21"/>
  <c r="D345" i="21"/>
  <c r="G347" i="21"/>
  <c r="B350" i="21"/>
  <c r="E352" i="21"/>
  <c r="B355" i="21"/>
  <c r="C357" i="21"/>
  <c r="F359" i="21"/>
  <c r="B362" i="21"/>
  <c r="D364" i="21"/>
  <c r="F366" i="21"/>
  <c r="C369" i="21"/>
  <c r="D371" i="21"/>
  <c r="D373" i="21"/>
  <c r="C375" i="21"/>
  <c r="G376" i="21"/>
  <c r="F378" i="21"/>
  <c r="E380" i="21"/>
  <c r="C382" i="21"/>
  <c r="B384" i="21"/>
  <c r="G385" i="21"/>
  <c r="E387" i="21"/>
  <c r="D389" i="21"/>
  <c r="C391" i="21"/>
  <c r="G392" i="21"/>
  <c r="F394" i="21"/>
  <c r="E396" i="21"/>
  <c r="C398" i="21"/>
  <c r="B400" i="21"/>
  <c r="G401" i="21"/>
  <c r="E403" i="21"/>
  <c r="D405" i="21"/>
  <c r="C407" i="21"/>
  <c r="G408" i="21"/>
  <c r="F410" i="21"/>
  <c r="E412" i="21"/>
  <c r="C414" i="21"/>
  <c r="B416" i="21"/>
  <c r="G417" i="21"/>
  <c r="E419" i="21"/>
  <c r="D421" i="21"/>
  <c r="C423" i="21"/>
  <c r="G424" i="21"/>
  <c r="F426" i="21"/>
  <c r="E428" i="21"/>
  <c r="C430" i="21"/>
  <c r="B432" i="21"/>
  <c r="G433" i="21"/>
  <c r="E435" i="21"/>
  <c r="D437" i="21"/>
  <c r="C439" i="21"/>
  <c r="G440" i="21"/>
  <c r="F442" i="21"/>
  <c r="E444" i="21"/>
  <c r="C446" i="21"/>
  <c r="B448" i="21"/>
  <c r="G449" i="21"/>
  <c r="E451" i="21"/>
  <c r="D453" i="21"/>
  <c r="C455" i="21"/>
  <c r="G456" i="21"/>
  <c r="F458" i="21"/>
  <c r="E460" i="21"/>
  <c r="C462" i="21"/>
  <c r="E298" i="21"/>
  <c r="B302" i="21"/>
  <c r="D305" i="21"/>
  <c r="G307" i="21"/>
  <c r="B310" i="21"/>
  <c r="E312" i="21"/>
  <c r="B315" i="21"/>
  <c r="C317" i="21"/>
  <c r="F319" i="21"/>
  <c r="B322" i="21"/>
  <c r="D324" i="21"/>
  <c r="F326" i="21"/>
  <c r="C329" i="21"/>
  <c r="D331" i="21"/>
  <c r="G333" i="21"/>
  <c r="D336" i="21"/>
  <c r="E338" i="21"/>
  <c r="B341" i="21"/>
  <c r="D343" i="21"/>
  <c r="F345" i="21"/>
  <c r="B348" i="21"/>
  <c r="E350" i="21"/>
  <c r="F352" i="21"/>
  <c r="C355" i="21"/>
  <c r="F357" i="21"/>
  <c r="G359" i="21"/>
  <c r="D362" i="21"/>
  <c r="F364" i="21"/>
  <c r="B367" i="21"/>
  <c r="D369" i="21"/>
  <c r="G371" i="21"/>
  <c r="E373" i="21"/>
  <c r="D375" i="21"/>
  <c r="C377" i="21"/>
  <c r="G378" i="21"/>
  <c r="F380" i="21"/>
  <c r="E382" i="21"/>
  <c r="C384" i="21"/>
  <c r="B386" i="21"/>
  <c r="G387" i="21"/>
  <c r="E389" i="21"/>
  <c r="D391" i="21"/>
  <c r="C393" i="21"/>
  <c r="G394" i="21"/>
  <c r="F396" i="21"/>
  <c r="E398" i="21"/>
  <c r="C400" i="21"/>
  <c r="B402" i="21"/>
  <c r="G403" i="21"/>
  <c r="E405" i="21"/>
  <c r="D407" i="21"/>
  <c r="C409" i="21"/>
  <c r="G410" i="21"/>
  <c r="F412" i="21"/>
  <c r="E414" i="21"/>
  <c r="C416" i="21"/>
  <c r="B418" i="21"/>
  <c r="G419" i="21"/>
  <c r="E421" i="21"/>
  <c r="D423" i="21"/>
  <c r="C425" i="21"/>
  <c r="G426" i="21"/>
  <c r="F428" i="21"/>
  <c r="E430" i="21"/>
  <c r="C432" i="21"/>
  <c r="B434" i="21"/>
  <c r="G435" i="21"/>
  <c r="E437" i="21"/>
  <c r="D439" i="21"/>
  <c r="C441" i="21"/>
  <c r="G442" i="21"/>
  <c r="F444" i="21"/>
  <c r="E446" i="21"/>
  <c r="C448" i="21"/>
  <c r="B450" i="21"/>
  <c r="G451" i="21"/>
  <c r="E453" i="21"/>
  <c r="D455" i="21"/>
  <c r="C457" i="21"/>
  <c r="G458" i="21"/>
  <c r="F460" i="21"/>
  <c r="E462" i="21"/>
  <c r="C464" i="21"/>
  <c r="B466" i="21"/>
  <c r="G467" i="21"/>
  <c r="E469" i="21"/>
  <c r="D471" i="21"/>
  <c r="C473" i="21"/>
  <c r="G474" i="21"/>
  <c r="F476" i="21"/>
  <c r="E478" i="21"/>
  <c r="C480" i="21"/>
  <c r="B482" i="21"/>
  <c r="G483" i="21"/>
  <c r="E485" i="21"/>
  <c r="D487" i="21"/>
  <c r="C489" i="21"/>
  <c r="G490" i="21"/>
  <c r="F492" i="21"/>
  <c r="E494" i="21"/>
  <c r="C496" i="21"/>
  <c r="B498" i="21"/>
  <c r="G499" i="21"/>
  <c r="E501" i="21"/>
  <c r="G357" i="21"/>
  <c r="D393" i="21"/>
  <c r="F398" i="21"/>
  <c r="C402" i="21"/>
  <c r="G405" i="21"/>
  <c r="E407" i="21"/>
  <c r="C411" i="21"/>
  <c r="G412" i="21"/>
  <c r="E416" i="21"/>
  <c r="C418" i="21"/>
  <c r="B420" i="21"/>
  <c r="E423" i="21"/>
  <c r="D425" i="21"/>
  <c r="C427" i="21"/>
  <c r="F430" i="21"/>
  <c r="E432" i="21"/>
  <c r="C434" i="21"/>
  <c r="B436" i="21"/>
  <c r="G437" i="21"/>
  <c r="D441" i="21"/>
  <c r="C443" i="21"/>
  <c r="G444" i="21"/>
  <c r="F446" i="21"/>
  <c r="E448" i="21"/>
  <c r="C450" i="21"/>
  <c r="G453" i="21"/>
  <c r="E455" i="21"/>
  <c r="D457" i="21"/>
  <c r="C459" i="21"/>
  <c r="G460" i="21"/>
  <c r="E464" i="21"/>
  <c r="C466" i="21"/>
  <c r="B468" i="21"/>
  <c r="G469" i="21"/>
  <c r="E471" i="21"/>
  <c r="C475" i="21"/>
  <c r="G476" i="21"/>
  <c r="F478" i="21"/>
  <c r="E480" i="21"/>
  <c r="C482" i="21"/>
  <c r="B484" i="21"/>
  <c r="E487" i="21"/>
  <c r="D489" i="21"/>
  <c r="C491" i="21"/>
  <c r="G492" i="21"/>
  <c r="F494" i="21"/>
  <c r="E496" i="21"/>
  <c r="B500" i="21"/>
  <c r="G501" i="21"/>
  <c r="D299" i="21"/>
  <c r="B358" i="21"/>
  <c r="C372" i="21"/>
  <c r="G375" i="21"/>
  <c r="E377" i="21"/>
  <c r="G382" i="21"/>
  <c r="E386" i="21"/>
  <c r="G391" i="21"/>
  <c r="D395" i="21"/>
  <c r="G398" i="21"/>
  <c r="C404" i="21"/>
  <c r="E409" i="21"/>
  <c r="G414" i="21"/>
  <c r="E418" i="21"/>
  <c r="B422" i="21"/>
  <c r="D427" i="21"/>
  <c r="G430" i="21"/>
  <c r="E434" i="21"/>
  <c r="G439" i="21"/>
  <c r="D443" i="21"/>
  <c r="G446" i="21"/>
  <c r="E450" i="21"/>
  <c r="G455" i="21"/>
  <c r="D459" i="21"/>
  <c r="F464" i="21"/>
  <c r="C468" i="21"/>
  <c r="E473" i="21"/>
  <c r="C477" i="21"/>
  <c r="F480" i="21"/>
  <c r="B486" i="21"/>
  <c r="E489" i="21"/>
  <c r="C493" i="21"/>
  <c r="F496" i="21"/>
  <c r="F466" i="21"/>
  <c r="G473" i="21"/>
  <c r="G480" i="21"/>
  <c r="B488" i="21"/>
  <c r="G494" i="21"/>
  <c r="F498" i="21"/>
  <c r="E467" i="21"/>
  <c r="F474" i="21"/>
  <c r="G481" i="21"/>
  <c r="G488" i="21"/>
  <c r="C495" i="21"/>
  <c r="D499" i="21"/>
  <c r="E468" i="21"/>
  <c r="E475" i="21"/>
  <c r="F482" i="21"/>
  <c r="G489" i="21"/>
  <c r="G495" i="21"/>
  <c r="E499" i="21"/>
  <c r="D469" i="21"/>
  <c r="E476" i="21"/>
  <c r="E483" i="21"/>
  <c r="F490" i="21"/>
  <c r="B496" i="21"/>
  <c r="C500" i="21"/>
  <c r="C479" i="21"/>
  <c r="D493" i="21"/>
  <c r="D501" i="21"/>
  <c r="G472" i="21"/>
  <c r="C487" i="21"/>
  <c r="E498" i="21"/>
  <c r="C470" i="21"/>
  <c r="D477" i="21"/>
  <c r="E484" i="21"/>
  <c r="E491" i="21"/>
  <c r="G496" i="21"/>
  <c r="E500" i="21"/>
  <c r="B464" i="21"/>
  <c r="C471" i="21"/>
  <c r="C478" i="21"/>
  <c r="D485" i="21"/>
  <c r="E492" i="21"/>
  <c r="E497" i="21"/>
  <c r="C501" i="21"/>
  <c r="G464" i="21"/>
  <c r="B472" i="21"/>
  <c r="C486" i="21"/>
  <c r="G497" i="21"/>
  <c r="G465" i="21"/>
  <c r="B480" i="21"/>
  <c r="C494" i="21"/>
  <c r="D18" i="23" l="1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B18" i="23"/>
  <c r="B17" i="23"/>
  <c r="B16" i="23"/>
  <c r="B15" i="23"/>
  <c r="B14" i="23"/>
  <c r="B13" i="23"/>
  <c r="B12" i="23"/>
  <c r="B11" i="23"/>
  <c r="B10" i="23"/>
  <c r="B8" i="23"/>
  <c r="B7" i="23"/>
  <c r="B6" i="23"/>
  <c r="B5" i="23"/>
  <c r="B4" i="23"/>
  <c r="B3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C7" i="22"/>
  <c r="B7" i="22"/>
  <c r="C6" i="22"/>
  <c r="C5" i="22"/>
  <c r="B5" i="22" s="1"/>
  <c r="D28" i="20" l="1"/>
  <c r="B6" i="22"/>
  <c r="D6" i="22"/>
  <c r="C8" i="22"/>
  <c r="D7" i="22"/>
  <c r="D5" i="22"/>
  <c r="B8" i="22"/>
  <c r="N18" i="22"/>
  <c r="Q18" i="22"/>
  <c r="N15" i="22"/>
  <c r="N13" i="22"/>
  <c r="P18" i="22"/>
  <c r="N16" i="22"/>
  <c r="N20" i="22"/>
  <c r="N10" i="22"/>
  <c r="N12" i="22"/>
  <c r="N14" i="22"/>
  <c r="N17" i="22"/>
  <c r="N11" i="22"/>
  <c r="N5" i="22"/>
  <c r="N19" i="22"/>
  <c r="N9" i="22"/>
  <c r="N7" i="22"/>
  <c r="N6" i="22"/>
  <c r="P16" i="22"/>
  <c r="Q16" i="22"/>
  <c r="Q20" i="22"/>
  <c r="P20" i="22"/>
  <c r="Q17" i="22"/>
  <c r="P17" i="22"/>
  <c r="Q5" i="22"/>
  <c r="P5" i="22"/>
  <c r="Q19" i="22"/>
  <c r="P19" i="22"/>
  <c r="Q7" i="22"/>
  <c r="P7" i="22"/>
  <c r="P6" i="22"/>
  <c r="Q6" i="22"/>
  <c r="D26" i="20" l="1"/>
  <c r="U18" i="22"/>
  <c r="U19" i="22"/>
  <c r="U20" i="22"/>
  <c r="U17" i="22"/>
  <c r="U16" i="22"/>
  <c r="C9" i="22"/>
  <c r="N8" i="22"/>
  <c r="P12" i="22"/>
  <c r="P13" i="22"/>
  <c r="D8" i="22"/>
  <c r="P14" i="22"/>
  <c r="Q15" i="22"/>
  <c r="Q11" i="22"/>
  <c r="P15" i="22"/>
  <c r="Q14" i="22"/>
  <c r="Q10" i="22"/>
  <c r="Q12" i="22"/>
  <c r="P9" i="22"/>
  <c r="P8" i="22"/>
  <c r="D8" i="20"/>
  <c r="U12" i="22" l="1"/>
  <c r="U14" i="22"/>
  <c r="U10" i="22"/>
  <c r="U15" i="22"/>
  <c r="U11" i="22"/>
  <c r="Q8" i="22"/>
  <c r="P10" i="22"/>
  <c r="P11" i="22"/>
  <c r="Q9" i="22"/>
  <c r="Q13" i="22"/>
  <c r="B9" i="22"/>
  <c r="U8" i="22" l="1"/>
  <c r="U9" i="22"/>
  <c r="U13" i="22"/>
  <c r="C10" i="22"/>
  <c r="B10" i="22"/>
  <c r="D9" i="22"/>
  <c r="C11" i="22" l="1"/>
  <c r="D10" i="22"/>
  <c r="B11" i="22"/>
  <c r="C12" i="22" l="1"/>
  <c r="B12" i="22"/>
  <c r="D11" i="22"/>
  <c r="C13" i="22" l="1"/>
  <c r="D12" i="22"/>
  <c r="B13" i="22"/>
  <c r="C14" i="22" l="1"/>
  <c r="D13" i="22"/>
  <c r="B14" i="22"/>
  <c r="C15" i="22" l="1"/>
  <c r="C16" i="22" s="1"/>
  <c r="B15" i="22"/>
  <c r="D14" i="22"/>
  <c r="B16" i="22"/>
  <c r="C17" i="22" l="1"/>
  <c r="D15" i="22"/>
  <c r="D16" i="22"/>
  <c r="B17" i="22"/>
  <c r="C18" i="22" l="1"/>
  <c r="D17" i="22"/>
  <c r="B18" i="22"/>
  <c r="C19" i="22" l="1"/>
  <c r="B19" i="22"/>
  <c r="D18" i="22"/>
  <c r="C20" i="22" l="1"/>
  <c r="G3" i="23" a="1"/>
  <c r="B20" i="22"/>
  <c r="D20" i="22"/>
  <c r="D19" i="22"/>
  <c r="J19" i="23" l="1"/>
  <c r="H14" i="23"/>
  <c r="G7" i="23"/>
  <c r="K17" i="23"/>
  <c r="I28" i="23"/>
  <c r="H3" i="23"/>
  <c r="L13" i="23"/>
  <c r="J24" i="23"/>
  <c r="H35" i="23"/>
  <c r="G10" i="23"/>
  <c r="K20" i="23"/>
  <c r="I31" i="23"/>
  <c r="H26" i="23"/>
  <c r="G9" i="23"/>
  <c r="L3" i="23"/>
  <c r="J14" i="23"/>
  <c r="H25" i="23"/>
  <c r="L35" i="23"/>
  <c r="G21" i="23"/>
  <c r="K6" i="23"/>
  <c r="G32" i="23"/>
  <c r="G4" i="23"/>
  <c r="K18" i="23"/>
  <c r="H8" i="23"/>
  <c r="L18" i="23"/>
  <c r="J29" i="23"/>
  <c r="G3" i="23"/>
  <c r="J25" i="23"/>
  <c r="J27" i="23"/>
  <c r="L21" i="23"/>
  <c r="H22" i="23"/>
  <c r="J22" i="23"/>
  <c r="K14" i="23"/>
  <c r="J37" i="23"/>
  <c r="I16" i="23"/>
  <c r="H23" i="23"/>
  <c r="G30" i="23"/>
  <c r="K35" i="23"/>
  <c r="G17" i="23"/>
  <c r="L6" i="23"/>
  <c r="L4" i="23"/>
  <c r="H10" i="23"/>
  <c r="H30" i="23"/>
  <c r="I8" i="23"/>
  <c r="G19" i="23"/>
  <c r="K29" i="23"/>
  <c r="J4" i="23"/>
  <c r="H15" i="23"/>
  <c r="L25" i="23"/>
  <c r="J36" i="23"/>
  <c r="I11" i="23"/>
  <c r="G22" i="23"/>
  <c r="K32" i="23"/>
  <c r="L28" i="23"/>
  <c r="G13" i="23"/>
  <c r="H5" i="23"/>
  <c r="L15" i="23"/>
  <c r="J26" i="23"/>
  <c r="H37" i="23"/>
  <c r="K23" i="23"/>
  <c r="I13" i="23"/>
  <c r="I33" i="23"/>
  <c r="I5" i="23"/>
  <c r="G20" i="23"/>
  <c r="J9" i="23"/>
  <c r="H20" i="23"/>
  <c r="L30" i="23"/>
  <c r="J21" i="23"/>
  <c r="G14" i="23"/>
  <c r="I18" i="23"/>
  <c r="H29" i="23"/>
  <c r="I21" i="23"/>
  <c r="I9" i="23"/>
  <c r="H12" i="23"/>
  <c r="I30" i="23"/>
  <c r="K10" i="23"/>
  <c r="H24" i="23"/>
  <c r="L12" i="23"/>
  <c r="L9" i="23"/>
  <c r="I27" i="23"/>
  <c r="G25" i="23"/>
  <c r="K11" i="23"/>
  <c r="G12" i="23"/>
  <c r="I4" i="23"/>
  <c r="J32" i="23"/>
  <c r="H38" i="23"/>
  <c r="I14" i="23"/>
  <c r="J5" i="23"/>
  <c r="L8" i="23"/>
  <c r="J12" i="23"/>
  <c r="L24" i="23"/>
  <c r="J34" i="23"/>
  <c r="K27" i="23"/>
  <c r="L38" i="23"/>
  <c r="J15" i="23"/>
  <c r="L20" i="23"/>
  <c r="J35" i="23"/>
  <c r="K9" i="23"/>
  <c r="I20" i="23"/>
  <c r="G31" i="23"/>
  <c r="L5" i="23"/>
  <c r="J16" i="23"/>
  <c r="H27" i="23"/>
  <c r="L37" i="23"/>
  <c r="K12" i="23"/>
  <c r="I23" i="23"/>
  <c r="G34" i="23"/>
  <c r="J31" i="23"/>
  <c r="K15" i="23"/>
  <c r="J6" i="23"/>
  <c r="H17" i="23"/>
  <c r="L27" i="23"/>
  <c r="J38" i="23"/>
  <c r="I26" i="23"/>
  <c r="I17" i="23"/>
  <c r="K34" i="23"/>
  <c r="G8" i="23"/>
  <c r="K22" i="23"/>
  <c r="L10" i="23"/>
  <c r="H32" i="23"/>
  <c r="I3" i="23"/>
  <c r="L32" i="23"/>
  <c r="J18" i="23"/>
  <c r="G5" i="23"/>
  <c r="G36" i="23"/>
  <c r="I25" i="23"/>
  <c r="L22" i="23"/>
  <c r="G24" i="23"/>
  <c r="I29" i="23"/>
  <c r="L34" i="23"/>
  <c r="G37" i="23"/>
  <c r="I24" i="23"/>
  <c r="J20" i="23"/>
  <c r="G6" i="23"/>
  <c r="G38" i="23"/>
  <c r="J10" i="23"/>
  <c r="G33" i="23"/>
  <c r="H4" i="23"/>
  <c r="H18" i="23"/>
  <c r="I36" i="23"/>
  <c r="G18" i="23"/>
  <c r="L11" i="23"/>
  <c r="G28" i="23"/>
  <c r="H16" i="23"/>
  <c r="K5" i="23"/>
  <c r="L33" i="23"/>
  <c r="I6" i="23"/>
  <c r="I38" i="23"/>
  <c r="J17" i="23"/>
  <c r="H6" i="23"/>
  <c r="J11" i="23"/>
  <c r="K3" i="23"/>
  <c r="G11" i="23"/>
  <c r="K21" i="23"/>
  <c r="I32" i="23"/>
  <c r="H7" i="23"/>
  <c r="L17" i="23"/>
  <c r="J28" i="23"/>
  <c r="K24" i="23"/>
  <c r="I35" i="23"/>
  <c r="L7" i="23"/>
  <c r="G29" i="23"/>
  <c r="J33" i="23"/>
  <c r="J7" i="23"/>
  <c r="G35" i="23"/>
  <c r="H31" i="23"/>
  <c r="L36" i="23"/>
  <c r="L31" i="23"/>
  <c r="K38" i="23"/>
  <c r="H36" i="23"/>
  <c r="K25" i="23"/>
  <c r="I7" i="23"/>
  <c r="K31" i="23"/>
  <c r="I34" i="23"/>
  <c r="L26" i="23"/>
  <c r="G27" i="23"/>
  <c r="K8" i="23"/>
  <c r="H13" i="23"/>
  <c r="G16" i="23"/>
  <c r="L16" i="23"/>
  <c r="J23" i="23"/>
  <c r="K19" i="23"/>
  <c r="I12" i="23"/>
  <c r="G23" i="23"/>
  <c r="K33" i="23"/>
  <c r="J8" i="23"/>
  <c r="H19" i="23"/>
  <c r="L29" i="23"/>
  <c r="K4" i="23"/>
  <c r="I15" i="23"/>
  <c r="G26" i="23"/>
  <c r="K36" i="23"/>
  <c r="H34" i="23"/>
  <c r="I22" i="23"/>
  <c r="H9" i="23"/>
  <c r="L19" i="23"/>
  <c r="J30" i="23"/>
  <c r="K7" i="23"/>
  <c r="I37" i="23"/>
  <c r="J13" i="23"/>
  <c r="K13" i="23"/>
  <c r="K16" i="23"/>
  <c r="H21" i="23"/>
  <c r="K26" i="23"/>
  <c r="L14" i="23"/>
  <c r="G15" i="23"/>
  <c r="H11" i="23"/>
  <c r="K28" i="23"/>
  <c r="H33" i="23"/>
  <c r="I10" i="23"/>
  <c r="J3" i="23"/>
  <c r="K37" i="23"/>
  <c r="I19" i="23"/>
  <c r="L23" i="23"/>
  <c r="K30" i="23"/>
  <c r="H28" i="23"/>
</calcChain>
</file>

<file path=xl/sharedStrings.xml><?xml version="1.0" encoding="utf-8"?>
<sst xmlns="http://schemas.openxmlformats.org/spreadsheetml/2006/main" count="973" uniqueCount="134">
  <si>
    <t>Notional</t>
  </si>
  <si>
    <t>CreateSwap</t>
  </si>
  <si>
    <t>1Y</t>
  </si>
  <si>
    <t>5Y</t>
  </si>
  <si>
    <t>Currency</t>
  </si>
  <si>
    <t>PV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</si>
  <si>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</si>
  <si>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</si>
  <si>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</si>
  <si>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</si>
  <si>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</si>
  <si>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</si>
  <si>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</si>
  <si>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</si>
  <si>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</si>
  <si>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</si>
  <si>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</si>
  <si>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</si>
  <si>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</si>
  <si>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</si>
  <si>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</si>
  <si>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</si>
  <si>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</si>
  <si>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</si>
  <si>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Market Data Handle</t>
  </si>
  <si>
    <t>40Y</t>
  </si>
  <si>
    <t>50Y</t>
  </si>
  <si>
    <t>3Y</t>
  </si>
  <si>
    <t>QUARTERLY</t>
  </si>
  <si>
    <t>LIBORFIXINGS</t>
  </si>
  <si>
    <t>FUTURES</t>
  </si>
  <si>
    <t>SWAP</t>
  </si>
  <si>
    <t>ON</t>
  </si>
  <si>
    <t>1W</t>
  </si>
  <si>
    <t>2Y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</si>
  <si>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</si>
  <si>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</si>
  <si>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</si>
  <si>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</si>
  <si>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</si>
  <si>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</si>
  <si>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</si>
  <si>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</si>
  <si>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</si>
  <si>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</si>
  <si>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</si>
  <si>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</si>
  <si>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</si>
  <si>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</si>
  <si>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</si>
  <si>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8Y</t>
  </si>
  <si>
    <t>9Y</t>
  </si>
  <si>
    <t>EffectiveDate</t>
  </si>
  <si>
    <t>ParRate</t>
  </si>
  <si>
    <t>Key</t>
  </si>
  <si>
    <t>Value</t>
  </si>
  <si>
    <t>CURVE ENGINE PARAMETERS</t>
  </si>
  <si>
    <t>FastRebuild</t>
  </si>
  <si>
    <t>CURVE GENERATORS</t>
  </si>
  <si>
    <t>3ML</t>
  </si>
  <si>
    <t>CURVE MARKET DATA</t>
  </si>
  <si>
    <t>GLOBAL CURVE ENGINE</t>
  </si>
  <si>
    <t>CurveObject</t>
  </si>
  <si>
    <t>CurveName</t>
  </si>
  <si>
    <t>CurveIndices</t>
  </si>
  <si>
    <t>Start</t>
  </si>
  <si>
    <t>End</t>
  </si>
  <si>
    <t>Periodicity</t>
  </si>
  <si>
    <t>0Y</t>
  </si>
  <si>
    <t>Forward Curve Display Settings</t>
  </si>
  <si>
    <t>Trade Dates</t>
  </si>
  <si>
    <t>Trade Booking &amp; Pricing</t>
  </si>
  <si>
    <t>Unadjusted Date !</t>
  </si>
  <si>
    <t>Swap Template</t>
  </si>
  <si>
    <t>MaturityDate</t>
  </si>
  <si>
    <t>Maturity</t>
  </si>
  <si>
    <t>Generator</t>
  </si>
  <si>
    <t>PayRec</t>
  </si>
  <si>
    <t>FixedRate</t>
  </si>
  <si>
    <t>Spread</t>
  </si>
  <si>
    <t>PAY</t>
  </si>
  <si>
    <t>EffectiveLag</t>
  </si>
  <si>
    <t>SwapNames</t>
  </si>
  <si>
    <t>Curves</t>
  </si>
  <si>
    <t>Risk</t>
  </si>
  <si>
    <t>Include</t>
  </si>
  <si>
    <t>Tenor</t>
  </si>
  <si>
    <t>MONTHLY</t>
  </si>
  <si>
    <t>Epsilon</t>
  </si>
  <si>
    <t>GradientEpsilon</t>
  </si>
  <si>
    <t>Delta</t>
  </si>
  <si>
    <t>Calendar</t>
  </si>
  <si>
    <t>51Y</t>
  </si>
  <si>
    <t>+/- Bps</t>
  </si>
  <si>
    <t>Curve Calibration / Repricing Check</t>
  </si>
  <si>
    <t>BASISSWAPS</t>
  </si>
  <si>
    <t>6ML</t>
  </si>
  <si>
    <t>SEMI-ANNUAL</t>
  </si>
  <si>
    <t>TENORBASIS</t>
  </si>
  <si>
    <t>1ML</t>
  </si>
  <si>
    <t>12ML</t>
  </si>
  <si>
    <t>ANNUAL</t>
  </si>
  <si>
    <t>GBP_CURVE</t>
  </si>
  <si>
    <t>GBPYC</t>
  </si>
  <si>
    <t>GBP</t>
  </si>
  <si>
    <t>GBP_3M_MARKETDATA</t>
  </si>
  <si>
    <t>GBP_12M_MARKETDATA</t>
  </si>
  <si>
    <t>GBP_1M_MARKETDATA</t>
  </si>
  <si>
    <t>GBP_OIS</t>
  </si>
  <si>
    <t>GBP_BASIS_1X3</t>
  </si>
  <si>
    <t>GBP_SWAP_3M</t>
  </si>
  <si>
    <t>GBP_BASIS_3X6</t>
  </si>
  <si>
    <t>GBP_BASIS_6X12</t>
  </si>
  <si>
    <t>GBPOIS</t>
  </si>
  <si>
    <t>GBP1ML</t>
  </si>
  <si>
    <t>GBP3ML</t>
  </si>
  <si>
    <t>GBP6ML</t>
  </si>
  <si>
    <t>GBP12ML</t>
  </si>
  <si>
    <t>GBP_3ML</t>
  </si>
  <si>
    <t>12M</t>
  </si>
  <si>
    <t>7M</t>
  </si>
  <si>
    <t>8M</t>
  </si>
  <si>
    <t>10M</t>
  </si>
  <si>
    <t>11M</t>
  </si>
  <si>
    <t>L 1 Comdty</t>
  </si>
  <si>
    <t>L 2 Comdty</t>
  </si>
  <si>
    <t>L 3 Comdty</t>
  </si>
  <si>
    <t>L 4 Comdty</t>
  </si>
  <si>
    <t>6Y</t>
  </si>
  <si>
    <t>GBP_OIS_MARKETDATA</t>
  </si>
  <si>
    <t>0D</t>
  </si>
  <si>
    <t>Futures to 1Y then Swaps from 2Y inclusive</t>
  </si>
  <si>
    <t>SWAPS: GBP3ML</t>
  </si>
  <si>
    <t>GBP_6M_MARKETDATA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</si>
</sst>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"/>
    <numFmt numFmtId="165" formatCode="ddd\,\ d\-mmm\-yy"/>
    <numFmt numFmtId="166" formatCode="0.00000%"/>
    <numFmt numFmtId="167" formatCode="0.0000%"/>
    <numFmt numFmtId="168" formatCode="0.000%"/>
    <numFmt numFmtId="169" formatCode="#,##0.000"/>
    <numFmt numFmtId="170" formatCode="_(&quot;$&quot;* #,##0.00_);_(&quot;$&quot;* \(#,##0.00\);_(&quot;$&quot;* &quot;-&quot;??_);_(@_)"/>
    <numFmt numFmtId="171" formatCode="0\ &quot; days&quot;"/>
    <numFmt numFmtId="172" formatCode="mmm\-yyyy"/>
    <numFmt numFmtId="173" formatCode="0.000"/>
    <numFmt numFmtId="174" formatCode="dd/m/yy"/>
    <numFmt numFmtId="175" formatCode="_(&quot;$&quot;* #,##0_);_(&quot;$&quot;* \(#,##0\);_(&quot;$&quot;* &quot;-&quot;_);_(@_)"/>
    <numFmt numFmtId="176" formatCode="0.00_)"/>
    <numFmt numFmtId="177" formatCode="dd\-mmm\-yy;dd\-mmm\-yy;"/>
    <numFmt numFmtId="178" formatCode="_ * #,##0_ ;_ * \-#,##0_ ;_ * &quot;-&quot;_ ;_ @_ "/>
    <numFmt numFmtId="179" formatCode="#,##0.00000"/>
  </numFmts>
  <fonts count="9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66"/>
        <bgColor indexed="64"/>
      </patternFill>
    </fill>
  </fills>
  <borders count="5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7361">
    <xf numFmtId="0" fontId="0" fillId="0" borderId="0"/>
    <xf numFmtId="0" fontId="7" fillId="0" borderId="0">
      <alignment vertical="center"/>
    </xf>
    <xf numFmtId="41" fontId="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8" fillId="0" borderId="0"/>
    <xf numFmtId="0" fontId="9" fillId="0" borderId="0">
      <alignment vertical="center"/>
    </xf>
    <xf numFmtId="9" fontId="10" fillId="0" borderId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5" borderId="0" applyNumberFormat="0" applyBorder="0" applyAlignment="0" applyProtection="0"/>
    <xf numFmtId="0" fontId="11" fillId="13" borderId="0" applyNumberFormat="0" applyBorder="0" applyAlignment="0" applyProtection="0"/>
    <xf numFmtId="0" fontId="11" fillId="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8" borderId="0" applyNumberFormat="0" applyBorder="0" applyAlignment="0" applyProtection="0"/>
    <xf numFmtId="0" fontId="12" fillId="29" borderId="0" applyNumberFormat="0" applyBorder="0" applyAlignment="0" applyProtection="0"/>
    <xf numFmtId="0" fontId="12" fillId="1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30" borderId="0" applyNumberFormat="0" applyBorder="0" applyAlignment="0" applyProtection="0"/>
    <xf numFmtId="0" fontId="12" fillId="19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1" borderId="0" applyNumberFormat="0" applyBorder="0" applyAlignment="0" applyProtection="0"/>
    <xf numFmtId="0" fontId="12" fillId="29" borderId="0" applyNumberFormat="0" applyBorder="0" applyAlignment="0" applyProtection="0"/>
    <xf numFmtId="0" fontId="12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3" fillId="0" borderId="12" applyNumberFormat="0" applyFill="0" applyAlignment="0" applyProtection="0">
      <alignment horizontal="left"/>
    </xf>
    <xf numFmtId="0" fontId="14" fillId="0" borderId="12">
      <protection hidden="1"/>
    </xf>
    <xf numFmtId="0" fontId="15" fillId="40" borderId="0" applyNumberFormat="0" applyFont="0" applyBorder="0" applyAlignment="0" applyProtection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8" fillId="18" borderId="0"/>
    <xf numFmtId="0" fontId="16" fillId="41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9" fillId="42" borderId="0"/>
    <xf numFmtId="0" fontId="20" fillId="43" borderId="0" applyNumberFormat="0" applyFont="0" applyBorder="0" applyAlignment="0" applyProtection="0">
      <alignment horizontal="center"/>
    </xf>
    <xf numFmtId="0" fontId="21" fillId="0" borderId="0">
      <alignment horizontal="right"/>
    </xf>
    <xf numFmtId="168" fontId="22" fillId="44" borderId="0"/>
    <xf numFmtId="0" fontId="23" fillId="45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3" fillId="45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24" fillId="17" borderId="13" applyNumberFormat="0" applyAlignment="0" applyProtection="0"/>
    <xf numFmtId="0" fontId="19" fillId="35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19" fillId="46" borderId="14" applyNumberFormat="0" applyAlignment="0" applyProtection="0"/>
    <xf numFmtId="0" fontId="25" fillId="0" borderId="12" applyNumberFormat="0" applyBorder="0" applyAlignment="0" applyProtection="0">
      <alignment horizontal="left"/>
    </xf>
    <xf numFmtId="38" fontId="2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0" fontId="27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29" fillId="0" borderId="0">
      <alignment horizontal="right"/>
    </xf>
    <xf numFmtId="0" fontId="10" fillId="47" borderId="15" applyNumberFormat="0" applyFont="0" applyBorder="0" applyAlignment="0" applyProtection="0">
      <alignment horizontal="centerContinuous"/>
    </xf>
    <xf numFmtId="0" fontId="30" fillId="48" borderId="0" applyNumberFormat="0" applyBorder="0" applyAlignment="0">
      <alignment horizontal="center"/>
    </xf>
    <xf numFmtId="0" fontId="31" fillId="49" borderId="16">
      <alignment horizontal="center"/>
      <protection locked="0"/>
    </xf>
    <xf numFmtId="15" fontId="32" fillId="50" borderId="17" applyFont="0" applyFill="0" applyBorder="0" applyAlignment="0" applyProtection="0">
      <alignment horizontal="left"/>
    </xf>
    <xf numFmtId="17" fontId="32" fillId="50" borderId="17" applyFont="0" applyFill="0" applyBorder="0" applyAlignment="0" applyProtection="0">
      <alignment horizontal="left"/>
    </xf>
    <xf numFmtId="0" fontId="32" fillId="50" borderId="0">
      <alignment vertical="center"/>
    </xf>
    <xf numFmtId="171" fontId="32" fillId="0" borderId="0" applyFont="0" applyFill="0" applyBorder="0" applyAlignment="0" applyProtection="0"/>
    <xf numFmtId="0" fontId="15" fillId="1" borderId="18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5" borderId="0"/>
    <xf numFmtId="172" fontId="35" fillId="51" borderId="19" applyBorder="0"/>
    <xf numFmtId="0" fontId="8" fillId="20" borderId="18"/>
    <xf numFmtId="0" fontId="8" fillId="20" borderId="18"/>
    <xf numFmtId="0" fontId="8" fillId="20" borderId="18"/>
    <xf numFmtId="0" fontId="8" fillId="20" borderId="18"/>
    <xf numFmtId="173" fontId="36" fillId="45" borderId="0"/>
    <xf numFmtId="0" fontId="37" fillId="52" borderId="18"/>
    <xf numFmtId="172" fontId="35" fillId="0" borderId="18"/>
    <xf numFmtId="172" fontId="35" fillId="53" borderId="18"/>
    <xf numFmtId="172" fontId="35" fillId="54" borderId="20" applyBorder="0"/>
    <xf numFmtId="172" fontId="35" fillId="55" borderId="18"/>
    <xf numFmtId="0" fontId="38" fillId="45" borderId="18"/>
    <xf numFmtId="0" fontId="34" fillId="56" borderId="18"/>
    <xf numFmtId="0" fontId="39" fillId="57" borderId="21" applyBorder="0">
      <alignment horizontal="right"/>
    </xf>
    <xf numFmtId="38" fontId="8" fillId="0" borderId="18"/>
    <xf numFmtId="0" fontId="8" fillId="0" borderId="18"/>
    <xf numFmtId="0" fontId="8" fillId="8" borderId="18"/>
    <xf numFmtId="0" fontId="8" fillId="8" borderId="18"/>
    <xf numFmtId="0" fontId="8" fillId="8" borderId="18"/>
    <xf numFmtId="0" fontId="8" fillId="8" borderId="18"/>
    <xf numFmtId="172" fontId="35" fillId="53" borderId="18"/>
    <xf numFmtId="0" fontId="40" fillId="51" borderId="22">
      <alignment horizontal="center"/>
    </xf>
    <xf numFmtId="172" fontId="35" fillId="45" borderId="18"/>
    <xf numFmtId="0" fontId="41" fillId="58" borderId="0"/>
    <xf numFmtId="0" fontId="42" fillId="0" borderId="0"/>
    <xf numFmtId="0" fontId="43" fillId="0" borderId="0" applyNumberFormat="0" applyFill="0" applyBorder="0" applyAlignment="0" applyProtection="0"/>
    <xf numFmtId="0" fontId="44" fillId="35" borderId="0">
      <alignment horizontal="center"/>
    </xf>
    <xf numFmtId="0" fontId="45" fillId="20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6" fillId="59" borderId="23" applyNumberFormat="0" applyFont="0" applyBorder="0" applyAlignment="0">
      <alignment horizontal="centerContinuous"/>
    </xf>
    <xf numFmtId="0" fontId="47" fillId="18" borderId="18" applyProtection="0">
      <alignment horizontal="center"/>
      <protection locked="0"/>
    </xf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8" fillId="0" borderId="26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50" fillId="0" borderId="27" applyNumberFormat="0" applyFill="0" applyAlignment="0" applyProtection="0"/>
    <xf numFmtId="0" fontId="51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1" fillId="0" borderId="28" applyNumberFormat="0" applyFill="0" applyAlignment="0" applyProtection="0"/>
    <xf numFmtId="0" fontId="52" fillId="0" borderId="29" applyNumberFormat="0" applyFill="0" applyAlignment="0" applyProtection="0"/>
    <xf numFmtId="0" fontId="53" fillId="0" borderId="30" applyNumberFormat="0" applyFill="0" applyAlignment="0" applyProtection="0"/>
    <xf numFmtId="0" fontId="52" fillId="0" borderId="31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60" borderId="0" applyNumberFormat="0" applyFont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23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0" fontId="57" fillId="10" borderId="13" applyNumberFormat="0" applyAlignment="0" applyProtection="0"/>
    <xf numFmtId="2" fontId="8" fillId="61" borderId="32" applyNumberFormat="0" applyBorder="0">
      <alignment horizontal="right" vertical="center"/>
    </xf>
    <xf numFmtId="2" fontId="58" fillId="62" borderId="33" applyBorder="0">
      <alignment horizontal="left" vertical="center"/>
    </xf>
    <xf numFmtId="10" fontId="59" fillId="45" borderId="0" applyBorder="0">
      <alignment horizontal="right"/>
      <protection locked="0"/>
    </xf>
    <xf numFmtId="15" fontId="59" fillId="45" borderId="18" applyBorder="0">
      <alignment horizontal="center"/>
      <protection locked="0"/>
    </xf>
    <xf numFmtId="15" fontId="59" fillId="45" borderId="0" applyBorder="0">
      <alignment horizontal="left"/>
      <protection locked="0"/>
    </xf>
    <xf numFmtId="0" fontId="60" fillId="63" borderId="0" applyFont="0" applyFill="0" applyBorder="0" applyAlignment="0" applyProtection="0">
      <alignment horizontal="right" vertical="center"/>
    </xf>
    <xf numFmtId="2" fontId="61" fillId="64" borderId="33" applyNumberFormat="0">
      <alignment horizontal="center" vertical="center"/>
    </xf>
    <xf numFmtId="0" fontId="62" fillId="0" borderId="12" applyNumberFormat="0" applyFill="0" applyBorder="0" applyAlignment="0" applyProtection="0"/>
    <xf numFmtId="174" fontId="63" fillId="18" borderId="23" applyBorder="0">
      <alignment horizontal="left"/>
      <protection locked="0"/>
    </xf>
    <xf numFmtId="174" fontId="63" fillId="18" borderId="34" applyBorder="0">
      <alignment horizontal="right"/>
      <protection locked="0"/>
    </xf>
    <xf numFmtId="0" fontId="64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66" fillId="45" borderId="36" applyFont="0">
      <alignment horizontal="center" vertical="center"/>
    </xf>
    <xf numFmtId="0" fontId="39" fillId="0" borderId="22"/>
    <xf numFmtId="0" fontId="15" fillId="0" borderId="0"/>
    <xf numFmtId="0" fontId="67" fillId="0" borderId="12">
      <alignment horizontal="left"/>
      <protection locked="0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68" fillId="65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176" fontId="7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8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8" fillId="12" borderId="36" applyNumberFormat="0" applyFont="0" applyAlignment="0" applyProtection="0"/>
    <xf numFmtId="0" fontId="71" fillId="0" borderId="12" applyNumberFormat="0" applyFill="0" applyBorder="0" applyAlignment="0" applyProtection="0">
      <alignment horizontal="left"/>
      <protection locked="0"/>
    </xf>
    <xf numFmtId="0" fontId="72" fillId="45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45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2" fillId="17" borderId="37" applyNumberFormat="0" applyAlignment="0" applyProtection="0"/>
    <xf numFmtId="0" fontId="73" fillId="66" borderId="0" applyNumberFormat="0" applyFont="0" applyBorder="0" applyAlignment="0" applyProtection="0"/>
    <xf numFmtId="0" fontId="73" fillId="67" borderId="0" applyNumberFormat="0" applyFont="0" applyBorder="0" applyAlignment="0" applyProtection="0"/>
    <xf numFmtId="0" fontId="73" fillId="68" borderId="0" applyNumberFormat="0" applyFont="0" applyBorder="0" applyAlignment="0" applyProtection="0">
      <alignment horizontal="center"/>
    </xf>
    <xf numFmtId="0" fontId="73" fillId="69" borderId="38" applyNumberFormat="0" applyFont="0" applyBorder="0" applyAlignment="0" applyProtection="0"/>
    <xf numFmtId="0" fontId="73" fillId="70" borderId="38" applyNumberFormat="0" applyFont="0" applyBorder="0" applyAlignment="0"/>
    <xf numFmtId="0" fontId="73" fillId="71" borderId="38" applyNumberFormat="0" applyFont="0" applyBorder="0" applyAlignment="0"/>
    <xf numFmtId="0" fontId="15" fillId="72" borderId="0" applyNumberFormat="0" applyFont="0" applyBorder="0" applyAlignment="0" applyProtection="0">
      <alignment horizontal="center"/>
      <protection hidden="1"/>
    </xf>
    <xf numFmtId="0" fontId="8" fillId="40" borderId="0" applyNumberFormat="0" applyFont="0" applyBorder="0" applyAlignment="0" applyProtection="0">
      <protection hidden="1"/>
    </xf>
    <xf numFmtId="0" fontId="8" fillId="73" borderId="0" applyNumberFormat="0" applyFont="0" applyBorder="0" applyAlignment="0" applyProtection="0">
      <protection hidden="1"/>
    </xf>
    <xf numFmtId="0" fontId="8" fillId="74" borderId="0" applyNumberFormat="0" applyFont="0" applyBorder="0" applyAlignment="0" applyProtection="0">
      <protection hidden="1"/>
    </xf>
    <xf numFmtId="0" fontId="8" fillId="75" borderId="0" applyNumberFormat="0" applyFont="0" applyBorder="0" applyAlignment="0" applyProtection="0">
      <protection hidden="1"/>
    </xf>
    <xf numFmtId="0" fontId="8" fillId="76" borderId="0" applyNumberFormat="0" applyFont="0" applyBorder="0" applyAlignment="0" applyProtection="0">
      <protection hidden="1"/>
    </xf>
    <xf numFmtId="0" fontId="8" fillId="77" borderId="0" applyNumberFormat="0" applyFont="0" applyBorder="0" applyAlignment="0" applyProtection="0">
      <protection hidden="1"/>
    </xf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2" fillId="50" borderId="17" applyFont="0" applyFill="0" applyBorder="0" applyAlignment="0" applyProtection="0">
      <alignment horizontal="left"/>
    </xf>
    <xf numFmtId="0" fontId="74" fillId="0" borderId="39" applyBorder="0"/>
    <xf numFmtId="0" fontId="32" fillId="78" borderId="0" applyFont="0" applyFill="0" applyBorder="0">
      <alignment horizontal="left"/>
    </xf>
    <xf numFmtId="0" fontId="75" fillId="0" borderId="0"/>
    <xf numFmtId="177" fontId="76" fillId="0" borderId="39" applyBorder="0">
      <alignment horizontal="center"/>
      <protection locked="0"/>
    </xf>
    <xf numFmtId="0" fontId="8" fillId="0" borderId="0">
      <alignment horizontal="left" wrapText="1"/>
    </xf>
    <xf numFmtId="0" fontId="8" fillId="0" borderId="0"/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77" fillId="45" borderId="36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>
      <alignment horizontal="left" wrapText="1"/>
    </xf>
    <xf numFmtId="0" fontId="8" fillId="0" borderId="0" applyNumberFormat="0" applyFill="0" applyBorder="0" applyAlignment="0" applyProtection="0"/>
    <xf numFmtId="0" fontId="8" fillId="45" borderId="18" applyAlignment="0">
      <alignment horizontal="right"/>
    </xf>
    <xf numFmtId="0" fontId="8" fillId="45" borderId="18" applyAlignment="0">
      <alignment horizontal="right"/>
    </xf>
    <xf numFmtId="0" fontId="78" fillId="0" borderId="0"/>
    <xf numFmtId="0" fontId="79" fillId="0" borderId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3" fillId="0" borderId="0">
      <alignment horizontal="center"/>
    </xf>
    <xf numFmtId="0" fontId="84" fillId="17" borderId="12"/>
    <xf numFmtId="0" fontId="85" fillId="0" borderId="40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0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2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5" fillId="0" borderId="41" applyNumberFormat="0" applyFill="0" applyAlignment="0" applyProtection="0"/>
    <xf numFmtId="0" fontId="86" fillId="18" borderId="0" applyNumberFormat="0" applyFont="0" applyBorder="0" applyAlignment="0" applyProtection="0">
      <alignment horizontal="left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26" fillId="0" borderId="0">
      <alignment vertical="center"/>
    </xf>
    <xf numFmtId="0" fontId="88" fillId="0" borderId="0">
      <alignment vertical="center"/>
    </xf>
    <xf numFmtId="0" fontId="7" fillId="0" borderId="0">
      <alignment vertical="center"/>
    </xf>
    <xf numFmtId="0" fontId="26" fillId="0" borderId="0">
      <alignment vertical="center"/>
    </xf>
  </cellStyleXfs>
  <cellXfs count="19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5" xfId="0" applyFill="1" applyBorder="1"/>
    <xf numFmtId="0" fontId="5" fillId="2" borderId="6" xfId="0" applyFont="1" applyFill="1" applyBorder="1"/>
    <xf numFmtId="0" fontId="6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2" fillId="2" borderId="0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" fillId="4" borderId="1" xfId="0" applyFont="1" applyFill="1" applyBorder="1"/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68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68" fontId="1" fillId="4" borderId="8" xfId="2" quotePrefix="1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8" fontId="1" fillId="4" borderId="8" xfId="2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168" fontId="1" fillId="4" borderId="11" xfId="2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6" fontId="1" fillId="0" borderId="7" xfId="0" applyNumberFormat="1" applyFont="1" applyFill="1" applyBorder="1" applyAlignment="1">
      <alignment horizontal="center" vertical="center"/>
    </xf>
    <xf numFmtId="166" fontId="1" fillId="0" borderId="8" xfId="0" applyNumberFormat="1" applyFont="1" applyFill="1" applyBorder="1" applyAlignment="1">
      <alignment horizontal="center" vertical="center"/>
    </xf>
    <xf numFmtId="166" fontId="1" fillId="0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15" fontId="1" fillId="0" borderId="11" xfId="0" applyNumberFormat="1" applyFont="1" applyFill="1" applyBorder="1" applyAlignment="1">
      <alignment horizontal="center" vertical="center"/>
    </xf>
    <xf numFmtId="166" fontId="1" fillId="0" borderId="6" xfId="0" applyNumberFormat="1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6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3" xfId="0" applyFont="1" applyFill="1" applyBorder="1"/>
    <xf numFmtId="167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67" fontId="1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4" fontId="1" fillId="2" borderId="0" xfId="0" quotePrefix="1" applyNumberFormat="1" applyFont="1" applyFill="1" applyBorder="1"/>
    <xf numFmtId="4" fontId="1" fillId="2" borderId="0" xfId="0" applyNumberFormat="1" applyFont="1" applyFill="1" applyBorder="1"/>
    <xf numFmtId="15" fontId="1" fillId="4" borderId="6" xfId="1" quotePrefix="1" applyNumberFormat="1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5" fontId="90" fillId="4" borderId="1" xfId="0" applyNumberFormat="1" applyFont="1" applyFill="1" applyBorder="1" applyAlignment="1">
      <alignment horizontal="center" vertical="center"/>
    </xf>
    <xf numFmtId="11" fontId="90" fillId="4" borderId="2" xfId="0" applyNumberFormat="1" applyFont="1" applyFill="1" applyBorder="1" applyAlignment="1">
      <alignment horizontal="center" vertical="center"/>
    </xf>
    <xf numFmtId="11" fontId="90" fillId="4" borderId="3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3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81" borderId="1" xfId="0" applyFill="1" applyBorder="1" applyAlignment="1">
      <alignment horizontal="center" vertical="center"/>
    </xf>
    <xf numFmtId="0" fontId="0" fillId="81" borderId="2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9" fillId="80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15" fontId="3" fillId="2" borderId="5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5" fontId="3" fillId="2" borderId="9" xfId="0" applyNumberFormat="1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/>
    <xf numFmtId="0" fontId="93" fillId="0" borderId="0" xfId="0" applyFont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0" fillId="3" borderId="5" xfId="0" quotePrefix="1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0" fontId="94" fillId="79" borderId="4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6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165" fontId="0" fillId="3" borderId="4" xfId="0" quotePrefix="1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0" fontId="94" fillId="79" borderId="44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0" fillId="3" borderId="9" xfId="0" quotePrefix="1" applyNumberFormat="1" applyFill="1" applyBorder="1" applyAlignment="1">
      <alignment horizontal="center" vertical="center"/>
    </xf>
    <xf numFmtId="165" fontId="0" fillId="3" borderId="10" xfId="0" applyNumberFormat="1" applyFill="1" applyBorder="1" applyAlignment="1">
      <alignment horizontal="center" vertical="center"/>
    </xf>
    <xf numFmtId="0" fontId="94" fillId="79" borderId="45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3" fontId="0" fillId="3" borderId="10" xfId="0" applyNumberFormat="1" applyFill="1" applyBorder="1" applyAlignment="1">
      <alignment horizontal="center" vertical="center"/>
    </xf>
    <xf numFmtId="166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10" xfId="0" applyNumberFormat="1" applyFont="1" applyFill="1" applyBorder="1" applyAlignment="1">
      <alignment horizontal="center" vertical="center"/>
    </xf>
    <xf numFmtId="0" fontId="0" fillId="0" borderId="0" xfId="0" applyFill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1" xfId="0" applyFont="1" applyFill="1" applyBorder="1"/>
    <xf numFmtId="0" fontId="95" fillId="0" borderId="0" xfId="0" applyFont="1"/>
    <xf numFmtId="165" fontId="3" fillId="0" borderId="4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2" fillId="0" borderId="0" xfId="0" applyFont="1" applyBorder="1"/>
    <xf numFmtId="0" fontId="3" fillId="2" borderId="46" xfId="0" applyFont="1" applyFill="1" applyBorder="1" applyAlignment="1">
      <alignment horizontal="center"/>
    </xf>
    <xf numFmtId="166" fontId="3" fillId="2" borderId="47" xfId="0" applyNumberFormat="1" applyFont="1" applyFill="1" applyBorder="1" applyAlignment="1">
      <alignment horizontal="center" vertical="center"/>
    </xf>
    <xf numFmtId="179" fontId="3" fillId="2" borderId="48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/>
    </xf>
    <xf numFmtId="179" fontId="3" fillId="2" borderId="50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/>
    </xf>
    <xf numFmtId="166" fontId="3" fillId="2" borderId="52" xfId="0" applyNumberFormat="1" applyFont="1" applyFill="1" applyBorder="1" applyAlignment="1">
      <alignment horizontal="center" vertical="center"/>
    </xf>
    <xf numFmtId="179" fontId="3" fillId="2" borderId="5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quotePrefix="1" applyFont="1" applyFill="1" applyAlignment="1">
      <alignment horizontal="center"/>
    </xf>
    <xf numFmtId="0" fontId="94" fillId="4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67" fontId="1" fillId="4" borderId="10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96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9" fontId="0" fillId="0" borderId="0" xfId="0" applyNumberFormat="1"/>
    <xf numFmtId="169" fontId="0" fillId="2" borderId="6" xfId="0" applyNumberFormat="1" applyFill="1" applyBorder="1"/>
    <xf numFmtId="166" fontId="0" fillId="0" borderId="0" xfId="0" applyNumberFormat="1"/>
  </cellXfs>
  <cellStyles count="7361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FFFFCC"/>
      <color rgb="FF006600"/>
      <color rgb="FF0000FF"/>
      <color rgb="FFFFFF66"/>
      <color rgb="FFFFFF99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en-GB" sz="2000" b="0"/>
              <a:t>GBP Yield</a:t>
            </a:r>
            <a:r>
              <a:rPr lang="en-GB" sz="2000" b="0" baseline="0"/>
              <a:t> Curve</a:t>
            </a:r>
            <a:endParaRPr lang="en-GB" sz="2000" b="0"/>
          </a:p>
        </c:rich>
      </c:tx>
      <c:layout>
        <c:manualLayout>
          <c:xMode val="edge"/>
          <c:yMode val="edge"/>
          <c:x val="0.39717852384512897"/>
          <c:y val="2.424242424242424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7332342542762453E-2"/>
          <c:y val="2.2429332697049234E-2"/>
          <c:w val="0.87920625982713474"/>
          <c:h val="0.87093215620774678"/>
        </c:manualLayout>
      </c:layout>
      <c:lineChart>
        <c:grouping val="standard"/>
        <c:varyColors val="0"/>
        <c:ser>
          <c:idx val="0"/>
          <c:order val="0"/>
          <c:tx>
            <c:strRef>
              <c:f>DISPLAY_CURVE!$C$9</c:f>
              <c:strCache>
                <c:ptCount val="1"/>
                <c:pt idx="0">
                  <c:v>GBPOIS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43854</c:v>
                </c:pt>
                <c:pt idx="1">
                  <c:v>43885</c:v>
                </c:pt>
                <c:pt idx="2">
                  <c:v>43914</c:v>
                </c:pt>
                <c:pt idx="3">
                  <c:v>43945</c:v>
                </c:pt>
                <c:pt idx="4">
                  <c:v>43977</c:v>
                </c:pt>
                <c:pt idx="5">
                  <c:v>44006</c:v>
                </c:pt>
                <c:pt idx="6">
                  <c:v>44036</c:v>
                </c:pt>
                <c:pt idx="7">
                  <c:v>44067</c:v>
                </c:pt>
                <c:pt idx="8">
                  <c:v>44098</c:v>
                </c:pt>
                <c:pt idx="9">
                  <c:v>44130</c:v>
                </c:pt>
                <c:pt idx="10">
                  <c:v>44159</c:v>
                </c:pt>
                <c:pt idx="11">
                  <c:v>44189</c:v>
                </c:pt>
                <c:pt idx="12">
                  <c:v>44221</c:v>
                </c:pt>
                <c:pt idx="13">
                  <c:v>44251</c:v>
                </c:pt>
                <c:pt idx="14">
                  <c:v>44279</c:v>
                </c:pt>
                <c:pt idx="15">
                  <c:v>44312</c:v>
                </c:pt>
                <c:pt idx="16">
                  <c:v>44340</c:v>
                </c:pt>
                <c:pt idx="17">
                  <c:v>44371</c:v>
                </c:pt>
                <c:pt idx="18">
                  <c:v>44403</c:v>
                </c:pt>
                <c:pt idx="19">
                  <c:v>44432</c:v>
                </c:pt>
                <c:pt idx="20">
                  <c:v>44463</c:v>
                </c:pt>
                <c:pt idx="21">
                  <c:v>44494</c:v>
                </c:pt>
                <c:pt idx="22">
                  <c:v>44524</c:v>
                </c:pt>
                <c:pt idx="23">
                  <c:v>44554</c:v>
                </c:pt>
                <c:pt idx="24">
                  <c:v>44585</c:v>
                </c:pt>
                <c:pt idx="25">
                  <c:v>44616</c:v>
                </c:pt>
                <c:pt idx="26">
                  <c:v>44644</c:v>
                </c:pt>
                <c:pt idx="27">
                  <c:v>44676</c:v>
                </c:pt>
                <c:pt idx="28">
                  <c:v>44705</c:v>
                </c:pt>
                <c:pt idx="29">
                  <c:v>44736</c:v>
                </c:pt>
                <c:pt idx="30">
                  <c:v>44767</c:v>
                </c:pt>
                <c:pt idx="31">
                  <c:v>44797</c:v>
                </c:pt>
                <c:pt idx="32">
                  <c:v>44830</c:v>
                </c:pt>
                <c:pt idx="33">
                  <c:v>44858</c:v>
                </c:pt>
                <c:pt idx="34">
                  <c:v>44889</c:v>
                </c:pt>
                <c:pt idx="35">
                  <c:v>44923</c:v>
                </c:pt>
                <c:pt idx="36">
                  <c:v>44950</c:v>
                </c:pt>
                <c:pt idx="37">
                  <c:v>44981</c:v>
                </c:pt>
                <c:pt idx="38">
                  <c:v>45009</c:v>
                </c:pt>
                <c:pt idx="39">
                  <c:v>45040</c:v>
                </c:pt>
                <c:pt idx="40">
                  <c:v>45070</c:v>
                </c:pt>
                <c:pt idx="41">
                  <c:v>45103</c:v>
                </c:pt>
                <c:pt idx="42">
                  <c:v>45131</c:v>
                </c:pt>
                <c:pt idx="43">
                  <c:v>45162</c:v>
                </c:pt>
                <c:pt idx="44">
                  <c:v>45194</c:v>
                </c:pt>
                <c:pt idx="45">
                  <c:v>45223</c:v>
                </c:pt>
                <c:pt idx="46">
                  <c:v>45254</c:v>
                </c:pt>
                <c:pt idx="47">
                  <c:v>45287</c:v>
                </c:pt>
                <c:pt idx="48">
                  <c:v>45315</c:v>
                </c:pt>
                <c:pt idx="49">
                  <c:v>45348</c:v>
                </c:pt>
                <c:pt idx="50">
                  <c:v>45376</c:v>
                </c:pt>
                <c:pt idx="51">
                  <c:v>45406</c:v>
                </c:pt>
                <c:pt idx="52">
                  <c:v>45436</c:v>
                </c:pt>
                <c:pt idx="53">
                  <c:v>45467</c:v>
                </c:pt>
                <c:pt idx="54">
                  <c:v>45497</c:v>
                </c:pt>
                <c:pt idx="55">
                  <c:v>45531</c:v>
                </c:pt>
                <c:pt idx="56">
                  <c:v>45559</c:v>
                </c:pt>
                <c:pt idx="57">
                  <c:v>45589</c:v>
                </c:pt>
                <c:pt idx="58">
                  <c:v>45621</c:v>
                </c:pt>
                <c:pt idx="59">
                  <c:v>45650</c:v>
                </c:pt>
                <c:pt idx="60">
                  <c:v>45681</c:v>
                </c:pt>
                <c:pt idx="61">
                  <c:v>45712</c:v>
                </c:pt>
                <c:pt idx="62">
                  <c:v>45740</c:v>
                </c:pt>
                <c:pt idx="63">
                  <c:v>45771</c:v>
                </c:pt>
                <c:pt idx="64">
                  <c:v>45804</c:v>
                </c:pt>
                <c:pt idx="65">
                  <c:v>45832</c:v>
                </c:pt>
                <c:pt idx="66">
                  <c:v>45862</c:v>
                </c:pt>
                <c:pt idx="67">
                  <c:v>45895</c:v>
                </c:pt>
                <c:pt idx="68">
                  <c:v>45924</c:v>
                </c:pt>
                <c:pt idx="69">
                  <c:v>45954</c:v>
                </c:pt>
                <c:pt idx="70">
                  <c:v>45985</c:v>
                </c:pt>
                <c:pt idx="71">
                  <c:v>46015</c:v>
                </c:pt>
                <c:pt idx="72">
                  <c:v>46048</c:v>
                </c:pt>
                <c:pt idx="73">
                  <c:v>46077</c:v>
                </c:pt>
                <c:pt idx="74">
                  <c:v>46105</c:v>
                </c:pt>
                <c:pt idx="75">
                  <c:v>46136</c:v>
                </c:pt>
                <c:pt idx="76">
                  <c:v>46168</c:v>
                </c:pt>
                <c:pt idx="77">
                  <c:v>46197</c:v>
                </c:pt>
                <c:pt idx="78">
                  <c:v>46227</c:v>
                </c:pt>
                <c:pt idx="79">
                  <c:v>46258</c:v>
                </c:pt>
                <c:pt idx="80">
                  <c:v>46289</c:v>
                </c:pt>
                <c:pt idx="81">
                  <c:v>46321</c:v>
                </c:pt>
                <c:pt idx="82">
                  <c:v>46350</c:v>
                </c:pt>
                <c:pt idx="83">
                  <c:v>46380</c:v>
                </c:pt>
                <c:pt idx="84">
                  <c:v>46412</c:v>
                </c:pt>
                <c:pt idx="85">
                  <c:v>46442</c:v>
                </c:pt>
                <c:pt idx="86">
                  <c:v>46470</c:v>
                </c:pt>
                <c:pt idx="87">
                  <c:v>46503</c:v>
                </c:pt>
                <c:pt idx="88">
                  <c:v>46531</c:v>
                </c:pt>
                <c:pt idx="89">
                  <c:v>46562</c:v>
                </c:pt>
                <c:pt idx="90">
                  <c:v>46594</c:v>
                </c:pt>
                <c:pt idx="91">
                  <c:v>46623</c:v>
                </c:pt>
                <c:pt idx="92">
                  <c:v>46654</c:v>
                </c:pt>
                <c:pt idx="93">
                  <c:v>46685</c:v>
                </c:pt>
                <c:pt idx="94">
                  <c:v>46715</c:v>
                </c:pt>
                <c:pt idx="95">
                  <c:v>46745</c:v>
                </c:pt>
                <c:pt idx="96">
                  <c:v>46776</c:v>
                </c:pt>
                <c:pt idx="97">
                  <c:v>46807</c:v>
                </c:pt>
                <c:pt idx="98">
                  <c:v>46836</c:v>
                </c:pt>
                <c:pt idx="99">
                  <c:v>46867</c:v>
                </c:pt>
                <c:pt idx="100">
                  <c:v>46897</c:v>
                </c:pt>
                <c:pt idx="101">
                  <c:v>46930</c:v>
                </c:pt>
                <c:pt idx="102">
                  <c:v>46958</c:v>
                </c:pt>
                <c:pt idx="103">
                  <c:v>46989</c:v>
                </c:pt>
                <c:pt idx="104">
                  <c:v>47021</c:v>
                </c:pt>
                <c:pt idx="105">
                  <c:v>47050</c:v>
                </c:pt>
                <c:pt idx="106">
                  <c:v>47081</c:v>
                </c:pt>
                <c:pt idx="107">
                  <c:v>47114</c:v>
                </c:pt>
                <c:pt idx="108">
                  <c:v>47142</c:v>
                </c:pt>
                <c:pt idx="109">
                  <c:v>47175</c:v>
                </c:pt>
                <c:pt idx="110">
                  <c:v>47203</c:v>
                </c:pt>
                <c:pt idx="111">
                  <c:v>47232</c:v>
                </c:pt>
                <c:pt idx="112">
                  <c:v>47262</c:v>
                </c:pt>
                <c:pt idx="113">
                  <c:v>47294</c:v>
                </c:pt>
                <c:pt idx="114">
                  <c:v>47323</c:v>
                </c:pt>
                <c:pt idx="115">
                  <c:v>47354</c:v>
                </c:pt>
                <c:pt idx="116">
                  <c:v>47385</c:v>
                </c:pt>
                <c:pt idx="117">
                  <c:v>47415</c:v>
                </c:pt>
                <c:pt idx="118">
                  <c:v>47448</c:v>
                </c:pt>
                <c:pt idx="119">
                  <c:v>47476</c:v>
                </c:pt>
                <c:pt idx="120">
                  <c:v>47507</c:v>
                </c:pt>
                <c:pt idx="121">
                  <c:v>47539</c:v>
                </c:pt>
                <c:pt idx="122">
                  <c:v>47567</c:v>
                </c:pt>
                <c:pt idx="123">
                  <c:v>47597</c:v>
                </c:pt>
                <c:pt idx="124">
                  <c:v>47627</c:v>
                </c:pt>
                <c:pt idx="125">
                  <c:v>47658</c:v>
                </c:pt>
                <c:pt idx="126">
                  <c:v>47688</c:v>
                </c:pt>
                <c:pt idx="127">
                  <c:v>47722</c:v>
                </c:pt>
                <c:pt idx="128">
                  <c:v>47750</c:v>
                </c:pt>
                <c:pt idx="129">
                  <c:v>47780</c:v>
                </c:pt>
                <c:pt idx="130">
                  <c:v>47812</c:v>
                </c:pt>
                <c:pt idx="131">
                  <c:v>47841</c:v>
                </c:pt>
                <c:pt idx="132">
                  <c:v>47872</c:v>
                </c:pt>
                <c:pt idx="133">
                  <c:v>47903</c:v>
                </c:pt>
                <c:pt idx="134">
                  <c:v>47931</c:v>
                </c:pt>
                <c:pt idx="135">
                  <c:v>47962</c:v>
                </c:pt>
                <c:pt idx="136">
                  <c:v>47995</c:v>
                </c:pt>
                <c:pt idx="137">
                  <c:v>48023</c:v>
                </c:pt>
                <c:pt idx="138">
                  <c:v>48053</c:v>
                </c:pt>
                <c:pt idx="139">
                  <c:v>48086</c:v>
                </c:pt>
                <c:pt idx="140">
                  <c:v>48115</c:v>
                </c:pt>
                <c:pt idx="141">
                  <c:v>48145</c:v>
                </c:pt>
                <c:pt idx="142">
                  <c:v>48176</c:v>
                </c:pt>
                <c:pt idx="143">
                  <c:v>48206</c:v>
                </c:pt>
                <c:pt idx="144">
                  <c:v>48239</c:v>
                </c:pt>
                <c:pt idx="145">
                  <c:v>48268</c:v>
                </c:pt>
                <c:pt idx="146">
                  <c:v>48297</c:v>
                </c:pt>
                <c:pt idx="147">
                  <c:v>48330</c:v>
                </c:pt>
                <c:pt idx="148">
                  <c:v>48358</c:v>
                </c:pt>
                <c:pt idx="149">
                  <c:v>48389</c:v>
                </c:pt>
                <c:pt idx="150">
                  <c:v>48421</c:v>
                </c:pt>
                <c:pt idx="151">
                  <c:v>48450</c:v>
                </c:pt>
                <c:pt idx="152">
                  <c:v>48481</c:v>
                </c:pt>
                <c:pt idx="153">
                  <c:v>48512</c:v>
                </c:pt>
                <c:pt idx="154">
                  <c:v>48542</c:v>
                </c:pt>
                <c:pt idx="155">
                  <c:v>48572</c:v>
                </c:pt>
                <c:pt idx="156">
                  <c:v>48603</c:v>
                </c:pt>
                <c:pt idx="157">
                  <c:v>48634</c:v>
                </c:pt>
                <c:pt idx="158">
                  <c:v>48662</c:v>
                </c:pt>
                <c:pt idx="159">
                  <c:v>48694</c:v>
                </c:pt>
                <c:pt idx="160">
                  <c:v>48723</c:v>
                </c:pt>
                <c:pt idx="161">
                  <c:v>48754</c:v>
                </c:pt>
                <c:pt idx="162">
                  <c:v>48785</c:v>
                </c:pt>
                <c:pt idx="163">
                  <c:v>48815</c:v>
                </c:pt>
                <c:pt idx="164">
                  <c:v>48848</c:v>
                </c:pt>
                <c:pt idx="165">
                  <c:v>48876</c:v>
                </c:pt>
                <c:pt idx="166">
                  <c:v>48907</c:v>
                </c:pt>
                <c:pt idx="167">
                  <c:v>48941</c:v>
                </c:pt>
                <c:pt idx="168">
                  <c:v>48968</c:v>
                </c:pt>
                <c:pt idx="169">
                  <c:v>48999</c:v>
                </c:pt>
                <c:pt idx="170">
                  <c:v>49027</c:v>
                </c:pt>
                <c:pt idx="171">
                  <c:v>49058</c:v>
                </c:pt>
                <c:pt idx="172">
                  <c:v>49088</c:v>
                </c:pt>
                <c:pt idx="173">
                  <c:v>49121</c:v>
                </c:pt>
                <c:pt idx="174">
                  <c:v>49149</c:v>
                </c:pt>
                <c:pt idx="175">
                  <c:v>49180</c:v>
                </c:pt>
                <c:pt idx="176">
                  <c:v>49212</c:v>
                </c:pt>
                <c:pt idx="177">
                  <c:v>49241</c:v>
                </c:pt>
                <c:pt idx="178">
                  <c:v>49272</c:v>
                </c:pt>
                <c:pt idx="179">
                  <c:v>49305</c:v>
                </c:pt>
                <c:pt idx="180">
                  <c:v>49333</c:v>
                </c:pt>
                <c:pt idx="181">
                  <c:v>49366</c:v>
                </c:pt>
                <c:pt idx="182">
                  <c:v>49395</c:v>
                </c:pt>
                <c:pt idx="183">
                  <c:v>49423</c:v>
                </c:pt>
                <c:pt idx="184">
                  <c:v>49453</c:v>
                </c:pt>
                <c:pt idx="185">
                  <c:v>49485</c:v>
                </c:pt>
                <c:pt idx="186">
                  <c:v>49514</c:v>
                </c:pt>
                <c:pt idx="187">
                  <c:v>49545</c:v>
                </c:pt>
                <c:pt idx="188">
                  <c:v>49576</c:v>
                </c:pt>
                <c:pt idx="189">
                  <c:v>49606</c:v>
                </c:pt>
                <c:pt idx="190">
                  <c:v>49639</c:v>
                </c:pt>
                <c:pt idx="191">
                  <c:v>49667</c:v>
                </c:pt>
                <c:pt idx="192">
                  <c:v>49698</c:v>
                </c:pt>
                <c:pt idx="193">
                  <c:v>49730</c:v>
                </c:pt>
                <c:pt idx="194">
                  <c:v>49758</c:v>
                </c:pt>
                <c:pt idx="195">
                  <c:v>49789</c:v>
                </c:pt>
                <c:pt idx="196">
                  <c:v>49822</c:v>
                </c:pt>
                <c:pt idx="197">
                  <c:v>49850</c:v>
                </c:pt>
                <c:pt idx="198">
                  <c:v>49880</c:v>
                </c:pt>
                <c:pt idx="199">
                  <c:v>49913</c:v>
                </c:pt>
                <c:pt idx="200">
                  <c:v>49942</c:v>
                </c:pt>
                <c:pt idx="201">
                  <c:v>49972</c:v>
                </c:pt>
                <c:pt idx="202">
                  <c:v>50003</c:v>
                </c:pt>
                <c:pt idx="203">
                  <c:v>50033</c:v>
                </c:pt>
                <c:pt idx="204">
                  <c:v>50066</c:v>
                </c:pt>
                <c:pt idx="205">
                  <c:v>50095</c:v>
                </c:pt>
                <c:pt idx="206">
                  <c:v>50123</c:v>
                </c:pt>
                <c:pt idx="207">
                  <c:v>50154</c:v>
                </c:pt>
                <c:pt idx="208">
                  <c:v>50186</c:v>
                </c:pt>
                <c:pt idx="209">
                  <c:v>50215</c:v>
                </c:pt>
                <c:pt idx="210">
                  <c:v>50245</c:v>
                </c:pt>
                <c:pt idx="211">
                  <c:v>50276</c:v>
                </c:pt>
                <c:pt idx="212">
                  <c:v>50307</c:v>
                </c:pt>
                <c:pt idx="213">
                  <c:v>50339</c:v>
                </c:pt>
                <c:pt idx="214">
                  <c:v>50368</c:v>
                </c:pt>
                <c:pt idx="215">
                  <c:v>50398</c:v>
                </c:pt>
                <c:pt idx="216">
                  <c:v>50430</c:v>
                </c:pt>
                <c:pt idx="217">
                  <c:v>50460</c:v>
                </c:pt>
                <c:pt idx="218">
                  <c:v>50488</c:v>
                </c:pt>
                <c:pt idx="219">
                  <c:v>50522</c:v>
                </c:pt>
                <c:pt idx="220">
                  <c:v>50549</c:v>
                </c:pt>
                <c:pt idx="221">
                  <c:v>50580</c:v>
                </c:pt>
                <c:pt idx="222">
                  <c:v>50612</c:v>
                </c:pt>
                <c:pt idx="223">
                  <c:v>50641</c:v>
                </c:pt>
                <c:pt idx="224">
                  <c:v>50672</c:v>
                </c:pt>
                <c:pt idx="225">
                  <c:v>50703</c:v>
                </c:pt>
                <c:pt idx="226">
                  <c:v>50733</c:v>
                </c:pt>
                <c:pt idx="227">
                  <c:v>50763</c:v>
                </c:pt>
                <c:pt idx="228">
                  <c:v>50794</c:v>
                </c:pt>
                <c:pt idx="229">
                  <c:v>50825</c:v>
                </c:pt>
                <c:pt idx="230">
                  <c:v>50853</c:v>
                </c:pt>
                <c:pt idx="231">
                  <c:v>50885</c:v>
                </c:pt>
                <c:pt idx="232">
                  <c:v>50914</c:v>
                </c:pt>
                <c:pt idx="233">
                  <c:v>50945</c:v>
                </c:pt>
                <c:pt idx="234">
                  <c:v>50976</c:v>
                </c:pt>
                <c:pt idx="235">
                  <c:v>51006</c:v>
                </c:pt>
                <c:pt idx="236">
                  <c:v>51039</c:v>
                </c:pt>
                <c:pt idx="237">
                  <c:v>51067</c:v>
                </c:pt>
                <c:pt idx="238">
                  <c:v>51098</c:v>
                </c:pt>
                <c:pt idx="239">
                  <c:v>51132</c:v>
                </c:pt>
                <c:pt idx="240">
                  <c:v>51159</c:v>
                </c:pt>
                <c:pt idx="241">
                  <c:v>51190</c:v>
                </c:pt>
                <c:pt idx="242">
                  <c:v>51221</c:v>
                </c:pt>
                <c:pt idx="243">
                  <c:v>51250</c:v>
                </c:pt>
                <c:pt idx="244">
                  <c:v>51280</c:v>
                </c:pt>
                <c:pt idx="245">
                  <c:v>51312</c:v>
                </c:pt>
                <c:pt idx="246">
                  <c:v>51341</c:v>
                </c:pt>
                <c:pt idx="247">
                  <c:v>51372</c:v>
                </c:pt>
                <c:pt idx="248">
                  <c:v>51403</c:v>
                </c:pt>
                <c:pt idx="249">
                  <c:v>51433</c:v>
                </c:pt>
                <c:pt idx="250">
                  <c:v>51466</c:v>
                </c:pt>
                <c:pt idx="251">
                  <c:v>51494</c:v>
                </c:pt>
                <c:pt idx="252">
                  <c:v>51525</c:v>
                </c:pt>
                <c:pt idx="253">
                  <c:v>51557</c:v>
                </c:pt>
                <c:pt idx="254">
                  <c:v>51585</c:v>
                </c:pt>
                <c:pt idx="255">
                  <c:v>51615</c:v>
                </c:pt>
                <c:pt idx="256">
                  <c:v>51645</c:v>
                </c:pt>
                <c:pt idx="257">
                  <c:v>51676</c:v>
                </c:pt>
                <c:pt idx="258">
                  <c:v>51706</c:v>
                </c:pt>
                <c:pt idx="259">
                  <c:v>51740</c:v>
                </c:pt>
                <c:pt idx="260">
                  <c:v>51768</c:v>
                </c:pt>
                <c:pt idx="261">
                  <c:v>51798</c:v>
                </c:pt>
                <c:pt idx="262">
                  <c:v>51830</c:v>
                </c:pt>
                <c:pt idx="263">
                  <c:v>51859</c:v>
                </c:pt>
                <c:pt idx="264">
                  <c:v>51890</c:v>
                </c:pt>
                <c:pt idx="265">
                  <c:v>51921</c:v>
                </c:pt>
                <c:pt idx="266">
                  <c:v>51949</c:v>
                </c:pt>
                <c:pt idx="267">
                  <c:v>51980</c:v>
                </c:pt>
                <c:pt idx="268">
                  <c:v>52013</c:v>
                </c:pt>
                <c:pt idx="269">
                  <c:v>52041</c:v>
                </c:pt>
                <c:pt idx="270">
                  <c:v>52071</c:v>
                </c:pt>
                <c:pt idx="271">
                  <c:v>52104</c:v>
                </c:pt>
                <c:pt idx="272">
                  <c:v>52133</c:v>
                </c:pt>
                <c:pt idx="273">
                  <c:v>52163</c:v>
                </c:pt>
                <c:pt idx="274">
                  <c:v>52194</c:v>
                </c:pt>
                <c:pt idx="275">
                  <c:v>52224</c:v>
                </c:pt>
                <c:pt idx="276">
                  <c:v>52257</c:v>
                </c:pt>
                <c:pt idx="277">
                  <c:v>52286</c:v>
                </c:pt>
                <c:pt idx="278">
                  <c:v>52314</c:v>
                </c:pt>
                <c:pt idx="279">
                  <c:v>52345</c:v>
                </c:pt>
                <c:pt idx="280">
                  <c:v>52377</c:v>
                </c:pt>
                <c:pt idx="281">
                  <c:v>52406</c:v>
                </c:pt>
                <c:pt idx="282">
                  <c:v>52436</c:v>
                </c:pt>
                <c:pt idx="283">
                  <c:v>52467</c:v>
                </c:pt>
                <c:pt idx="284">
                  <c:v>52498</c:v>
                </c:pt>
                <c:pt idx="285">
                  <c:v>52530</c:v>
                </c:pt>
                <c:pt idx="286">
                  <c:v>52559</c:v>
                </c:pt>
                <c:pt idx="287">
                  <c:v>52589</c:v>
                </c:pt>
                <c:pt idx="288">
                  <c:v>52621</c:v>
                </c:pt>
                <c:pt idx="289">
                  <c:v>52651</c:v>
                </c:pt>
                <c:pt idx="290">
                  <c:v>52680</c:v>
                </c:pt>
                <c:pt idx="291">
                  <c:v>52712</c:v>
                </c:pt>
                <c:pt idx="292">
                  <c:v>52741</c:v>
                </c:pt>
                <c:pt idx="293">
                  <c:v>52772</c:v>
                </c:pt>
                <c:pt idx="294">
                  <c:v>52803</c:v>
                </c:pt>
                <c:pt idx="295">
                  <c:v>52833</c:v>
                </c:pt>
                <c:pt idx="296">
                  <c:v>52866</c:v>
                </c:pt>
                <c:pt idx="297">
                  <c:v>52894</c:v>
                </c:pt>
                <c:pt idx="298">
                  <c:v>52925</c:v>
                </c:pt>
                <c:pt idx="299">
                  <c:v>52959</c:v>
                </c:pt>
                <c:pt idx="300">
                  <c:v>52986</c:v>
                </c:pt>
                <c:pt idx="301">
                  <c:v>53017</c:v>
                </c:pt>
                <c:pt idx="302">
                  <c:v>53045</c:v>
                </c:pt>
                <c:pt idx="303">
                  <c:v>53076</c:v>
                </c:pt>
                <c:pt idx="304">
                  <c:v>53106</c:v>
                </c:pt>
                <c:pt idx="305">
                  <c:v>53139</c:v>
                </c:pt>
                <c:pt idx="306">
                  <c:v>53167</c:v>
                </c:pt>
                <c:pt idx="307">
                  <c:v>53198</c:v>
                </c:pt>
                <c:pt idx="308">
                  <c:v>53230</c:v>
                </c:pt>
                <c:pt idx="309">
                  <c:v>53259</c:v>
                </c:pt>
                <c:pt idx="310">
                  <c:v>53290</c:v>
                </c:pt>
                <c:pt idx="311">
                  <c:v>53323</c:v>
                </c:pt>
                <c:pt idx="312">
                  <c:v>53351</c:v>
                </c:pt>
                <c:pt idx="313">
                  <c:v>53384</c:v>
                </c:pt>
                <c:pt idx="314">
                  <c:v>53413</c:v>
                </c:pt>
                <c:pt idx="315">
                  <c:v>53441</c:v>
                </c:pt>
                <c:pt idx="316">
                  <c:v>53471</c:v>
                </c:pt>
                <c:pt idx="317">
                  <c:v>53503</c:v>
                </c:pt>
                <c:pt idx="318">
                  <c:v>53532</c:v>
                </c:pt>
                <c:pt idx="319">
                  <c:v>53563</c:v>
                </c:pt>
                <c:pt idx="320">
                  <c:v>53594</c:v>
                </c:pt>
                <c:pt idx="321">
                  <c:v>53624</c:v>
                </c:pt>
                <c:pt idx="322">
                  <c:v>53657</c:v>
                </c:pt>
                <c:pt idx="323">
                  <c:v>53685</c:v>
                </c:pt>
                <c:pt idx="324">
                  <c:v>53716</c:v>
                </c:pt>
                <c:pt idx="325">
                  <c:v>53748</c:v>
                </c:pt>
                <c:pt idx="326">
                  <c:v>53776</c:v>
                </c:pt>
                <c:pt idx="327">
                  <c:v>53806</c:v>
                </c:pt>
                <c:pt idx="328">
                  <c:v>53836</c:v>
                </c:pt>
                <c:pt idx="329">
                  <c:v>53867</c:v>
                </c:pt>
                <c:pt idx="330">
                  <c:v>53897</c:v>
                </c:pt>
                <c:pt idx="331">
                  <c:v>53931</c:v>
                </c:pt>
                <c:pt idx="332">
                  <c:v>53959</c:v>
                </c:pt>
                <c:pt idx="333">
                  <c:v>53989</c:v>
                </c:pt>
                <c:pt idx="334">
                  <c:v>54021</c:v>
                </c:pt>
                <c:pt idx="335">
                  <c:v>54050</c:v>
                </c:pt>
                <c:pt idx="336">
                  <c:v>54081</c:v>
                </c:pt>
                <c:pt idx="337">
                  <c:v>54112</c:v>
                </c:pt>
                <c:pt idx="338">
                  <c:v>54141</c:v>
                </c:pt>
                <c:pt idx="339">
                  <c:v>54172</c:v>
                </c:pt>
                <c:pt idx="340">
                  <c:v>54204</c:v>
                </c:pt>
                <c:pt idx="341">
                  <c:v>54233</c:v>
                </c:pt>
                <c:pt idx="342">
                  <c:v>54263</c:v>
                </c:pt>
                <c:pt idx="343">
                  <c:v>54294</c:v>
                </c:pt>
                <c:pt idx="344">
                  <c:v>54325</c:v>
                </c:pt>
                <c:pt idx="345">
                  <c:v>54357</c:v>
                </c:pt>
                <c:pt idx="346">
                  <c:v>54386</c:v>
                </c:pt>
                <c:pt idx="347">
                  <c:v>54416</c:v>
                </c:pt>
                <c:pt idx="348">
                  <c:v>54448</c:v>
                </c:pt>
                <c:pt idx="349">
                  <c:v>54478</c:v>
                </c:pt>
                <c:pt idx="350">
                  <c:v>54506</c:v>
                </c:pt>
                <c:pt idx="351">
                  <c:v>54539</c:v>
                </c:pt>
                <c:pt idx="352">
                  <c:v>54567</c:v>
                </c:pt>
                <c:pt idx="353">
                  <c:v>54598</c:v>
                </c:pt>
                <c:pt idx="354">
                  <c:v>54630</c:v>
                </c:pt>
                <c:pt idx="355">
                  <c:v>54659</c:v>
                </c:pt>
                <c:pt idx="356">
                  <c:v>54690</c:v>
                </c:pt>
                <c:pt idx="357">
                  <c:v>54721</c:v>
                </c:pt>
                <c:pt idx="358">
                  <c:v>54751</c:v>
                </c:pt>
                <c:pt idx="359">
                  <c:v>54781</c:v>
                </c:pt>
                <c:pt idx="360">
                  <c:v>54812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DISPLAY_CURVE!$C$10:$C$501</c:f>
              <c:numCache>
                <c:formatCode>0.00000%</c:formatCode>
                <c:ptCount val="492"/>
                <c:pt idx="0">
                  <c:v>7.0310226751676055E-3</c:v>
                </c:pt>
                <c:pt idx="1">
                  <c:v>5.5214585478702231E-3</c:v>
                </c:pt>
                <c:pt idx="2">
                  <c:v>5.6493783191146835E-3</c:v>
                </c:pt>
                <c:pt idx="3">
                  <c:v>5.1357653977997745E-3</c:v>
                </c:pt>
                <c:pt idx="4">
                  <c:v>4.836033423131234E-3</c:v>
                </c:pt>
                <c:pt idx="5">
                  <c:v>4.6410762742965708E-3</c:v>
                </c:pt>
                <c:pt idx="6">
                  <c:v>4.4605502220333134E-3</c:v>
                </c:pt>
                <c:pt idx="7">
                  <c:v>4.1797101669727339E-3</c:v>
                </c:pt>
                <c:pt idx="8">
                  <c:v>4.0132516576296849E-3</c:v>
                </c:pt>
                <c:pt idx="9">
                  <c:v>4.0355246289147826E-3</c:v>
                </c:pt>
                <c:pt idx="10">
                  <c:v>3.9380539364508747E-3</c:v>
                </c:pt>
                <c:pt idx="11">
                  <c:v>3.8924015228723068E-3</c:v>
                </c:pt>
                <c:pt idx="12">
                  <c:v>3.9222472588883129E-3</c:v>
                </c:pt>
                <c:pt idx="13">
                  <c:v>3.8731476185395806E-3</c:v>
                </c:pt>
                <c:pt idx="14">
                  <c:v>3.8351921270017566E-3</c:v>
                </c:pt>
                <c:pt idx="15">
                  <c:v>3.800228010004542E-3</c:v>
                </c:pt>
                <c:pt idx="16">
                  <c:v>3.778842476043378E-3</c:v>
                </c:pt>
                <c:pt idx="17">
                  <c:v>3.7640228085357732E-3</c:v>
                </c:pt>
                <c:pt idx="18">
                  <c:v>3.758500141684969E-3</c:v>
                </c:pt>
                <c:pt idx="19">
                  <c:v>3.7620689931826285E-3</c:v>
                </c:pt>
                <c:pt idx="20">
                  <c:v>3.7755055621975617E-3</c:v>
                </c:pt>
                <c:pt idx="21">
                  <c:v>3.7970423005849467E-3</c:v>
                </c:pt>
                <c:pt idx="22">
                  <c:v>3.8273444294910359E-3</c:v>
                </c:pt>
                <c:pt idx="23">
                  <c:v>3.8693662096194025E-3</c:v>
                </c:pt>
                <c:pt idx="24">
                  <c:v>3.9158496126621943E-3</c:v>
                </c:pt>
                <c:pt idx="25">
                  <c:v>3.9690042889094163E-3</c:v>
                </c:pt>
                <c:pt idx="26">
                  <c:v>4.0156031359611152E-3</c:v>
                </c:pt>
                <c:pt idx="27">
                  <c:v>4.0672165454412506E-3</c:v>
                </c:pt>
                <c:pt idx="28">
                  <c:v>4.112479986764078E-3</c:v>
                </c:pt>
                <c:pt idx="29">
                  <c:v>4.1608074140435649E-3</c:v>
                </c:pt>
                <c:pt idx="30">
                  <c:v>4.2044350841517605E-3</c:v>
                </c:pt>
                <c:pt idx="31">
                  <c:v>4.2465729208683422E-3</c:v>
                </c:pt>
                <c:pt idx="32">
                  <c:v>4.2911500579899224E-3</c:v>
                </c:pt>
                <c:pt idx="33">
                  <c:v>4.3275135505447902E-3</c:v>
                </c:pt>
                <c:pt idx="34">
                  <c:v>4.3662116128260842E-3</c:v>
                </c:pt>
                <c:pt idx="35">
                  <c:v>4.4067688493952322E-3</c:v>
                </c:pt>
                <c:pt idx="36">
                  <c:v>4.4375689768992362E-3</c:v>
                </c:pt>
                <c:pt idx="37">
                  <c:v>4.4728381240826173E-3</c:v>
                </c:pt>
                <c:pt idx="38">
                  <c:v>4.5027321012981137E-3</c:v>
                </c:pt>
                <c:pt idx="39">
                  <c:v>4.5337517443561218E-3</c:v>
                </c:pt>
                <c:pt idx="40">
                  <c:v>4.5638407050905827E-3</c:v>
                </c:pt>
                <c:pt idx="41">
                  <c:v>4.5958004208166972E-3</c:v>
                </c:pt>
                <c:pt idx="42">
                  <c:v>4.6219814694535271E-3</c:v>
                </c:pt>
                <c:pt idx="43">
                  <c:v>4.6499658341468382E-3</c:v>
                </c:pt>
                <c:pt idx="44">
                  <c:v>4.6777492189762869E-3</c:v>
                </c:pt>
                <c:pt idx="45">
                  <c:v>4.7019580626160252E-3</c:v>
                </c:pt>
                <c:pt idx="46">
                  <c:v>4.7276632007111387E-3</c:v>
                </c:pt>
                <c:pt idx="47">
                  <c:v>4.7521259316861061E-3</c:v>
                </c:pt>
                <c:pt idx="48">
                  <c:v>4.772663708015705E-3</c:v>
                </c:pt>
                <c:pt idx="49">
                  <c:v>4.7967265729585351E-3</c:v>
                </c:pt>
                <c:pt idx="50">
                  <c:v>4.8176719792568014E-3</c:v>
                </c:pt>
                <c:pt idx="51">
                  <c:v>4.8406527773124279E-3</c:v>
                </c:pt>
                <c:pt idx="52">
                  <c:v>4.8654797768411424E-3</c:v>
                </c:pt>
                <c:pt idx="53">
                  <c:v>4.8890975411817637E-3</c:v>
                </c:pt>
                <c:pt idx="54">
                  <c:v>4.9137676845288237E-3</c:v>
                </c:pt>
                <c:pt idx="55">
                  <c:v>4.9424003063279071E-3</c:v>
                </c:pt>
                <c:pt idx="56">
                  <c:v>4.9665168290145409E-3</c:v>
                </c:pt>
                <c:pt idx="57">
                  <c:v>4.9928949468700922E-3</c:v>
                </c:pt>
                <c:pt idx="58">
                  <c:v>5.0216454340338296E-3</c:v>
                </c:pt>
                <c:pt idx="59">
                  <c:v>5.0492440885069332E-3</c:v>
                </c:pt>
                <c:pt idx="60">
                  <c:v>5.0782771744062255E-3</c:v>
                </c:pt>
                <c:pt idx="61">
                  <c:v>5.1069631583997941E-3</c:v>
                </c:pt>
                <c:pt idx="62">
                  <c:v>5.134461414957138E-3</c:v>
                </c:pt>
                <c:pt idx="63">
                  <c:v>5.1656489302296721E-3</c:v>
                </c:pt>
                <c:pt idx="64">
                  <c:v>5.1997055091288821E-3</c:v>
                </c:pt>
                <c:pt idx="65">
                  <c:v>5.2292944883068106E-3</c:v>
                </c:pt>
                <c:pt idx="66">
                  <c:v>5.2617038597400382E-3</c:v>
                </c:pt>
                <c:pt idx="67">
                  <c:v>5.298197705755155E-3</c:v>
                </c:pt>
                <c:pt idx="68">
                  <c:v>5.3309970348534297E-3</c:v>
                </c:pt>
                <c:pt idx="69">
                  <c:v>5.3668933037581586E-3</c:v>
                </c:pt>
                <c:pt idx="70">
                  <c:v>5.4022182720534747E-3</c:v>
                </c:pt>
                <c:pt idx="71">
                  <c:v>5.4409499587671183E-3</c:v>
                </c:pt>
                <c:pt idx="72">
                  <c:v>5.4789437857321269E-3</c:v>
                </c:pt>
                <c:pt idx="73">
                  <c:v>5.5153450392873213E-3</c:v>
                </c:pt>
                <c:pt idx="74">
                  <c:v>5.5511380190296422E-3</c:v>
                </c:pt>
                <c:pt idx="75">
                  <c:v>5.5929102545693469E-3</c:v>
                </c:pt>
                <c:pt idx="76">
                  <c:v>5.6340002066666171E-3</c:v>
                </c:pt>
                <c:pt idx="77">
                  <c:v>5.6732250014510811E-3</c:v>
                </c:pt>
                <c:pt idx="78">
                  <c:v>5.7160005511252875E-3</c:v>
                </c:pt>
                <c:pt idx="79">
                  <c:v>5.7579620620405014E-3</c:v>
                </c:pt>
                <c:pt idx="80">
                  <c:v>5.8021816181894718E-3</c:v>
                </c:pt>
                <c:pt idx="81">
                  <c:v>5.8486468999161632E-3</c:v>
                </c:pt>
                <c:pt idx="82">
                  <c:v>5.8914738225044417E-3</c:v>
                </c:pt>
                <c:pt idx="83">
                  <c:v>5.9397159143608274E-3</c:v>
                </c:pt>
                <c:pt idx="84">
                  <c:v>5.9853218843195543E-3</c:v>
                </c:pt>
                <c:pt idx="85">
                  <c:v>6.0311877324357192E-3</c:v>
                </c:pt>
                <c:pt idx="86">
                  <c:v>6.0734918446745398E-3</c:v>
                </c:pt>
                <c:pt idx="87">
                  <c:v>6.122724762390507E-3</c:v>
                </c:pt>
                <c:pt idx="88">
                  <c:v>6.1639679566880519E-3</c:v>
                </c:pt>
                <c:pt idx="89">
                  <c:v>6.2090629799491604E-3</c:v>
                </c:pt>
                <c:pt idx="90">
                  <c:v>6.2549867858816494E-3</c:v>
                </c:pt>
                <c:pt idx="91">
                  <c:v>6.2960563210165896E-3</c:v>
                </c:pt>
                <c:pt idx="92">
                  <c:v>6.3408790131593007E-3</c:v>
                </c:pt>
                <c:pt idx="93">
                  <c:v>6.3821096089475733E-3</c:v>
                </c:pt>
                <c:pt idx="94">
                  <c:v>6.4228915995776393E-3</c:v>
                </c:pt>
                <c:pt idx="95">
                  <c:v>6.4660056131195945E-3</c:v>
                </c:pt>
                <c:pt idx="96">
                  <c:v>6.5040927798384173E-3</c:v>
                </c:pt>
                <c:pt idx="97">
                  <c:v>6.5444737325611691E-3</c:v>
                </c:pt>
                <c:pt idx="98">
                  <c:v>6.5831031335395933E-3</c:v>
                </c:pt>
                <c:pt idx="99">
                  <c:v>6.6209364165490938E-3</c:v>
                </c:pt>
                <c:pt idx="100">
                  <c:v>6.6583296799102307E-3</c:v>
                </c:pt>
                <c:pt idx="101">
                  <c:v>6.6988176105584876E-3</c:v>
                </c:pt>
                <c:pt idx="102">
                  <c:v>6.7326404689269041E-3</c:v>
                </c:pt>
                <c:pt idx="103">
                  <c:v>6.7695197169912475E-3</c:v>
                </c:pt>
                <c:pt idx="104">
                  <c:v>6.8069635223530645E-3</c:v>
                </c:pt>
                <c:pt idx="105">
                  <c:v>6.84034745067039E-3</c:v>
                </c:pt>
                <c:pt idx="106">
                  <c:v>6.87670858307799E-3</c:v>
                </c:pt>
                <c:pt idx="107">
                  <c:v>6.9121760162036321E-3</c:v>
                </c:pt>
                <c:pt idx="108">
                  <c:v>6.9428012943759058E-3</c:v>
                </c:pt>
                <c:pt idx="109">
                  <c:v>6.9782708101493547E-3</c:v>
                </c:pt>
                <c:pt idx="110">
                  <c:v>7.0078365783973464E-3</c:v>
                </c:pt>
                <c:pt idx="111">
                  <c:v>7.0379447343768154E-3</c:v>
                </c:pt>
                <c:pt idx="112">
                  <c:v>7.0685418956582336E-3</c:v>
                </c:pt>
                <c:pt idx="113">
                  <c:v>7.1005637624542046E-3</c:v>
                </c:pt>
                <c:pt idx="114">
                  <c:v>7.1290340002492765E-3</c:v>
                </c:pt>
                <c:pt idx="115">
                  <c:v>7.1605304757746567E-3</c:v>
                </c:pt>
                <c:pt idx="116">
                  <c:v>7.1881513440060392E-3</c:v>
                </c:pt>
                <c:pt idx="117">
                  <c:v>7.2158996648915077E-3</c:v>
                </c:pt>
                <c:pt idx="118">
                  <c:v>7.2457777423935964E-3</c:v>
                </c:pt>
                <c:pt idx="119">
                  <c:v>7.2716214450209548E-3</c:v>
                </c:pt>
                <c:pt idx="120">
                  <c:v>7.2975120058189954E-3</c:v>
                </c:pt>
                <c:pt idx="121">
                  <c:v>7.3245968208267547E-3</c:v>
                </c:pt>
                <c:pt idx="122">
                  <c:v>7.3476629288459269E-3</c:v>
                </c:pt>
                <c:pt idx="123">
                  <c:v>7.3717194123619273E-3</c:v>
                </c:pt>
                <c:pt idx="124">
                  <c:v>7.3964723904821755E-3</c:v>
                </c:pt>
                <c:pt idx="125">
                  <c:v>7.4185412422884574E-3</c:v>
                </c:pt>
                <c:pt idx="126">
                  <c:v>7.4405381117547452E-3</c:v>
                </c:pt>
                <c:pt idx="127">
                  <c:v>7.4646472478023087E-3</c:v>
                </c:pt>
                <c:pt idx="128">
                  <c:v>7.4838476661560288E-3</c:v>
                </c:pt>
                <c:pt idx="129">
                  <c:v>7.50376228257639E-3</c:v>
                </c:pt>
                <c:pt idx="130">
                  <c:v>7.5242562584209582E-3</c:v>
                </c:pt>
                <c:pt idx="131">
                  <c:v>7.5429241692409462E-3</c:v>
                </c:pt>
                <c:pt idx="132">
                  <c:v>7.5613400331246408E-3</c:v>
                </c:pt>
                <c:pt idx="133">
                  <c:v>7.5783145307512382E-3</c:v>
                </c:pt>
                <c:pt idx="134">
                  <c:v>7.5936914648721742E-3</c:v>
                </c:pt>
                <c:pt idx="135">
                  <c:v>7.6100251281213983E-3</c:v>
                </c:pt>
                <c:pt idx="136">
                  <c:v>7.6266160196325223E-3</c:v>
                </c:pt>
                <c:pt idx="137">
                  <c:v>7.6400495690470901E-3</c:v>
                </c:pt>
                <c:pt idx="138">
                  <c:v>7.6537853837366039E-3</c:v>
                </c:pt>
                <c:pt idx="139">
                  <c:v>7.6681106850545848E-3</c:v>
                </c:pt>
                <c:pt idx="140">
                  <c:v>7.6800221116496486E-3</c:v>
                </c:pt>
                <c:pt idx="141">
                  <c:v>7.6922142218864087E-3</c:v>
                </c:pt>
                <c:pt idx="142">
                  <c:v>7.7030044161124894E-3</c:v>
                </c:pt>
                <c:pt idx="143">
                  <c:v>7.7142644493730624E-3</c:v>
                </c:pt>
                <c:pt idx="144">
                  <c:v>7.7237944589597556E-3</c:v>
                </c:pt>
                <c:pt idx="145">
                  <c:v>7.7323575708748574E-3</c:v>
                </c:pt>
                <c:pt idx="146">
                  <c:v>7.7402870845300134E-3</c:v>
                </c:pt>
                <c:pt idx="147">
                  <c:v>7.7485376238761823E-3</c:v>
                </c:pt>
                <c:pt idx="148">
                  <c:v>7.7548937436089484E-3</c:v>
                </c:pt>
                <c:pt idx="149">
                  <c:v>7.7612418802020097E-3</c:v>
                </c:pt>
                <c:pt idx="150">
                  <c:v>7.7670333910195991E-3</c:v>
                </c:pt>
                <c:pt idx="151">
                  <c:v>7.7716146328632597E-3</c:v>
                </c:pt>
                <c:pt idx="152">
                  <c:v>7.7760998205713347E-3</c:v>
                </c:pt>
                <c:pt idx="153">
                  <c:v>7.7792816678351178E-3</c:v>
                </c:pt>
                <c:pt idx="154">
                  <c:v>7.7819499884202083E-3</c:v>
                </c:pt>
                <c:pt idx="155">
                  <c:v>7.7843799743686484E-3</c:v>
                </c:pt>
                <c:pt idx="156">
                  <c:v>7.7852824790569852E-3</c:v>
                </c:pt>
                <c:pt idx="157">
                  <c:v>7.785899813845829E-3</c:v>
                </c:pt>
                <c:pt idx="158">
                  <c:v>7.785835041496123E-3</c:v>
                </c:pt>
                <c:pt idx="159">
                  <c:v>7.785035814534237E-3</c:v>
                </c:pt>
                <c:pt idx="160">
                  <c:v>7.7836442010270814E-3</c:v>
                </c:pt>
                <c:pt idx="161">
                  <c:v>7.7815388815914268E-3</c:v>
                </c:pt>
                <c:pt idx="162">
                  <c:v>7.7785416878217899E-3</c:v>
                </c:pt>
                <c:pt idx="163">
                  <c:v>7.775031191996646E-3</c:v>
                </c:pt>
                <c:pt idx="164">
                  <c:v>7.770386330443484E-3</c:v>
                </c:pt>
                <c:pt idx="165">
                  <c:v>7.7658000556257859E-3</c:v>
                </c:pt>
                <c:pt idx="166">
                  <c:v>7.7600326102855851E-3</c:v>
                </c:pt>
                <c:pt idx="167">
                  <c:v>7.7528743315846797E-3</c:v>
                </c:pt>
                <c:pt idx="168">
                  <c:v>7.7465676590793373E-3</c:v>
                </c:pt>
                <c:pt idx="169">
                  <c:v>7.738544871559264E-3</c:v>
                </c:pt>
                <c:pt idx="170">
                  <c:v>7.7307482759438502E-3</c:v>
                </c:pt>
                <c:pt idx="171">
                  <c:v>7.721574427408397E-3</c:v>
                </c:pt>
                <c:pt idx="172">
                  <c:v>7.711885136169049E-3</c:v>
                </c:pt>
                <c:pt idx="173">
                  <c:v>7.7004435900562785E-3</c:v>
                </c:pt>
                <c:pt idx="174">
                  <c:v>7.6900904731208612E-3</c:v>
                </c:pt>
                <c:pt idx="175">
                  <c:v>7.6779382645142278E-3</c:v>
                </c:pt>
                <c:pt idx="176">
                  <c:v>7.6646343735781277E-3</c:v>
                </c:pt>
                <c:pt idx="177">
                  <c:v>7.6519094726623478E-3</c:v>
                </c:pt>
                <c:pt idx="178">
                  <c:v>7.6372916629642955E-3</c:v>
                </c:pt>
                <c:pt idx="179">
                  <c:v>7.6215833512966171E-3</c:v>
                </c:pt>
                <c:pt idx="180">
                  <c:v>7.6073439673840192E-3</c:v>
                </c:pt>
                <c:pt idx="181">
                  <c:v>7.5902088063323596E-3</c:v>
                </c:pt>
                <c:pt idx="182">
                  <c:v>7.5751251150041774E-3</c:v>
                </c:pt>
                <c:pt idx="183">
                  <c:v>7.5605389289500995E-3</c:v>
                </c:pt>
                <c:pt idx="184">
                  <c:v>7.5448860096360487E-3</c:v>
                </c:pt>
                <c:pt idx="185">
                  <c:v>7.5281610197592327E-3</c:v>
                </c:pt>
                <c:pt idx="186">
                  <c:v>7.5129785824529895E-3</c:v>
                </c:pt>
                <c:pt idx="187">
                  <c:v>7.4961659959194059E-3</c:v>
                </c:pt>
                <c:pt idx="188">
                  <c:v>7.480438636064889E-3</c:v>
                </c:pt>
                <c:pt idx="189">
                  <c:v>7.4646539700239769E-3</c:v>
                </c:pt>
                <c:pt idx="190">
                  <c:v>7.4472610342301354E-3</c:v>
                </c:pt>
                <c:pt idx="191">
                  <c:v>7.4321018499647297E-3</c:v>
                </c:pt>
                <c:pt idx="192">
                  <c:v>7.4160867208294089E-3</c:v>
                </c:pt>
                <c:pt idx="193">
                  <c:v>7.3991368721847616E-3</c:v>
                </c:pt>
                <c:pt idx="194">
                  <c:v>7.3842816529156186E-3</c:v>
                </c:pt>
                <c:pt idx="195">
                  <c:v>7.3678086014860138E-3</c:v>
                </c:pt>
                <c:pt idx="196">
                  <c:v>7.3502424902852862E-3</c:v>
                </c:pt>
                <c:pt idx="197">
                  <c:v>7.3353134065800036E-3</c:v>
                </c:pt>
                <c:pt idx="198">
                  <c:v>7.3192930326680915E-3</c:v>
                </c:pt>
                <c:pt idx="199">
                  <c:v>7.3016408110192421E-3</c:v>
                </c:pt>
                <c:pt idx="200">
                  <c:v>7.286102457593078E-3</c:v>
                </c:pt>
                <c:pt idx="201">
                  <c:v>7.2696106219859273E-3</c:v>
                </c:pt>
                <c:pt idx="202">
                  <c:v>7.2533396648875922E-3</c:v>
                </c:pt>
                <c:pt idx="203">
                  <c:v>7.2363968226920429E-3</c:v>
                </c:pt>
                <c:pt idx="204">
                  <c:v>7.2193906546645604E-3</c:v>
                </c:pt>
                <c:pt idx="205">
                  <c:v>7.2037250922117515E-3</c:v>
                </c:pt>
                <c:pt idx="206">
                  <c:v>7.1885768215050475E-3</c:v>
                </c:pt>
                <c:pt idx="207">
                  <c:v>7.1713778910262134E-3</c:v>
                </c:pt>
                <c:pt idx="208">
                  <c:v>7.1544110525987911E-3</c:v>
                </c:pt>
                <c:pt idx="209">
                  <c:v>7.1386456824616418E-3</c:v>
                </c:pt>
                <c:pt idx="210">
                  <c:v>7.1219053515522599E-3</c:v>
                </c:pt>
                <c:pt idx="211">
                  <c:v>7.105405374227926E-3</c:v>
                </c:pt>
                <c:pt idx="212">
                  <c:v>7.0884718446571487E-3</c:v>
                </c:pt>
                <c:pt idx="213">
                  <c:v>7.0709631924424175E-3</c:v>
                </c:pt>
                <c:pt idx="214">
                  <c:v>7.0550706148995489E-3</c:v>
                </c:pt>
                <c:pt idx="215">
                  <c:v>7.0377773231395718E-3</c:v>
                </c:pt>
                <c:pt idx="216">
                  <c:v>7.0210124671783664E-3</c:v>
                </c:pt>
                <c:pt idx="217">
                  <c:v>7.0044931567290365E-3</c:v>
                </c:pt>
                <c:pt idx="218">
                  <c:v>6.9890518295599021E-3</c:v>
                </c:pt>
                <c:pt idx="219">
                  <c:v>6.9702714475725703E-3</c:v>
                </c:pt>
                <c:pt idx="220">
                  <c:v>6.9553340044201696E-3</c:v>
                </c:pt>
                <c:pt idx="221">
                  <c:v>6.9381578051839182E-3</c:v>
                </c:pt>
                <c:pt idx="222">
                  <c:v>6.9203986533414794E-3</c:v>
                </c:pt>
                <c:pt idx="223">
                  <c:v>6.9042790592497181E-3</c:v>
                </c:pt>
                <c:pt idx="224">
                  <c:v>6.8865938296900023E-3</c:v>
                </c:pt>
                <c:pt idx="225">
                  <c:v>6.8697355662903142E-3</c:v>
                </c:pt>
                <c:pt idx="226">
                  <c:v>6.8529814128057438E-3</c:v>
                </c:pt>
                <c:pt idx="227">
                  <c:v>6.8353378152250233E-3</c:v>
                </c:pt>
                <c:pt idx="228">
                  <c:v>6.8188350287110202E-3</c:v>
                </c:pt>
                <c:pt idx="229">
                  <c:v>6.8014410682490515E-3</c:v>
                </c:pt>
                <c:pt idx="230">
                  <c:v>6.7857066872109668E-3</c:v>
                </c:pt>
                <c:pt idx="231">
                  <c:v>6.7676970333006561E-3</c:v>
                </c:pt>
                <c:pt idx="232">
                  <c:v>6.7513504241276112E-3</c:v>
                </c:pt>
                <c:pt idx="233">
                  <c:v>6.7334089839629577E-3</c:v>
                </c:pt>
                <c:pt idx="234">
                  <c:v>6.7163216042286323E-3</c:v>
                </c:pt>
                <c:pt idx="235">
                  <c:v>6.6993326105632542E-3</c:v>
                </c:pt>
                <c:pt idx="236">
                  <c:v>6.6806148617814297E-3</c:v>
                </c:pt>
                <c:pt idx="237">
                  <c:v>6.6647086522627933E-3</c:v>
                </c:pt>
                <c:pt idx="238">
                  <c:v>6.6470720115182876E-3</c:v>
                </c:pt>
                <c:pt idx="239">
                  <c:v>6.6276969819464493E-3</c:v>
                </c:pt>
                <c:pt idx="240">
                  <c:v>6.6122874522319842E-3</c:v>
                </c:pt>
                <c:pt idx="241">
                  <c:v>6.5942476307406517E-3</c:v>
                </c:pt>
                <c:pt idx="242">
                  <c:v>6.5773091045614514E-3</c:v>
                </c:pt>
                <c:pt idx="243">
                  <c:v>6.5612392973535688E-3</c:v>
                </c:pt>
                <c:pt idx="244">
                  <c:v>6.5448103822781612E-3</c:v>
                </c:pt>
                <c:pt idx="245">
                  <c:v>6.5275045063991535E-3</c:v>
                </c:pt>
                <c:pt idx="246">
                  <c:v>6.5120162167920737E-3</c:v>
                </c:pt>
                <c:pt idx="247">
                  <c:v>6.4950523173018934E-3</c:v>
                </c:pt>
                <c:pt idx="248">
                  <c:v>6.4795246229428557E-3</c:v>
                </c:pt>
                <c:pt idx="249">
                  <c:v>6.4641071435607997E-3</c:v>
                </c:pt>
                <c:pt idx="250">
                  <c:v>6.4473769433045182E-3</c:v>
                </c:pt>
                <c:pt idx="251">
                  <c:v>6.4329859608031016E-3</c:v>
                </c:pt>
                <c:pt idx="252">
                  <c:v>6.41806321528012E-3</c:v>
                </c:pt>
                <c:pt idx="253">
                  <c:v>6.4024852059898288E-3</c:v>
                </c:pt>
                <c:pt idx="254">
                  <c:v>6.3890393352746336E-3</c:v>
                </c:pt>
                <c:pt idx="255">
                  <c:v>6.3748250120745434E-3</c:v>
                </c:pt>
                <c:pt idx="256">
                  <c:v>6.3602797681309069E-3</c:v>
                </c:pt>
                <c:pt idx="257">
                  <c:v>6.3465338846231904E-3</c:v>
                </c:pt>
                <c:pt idx="258">
                  <c:v>6.3329211494869636E-3</c:v>
                </c:pt>
                <c:pt idx="259">
                  <c:v>6.3177330891979605E-3</c:v>
                </c:pt>
                <c:pt idx="260">
                  <c:v>6.3054163409133439E-3</c:v>
                </c:pt>
                <c:pt idx="261">
                  <c:v>6.292411802281829E-3</c:v>
                </c:pt>
                <c:pt idx="262">
                  <c:v>6.2787588617958827E-3</c:v>
                </c:pt>
                <c:pt idx="263">
                  <c:v>6.2662715798417401E-3</c:v>
                </c:pt>
                <c:pt idx="264">
                  <c:v>6.2534649977506497E-3</c:v>
                </c:pt>
                <c:pt idx="265">
                  <c:v>6.2411663453472354E-3</c:v>
                </c:pt>
                <c:pt idx="266">
                  <c:v>6.2299663981894441E-3</c:v>
                </c:pt>
                <c:pt idx="267">
                  <c:v>6.2177682151835492E-3</c:v>
                </c:pt>
                <c:pt idx="268">
                  <c:v>6.2050157218214259E-3</c:v>
                </c:pt>
                <c:pt idx="269">
                  <c:v>6.1943834165008099E-3</c:v>
                </c:pt>
                <c:pt idx="270">
                  <c:v>6.1831836190355599E-3</c:v>
                </c:pt>
                <c:pt idx="271">
                  <c:v>6.1710928728515571E-3</c:v>
                </c:pt>
                <c:pt idx="272">
                  <c:v>6.1606655742603121E-3</c:v>
                </c:pt>
                <c:pt idx="273">
                  <c:v>6.1498280428964325E-3</c:v>
                </c:pt>
                <c:pt idx="274">
                  <c:v>6.139337663880297E-3</c:v>
                </c:pt>
                <c:pt idx="275">
                  <c:v>6.1286828967580809E-3</c:v>
                </c:pt>
                <c:pt idx="276">
                  <c:v>6.1181709152453422E-3</c:v>
                </c:pt>
                <c:pt idx="277">
                  <c:v>6.1087215839701154E-3</c:v>
                </c:pt>
                <c:pt idx="278">
                  <c:v>6.0997737400841426E-3</c:v>
                </c:pt>
                <c:pt idx="279">
                  <c:v>6.0898610741158075E-3</c:v>
                </c:pt>
                <c:pt idx="280">
                  <c:v>6.0802731419434533E-3</c:v>
                </c:pt>
                <c:pt idx="281">
                  <c:v>6.071590438225331E-3</c:v>
                </c:pt>
                <c:pt idx="282">
                  <c:v>6.0626148896190972E-3</c:v>
                </c:pt>
                <c:pt idx="283">
                  <c:v>6.0539321746494439E-3</c:v>
                </c:pt>
                <c:pt idx="284">
                  <c:v>6.0452722861887489E-3</c:v>
                </c:pt>
                <c:pt idx="285">
                  <c:v>6.036555417071059E-3</c:v>
                </c:pt>
                <c:pt idx="286">
                  <c:v>6.0288506748335663E-3</c:v>
                </c:pt>
                <c:pt idx="287">
                  <c:v>6.020762565619839E-3</c:v>
                </c:pt>
                <c:pt idx="288">
                  <c:v>6.0129998629516275E-3</c:v>
                </c:pt>
                <c:pt idx="289">
                  <c:v>6.005634308387583E-3</c:v>
                </c:pt>
                <c:pt idx="290">
                  <c:v>5.998702588972454E-3</c:v>
                </c:pt>
                <c:pt idx="291">
                  <c:v>5.9912690920144764E-3</c:v>
                </c:pt>
                <c:pt idx="292">
                  <c:v>5.9847273987485034E-3</c:v>
                </c:pt>
                <c:pt idx="293">
                  <c:v>5.9778217981427189E-3</c:v>
                </c:pt>
                <c:pt idx="294">
                  <c:v>5.9713631238806327E-3</c:v>
                </c:pt>
                <c:pt idx="295">
                  <c:v>5.9652007348271431E-3</c:v>
                </c:pt>
                <c:pt idx="296">
                  <c:v>5.9586509535475779E-3</c:v>
                </c:pt>
                <c:pt idx="297">
                  <c:v>5.9532819619540411E-3</c:v>
                </c:pt>
                <c:pt idx="298">
                  <c:v>5.9475392057423597E-3</c:v>
                </c:pt>
                <c:pt idx="299">
                  <c:v>5.9414839708133325E-3</c:v>
                </c:pt>
                <c:pt idx="300">
                  <c:v>5.9368570767343466E-3</c:v>
                </c:pt>
                <c:pt idx="301">
                  <c:v>5.9316777984344295E-3</c:v>
                </c:pt>
                <c:pt idx="302">
                  <c:v>5.9272463045096221E-3</c:v>
                </c:pt>
                <c:pt idx="303">
                  <c:v>5.9225940238178234E-3</c:v>
                </c:pt>
                <c:pt idx="304">
                  <c:v>5.9182363757765248E-3</c:v>
                </c:pt>
                <c:pt idx="305">
                  <c:v>5.9136718162561639E-3</c:v>
                </c:pt>
                <c:pt idx="306">
                  <c:v>5.9099872511742335E-3</c:v>
                </c:pt>
                <c:pt idx="307">
                  <c:v>5.9061093986551363E-3</c:v>
                </c:pt>
                <c:pt idx="308">
                  <c:v>5.9023283693721337E-3</c:v>
                </c:pt>
                <c:pt idx="309">
                  <c:v>5.8990969334788189E-3</c:v>
                </c:pt>
                <c:pt idx="310">
                  <c:v>5.8958415561604074E-3</c:v>
                </c:pt>
                <c:pt idx="311">
                  <c:v>5.8926210099914883E-3</c:v>
                </c:pt>
                <c:pt idx="312">
                  <c:v>5.8900717325466607E-3</c:v>
                </c:pt>
                <c:pt idx="313">
                  <c:v>5.887288980210321E-3</c:v>
                </c:pt>
                <c:pt idx="314">
                  <c:v>5.8850414660956436E-3</c:v>
                </c:pt>
                <c:pt idx="315">
                  <c:v>5.883047494749688E-3</c:v>
                </c:pt>
                <c:pt idx="316">
                  <c:v>5.8811027840549859E-3</c:v>
                </c:pt>
                <c:pt idx="317">
                  <c:v>5.8792468217857075E-3</c:v>
                </c:pt>
                <c:pt idx="318">
                  <c:v>5.8777599696619148E-3</c:v>
                </c:pt>
                <c:pt idx="319">
                  <c:v>5.8764559046317871E-3</c:v>
                </c:pt>
                <c:pt idx="320">
                  <c:v>5.8752025689331033E-3</c:v>
                </c:pt>
                <c:pt idx="321">
                  <c:v>5.8742693299324274E-3</c:v>
                </c:pt>
                <c:pt idx="322">
                  <c:v>5.87347179861826E-3</c:v>
                </c:pt>
                <c:pt idx="323">
                  <c:v>5.873063432675932E-3</c:v>
                </c:pt>
                <c:pt idx="324">
                  <c:v>5.872643806804103E-3</c:v>
                </c:pt>
                <c:pt idx="325">
                  <c:v>5.8725156595857107E-3</c:v>
                </c:pt>
                <c:pt idx="326">
                  <c:v>5.8725884660532322E-3</c:v>
                </c:pt>
                <c:pt idx="327">
                  <c:v>5.872858383559356E-3</c:v>
                </c:pt>
                <c:pt idx="328">
                  <c:v>5.8734971240873646E-3</c:v>
                </c:pt>
                <c:pt idx="329">
                  <c:v>5.8740186010247915E-3</c:v>
                </c:pt>
                <c:pt idx="330">
                  <c:v>5.8748901048927523E-3</c:v>
                </c:pt>
                <c:pt idx="331">
                  <c:v>5.8761175218819111E-3</c:v>
                </c:pt>
                <c:pt idx="332">
                  <c:v>5.8773194431623417E-3</c:v>
                </c:pt>
                <c:pt idx="333">
                  <c:v>5.8787991408598955E-3</c:v>
                </c:pt>
                <c:pt idx="334">
                  <c:v>5.8805960570157681E-3</c:v>
                </c:pt>
                <c:pt idx="335">
                  <c:v>5.8825802909288714E-3</c:v>
                </c:pt>
                <c:pt idx="336">
                  <c:v>5.8847412668970407E-3</c:v>
                </c:pt>
                <c:pt idx="337">
                  <c:v>5.8869391174294905E-3</c:v>
                </c:pt>
                <c:pt idx="338">
                  <c:v>5.8893438304502849E-3</c:v>
                </c:pt>
                <c:pt idx="339">
                  <c:v>5.8923077868716948E-3</c:v>
                </c:pt>
                <c:pt idx="340">
                  <c:v>5.8952068612067345E-3</c:v>
                </c:pt>
                <c:pt idx="341">
                  <c:v>5.8981994987646223E-3</c:v>
                </c:pt>
                <c:pt idx="342">
                  <c:v>5.9016991792658607E-3</c:v>
                </c:pt>
                <c:pt idx="343">
                  <c:v>5.9050996458792976E-3</c:v>
                </c:pt>
                <c:pt idx="344">
                  <c:v>5.9089202863699467E-3</c:v>
                </c:pt>
                <c:pt idx="345">
                  <c:v>5.9130865226281557E-3</c:v>
                </c:pt>
                <c:pt idx="346">
                  <c:v>5.9170570925787631E-3</c:v>
                </c:pt>
                <c:pt idx="347">
                  <c:v>5.9218456334956832E-3</c:v>
                </c:pt>
                <c:pt idx="348">
                  <c:v>5.9261673133287739E-3</c:v>
                </c:pt>
                <c:pt idx="349">
                  <c:v>5.9308796688467974E-3</c:v>
                </c:pt>
                <c:pt idx="350">
                  <c:v>5.9354566203434914E-3</c:v>
                </c:pt>
                <c:pt idx="351">
                  <c:v>5.9410728913528608E-3</c:v>
                </c:pt>
                <c:pt idx="352">
                  <c:v>5.9460264112560736E-3</c:v>
                </c:pt>
                <c:pt idx="353">
                  <c:v>5.9517119677583346E-3</c:v>
                </c:pt>
                <c:pt idx="354">
                  <c:v>5.9578032522351453E-3</c:v>
                </c:pt>
                <c:pt idx="355">
                  <c:v>5.9635183980938878E-3</c:v>
                </c:pt>
                <c:pt idx="356">
                  <c:v>5.9701373727707608E-3</c:v>
                </c:pt>
                <c:pt idx="357">
                  <c:v>5.9763584904177205E-3</c:v>
                </c:pt>
                <c:pt idx="358">
                  <c:v>5.9828756072095044E-3</c:v>
                </c:pt>
                <c:pt idx="359">
                  <c:v>5.9902423240891269E-3</c:v>
                </c:pt>
                <c:pt idx="360">
                  <c:v>5.9967381830589635E-3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2-4B6D-A377-32F933455548}"/>
            </c:ext>
          </c:extLst>
        </c:ser>
        <c:ser>
          <c:idx val="1"/>
          <c:order val="1"/>
          <c:tx>
            <c:strRef>
              <c:f>DISPLAY_CURVE!$D$9</c:f>
              <c:strCache>
                <c:ptCount val="1"/>
                <c:pt idx="0">
                  <c:v>GBP1ML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43854</c:v>
                </c:pt>
                <c:pt idx="1">
                  <c:v>43885</c:v>
                </c:pt>
                <c:pt idx="2">
                  <c:v>43914</c:v>
                </c:pt>
                <c:pt idx="3">
                  <c:v>43945</c:v>
                </c:pt>
                <c:pt idx="4">
                  <c:v>43977</c:v>
                </c:pt>
                <c:pt idx="5">
                  <c:v>44006</c:v>
                </c:pt>
                <c:pt idx="6">
                  <c:v>44036</c:v>
                </c:pt>
                <c:pt idx="7">
                  <c:v>44067</c:v>
                </c:pt>
                <c:pt idx="8">
                  <c:v>44098</c:v>
                </c:pt>
                <c:pt idx="9">
                  <c:v>44130</c:v>
                </c:pt>
                <c:pt idx="10">
                  <c:v>44159</c:v>
                </c:pt>
                <c:pt idx="11">
                  <c:v>44189</c:v>
                </c:pt>
                <c:pt idx="12">
                  <c:v>44221</c:v>
                </c:pt>
                <c:pt idx="13">
                  <c:v>44251</c:v>
                </c:pt>
                <c:pt idx="14">
                  <c:v>44279</c:v>
                </c:pt>
                <c:pt idx="15">
                  <c:v>44312</c:v>
                </c:pt>
                <c:pt idx="16">
                  <c:v>44340</c:v>
                </c:pt>
                <c:pt idx="17">
                  <c:v>44371</c:v>
                </c:pt>
                <c:pt idx="18">
                  <c:v>44403</c:v>
                </c:pt>
                <c:pt idx="19">
                  <c:v>44432</c:v>
                </c:pt>
                <c:pt idx="20">
                  <c:v>44463</c:v>
                </c:pt>
                <c:pt idx="21">
                  <c:v>44494</c:v>
                </c:pt>
                <c:pt idx="22">
                  <c:v>44524</c:v>
                </c:pt>
                <c:pt idx="23">
                  <c:v>44554</c:v>
                </c:pt>
                <c:pt idx="24">
                  <c:v>44585</c:v>
                </c:pt>
                <c:pt idx="25">
                  <c:v>44616</c:v>
                </c:pt>
                <c:pt idx="26">
                  <c:v>44644</c:v>
                </c:pt>
                <c:pt idx="27">
                  <c:v>44676</c:v>
                </c:pt>
                <c:pt idx="28">
                  <c:v>44705</c:v>
                </c:pt>
                <c:pt idx="29">
                  <c:v>44736</c:v>
                </c:pt>
                <c:pt idx="30">
                  <c:v>44767</c:v>
                </c:pt>
                <c:pt idx="31">
                  <c:v>44797</c:v>
                </c:pt>
                <c:pt idx="32">
                  <c:v>44830</c:v>
                </c:pt>
                <c:pt idx="33">
                  <c:v>44858</c:v>
                </c:pt>
                <c:pt idx="34">
                  <c:v>44889</c:v>
                </c:pt>
                <c:pt idx="35">
                  <c:v>44923</c:v>
                </c:pt>
                <c:pt idx="36">
                  <c:v>44950</c:v>
                </c:pt>
                <c:pt idx="37">
                  <c:v>44981</c:v>
                </c:pt>
                <c:pt idx="38">
                  <c:v>45009</c:v>
                </c:pt>
                <c:pt idx="39">
                  <c:v>45040</c:v>
                </c:pt>
                <c:pt idx="40">
                  <c:v>45070</c:v>
                </c:pt>
                <c:pt idx="41">
                  <c:v>45103</c:v>
                </c:pt>
                <c:pt idx="42">
                  <c:v>45131</c:v>
                </c:pt>
                <c:pt idx="43">
                  <c:v>45162</c:v>
                </c:pt>
                <c:pt idx="44">
                  <c:v>45194</c:v>
                </c:pt>
                <c:pt idx="45">
                  <c:v>45223</c:v>
                </c:pt>
                <c:pt idx="46">
                  <c:v>45254</c:v>
                </c:pt>
                <c:pt idx="47">
                  <c:v>45287</c:v>
                </c:pt>
                <c:pt idx="48">
                  <c:v>45315</c:v>
                </c:pt>
                <c:pt idx="49">
                  <c:v>45348</c:v>
                </c:pt>
                <c:pt idx="50">
                  <c:v>45376</c:v>
                </c:pt>
                <c:pt idx="51">
                  <c:v>45406</c:v>
                </c:pt>
                <c:pt idx="52">
                  <c:v>45436</c:v>
                </c:pt>
                <c:pt idx="53">
                  <c:v>45467</c:v>
                </c:pt>
                <c:pt idx="54">
                  <c:v>45497</c:v>
                </c:pt>
                <c:pt idx="55">
                  <c:v>45531</c:v>
                </c:pt>
                <c:pt idx="56">
                  <c:v>45559</c:v>
                </c:pt>
                <c:pt idx="57">
                  <c:v>45589</c:v>
                </c:pt>
                <c:pt idx="58">
                  <c:v>45621</c:v>
                </c:pt>
                <c:pt idx="59">
                  <c:v>45650</c:v>
                </c:pt>
                <c:pt idx="60">
                  <c:v>45681</c:v>
                </c:pt>
                <c:pt idx="61">
                  <c:v>45712</c:v>
                </c:pt>
                <c:pt idx="62">
                  <c:v>45740</c:v>
                </c:pt>
                <c:pt idx="63">
                  <c:v>45771</c:v>
                </c:pt>
                <c:pt idx="64">
                  <c:v>45804</c:v>
                </c:pt>
                <c:pt idx="65">
                  <c:v>45832</c:v>
                </c:pt>
                <c:pt idx="66">
                  <c:v>45862</c:v>
                </c:pt>
                <c:pt idx="67">
                  <c:v>45895</c:v>
                </c:pt>
                <c:pt idx="68">
                  <c:v>45924</c:v>
                </c:pt>
                <c:pt idx="69">
                  <c:v>45954</c:v>
                </c:pt>
                <c:pt idx="70">
                  <c:v>45985</c:v>
                </c:pt>
                <c:pt idx="71">
                  <c:v>46015</c:v>
                </c:pt>
                <c:pt idx="72">
                  <c:v>46048</c:v>
                </c:pt>
                <c:pt idx="73">
                  <c:v>46077</c:v>
                </c:pt>
                <c:pt idx="74">
                  <c:v>46105</c:v>
                </c:pt>
                <c:pt idx="75">
                  <c:v>46136</c:v>
                </c:pt>
                <c:pt idx="76">
                  <c:v>46168</c:v>
                </c:pt>
                <c:pt idx="77">
                  <c:v>46197</c:v>
                </c:pt>
                <c:pt idx="78">
                  <c:v>46227</c:v>
                </c:pt>
                <c:pt idx="79">
                  <c:v>46258</c:v>
                </c:pt>
                <c:pt idx="80">
                  <c:v>46289</c:v>
                </c:pt>
                <c:pt idx="81">
                  <c:v>46321</c:v>
                </c:pt>
                <c:pt idx="82">
                  <c:v>46350</c:v>
                </c:pt>
                <c:pt idx="83">
                  <c:v>46380</c:v>
                </c:pt>
                <c:pt idx="84">
                  <c:v>46412</c:v>
                </c:pt>
                <c:pt idx="85">
                  <c:v>46442</c:v>
                </c:pt>
                <c:pt idx="86">
                  <c:v>46470</c:v>
                </c:pt>
                <c:pt idx="87">
                  <c:v>46503</c:v>
                </c:pt>
                <c:pt idx="88">
                  <c:v>46531</c:v>
                </c:pt>
                <c:pt idx="89">
                  <c:v>46562</c:v>
                </c:pt>
                <c:pt idx="90">
                  <c:v>46594</c:v>
                </c:pt>
                <c:pt idx="91">
                  <c:v>46623</c:v>
                </c:pt>
                <c:pt idx="92">
                  <c:v>46654</c:v>
                </c:pt>
                <c:pt idx="93">
                  <c:v>46685</c:v>
                </c:pt>
                <c:pt idx="94">
                  <c:v>46715</c:v>
                </c:pt>
                <c:pt idx="95">
                  <c:v>46745</c:v>
                </c:pt>
                <c:pt idx="96">
                  <c:v>46776</c:v>
                </c:pt>
                <c:pt idx="97">
                  <c:v>46807</c:v>
                </c:pt>
                <c:pt idx="98">
                  <c:v>46836</c:v>
                </c:pt>
                <c:pt idx="99">
                  <c:v>46867</c:v>
                </c:pt>
                <c:pt idx="100">
                  <c:v>46897</c:v>
                </c:pt>
                <c:pt idx="101">
                  <c:v>46930</c:v>
                </c:pt>
                <c:pt idx="102">
                  <c:v>46958</c:v>
                </c:pt>
                <c:pt idx="103">
                  <c:v>46989</c:v>
                </c:pt>
                <c:pt idx="104">
                  <c:v>47021</c:v>
                </c:pt>
                <c:pt idx="105">
                  <c:v>47050</c:v>
                </c:pt>
                <c:pt idx="106">
                  <c:v>47081</c:v>
                </c:pt>
                <c:pt idx="107">
                  <c:v>47114</c:v>
                </c:pt>
                <c:pt idx="108">
                  <c:v>47142</c:v>
                </c:pt>
                <c:pt idx="109">
                  <c:v>47175</c:v>
                </c:pt>
                <c:pt idx="110">
                  <c:v>47203</c:v>
                </c:pt>
                <c:pt idx="111">
                  <c:v>47232</c:v>
                </c:pt>
                <c:pt idx="112">
                  <c:v>47262</c:v>
                </c:pt>
                <c:pt idx="113">
                  <c:v>47294</c:v>
                </c:pt>
                <c:pt idx="114">
                  <c:v>47323</c:v>
                </c:pt>
                <c:pt idx="115">
                  <c:v>47354</c:v>
                </c:pt>
                <c:pt idx="116">
                  <c:v>47385</c:v>
                </c:pt>
                <c:pt idx="117">
                  <c:v>47415</c:v>
                </c:pt>
                <c:pt idx="118">
                  <c:v>47448</c:v>
                </c:pt>
                <c:pt idx="119">
                  <c:v>47476</c:v>
                </c:pt>
                <c:pt idx="120">
                  <c:v>47507</c:v>
                </c:pt>
                <c:pt idx="121">
                  <c:v>47539</c:v>
                </c:pt>
                <c:pt idx="122">
                  <c:v>47567</c:v>
                </c:pt>
                <c:pt idx="123">
                  <c:v>47597</c:v>
                </c:pt>
                <c:pt idx="124">
                  <c:v>47627</c:v>
                </c:pt>
                <c:pt idx="125">
                  <c:v>47658</c:v>
                </c:pt>
                <c:pt idx="126">
                  <c:v>47688</c:v>
                </c:pt>
                <c:pt idx="127">
                  <c:v>47722</c:v>
                </c:pt>
                <c:pt idx="128">
                  <c:v>47750</c:v>
                </c:pt>
                <c:pt idx="129">
                  <c:v>47780</c:v>
                </c:pt>
                <c:pt idx="130">
                  <c:v>47812</c:v>
                </c:pt>
                <c:pt idx="131">
                  <c:v>47841</c:v>
                </c:pt>
                <c:pt idx="132">
                  <c:v>47872</c:v>
                </c:pt>
                <c:pt idx="133">
                  <c:v>47903</c:v>
                </c:pt>
                <c:pt idx="134">
                  <c:v>47931</c:v>
                </c:pt>
                <c:pt idx="135">
                  <c:v>47962</c:v>
                </c:pt>
                <c:pt idx="136">
                  <c:v>47995</c:v>
                </c:pt>
                <c:pt idx="137">
                  <c:v>48023</c:v>
                </c:pt>
                <c:pt idx="138">
                  <c:v>48053</c:v>
                </c:pt>
                <c:pt idx="139">
                  <c:v>48086</c:v>
                </c:pt>
                <c:pt idx="140">
                  <c:v>48115</c:v>
                </c:pt>
                <c:pt idx="141">
                  <c:v>48145</c:v>
                </c:pt>
                <c:pt idx="142">
                  <c:v>48176</c:v>
                </c:pt>
                <c:pt idx="143">
                  <c:v>48206</c:v>
                </c:pt>
                <c:pt idx="144">
                  <c:v>48239</c:v>
                </c:pt>
                <c:pt idx="145">
                  <c:v>48268</c:v>
                </c:pt>
                <c:pt idx="146">
                  <c:v>48297</c:v>
                </c:pt>
                <c:pt idx="147">
                  <c:v>48330</c:v>
                </c:pt>
                <c:pt idx="148">
                  <c:v>48358</c:v>
                </c:pt>
                <c:pt idx="149">
                  <c:v>48389</c:v>
                </c:pt>
                <c:pt idx="150">
                  <c:v>48421</c:v>
                </c:pt>
                <c:pt idx="151">
                  <c:v>48450</c:v>
                </c:pt>
                <c:pt idx="152">
                  <c:v>48481</c:v>
                </c:pt>
                <c:pt idx="153">
                  <c:v>48512</c:v>
                </c:pt>
                <c:pt idx="154">
                  <c:v>48542</c:v>
                </c:pt>
                <c:pt idx="155">
                  <c:v>48572</c:v>
                </c:pt>
                <c:pt idx="156">
                  <c:v>48603</c:v>
                </c:pt>
                <c:pt idx="157">
                  <c:v>48634</c:v>
                </c:pt>
                <c:pt idx="158">
                  <c:v>48662</c:v>
                </c:pt>
                <c:pt idx="159">
                  <c:v>48694</c:v>
                </c:pt>
                <c:pt idx="160">
                  <c:v>48723</c:v>
                </c:pt>
                <c:pt idx="161">
                  <c:v>48754</c:v>
                </c:pt>
                <c:pt idx="162">
                  <c:v>48785</c:v>
                </c:pt>
                <c:pt idx="163">
                  <c:v>48815</c:v>
                </c:pt>
                <c:pt idx="164">
                  <c:v>48848</c:v>
                </c:pt>
                <c:pt idx="165">
                  <c:v>48876</c:v>
                </c:pt>
                <c:pt idx="166">
                  <c:v>48907</c:v>
                </c:pt>
                <c:pt idx="167">
                  <c:v>48941</c:v>
                </c:pt>
                <c:pt idx="168">
                  <c:v>48968</c:v>
                </c:pt>
                <c:pt idx="169">
                  <c:v>48999</c:v>
                </c:pt>
                <c:pt idx="170">
                  <c:v>49027</c:v>
                </c:pt>
                <c:pt idx="171">
                  <c:v>49058</c:v>
                </c:pt>
                <c:pt idx="172">
                  <c:v>49088</c:v>
                </c:pt>
                <c:pt idx="173">
                  <c:v>49121</c:v>
                </c:pt>
                <c:pt idx="174">
                  <c:v>49149</c:v>
                </c:pt>
                <c:pt idx="175">
                  <c:v>49180</c:v>
                </c:pt>
                <c:pt idx="176">
                  <c:v>49212</c:v>
                </c:pt>
                <c:pt idx="177">
                  <c:v>49241</c:v>
                </c:pt>
                <c:pt idx="178">
                  <c:v>49272</c:v>
                </c:pt>
                <c:pt idx="179">
                  <c:v>49305</c:v>
                </c:pt>
                <c:pt idx="180">
                  <c:v>49333</c:v>
                </c:pt>
                <c:pt idx="181">
                  <c:v>49366</c:v>
                </c:pt>
                <c:pt idx="182">
                  <c:v>49395</c:v>
                </c:pt>
                <c:pt idx="183">
                  <c:v>49423</c:v>
                </c:pt>
                <c:pt idx="184">
                  <c:v>49453</c:v>
                </c:pt>
                <c:pt idx="185">
                  <c:v>49485</c:v>
                </c:pt>
                <c:pt idx="186">
                  <c:v>49514</c:v>
                </c:pt>
                <c:pt idx="187">
                  <c:v>49545</c:v>
                </c:pt>
                <c:pt idx="188">
                  <c:v>49576</c:v>
                </c:pt>
                <c:pt idx="189">
                  <c:v>49606</c:v>
                </c:pt>
                <c:pt idx="190">
                  <c:v>49639</c:v>
                </c:pt>
                <c:pt idx="191">
                  <c:v>49667</c:v>
                </c:pt>
                <c:pt idx="192">
                  <c:v>49698</c:v>
                </c:pt>
                <c:pt idx="193">
                  <c:v>49730</c:v>
                </c:pt>
                <c:pt idx="194">
                  <c:v>49758</c:v>
                </c:pt>
                <c:pt idx="195">
                  <c:v>49789</c:v>
                </c:pt>
                <c:pt idx="196">
                  <c:v>49822</c:v>
                </c:pt>
                <c:pt idx="197">
                  <c:v>49850</c:v>
                </c:pt>
                <c:pt idx="198">
                  <c:v>49880</c:v>
                </c:pt>
                <c:pt idx="199">
                  <c:v>49913</c:v>
                </c:pt>
                <c:pt idx="200">
                  <c:v>49942</c:v>
                </c:pt>
                <c:pt idx="201">
                  <c:v>49972</c:v>
                </c:pt>
                <c:pt idx="202">
                  <c:v>50003</c:v>
                </c:pt>
                <c:pt idx="203">
                  <c:v>50033</c:v>
                </c:pt>
                <c:pt idx="204">
                  <c:v>50066</c:v>
                </c:pt>
                <c:pt idx="205">
                  <c:v>50095</c:v>
                </c:pt>
                <c:pt idx="206">
                  <c:v>50123</c:v>
                </c:pt>
                <c:pt idx="207">
                  <c:v>50154</c:v>
                </c:pt>
                <c:pt idx="208">
                  <c:v>50186</c:v>
                </c:pt>
                <c:pt idx="209">
                  <c:v>50215</c:v>
                </c:pt>
                <c:pt idx="210">
                  <c:v>50245</c:v>
                </c:pt>
                <c:pt idx="211">
                  <c:v>50276</c:v>
                </c:pt>
                <c:pt idx="212">
                  <c:v>50307</c:v>
                </c:pt>
                <c:pt idx="213">
                  <c:v>50339</c:v>
                </c:pt>
                <c:pt idx="214">
                  <c:v>50368</c:v>
                </c:pt>
                <c:pt idx="215">
                  <c:v>50398</c:v>
                </c:pt>
                <c:pt idx="216">
                  <c:v>50430</c:v>
                </c:pt>
                <c:pt idx="217">
                  <c:v>50460</c:v>
                </c:pt>
                <c:pt idx="218">
                  <c:v>50488</c:v>
                </c:pt>
                <c:pt idx="219">
                  <c:v>50522</c:v>
                </c:pt>
                <c:pt idx="220">
                  <c:v>50549</c:v>
                </c:pt>
                <c:pt idx="221">
                  <c:v>50580</c:v>
                </c:pt>
                <c:pt idx="222">
                  <c:v>50612</c:v>
                </c:pt>
                <c:pt idx="223">
                  <c:v>50641</c:v>
                </c:pt>
                <c:pt idx="224">
                  <c:v>50672</c:v>
                </c:pt>
                <c:pt idx="225">
                  <c:v>50703</c:v>
                </c:pt>
                <c:pt idx="226">
                  <c:v>50733</c:v>
                </c:pt>
                <c:pt idx="227">
                  <c:v>50763</c:v>
                </c:pt>
                <c:pt idx="228">
                  <c:v>50794</c:v>
                </c:pt>
                <c:pt idx="229">
                  <c:v>50825</c:v>
                </c:pt>
                <c:pt idx="230">
                  <c:v>50853</c:v>
                </c:pt>
                <c:pt idx="231">
                  <c:v>50885</c:v>
                </c:pt>
                <c:pt idx="232">
                  <c:v>50914</c:v>
                </c:pt>
                <c:pt idx="233">
                  <c:v>50945</c:v>
                </c:pt>
                <c:pt idx="234">
                  <c:v>50976</c:v>
                </c:pt>
                <c:pt idx="235">
                  <c:v>51006</c:v>
                </c:pt>
                <c:pt idx="236">
                  <c:v>51039</c:v>
                </c:pt>
                <c:pt idx="237">
                  <c:v>51067</c:v>
                </c:pt>
                <c:pt idx="238">
                  <c:v>51098</c:v>
                </c:pt>
                <c:pt idx="239">
                  <c:v>51132</c:v>
                </c:pt>
                <c:pt idx="240">
                  <c:v>51159</c:v>
                </c:pt>
                <c:pt idx="241">
                  <c:v>51190</c:v>
                </c:pt>
                <c:pt idx="242">
                  <c:v>51221</c:v>
                </c:pt>
                <c:pt idx="243">
                  <c:v>51250</c:v>
                </c:pt>
                <c:pt idx="244">
                  <c:v>51280</c:v>
                </c:pt>
                <c:pt idx="245">
                  <c:v>51312</c:v>
                </c:pt>
                <c:pt idx="246">
                  <c:v>51341</c:v>
                </c:pt>
                <c:pt idx="247">
                  <c:v>51372</c:v>
                </c:pt>
                <c:pt idx="248">
                  <c:v>51403</c:v>
                </c:pt>
                <c:pt idx="249">
                  <c:v>51433</c:v>
                </c:pt>
                <c:pt idx="250">
                  <c:v>51466</c:v>
                </c:pt>
                <c:pt idx="251">
                  <c:v>51494</c:v>
                </c:pt>
                <c:pt idx="252">
                  <c:v>51525</c:v>
                </c:pt>
                <c:pt idx="253">
                  <c:v>51557</c:v>
                </c:pt>
                <c:pt idx="254">
                  <c:v>51585</c:v>
                </c:pt>
                <c:pt idx="255">
                  <c:v>51615</c:v>
                </c:pt>
                <c:pt idx="256">
                  <c:v>51645</c:v>
                </c:pt>
                <c:pt idx="257">
                  <c:v>51676</c:v>
                </c:pt>
                <c:pt idx="258">
                  <c:v>51706</c:v>
                </c:pt>
                <c:pt idx="259">
                  <c:v>51740</c:v>
                </c:pt>
                <c:pt idx="260">
                  <c:v>51768</c:v>
                </c:pt>
                <c:pt idx="261">
                  <c:v>51798</c:v>
                </c:pt>
                <c:pt idx="262">
                  <c:v>51830</c:v>
                </c:pt>
                <c:pt idx="263">
                  <c:v>51859</c:v>
                </c:pt>
                <c:pt idx="264">
                  <c:v>51890</c:v>
                </c:pt>
                <c:pt idx="265">
                  <c:v>51921</c:v>
                </c:pt>
                <c:pt idx="266">
                  <c:v>51949</c:v>
                </c:pt>
                <c:pt idx="267">
                  <c:v>51980</c:v>
                </c:pt>
                <c:pt idx="268">
                  <c:v>52013</c:v>
                </c:pt>
                <c:pt idx="269">
                  <c:v>52041</c:v>
                </c:pt>
                <c:pt idx="270">
                  <c:v>52071</c:v>
                </c:pt>
                <c:pt idx="271">
                  <c:v>52104</c:v>
                </c:pt>
                <c:pt idx="272">
                  <c:v>52133</c:v>
                </c:pt>
                <c:pt idx="273">
                  <c:v>52163</c:v>
                </c:pt>
                <c:pt idx="274">
                  <c:v>52194</c:v>
                </c:pt>
                <c:pt idx="275">
                  <c:v>52224</c:v>
                </c:pt>
                <c:pt idx="276">
                  <c:v>52257</c:v>
                </c:pt>
                <c:pt idx="277">
                  <c:v>52286</c:v>
                </c:pt>
                <c:pt idx="278">
                  <c:v>52314</c:v>
                </c:pt>
                <c:pt idx="279">
                  <c:v>52345</c:v>
                </c:pt>
                <c:pt idx="280">
                  <c:v>52377</c:v>
                </c:pt>
                <c:pt idx="281">
                  <c:v>52406</c:v>
                </c:pt>
                <c:pt idx="282">
                  <c:v>52436</c:v>
                </c:pt>
                <c:pt idx="283">
                  <c:v>52467</c:v>
                </c:pt>
                <c:pt idx="284">
                  <c:v>52498</c:v>
                </c:pt>
                <c:pt idx="285">
                  <c:v>52530</c:v>
                </c:pt>
                <c:pt idx="286">
                  <c:v>52559</c:v>
                </c:pt>
                <c:pt idx="287">
                  <c:v>52589</c:v>
                </c:pt>
                <c:pt idx="288">
                  <c:v>52621</c:v>
                </c:pt>
                <c:pt idx="289">
                  <c:v>52651</c:v>
                </c:pt>
                <c:pt idx="290">
                  <c:v>52680</c:v>
                </c:pt>
                <c:pt idx="291">
                  <c:v>52712</c:v>
                </c:pt>
                <c:pt idx="292">
                  <c:v>52741</c:v>
                </c:pt>
                <c:pt idx="293">
                  <c:v>52772</c:v>
                </c:pt>
                <c:pt idx="294">
                  <c:v>52803</c:v>
                </c:pt>
                <c:pt idx="295">
                  <c:v>52833</c:v>
                </c:pt>
                <c:pt idx="296">
                  <c:v>52866</c:v>
                </c:pt>
                <c:pt idx="297">
                  <c:v>52894</c:v>
                </c:pt>
                <c:pt idx="298">
                  <c:v>52925</c:v>
                </c:pt>
                <c:pt idx="299">
                  <c:v>52959</c:v>
                </c:pt>
                <c:pt idx="300">
                  <c:v>52986</c:v>
                </c:pt>
                <c:pt idx="301">
                  <c:v>53017</c:v>
                </c:pt>
                <c:pt idx="302">
                  <c:v>53045</c:v>
                </c:pt>
                <c:pt idx="303">
                  <c:v>53076</c:v>
                </c:pt>
                <c:pt idx="304">
                  <c:v>53106</c:v>
                </c:pt>
                <c:pt idx="305">
                  <c:v>53139</c:v>
                </c:pt>
                <c:pt idx="306">
                  <c:v>53167</c:v>
                </c:pt>
                <c:pt idx="307">
                  <c:v>53198</c:v>
                </c:pt>
                <c:pt idx="308">
                  <c:v>53230</c:v>
                </c:pt>
                <c:pt idx="309">
                  <c:v>53259</c:v>
                </c:pt>
                <c:pt idx="310">
                  <c:v>53290</c:v>
                </c:pt>
                <c:pt idx="311">
                  <c:v>53323</c:v>
                </c:pt>
                <c:pt idx="312">
                  <c:v>53351</c:v>
                </c:pt>
                <c:pt idx="313">
                  <c:v>53384</c:v>
                </c:pt>
                <c:pt idx="314">
                  <c:v>53413</c:v>
                </c:pt>
                <c:pt idx="315">
                  <c:v>53441</c:v>
                </c:pt>
                <c:pt idx="316">
                  <c:v>53471</c:v>
                </c:pt>
                <c:pt idx="317">
                  <c:v>53503</c:v>
                </c:pt>
                <c:pt idx="318">
                  <c:v>53532</c:v>
                </c:pt>
                <c:pt idx="319">
                  <c:v>53563</c:v>
                </c:pt>
                <c:pt idx="320">
                  <c:v>53594</c:v>
                </c:pt>
                <c:pt idx="321">
                  <c:v>53624</c:v>
                </c:pt>
                <c:pt idx="322">
                  <c:v>53657</c:v>
                </c:pt>
                <c:pt idx="323">
                  <c:v>53685</c:v>
                </c:pt>
                <c:pt idx="324">
                  <c:v>53716</c:v>
                </c:pt>
                <c:pt idx="325">
                  <c:v>53748</c:v>
                </c:pt>
                <c:pt idx="326">
                  <c:v>53776</c:v>
                </c:pt>
                <c:pt idx="327">
                  <c:v>53806</c:v>
                </c:pt>
                <c:pt idx="328">
                  <c:v>53836</c:v>
                </c:pt>
                <c:pt idx="329">
                  <c:v>53867</c:v>
                </c:pt>
                <c:pt idx="330">
                  <c:v>53897</c:v>
                </c:pt>
                <c:pt idx="331">
                  <c:v>53931</c:v>
                </c:pt>
                <c:pt idx="332">
                  <c:v>53959</c:v>
                </c:pt>
                <c:pt idx="333">
                  <c:v>53989</c:v>
                </c:pt>
                <c:pt idx="334">
                  <c:v>54021</c:v>
                </c:pt>
                <c:pt idx="335">
                  <c:v>54050</c:v>
                </c:pt>
                <c:pt idx="336">
                  <c:v>54081</c:v>
                </c:pt>
                <c:pt idx="337">
                  <c:v>54112</c:v>
                </c:pt>
                <c:pt idx="338">
                  <c:v>54141</c:v>
                </c:pt>
                <c:pt idx="339">
                  <c:v>54172</c:v>
                </c:pt>
                <c:pt idx="340">
                  <c:v>54204</c:v>
                </c:pt>
                <c:pt idx="341">
                  <c:v>54233</c:v>
                </c:pt>
                <c:pt idx="342">
                  <c:v>54263</c:v>
                </c:pt>
                <c:pt idx="343">
                  <c:v>54294</c:v>
                </c:pt>
                <c:pt idx="344">
                  <c:v>54325</c:v>
                </c:pt>
                <c:pt idx="345">
                  <c:v>54357</c:v>
                </c:pt>
                <c:pt idx="346">
                  <c:v>54386</c:v>
                </c:pt>
                <c:pt idx="347">
                  <c:v>54416</c:v>
                </c:pt>
                <c:pt idx="348">
                  <c:v>54448</c:v>
                </c:pt>
                <c:pt idx="349">
                  <c:v>54478</c:v>
                </c:pt>
                <c:pt idx="350">
                  <c:v>54506</c:v>
                </c:pt>
                <c:pt idx="351">
                  <c:v>54539</c:v>
                </c:pt>
                <c:pt idx="352">
                  <c:v>54567</c:v>
                </c:pt>
                <c:pt idx="353">
                  <c:v>54598</c:v>
                </c:pt>
                <c:pt idx="354">
                  <c:v>54630</c:v>
                </c:pt>
                <c:pt idx="355">
                  <c:v>54659</c:v>
                </c:pt>
                <c:pt idx="356">
                  <c:v>54690</c:v>
                </c:pt>
                <c:pt idx="357">
                  <c:v>54721</c:v>
                </c:pt>
                <c:pt idx="358">
                  <c:v>54751</c:v>
                </c:pt>
                <c:pt idx="359">
                  <c:v>54781</c:v>
                </c:pt>
                <c:pt idx="360">
                  <c:v>54812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DISPLAY_CURVE!$D$10:$D$501</c:f>
              <c:numCache>
                <c:formatCode>0.00000%</c:formatCode>
                <c:ptCount val="492"/>
                <c:pt idx="0">
                  <c:v>6.3062999999987232E-3</c:v>
                </c:pt>
                <c:pt idx="1">
                  <c:v>5.9928304633236167E-3</c:v>
                </c:pt>
                <c:pt idx="2">
                  <c:v>5.6425264579595593E-3</c:v>
                </c:pt>
                <c:pt idx="3">
                  <c:v>5.3123931081483847E-3</c:v>
                </c:pt>
                <c:pt idx="4">
                  <c:v>5.0207504529993742E-3</c:v>
                </c:pt>
                <c:pt idx="5">
                  <c:v>4.7902878483603306E-3</c:v>
                </c:pt>
                <c:pt idx="6">
                  <c:v>4.5790769095402075E-3</c:v>
                </c:pt>
                <c:pt idx="7">
                  <c:v>4.4015128098569868E-3</c:v>
                </c:pt>
                <c:pt idx="8">
                  <c:v>4.2596686234440077E-3</c:v>
                </c:pt>
                <c:pt idx="9">
                  <c:v>4.1563323580974939E-3</c:v>
                </c:pt>
                <c:pt idx="10">
                  <c:v>4.0962307553047417E-3</c:v>
                </c:pt>
                <c:pt idx="11">
                  <c:v>4.0672641639987956E-3</c:v>
                </c:pt>
                <c:pt idx="12">
                  <c:v>4.0704169726512073E-3</c:v>
                </c:pt>
                <c:pt idx="13">
                  <c:v>4.0825833631869821E-3</c:v>
                </c:pt>
                <c:pt idx="14">
                  <c:v>4.1001973198798777E-3</c:v>
                </c:pt>
                <c:pt idx="15">
                  <c:v>4.1227753833601392E-3</c:v>
                </c:pt>
                <c:pt idx="16">
                  <c:v>4.1474285793881883E-3</c:v>
                </c:pt>
                <c:pt idx="17">
                  <c:v>4.1791981790927843E-3</c:v>
                </c:pt>
                <c:pt idx="18">
                  <c:v>4.2156450605331198E-3</c:v>
                </c:pt>
                <c:pt idx="19">
                  <c:v>4.2534326768621294E-3</c:v>
                </c:pt>
                <c:pt idx="20">
                  <c:v>4.2982786676868112E-3</c:v>
                </c:pt>
                <c:pt idx="21">
                  <c:v>4.3477254530893397E-3</c:v>
                </c:pt>
                <c:pt idx="22">
                  <c:v>4.3990132834353258E-3</c:v>
                </c:pt>
                <c:pt idx="23">
                  <c:v>4.4564990244129223E-3</c:v>
                </c:pt>
                <c:pt idx="24">
                  <c:v>4.5182388293882958E-3</c:v>
                </c:pt>
                <c:pt idx="25">
                  <c:v>4.5755947072626301E-3</c:v>
                </c:pt>
                <c:pt idx="26">
                  <c:v>4.6315912614287354E-3</c:v>
                </c:pt>
                <c:pt idx="27">
                  <c:v>4.6866855582565941E-3</c:v>
                </c:pt>
                <c:pt idx="28">
                  <c:v>4.7366945682057347E-3</c:v>
                </c:pt>
                <c:pt idx="29">
                  <c:v>4.7866104912674245E-3</c:v>
                </c:pt>
                <c:pt idx="30">
                  <c:v>4.833849884788282E-3</c:v>
                </c:pt>
                <c:pt idx="31">
                  <c:v>4.8784630548518717E-3</c:v>
                </c:pt>
                <c:pt idx="32">
                  <c:v>4.9209265188588994E-3</c:v>
                </c:pt>
                <c:pt idx="33">
                  <c:v>4.9570596949068541E-3</c:v>
                </c:pt>
                <c:pt idx="34">
                  <c:v>4.9955534512916349E-3</c:v>
                </c:pt>
                <c:pt idx="35">
                  <c:v>5.0320462827253762E-3</c:v>
                </c:pt>
                <c:pt idx="36">
                  <c:v>5.0584072316767394E-3</c:v>
                </c:pt>
                <c:pt idx="37">
                  <c:v>5.0870251404709745E-3</c:v>
                </c:pt>
                <c:pt idx="38">
                  <c:v>5.1146625361893584E-3</c:v>
                </c:pt>
                <c:pt idx="39">
                  <c:v>5.1418707111797815E-3</c:v>
                </c:pt>
                <c:pt idx="40">
                  <c:v>5.1687870331918392E-3</c:v>
                </c:pt>
                <c:pt idx="41">
                  <c:v>5.1941672517810287E-3</c:v>
                </c:pt>
                <c:pt idx="42">
                  <c:v>5.2161011070673453E-3</c:v>
                </c:pt>
                <c:pt idx="43">
                  <c:v>5.2390666711851028E-3</c:v>
                </c:pt>
                <c:pt idx="44">
                  <c:v>5.2602595155807419E-3</c:v>
                </c:pt>
                <c:pt idx="45">
                  <c:v>5.2793234051626559E-3</c:v>
                </c:pt>
                <c:pt idx="46">
                  <c:v>5.2987084808475251E-3</c:v>
                </c:pt>
                <c:pt idx="47">
                  <c:v>5.3171844668950434E-3</c:v>
                </c:pt>
                <c:pt idx="48">
                  <c:v>5.332434534176549E-3</c:v>
                </c:pt>
                <c:pt idx="49">
                  <c:v>5.3510839243914726E-3</c:v>
                </c:pt>
                <c:pt idx="50">
                  <c:v>5.3711183762316216E-3</c:v>
                </c:pt>
                <c:pt idx="51">
                  <c:v>5.3936635897163425E-3</c:v>
                </c:pt>
                <c:pt idx="52">
                  <c:v>5.4195125353287228E-3</c:v>
                </c:pt>
                <c:pt idx="53">
                  <c:v>5.4477527992161283E-3</c:v>
                </c:pt>
                <c:pt idx="54">
                  <c:v>5.4802960193626018E-3</c:v>
                </c:pt>
                <c:pt idx="55">
                  <c:v>5.5158074278673433E-3</c:v>
                </c:pt>
                <c:pt idx="56">
                  <c:v>5.5481336229781016E-3</c:v>
                </c:pt>
                <c:pt idx="57">
                  <c:v>5.5871506500376417E-3</c:v>
                </c:pt>
                <c:pt idx="58">
                  <c:v>5.6300182834569E-3</c:v>
                </c:pt>
                <c:pt idx="59">
                  <c:v>5.6704497600633067E-3</c:v>
                </c:pt>
                <c:pt idx="60">
                  <c:v>5.7163214334567825E-3</c:v>
                </c:pt>
                <c:pt idx="61">
                  <c:v>5.7593411298925605E-3</c:v>
                </c:pt>
                <c:pt idx="62">
                  <c:v>5.8015421356849631E-3</c:v>
                </c:pt>
                <c:pt idx="63">
                  <c:v>5.8460551836939855E-3</c:v>
                </c:pt>
                <c:pt idx="64">
                  <c:v>5.8891314444972157E-3</c:v>
                </c:pt>
                <c:pt idx="65">
                  <c:v>5.9251711021636949E-3</c:v>
                </c:pt>
                <c:pt idx="66">
                  <c:v>5.9654943386351009E-3</c:v>
                </c:pt>
                <c:pt idx="67">
                  <c:v>6.0049758311846273E-3</c:v>
                </c:pt>
                <c:pt idx="68">
                  <c:v>6.0391100367627312E-3</c:v>
                </c:pt>
                <c:pt idx="69">
                  <c:v>6.0746269958274835E-3</c:v>
                </c:pt>
                <c:pt idx="70">
                  <c:v>6.108901987159525E-3</c:v>
                </c:pt>
                <c:pt idx="71">
                  <c:v>6.1432908611265581E-3</c:v>
                </c:pt>
                <c:pt idx="72">
                  <c:v>6.1770279767487347E-3</c:v>
                </c:pt>
                <c:pt idx="73">
                  <c:v>6.2061776254268858E-3</c:v>
                </c:pt>
                <c:pt idx="74">
                  <c:v>6.2383187454954732E-3</c:v>
                </c:pt>
                <c:pt idx="75">
                  <c:v>6.2731304347873103E-3</c:v>
                </c:pt>
                <c:pt idx="76">
                  <c:v>6.3084609421261151E-3</c:v>
                </c:pt>
                <c:pt idx="77">
                  <c:v>6.3409630412248957E-3</c:v>
                </c:pt>
                <c:pt idx="78">
                  <c:v>6.3764345630997537E-3</c:v>
                </c:pt>
                <c:pt idx="79">
                  <c:v>6.4130351733440449E-3</c:v>
                </c:pt>
                <c:pt idx="80">
                  <c:v>6.4509097440570594E-3</c:v>
                </c:pt>
                <c:pt idx="81">
                  <c:v>6.4892969656036728E-3</c:v>
                </c:pt>
                <c:pt idx="82">
                  <c:v>6.5245642560994932E-3</c:v>
                </c:pt>
                <c:pt idx="83">
                  <c:v>6.5636964737912588E-3</c:v>
                </c:pt>
                <c:pt idx="84">
                  <c:v>6.6037770896502698E-3</c:v>
                </c:pt>
                <c:pt idx="85">
                  <c:v>6.6399114936225032E-3</c:v>
                </c:pt>
                <c:pt idx="86">
                  <c:v>6.6789475017494312E-3</c:v>
                </c:pt>
                <c:pt idx="87">
                  <c:v>6.7186297007885247E-3</c:v>
                </c:pt>
                <c:pt idx="88">
                  <c:v>6.7546375415746584E-3</c:v>
                </c:pt>
                <c:pt idx="89">
                  <c:v>6.7942957188036751E-3</c:v>
                </c:pt>
                <c:pt idx="90">
                  <c:v>6.8336865743672485E-3</c:v>
                </c:pt>
                <c:pt idx="91">
                  <c:v>6.8698838196223563E-3</c:v>
                </c:pt>
                <c:pt idx="92">
                  <c:v>6.9084446839358972E-3</c:v>
                </c:pt>
                <c:pt idx="93">
                  <c:v>6.9468683794898616E-3</c:v>
                </c:pt>
                <c:pt idx="94">
                  <c:v>6.9832390624459222E-3</c:v>
                </c:pt>
                <c:pt idx="95">
                  <c:v>7.0208471497452477E-3</c:v>
                </c:pt>
                <c:pt idx="96">
                  <c:v>7.0590630208233396E-3</c:v>
                </c:pt>
                <c:pt idx="97">
                  <c:v>7.0966967196735798E-3</c:v>
                </c:pt>
                <c:pt idx="98">
                  <c:v>7.1355834489025081E-3</c:v>
                </c:pt>
                <c:pt idx="99">
                  <c:v>7.1758900059881777E-3</c:v>
                </c:pt>
                <c:pt idx="100">
                  <c:v>7.2188640094143219E-3</c:v>
                </c:pt>
                <c:pt idx="101">
                  <c:v>7.2624583284507044E-3</c:v>
                </c:pt>
                <c:pt idx="102">
                  <c:v>7.3030960257421066E-3</c:v>
                </c:pt>
                <c:pt idx="103">
                  <c:v>7.3490200567480546E-3</c:v>
                </c:pt>
                <c:pt idx="104">
                  <c:v>7.3950254230833222E-3</c:v>
                </c:pt>
                <c:pt idx="105">
                  <c:v>7.4399875569108502E-3</c:v>
                </c:pt>
                <c:pt idx="106">
                  <c:v>7.4898918876864992E-3</c:v>
                </c:pt>
                <c:pt idx="107">
                  <c:v>7.542343032267332E-3</c:v>
                </c:pt>
                <c:pt idx="108">
                  <c:v>7.5871329047333715E-3</c:v>
                </c:pt>
                <c:pt idx="109">
                  <c:v>7.6338115177126929E-3</c:v>
                </c:pt>
                <c:pt idx="110">
                  <c:v>7.6773879712118409E-3</c:v>
                </c:pt>
                <c:pt idx="111">
                  <c:v>7.7171922261022284E-3</c:v>
                </c:pt>
                <c:pt idx="112">
                  <c:v>7.7584835913312835E-3</c:v>
                </c:pt>
                <c:pt idx="113">
                  <c:v>7.7971383033545423E-3</c:v>
                </c:pt>
                <c:pt idx="114">
                  <c:v>7.8319799598479522E-3</c:v>
                </c:pt>
                <c:pt idx="115">
                  <c:v>7.8662365630856688E-3</c:v>
                </c:pt>
                <c:pt idx="116">
                  <c:v>7.8975854160799313E-3</c:v>
                </c:pt>
                <c:pt idx="117">
                  <c:v>7.927912697186356E-3</c:v>
                </c:pt>
                <c:pt idx="118">
                  <c:v>7.9558543071627415E-3</c:v>
                </c:pt>
                <c:pt idx="119">
                  <c:v>7.978404025230092E-3</c:v>
                </c:pt>
                <c:pt idx="120">
                  <c:v>8.0018912755864483E-3</c:v>
                </c:pt>
                <c:pt idx="121">
                  <c:v>8.0229994540420169E-3</c:v>
                </c:pt>
                <c:pt idx="122">
                  <c:v>8.0438293712988169E-3</c:v>
                </c:pt>
                <c:pt idx="123">
                  <c:v>8.0637892247017E-3</c:v>
                </c:pt>
                <c:pt idx="124">
                  <c:v>8.0840543577537262E-3</c:v>
                </c:pt>
                <c:pt idx="125">
                  <c:v>8.1035850390189703E-3</c:v>
                </c:pt>
                <c:pt idx="126">
                  <c:v>8.1239232966315283E-3</c:v>
                </c:pt>
                <c:pt idx="127">
                  <c:v>8.1433235539208094E-3</c:v>
                </c:pt>
                <c:pt idx="128">
                  <c:v>8.159379482547394E-3</c:v>
                </c:pt>
                <c:pt idx="129">
                  <c:v>8.1772151976762936E-3</c:v>
                </c:pt>
                <c:pt idx="130">
                  <c:v>8.1948359994272659E-3</c:v>
                </c:pt>
                <c:pt idx="131">
                  <c:v>8.2099211552698528E-3</c:v>
                </c:pt>
                <c:pt idx="132">
                  <c:v>8.2258741687888399E-3</c:v>
                </c:pt>
                <c:pt idx="133">
                  <c:v>8.2402449044939891E-3</c:v>
                </c:pt>
                <c:pt idx="134">
                  <c:v>8.2546422659275382E-3</c:v>
                </c:pt>
                <c:pt idx="135">
                  <c:v>8.2695552053913754E-3</c:v>
                </c:pt>
                <c:pt idx="136">
                  <c:v>8.2834851067460618E-3</c:v>
                </c:pt>
                <c:pt idx="137">
                  <c:v>8.295030404205787E-3</c:v>
                </c:pt>
                <c:pt idx="138">
                  <c:v>8.3080818371478737E-3</c:v>
                </c:pt>
                <c:pt idx="139">
                  <c:v>8.3202615649645689E-3</c:v>
                </c:pt>
                <c:pt idx="140">
                  <c:v>8.3306635000734448E-3</c:v>
                </c:pt>
                <c:pt idx="141">
                  <c:v>8.3414487679814332E-3</c:v>
                </c:pt>
                <c:pt idx="142">
                  <c:v>8.3514879698029197E-3</c:v>
                </c:pt>
                <c:pt idx="143">
                  <c:v>8.3616493832735193E-3</c:v>
                </c:pt>
                <c:pt idx="144">
                  <c:v>8.3708598596292805E-3</c:v>
                </c:pt>
                <c:pt idx="145">
                  <c:v>8.3782748962325307E-3</c:v>
                </c:pt>
                <c:pt idx="146">
                  <c:v>8.3863660731744345E-3</c:v>
                </c:pt>
                <c:pt idx="147">
                  <c:v>8.3931639707074228E-3</c:v>
                </c:pt>
                <c:pt idx="148">
                  <c:v>8.3990069596909991E-3</c:v>
                </c:pt>
                <c:pt idx="149">
                  <c:v>8.4047278652225887E-3</c:v>
                </c:pt>
                <c:pt idx="150">
                  <c:v>8.409495573691729E-3</c:v>
                </c:pt>
                <c:pt idx="151">
                  <c:v>8.4132968589814942E-3</c:v>
                </c:pt>
                <c:pt idx="152">
                  <c:v>8.4166444609772417E-3</c:v>
                </c:pt>
                <c:pt idx="153">
                  <c:v>8.4192523600985572E-3</c:v>
                </c:pt>
                <c:pt idx="154">
                  <c:v>8.4209520271147382E-3</c:v>
                </c:pt>
                <c:pt idx="155">
                  <c:v>8.4221985639177828E-3</c:v>
                </c:pt>
                <c:pt idx="156">
                  <c:v>8.4226350748567193E-3</c:v>
                </c:pt>
                <c:pt idx="157">
                  <c:v>8.4220778164060938E-3</c:v>
                </c:pt>
                <c:pt idx="158">
                  <c:v>8.4214956184503614E-3</c:v>
                </c:pt>
                <c:pt idx="159">
                  <c:v>8.4195824328153219E-3</c:v>
                </c:pt>
                <c:pt idx="160">
                  <c:v>8.4173511034470513E-3</c:v>
                </c:pt>
                <c:pt idx="161">
                  <c:v>8.4141845418361366E-3</c:v>
                </c:pt>
                <c:pt idx="162">
                  <c:v>8.4102782778166796E-3</c:v>
                </c:pt>
                <c:pt idx="163">
                  <c:v>8.4058217380585665E-3</c:v>
                </c:pt>
                <c:pt idx="164">
                  <c:v>8.4000590374688593E-3</c:v>
                </c:pt>
                <c:pt idx="165">
                  <c:v>8.3945387860705455E-3</c:v>
                </c:pt>
                <c:pt idx="166">
                  <c:v>8.3876555954146958E-3</c:v>
                </c:pt>
                <c:pt idx="167">
                  <c:v>8.3793236295954601E-3</c:v>
                </c:pt>
                <c:pt idx="168">
                  <c:v>8.3721468501551152E-3</c:v>
                </c:pt>
                <c:pt idx="169">
                  <c:v>8.3633056896685043E-3</c:v>
                </c:pt>
                <c:pt idx="170">
                  <c:v>8.3543581139678864E-3</c:v>
                </c:pt>
                <c:pt idx="171">
                  <c:v>8.3440182873259876E-3</c:v>
                </c:pt>
                <c:pt idx="172">
                  <c:v>8.3329637706357519E-3</c:v>
                </c:pt>
                <c:pt idx="173">
                  <c:v>8.3205870840526459E-3</c:v>
                </c:pt>
                <c:pt idx="174">
                  <c:v>8.3090762755131751E-3</c:v>
                </c:pt>
                <c:pt idx="175">
                  <c:v>8.2956160255135206E-3</c:v>
                </c:pt>
                <c:pt idx="176">
                  <c:v>8.2813488274134008E-3</c:v>
                </c:pt>
                <c:pt idx="177">
                  <c:v>8.2673523724848506E-3</c:v>
                </c:pt>
                <c:pt idx="178">
                  <c:v>8.251495022314384E-3</c:v>
                </c:pt>
                <c:pt idx="179">
                  <c:v>8.2341283184704656E-3</c:v>
                </c:pt>
                <c:pt idx="180">
                  <c:v>8.2188927429321466E-3</c:v>
                </c:pt>
                <c:pt idx="181">
                  <c:v>8.201641277181964E-3</c:v>
                </c:pt>
                <c:pt idx="182">
                  <c:v>8.1855825284426979E-3</c:v>
                </c:pt>
                <c:pt idx="183">
                  <c:v>8.1706813722431382E-3</c:v>
                </c:pt>
                <c:pt idx="184">
                  <c:v>8.1542623191907856E-3</c:v>
                </c:pt>
                <c:pt idx="185">
                  <c:v>8.1375757158562625E-3</c:v>
                </c:pt>
                <c:pt idx="186">
                  <c:v>8.1220517113369407E-3</c:v>
                </c:pt>
                <c:pt idx="187">
                  <c:v>8.1057381597696553E-3</c:v>
                </c:pt>
                <c:pt idx="188">
                  <c:v>8.0896932401447273E-3</c:v>
                </c:pt>
                <c:pt idx="189">
                  <c:v>8.0735833846302014E-3</c:v>
                </c:pt>
                <c:pt idx="190">
                  <c:v>8.0568688453716685E-3</c:v>
                </c:pt>
                <c:pt idx="191">
                  <c:v>8.0424857587719153E-3</c:v>
                </c:pt>
                <c:pt idx="192">
                  <c:v>8.0264886044147093E-3</c:v>
                </c:pt>
                <c:pt idx="193">
                  <c:v>8.0107449926190722E-3</c:v>
                </c:pt>
                <c:pt idx="194">
                  <c:v>7.9962914619648526E-3</c:v>
                </c:pt>
                <c:pt idx="195">
                  <c:v>7.9804224702072594E-3</c:v>
                </c:pt>
                <c:pt idx="196">
                  <c:v>7.9643076666305376E-3</c:v>
                </c:pt>
                <c:pt idx="197">
                  <c:v>7.9506057652759948E-3</c:v>
                </c:pt>
                <c:pt idx="198">
                  <c:v>7.9353646903127118E-3</c:v>
                </c:pt>
                <c:pt idx="199">
                  <c:v>7.9195480379726738E-3</c:v>
                </c:pt>
                <c:pt idx="200">
                  <c:v>7.9056172602444807E-3</c:v>
                </c:pt>
                <c:pt idx="201">
                  <c:v>7.8909781345801403E-3</c:v>
                </c:pt>
                <c:pt idx="202">
                  <c:v>7.8762625494803E-3</c:v>
                </c:pt>
                <c:pt idx="203">
                  <c:v>7.8615068665427879E-3</c:v>
                </c:pt>
                <c:pt idx="204">
                  <c:v>7.8461913871151461E-3</c:v>
                </c:pt>
                <c:pt idx="205">
                  <c:v>7.8330059481171426E-3</c:v>
                </c:pt>
                <c:pt idx="206">
                  <c:v>7.8194711752923481E-3</c:v>
                </c:pt>
                <c:pt idx="207">
                  <c:v>7.8049302077803891E-3</c:v>
                </c:pt>
                <c:pt idx="208">
                  <c:v>7.7903227705753099E-3</c:v>
                </c:pt>
                <c:pt idx="209">
                  <c:v>7.7771861058198617E-3</c:v>
                </c:pt>
                <c:pt idx="210">
                  <c:v>7.7633911072598222E-3</c:v>
                </c:pt>
                <c:pt idx="211">
                  <c:v>7.749382454874912E-3</c:v>
                </c:pt>
                <c:pt idx="212">
                  <c:v>7.7353301887986949E-3</c:v>
                </c:pt>
                <c:pt idx="213">
                  <c:v>7.721214413507837E-3</c:v>
                </c:pt>
                <c:pt idx="214">
                  <c:v>7.7085227002559754E-3</c:v>
                </c:pt>
                <c:pt idx="215">
                  <c:v>7.6950632840654433E-3</c:v>
                </c:pt>
                <c:pt idx="216">
                  <c:v>7.6812399009995921E-3</c:v>
                </c:pt>
                <c:pt idx="217">
                  <c:v>7.6686512180749776E-3</c:v>
                </c:pt>
                <c:pt idx="218">
                  <c:v>7.6557997270073333E-3</c:v>
                </c:pt>
                <c:pt idx="219">
                  <c:v>7.6418146887157149E-3</c:v>
                </c:pt>
                <c:pt idx="220">
                  <c:v>7.6302363499189639E-3</c:v>
                </c:pt>
                <c:pt idx="221">
                  <c:v>7.6170562157299206E-3</c:v>
                </c:pt>
                <c:pt idx="222">
                  <c:v>7.6038175423206178E-3</c:v>
                </c:pt>
                <c:pt idx="223">
                  <c:v>7.591792176796004E-3</c:v>
                </c:pt>
                <c:pt idx="224">
                  <c:v>7.5790320598518625E-3</c:v>
                </c:pt>
                <c:pt idx="225">
                  <c:v>7.566369679551088E-3</c:v>
                </c:pt>
                <c:pt idx="226">
                  <c:v>7.5543323339572217E-3</c:v>
                </c:pt>
                <c:pt idx="227">
                  <c:v>7.5421394948595915E-3</c:v>
                </c:pt>
                <c:pt idx="228">
                  <c:v>7.5297640170516548E-3</c:v>
                </c:pt>
                <c:pt idx="229">
                  <c:v>7.5178451329863463E-3</c:v>
                </c:pt>
                <c:pt idx="230">
                  <c:v>7.5063623379629692E-3</c:v>
                </c:pt>
                <c:pt idx="231">
                  <c:v>7.4941175714191193E-3</c:v>
                </c:pt>
                <c:pt idx="232">
                  <c:v>7.4827803570279719E-3</c:v>
                </c:pt>
                <c:pt idx="233">
                  <c:v>7.470880942380926E-3</c:v>
                </c:pt>
                <c:pt idx="234">
                  <c:v>7.4590792616785638E-3</c:v>
                </c:pt>
                <c:pt idx="235">
                  <c:v>7.447527781535259E-3</c:v>
                </c:pt>
                <c:pt idx="236">
                  <c:v>7.4355067259789251E-3</c:v>
                </c:pt>
                <c:pt idx="237">
                  <c:v>7.4250001536414071E-3</c:v>
                </c:pt>
                <c:pt idx="238">
                  <c:v>7.4132597592728765E-3</c:v>
                </c:pt>
                <c:pt idx="239">
                  <c:v>7.4009607226799548E-3</c:v>
                </c:pt>
                <c:pt idx="240">
                  <c:v>7.3913745052028666E-3</c:v>
                </c:pt>
                <c:pt idx="241">
                  <c:v>7.3800786117587348E-3</c:v>
                </c:pt>
                <c:pt idx="242">
                  <c:v>7.3687115661271643E-3</c:v>
                </c:pt>
                <c:pt idx="243">
                  <c:v>7.3581244770015725E-3</c:v>
                </c:pt>
                <c:pt idx="244">
                  <c:v>7.3467685577246989E-3</c:v>
                </c:pt>
                <c:pt idx="245">
                  <c:v>7.3350465670851336E-3</c:v>
                </c:pt>
                <c:pt idx="246">
                  <c:v>7.3240393029544246E-3</c:v>
                </c:pt>
                <c:pt idx="247">
                  <c:v>7.3123256802678427E-3</c:v>
                </c:pt>
                <c:pt idx="248">
                  <c:v>7.3006587373210001E-3</c:v>
                </c:pt>
                <c:pt idx="249">
                  <c:v>7.2888301069540503E-3</c:v>
                </c:pt>
                <c:pt idx="250">
                  <c:v>7.2763719783650298E-3</c:v>
                </c:pt>
                <c:pt idx="251">
                  <c:v>7.2655359082238096E-3</c:v>
                </c:pt>
                <c:pt idx="252">
                  <c:v>7.2533478066657362E-3</c:v>
                </c:pt>
                <c:pt idx="253">
                  <c:v>7.2413165823082132E-3</c:v>
                </c:pt>
                <c:pt idx="254">
                  <c:v>7.2299178046324316E-3</c:v>
                </c:pt>
                <c:pt idx="255">
                  <c:v>7.2181685142291511E-3</c:v>
                </c:pt>
                <c:pt idx="256">
                  <c:v>7.2060979531873839E-3</c:v>
                </c:pt>
                <c:pt idx="257">
                  <c:v>7.1938166589701393E-3</c:v>
                </c:pt>
                <c:pt idx="258">
                  <c:v>7.1812134648734233E-3</c:v>
                </c:pt>
                <c:pt idx="259">
                  <c:v>7.1678380956286336E-3</c:v>
                </c:pt>
                <c:pt idx="260">
                  <c:v>7.1565682114254495E-3</c:v>
                </c:pt>
                <c:pt idx="261">
                  <c:v>7.1440153706712629E-3</c:v>
                </c:pt>
                <c:pt idx="262">
                  <c:v>7.1308385469281924E-3</c:v>
                </c:pt>
                <c:pt idx="263">
                  <c:v>7.1189698936037537E-3</c:v>
                </c:pt>
                <c:pt idx="264">
                  <c:v>7.106067390169165E-3</c:v>
                </c:pt>
                <c:pt idx="265">
                  <c:v>7.0935169281764457E-3</c:v>
                </c:pt>
                <c:pt idx="266">
                  <c:v>7.0813144510762892E-3</c:v>
                </c:pt>
                <c:pt idx="267">
                  <c:v>7.0679177728531113E-3</c:v>
                </c:pt>
                <c:pt idx="268">
                  <c:v>7.0541724070878479E-3</c:v>
                </c:pt>
                <c:pt idx="269">
                  <c:v>7.0423489293882056E-3</c:v>
                </c:pt>
                <c:pt idx="270">
                  <c:v>7.0290171408844632E-3</c:v>
                </c:pt>
                <c:pt idx="271">
                  <c:v>7.0150576918926975E-3</c:v>
                </c:pt>
                <c:pt idx="272">
                  <c:v>7.0026144371288773E-3</c:v>
                </c:pt>
                <c:pt idx="273">
                  <c:v>6.989370006048351E-3</c:v>
                </c:pt>
                <c:pt idx="274">
                  <c:v>6.9759232717653778E-3</c:v>
                </c:pt>
                <c:pt idx="275">
                  <c:v>6.9622308486262784E-3</c:v>
                </c:pt>
                <c:pt idx="276">
                  <c:v>6.9479114964077224E-3</c:v>
                </c:pt>
                <c:pt idx="277">
                  <c:v>6.935461901339683E-3</c:v>
                </c:pt>
                <c:pt idx="278">
                  <c:v>6.9224531664504171E-3</c:v>
                </c:pt>
                <c:pt idx="279">
                  <c:v>6.9083460682219039E-3</c:v>
                </c:pt>
                <c:pt idx="280">
                  <c:v>6.8940351747559534E-3</c:v>
                </c:pt>
                <c:pt idx="281">
                  <c:v>6.8810182290508981E-3</c:v>
                </c:pt>
                <c:pt idx="282">
                  <c:v>6.8671550639182368E-3</c:v>
                </c:pt>
                <c:pt idx="283">
                  <c:v>6.8529283437879602E-3</c:v>
                </c:pt>
                <c:pt idx="284">
                  <c:v>6.8384631408485302E-3</c:v>
                </c:pt>
                <c:pt idx="285">
                  <c:v>6.823796775123331E-3</c:v>
                </c:pt>
                <c:pt idx="286">
                  <c:v>6.8104583455331109E-3</c:v>
                </c:pt>
                <c:pt idx="287">
                  <c:v>6.796076898623357E-3</c:v>
                </c:pt>
                <c:pt idx="288">
                  <c:v>6.7811991202257234E-3</c:v>
                </c:pt>
                <c:pt idx="289">
                  <c:v>6.767370152691023E-3</c:v>
                </c:pt>
                <c:pt idx="290">
                  <c:v>6.7530776181011776E-3</c:v>
                </c:pt>
                <c:pt idx="291">
                  <c:v>6.7381655355695392E-3</c:v>
                </c:pt>
                <c:pt idx="292">
                  <c:v>6.7240891894557106E-3</c:v>
                </c:pt>
                <c:pt idx="293">
                  <c:v>6.7091625289880949E-3</c:v>
                </c:pt>
                <c:pt idx="294">
                  <c:v>6.6941647284899826E-3</c:v>
                </c:pt>
                <c:pt idx="295">
                  <c:v>6.679217591741754E-3</c:v>
                </c:pt>
                <c:pt idx="296">
                  <c:v>6.663650301900797E-3</c:v>
                </c:pt>
                <c:pt idx="297">
                  <c:v>6.6497280052368185E-3</c:v>
                </c:pt>
                <c:pt idx="298">
                  <c:v>6.6338894003540733E-3</c:v>
                </c:pt>
                <c:pt idx="299">
                  <c:v>6.6172357833936416E-3</c:v>
                </c:pt>
                <c:pt idx="300">
                  <c:v>6.6042668816222606E-3</c:v>
                </c:pt>
                <c:pt idx="301">
                  <c:v>6.5898322845319053E-3</c:v>
                </c:pt>
                <c:pt idx="302">
                  <c:v>6.5761701260406069E-3</c:v>
                </c:pt>
                <c:pt idx="303">
                  <c:v>6.5622262584578168E-3</c:v>
                </c:pt>
                <c:pt idx="304">
                  <c:v>6.5485260319738245E-3</c:v>
                </c:pt>
                <c:pt idx="305">
                  <c:v>6.5349319363037974E-3</c:v>
                </c:pt>
                <c:pt idx="306">
                  <c:v>6.5232562169732318E-3</c:v>
                </c:pt>
                <c:pt idx="307">
                  <c:v>6.5107885323745151E-3</c:v>
                </c:pt>
                <c:pt idx="308">
                  <c:v>6.4987969541320609E-3</c:v>
                </c:pt>
                <c:pt idx="309">
                  <c:v>6.4879762764446739E-3</c:v>
                </c:pt>
                <c:pt idx="310">
                  <c:v>6.476754000158123E-3</c:v>
                </c:pt>
                <c:pt idx="311">
                  <c:v>6.4655631515043244E-3</c:v>
                </c:pt>
                <c:pt idx="312">
                  <c:v>6.4564688988857652E-3</c:v>
                </c:pt>
                <c:pt idx="313">
                  <c:v>6.4465971457580906E-3</c:v>
                </c:pt>
                <c:pt idx="314">
                  <c:v>6.4378150294518146E-3</c:v>
                </c:pt>
                <c:pt idx="315">
                  <c:v>6.429971667237501E-3</c:v>
                </c:pt>
                <c:pt idx="316">
                  <c:v>6.421736534259993E-3</c:v>
                </c:pt>
                <c:pt idx="317">
                  <c:v>6.4137218561401395E-3</c:v>
                </c:pt>
                <c:pt idx="318">
                  <c:v>6.4066812018474615E-3</c:v>
                </c:pt>
                <c:pt idx="319">
                  <c:v>6.3996624049934732E-3</c:v>
                </c:pt>
                <c:pt idx="320">
                  <c:v>6.3931400157365217E-3</c:v>
                </c:pt>
                <c:pt idx="321">
                  <c:v>6.3870927571146848E-3</c:v>
                </c:pt>
                <c:pt idx="322">
                  <c:v>6.3811381753293168E-3</c:v>
                </c:pt>
                <c:pt idx="323">
                  <c:v>6.3764222995634744E-3</c:v>
                </c:pt>
                <c:pt idx="324">
                  <c:v>6.3716137938662609E-3</c:v>
                </c:pt>
                <c:pt idx="325">
                  <c:v>6.3671864078065745E-3</c:v>
                </c:pt>
                <c:pt idx="326">
                  <c:v>6.3636380375152804E-3</c:v>
                </c:pt>
                <c:pt idx="327">
                  <c:v>6.3602716400268334E-3</c:v>
                </c:pt>
                <c:pt idx="328">
                  <c:v>6.3573358737844766E-3</c:v>
                </c:pt>
                <c:pt idx="329">
                  <c:v>6.3547237952141962E-3</c:v>
                </c:pt>
                <c:pt idx="330">
                  <c:v>6.3527382086821169E-3</c:v>
                </c:pt>
                <c:pt idx="331">
                  <c:v>6.35081443481284E-3</c:v>
                </c:pt>
                <c:pt idx="332">
                  <c:v>6.3496611155670242E-3</c:v>
                </c:pt>
                <c:pt idx="333">
                  <c:v>6.3489632140569571E-3</c:v>
                </c:pt>
                <c:pt idx="334">
                  <c:v>6.3485995932495692E-3</c:v>
                </c:pt>
                <c:pt idx="335">
                  <c:v>6.3486241163759659E-3</c:v>
                </c:pt>
                <c:pt idx="336">
                  <c:v>6.3491452071484482E-3</c:v>
                </c:pt>
                <c:pt idx="337">
                  <c:v>6.3499663148409487E-3</c:v>
                </c:pt>
                <c:pt idx="338">
                  <c:v>6.3514356113418E-3</c:v>
                </c:pt>
                <c:pt idx="339">
                  <c:v>6.3533712550952522E-3</c:v>
                </c:pt>
                <c:pt idx="340">
                  <c:v>6.3556597655101887E-3</c:v>
                </c:pt>
                <c:pt idx="341">
                  <c:v>6.3581263515034734E-3</c:v>
                </c:pt>
                <c:pt idx="342">
                  <c:v>6.3613055928615535E-3</c:v>
                </c:pt>
                <c:pt idx="343">
                  <c:v>6.3649270532125084E-3</c:v>
                </c:pt>
                <c:pt idx="344">
                  <c:v>6.3691259198874178E-3</c:v>
                </c:pt>
                <c:pt idx="345">
                  <c:v>6.3736771061024284E-3</c:v>
                </c:pt>
                <c:pt idx="346">
                  <c:v>6.3781907751741139E-3</c:v>
                </c:pt>
                <c:pt idx="347">
                  <c:v>6.3837092776996684E-3</c:v>
                </c:pt>
                <c:pt idx="348">
                  <c:v>6.3896061526860191E-3</c:v>
                </c:pt>
                <c:pt idx="349">
                  <c:v>6.3952229776946179E-3</c:v>
                </c:pt>
                <c:pt idx="350">
                  <c:v>6.4021262815244758E-3</c:v>
                </c:pt>
                <c:pt idx="351">
                  <c:v>6.4092465259436363E-3</c:v>
                </c:pt>
                <c:pt idx="352">
                  <c:v>6.41630339725265E-3</c:v>
                </c:pt>
                <c:pt idx="353">
                  <c:v>6.4245410776871386E-3</c:v>
                </c:pt>
                <c:pt idx="354">
                  <c:v>6.4331291424255636E-3</c:v>
                </c:pt>
                <c:pt idx="355">
                  <c:v>6.4415007045592922E-3</c:v>
                </c:pt>
                <c:pt idx="356">
                  <c:v>6.4508862973111682E-3</c:v>
                </c:pt>
                <c:pt idx="357">
                  <c:v>6.4607231286748805E-3</c:v>
                </c:pt>
                <c:pt idx="358">
                  <c:v>6.4704444658548899E-3</c:v>
                </c:pt>
                <c:pt idx="359">
                  <c:v>6.481044035901962E-3</c:v>
                </c:pt>
                <c:pt idx="360">
                  <c:v>6.4921099737714752E-3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2-4B6D-A377-32F933455548}"/>
            </c:ext>
          </c:extLst>
        </c:ser>
        <c:ser>
          <c:idx val="2"/>
          <c:order val="2"/>
          <c:tx>
            <c:strRef>
              <c:f>DISPLAY_CURVE!$E$9</c:f>
              <c:strCache>
                <c:ptCount val="1"/>
                <c:pt idx="0">
                  <c:v>GBP3ML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43854</c:v>
                </c:pt>
                <c:pt idx="1">
                  <c:v>43885</c:v>
                </c:pt>
                <c:pt idx="2">
                  <c:v>43914</c:v>
                </c:pt>
                <c:pt idx="3">
                  <c:v>43945</c:v>
                </c:pt>
                <c:pt idx="4">
                  <c:v>43977</c:v>
                </c:pt>
                <c:pt idx="5">
                  <c:v>44006</c:v>
                </c:pt>
                <c:pt idx="6">
                  <c:v>44036</c:v>
                </c:pt>
                <c:pt idx="7">
                  <c:v>44067</c:v>
                </c:pt>
                <c:pt idx="8">
                  <c:v>44098</c:v>
                </c:pt>
                <c:pt idx="9">
                  <c:v>44130</c:v>
                </c:pt>
                <c:pt idx="10">
                  <c:v>44159</c:v>
                </c:pt>
                <c:pt idx="11">
                  <c:v>44189</c:v>
                </c:pt>
                <c:pt idx="12">
                  <c:v>44221</c:v>
                </c:pt>
                <c:pt idx="13">
                  <c:v>44251</c:v>
                </c:pt>
                <c:pt idx="14">
                  <c:v>44279</c:v>
                </c:pt>
                <c:pt idx="15">
                  <c:v>44312</c:v>
                </c:pt>
                <c:pt idx="16">
                  <c:v>44340</c:v>
                </c:pt>
                <c:pt idx="17">
                  <c:v>44371</c:v>
                </c:pt>
                <c:pt idx="18">
                  <c:v>44403</c:v>
                </c:pt>
                <c:pt idx="19">
                  <c:v>44432</c:v>
                </c:pt>
                <c:pt idx="20">
                  <c:v>44463</c:v>
                </c:pt>
                <c:pt idx="21">
                  <c:v>44494</c:v>
                </c:pt>
                <c:pt idx="22">
                  <c:v>44524</c:v>
                </c:pt>
                <c:pt idx="23">
                  <c:v>44554</c:v>
                </c:pt>
                <c:pt idx="24">
                  <c:v>44585</c:v>
                </c:pt>
                <c:pt idx="25">
                  <c:v>44616</c:v>
                </c:pt>
                <c:pt idx="26">
                  <c:v>44644</c:v>
                </c:pt>
                <c:pt idx="27">
                  <c:v>44676</c:v>
                </c:pt>
                <c:pt idx="28">
                  <c:v>44705</c:v>
                </c:pt>
                <c:pt idx="29">
                  <c:v>44736</c:v>
                </c:pt>
                <c:pt idx="30">
                  <c:v>44767</c:v>
                </c:pt>
                <c:pt idx="31">
                  <c:v>44797</c:v>
                </c:pt>
                <c:pt idx="32">
                  <c:v>44830</c:v>
                </c:pt>
                <c:pt idx="33">
                  <c:v>44858</c:v>
                </c:pt>
                <c:pt idx="34">
                  <c:v>44889</c:v>
                </c:pt>
                <c:pt idx="35">
                  <c:v>44923</c:v>
                </c:pt>
                <c:pt idx="36">
                  <c:v>44950</c:v>
                </c:pt>
                <c:pt idx="37">
                  <c:v>44981</c:v>
                </c:pt>
                <c:pt idx="38">
                  <c:v>45009</c:v>
                </c:pt>
                <c:pt idx="39">
                  <c:v>45040</c:v>
                </c:pt>
                <c:pt idx="40">
                  <c:v>45070</c:v>
                </c:pt>
                <c:pt idx="41">
                  <c:v>45103</c:v>
                </c:pt>
                <c:pt idx="42">
                  <c:v>45131</c:v>
                </c:pt>
                <c:pt idx="43">
                  <c:v>45162</c:v>
                </c:pt>
                <c:pt idx="44">
                  <c:v>45194</c:v>
                </c:pt>
                <c:pt idx="45">
                  <c:v>45223</c:v>
                </c:pt>
                <c:pt idx="46">
                  <c:v>45254</c:v>
                </c:pt>
                <c:pt idx="47">
                  <c:v>45287</c:v>
                </c:pt>
                <c:pt idx="48">
                  <c:v>45315</c:v>
                </c:pt>
                <c:pt idx="49">
                  <c:v>45348</c:v>
                </c:pt>
                <c:pt idx="50">
                  <c:v>45376</c:v>
                </c:pt>
                <c:pt idx="51">
                  <c:v>45406</c:v>
                </c:pt>
                <c:pt idx="52">
                  <c:v>45436</c:v>
                </c:pt>
                <c:pt idx="53">
                  <c:v>45467</c:v>
                </c:pt>
                <c:pt idx="54">
                  <c:v>45497</c:v>
                </c:pt>
                <c:pt idx="55">
                  <c:v>45531</c:v>
                </c:pt>
                <c:pt idx="56">
                  <c:v>45559</c:v>
                </c:pt>
                <c:pt idx="57">
                  <c:v>45589</c:v>
                </c:pt>
                <c:pt idx="58">
                  <c:v>45621</c:v>
                </c:pt>
                <c:pt idx="59">
                  <c:v>45650</c:v>
                </c:pt>
                <c:pt idx="60">
                  <c:v>45681</c:v>
                </c:pt>
                <c:pt idx="61">
                  <c:v>45712</c:v>
                </c:pt>
                <c:pt idx="62">
                  <c:v>45740</c:v>
                </c:pt>
                <c:pt idx="63">
                  <c:v>45771</c:v>
                </c:pt>
                <c:pt idx="64">
                  <c:v>45804</c:v>
                </c:pt>
                <c:pt idx="65">
                  <c:v>45832</c:v>
                </c:pt>
                <c:pt idx="66">
                  <c:v>45862</c:v>
                </c:pt>
                <c:pt idx="67">
                  <c:v>45895</c:v>
                </c:pt>
                <c:pt idx="68">
                  <c:v>45924</c:v>
                </c:pt>
                <c:pt idx="69">
                  <c:v>45954</c:v>
                </c:pt>
                <c:pt idx="70">
                  <c:v>45985</c:v>
                </c:pt>
                <c:pt idx="71">
                  <c:v>46015</c:v>
                </c:pt>
                <c:pt idx="72">
                  <c:v>46048</c:v>
                </c:pt>
                <c:pt idx="73">
                  <c:v>46077</c:v>
                </c:pt>
                <c:pt idx="74">
                  <c:v>46105</c:v>
                </c:pt>
                <c:pt idx="75">
                  <c:v>46136</c:v>
                </c:pt>
                <c:pt idx="76">
                  <c:v>46168</c:v>
                </c:pt>
                <c:pt idx="77">
                  <c:v>46197</c:v>
                </c:pt>
                <c:pt idx="78">
                  <c:v>46227</c:v>
                </c:pt>
                <c:pt idx="79">
                  <c:v>46258</c:v>
                </c:pt>
                <c:pt idx="80">
                  <c:v>46289</c:v>
                </c:pt>
                <c:pt idx="81">
                  <c:v>46321</c:v>
                </c:pt>
                <c:pt idx="82">
                  <c:v>46350</c:v>
                </c:pt>
                <c:pt idx="83">
                  <c:v>46380</c:v>
                </c:pt>
                <c:pt idx="84">
                  <c:v>46412</c:v>
                </c:pt>
                <c:pt idx="85">
                  <c:v>46442</c:v>
                </c:pt>
                <c:pt idx="86">
                  <c:v>46470</c:v>
                </c:pt>
                <c:pt idx="87">
                  <c:v>46503</c:v>
                </c:pt>
                <c:pt idx="88">
                  <c:v>46531</c:v>
                </c:pt>
                <c:pt idx="89">
                  <c:v>46562</c:v>
                </c:pt>
                <c:pt idx="90">
                  <c:v>46594</c:v>
                </c:pt>
                <c:pt idx="91">
                  <c:v>46623</c:v>
                </c:pt>
                <c:pt idx="92">
                  <c:v>46654</c:v>
                </c:pt>
                <c:pt idx="93">
                  <c:v>46685</c:v>
                </c:pt>
                <c:pt idx="94">
                  <c:v>46715</c:v>
                </c:pt>
                <c:pt idx="95">
                  <c:v>46745</c:v>
                </c:pt>
                <c:pt idx="96">
                  <c:v>46776</c:v>
                </c:pt>
                <c:pt idx="97">
                  <c:v>46807</c:v>
                </c:pt>
                <c:pt idx="98">
                  <c:v>46836</c:v>
                </c:pt>
                <c:pt idx="99">
                  <c:v>46867</c:v>
                </c:pt>
                <c:pt idx="100">
                  <c:v>46897</c:v>
                </c:pt>
                <c:pt idx="101">
                  <c:v>46930</c:v>
                </c:pt>
                <c:pt idx="102">
                  <c:v>46958</c:v>
                </c:pt>
                <c:pt idx="103">
                  <c:v>46989</c:v>
                </c:pt>
                <c:pt idx="104">
                  <c:v>47021</c:v>
                </c:pt>
                <c:pt idx="105">
                  <c:v>47050</c:v>
                </c:pt>
                <c:pt idx="106">
                  <c:v>47081</c:v>
                </c:pt>
                <c:pt idx="107">
                  <c:v>47114</c:v>
                </c:pt>
                <c:pt idx="108">
                  <c:v>47142</c:v>
                </c:pt>
                <c:pt idx="109">
                  <c:v>47175</c:v>
                </c:pt>
                <c:pt idx="110">
                  <c:v>47203</c:v>
                </c:pt>
                <c:pt idx="111">
                  <c:v>47232</c:v>
                </c:pt>
                <c:pt idx="112">
                  <c:v>47262</c:v>
                </c:pt>
                <c:pt idx="113">
                  <c:v>47294</c:v>
                </c:pt>
                <c:pt idx="114">
                  <c:v>47323</c:v>
                </c:pt>
                <c:pt idx="115">
                  <c:v>47354</c:v>
                </c:pt>
                <c:pt idx="116">
                  <c:v>47385</c:v>
                </c:pt>
                <c:pt idx="117">
                  <c:v>47415</c:v>
                </c:pt>
                <c:pt idx="118">
                  <c:v>47448</c:v>
                </c:pt>
                <c:pt idx="119">
                  <c:v>47476</c:v>
                </c:pt>
                <c:pt idx="120">
                  <c:v>47507</c:v>
                </c:pt>
                <c:pt idx="121">
                  <c:v>47539</c:v>
                </c:pt>
                <c:pt idx="122">
                  <c:v>47567</c:v>
                </c:pt>
                <c:pt idx="123">
                  <c:v>47597</c:v>
                </c:pt>
                <c:pt idx="124">
                  <c:v>47627</c:v>
                </c:pt>
                <c:pt idx="125">
                  <c:v>47658</c:v>
                </c:pt>
                <c:pt idx="126">
                  <c:v>47688</c:v>
                </c:pt>
                <c:pt idx="127">
                  <c:v>47722</c:v>
                </c:pt>
                <c:pt idx="128">
                  <c:v>47750</c:v>
                </c:pt>
                <c:pt idx="129">
                  <c:v>47780</c:v>
                </c:pt>
                <c:pt idx="130">
                  <c:v>47812</c:v>
                </c:pt>
                <c:pt idx="131">
                  <c:v>47841</c:v>
                </c:pt>
                <c:pt idx="132">
                  <c:v>47872</c:v>
                </c:pt>
                <c:pt idx="133">
                  <c:v>47903</c:v>
                </c:pt>
                <c:pt idx="134">
                  <c:v>47931</c:v>
                </c:pt>
                <c:pt idx="135">
                  <c:v>47962</c:v>
                </c:pt>
                <c:pt idx="136">
                  <c:v>47995</c:v>
                </c:pt>
                <c:pt idx="137">
                  <c:v>48023</c:v>
                </c:pt>
                <c:pt idx="138">
                  <c:v>48053</c:v>
                </c:pt>
                <c:pt idx="139">
                  <c:v>48086</c:v>
                </c:pt>
                <c:pt idx="140">
                  <c:v>48115</c:v>
                </c:pt>
                <c:pt idx="141">
                  <c:v>48145</c:v>
                </c:pt>
                <c:pt idx="142">
                  <c:v>48176</c:v>
                </c:pt>
                <c:pt idx="143">
                  <c:v>48206</c:v>
                </c:pt>
                <c:pt idx="144">
                  <c:v>48239</c:v>
                </c:pt>
                <c:pt idx="145">
                  <c:v>48268</c:v>
                </c:pt>
                <c:pt idx="146">
                  <c:v>48297</c:v>
                </c:pt>
                <c:pt idx="147">
                  <c:v>48330</c:v>
                </c:pt>
                <c:pt idx="148">
                  <c:v>48358</c:v>
                </c:pt>
                <c:pt idx="149">
                  <c:v>48389</c:v>
                </c:pt>
                <c:pt idx="150">
                  <c:v>48421</c:v>
                </c:pt>
                <c:pt idx="151">
                  <c:v>48450</c:v>
                </c:pt>
                <c:pt idx="152">
                  <c:v>48481</c:v>
                </c:pt>
                <c:pt idx="153">
                  <c:v>48512</c:v>
                </c:pt>
                <c:pt idx="154">
                  <c:v>48542</c:v>
                </c:pt>
                <c:pt idx="155">
                  <c:v>48572</c:v>
                </c:pt>
                <c:pt idx="156">
                  <c:v>48603</c:v>
                </c:pt>
                <c:pt idx="157">
                  <c:v>48634</c:v>
                </c:pt>
                <c:pt idx="158">
                  <c:v>48662</c:v>
                </c:pt>
                <c:pt idx="159">
                  <c:v>48694</c:v>
                </c:pt>
                <c:pt idx="160">
                  <c:v>48723</c:v>
                </c:pt>
                <c:pt idx="161">
                  <c:v>48754</c:v>
                </c:pt>
                <c:pt idx="162">
                  <c:v>48785</c:v>
                </c:pt>
                <c:pt idx="163">
                  <c:v>48815</c:v>
                </c:pt>
                <c:pt idx="164">
                  <c:v>48848</c:v>
                </c:pt>
                <c:pt idx="165">
                  <c:v>48876</c:v>
                </c:pt>
                <c:pt idx="166">
                  <c:v>48907</c:v>
                </c:pt>
                <c:pt idx="167">
                  <c:v>48941</c:v>
                </c:pt>
                <c:pt idx="168">
                  <c:v>48968</c:v>
                </c:pt>
                <c:pt idx="169">
                  <c:v>48999</c:v>
                </c:pt>
                <c:pt idx="170">
                  <c:v>49027</c:v>
                </c:pt>
                <c:pt idx="171">
                  <c:v>49058</c:v>
                </c:pt>
                <c:pt idx="172">
                  <c:v>49088</c:v>
                </c:pt>
                <c:pt idx="173">
                  <c:v>49121</c:v>
                </c:pt>
                <c:pt idx="174">
                  <c:v>49149</c:v>
                </c:pt>
                <c:pt idx="175">
                  <c:v>49180</c:v>
                </c:pt>
                <c:pt idx="176">
                  <c:v>49212</c:v>
                </c:pt>
                <c:pt idx="177">
                  <c:v>49241</c:v>
                </c:pt>
                <c:pt idx="178">
                  <c:v>49272</c:v>
                </c:pt>
                <c:pt idx="179">
                  <c:v>49305</c:v>
                </c:pt>
                <c:pt idx="180">
                  <c:v>49333</c:v>
                </c:pt>
                <c:pt idx="181">
                  <c:v>49366</c:v>
                </c:pt>
                <c:pt idx="182">
                  <c:v>49395</c:v>
                </c:pt>
                <c:pt idx="183">
                  <c:v>49423</c:v>
                </c:pt>
                <c:pt idx="184">
                  <c:v>49453</c:v>
                </c:pt>
                <c:pt idx="185">
                  <c:v>49485</c:v>
                </c:pt>
                <c:pt idx="186">
                  <c:v>49514</c:v>
                </c:pt>
                <c:pt idx="187">
                  <c:v>49545</c:v>
                </c:pt>
                <c:pt idx="188">
                  <c:v>49576</c:v>
                </c:pt>
                <c:pt idx="189">
                  <c:v>49606</c:v>
                </c:pt>
                <c:pt idx="190">
                  <c:v>49639</c:v>
                </c:pt>
                <c:pt idx="191">
                  <c:v>49667</c:v>
                </c:pt>
                <c:pt idx="192">
                  <c:v>49698</c:v>
                </c:pt>
                <c:pt idx="193">
                  <c:v>49730</c:v>
                </c:pt>
                <c:pt idx="194">
                  <c:v>49758</c:v>
                </c:pt>
                <c:pt idx="195">
                  <c:v>49789</c:v>
                </c:pt>
                <c:pt idx="196">
                  <c:v>49822</c:v>
                </c:pt>
                <c:pt idx="197">
                  <c:v>49850</c:v>
                </c:pt>
                <c:pt idx="198">
                  <c:v>49880</c:v>
                </c:pt>
                <c:pt idx="199">
                  <c:v>49913</c:v>
                </c:pt>
                <c:pt idx="200">
                  <c:v>49942</c:v>
                </c:pt>
                <c:pt idx="201">
                  <c:v>49972</c:v>
                </c:pt>
                <c:pt idx="202">
                  <c:v>50003</c:v>
                </c:pt>
                <c:pt idx="203">
                  <c:v>50033</c:v>
                </c:pt>
                <c:pt idx="204">
                  <c:v>50066</c:v>
                </c:pt>
                <c:pt idx="205">
                  <c:v>50095</c:v>
                </c:pt>
                <c:pt idx="206">
                  <c:v>50123</c:v>
                </c:pt>
                <c:pt idx="207">
                  <c:v>50154</c:v>
                </c:pt>
                <c:pt idx="208">
                  <c:v>50186</c:v>
                </c:pt>
                <c:pt idx="209">
                  <c:v>50215</c:v>
                </c:pt>
                <c:pt idx="210">
                  <c:v>50245</c:v>
                </c:pt>
                <c:pt idx="211">
                  <c:v>50276</c:v>
                </c:pt>
                <c:pt idx="212">
                  <c:v>50307</c:v>
                </c:pt>
                <c:pt idx="213">
                  <c:v>50339</c:v>
                </c:pt>
                <c:pt idx="214">
                  <c:v>50368</c:v>
                </c:pt>
                <c:pt idx="215">
                  <c:v>50398</c:v>
                </c:pt>
                <c:pt idx="216">
                  <c:v>50430</c:v>
                </c:pt>
                <c:pt idx="217">
                  <c:v>50460</c:v>
                </c:pt>
                <c:pt idx="218">
                  <c:v>50488</c:v>
                </c:pt>
                <c:pt idx="219">
                  <c:v>50522</c:v>
                </c:pt>
                <c:pt idx="220">
                  <c:v>50549</c:v>
                </c:pt>
                <c:pt idx="221">
                  <c:v>50580</c:v>
                </c:pt>
                <c:pt idx="222">
                  <c:v>50612</c:v>
                </c:pt>
                <c:pt idx="223">
                  <c:v>50641</c:v>
                </c:pt>
                <c:pt idx="224">
                  <c:v>50672</c:v>
                </c:pt>
                <c:pt idx="225">
                  <c:v>50703</c:v>
                </c:pt>
                <c:pt idx="226">
                  <c:v>50733</c:v>
                </c:pt>
                <c:pt idx="227">
                  <c:v>50763</c:v>
                </c:pt>
                <c:pt idx="228">
                  <c:v>50794</c:v>
                </c:pt>
                <c:pt idx="229">
                  <c:v>50825</c:v>
                </c:pt>
                <c:pt idx="230">
                  <c:v>50853</c:v>
                </c:pt>
                <c:pt idx="231">
                  <c:v>50885</c:v>
                </c:pt>
                <c:pt idx="232">
                  <c:v>50914</c:v>
                </c:pt>
                <c:pt idx="233">
                  <c:v>50945</c:v>
                </c:pt>
                <c:pt idx="234">
                  <c:v>50976</c:v>
                </c:pt>
                <c:pt idx="235">
                  <c:v>51006</c:v>
                </c:pt>
                <c:pt idx="236">
                  <c:v>51039</c:v>
                </c:pt>
                <c:pt idx="237">
                  <c:v>51067</c:v>
                </c:pt>
                <c:pt idx="238">
                  <c:v>51098</c:v>
                </c:pt>
                <c:pt idx="239">
                  <c:v>51132</c:v>
                </c:pt>
                <c:pt idx="240">
                  <c:v>51159</c:v>
                </c:pt>
                <c:pt idx="241">
                  <c:v>51190</c:v>
                </c:pt>
                <c:pt idx="242">
                  <c:v>51221</c:v>
                </c:pt>
                <c:pt idx="243">
                  <c:v>51250</c:v>
                </c:pt>
                <c:pt idx="244">
                  <c:v>51280</c:v>
                </c:pt>
                <c:pt idx="245">
                  <c:v>51312</c:v>
                </c:pt>
                <c:pt idx="246">
                  <c:v>51341</c:v>
                </c:pt>
                <c:pt idx="247">
                  <c:v>51372</c:v>
                </c:pt>
                <c:pt idx="248">
                  <c:v>51403</c:v>
                </c:pt>
                <c:pt idx="249">
                  <c:v>51433</c:v>
                </c:pt>
                <c:pt idx="250">
                  <c:v>51466</c:v>
                </c:pt>
                <c:pt idx="251">
                  <c:v>51494</c:v>
                </c:pt>
                <c:pt idx="252">
                  <c:v>51525</c:v>
                </c:pt>
                <c:pt idx="253">
                  <c:v>51557</c:v>
                </c:pt>
                <c:pt idx="254">
                  <c:v>51585</c:v>
                </c:pt>
                <c:pt idx="255">
                  <c:v>51615</c:v>
                </c:pt>
                <c:pt idx="256">
                  <c:v>51645</c:v>
                </c:pt>
                <c:pt idx="257">
                  <c:v>51676</c:v>
                </c:pt>
                <c:pt idx="258">
                  <c:v>51706</c:v>
                </c:pt>
                <c:pt idx="259">
                  <c:v>51740</c:v>
                </c:pt>
                <c:pt idx="260">
                  <c:v>51768</c:v>
                </c:pt>
                <c:pt idx="261">
                  <c:v>51798</c:v>
                </c:pt>
                <c:pt idx="262">
                  <c:v>51830</c:v>
                </c:pt>
                <c:pt idx="263">
                  <c:v>51859</c:v>
                </c:pt>
                <c:pt idx="264">
                  <c:v>51890</c:v>
                </c:pt>
                <c:pt idx="265">
                  <c:v>51921</c:v>
                </c:pt>
                <c:pt idx="266">
                  <c:v>51949</c:v>
                </c:pt>
                <c:pt idx="267">
                  <c:v>51980</c:v>
                </c:pt>
                <c:pt idx="268">
                  <c:v>52013</c:v>
                </c:pt>
                <c:pt idx="269">
                  <c:v>52041</c:v>
                </c:pt>
                <c:pt idx="270">
                  <c:v>52071</c:v>
                </c:pt>
                <c:pt idx="271">
                  <c:v>52104</c:v>
                </c:pt>
                <c:pt idx="272">
                  <c:v>52133</c:v>
                </c:pt>
                <c:pt idx="273">
                  <c:v>52163</c:v>
                </c:pt>
                <c:pt idx="274">
                  <c:v>52194</c:v>
                </c:pt>
                <c:pt idx="275">
                  <c:v>52224</c:v>
                </c:pt>
                <c:pt idx="276">
                  <c:v>52257</c:v>
                </c:pt>
                <c:pt idx="277">
                  <c:v>52286</c:v>
                </c:pt>
                <c:pt idx="278">
                  <c:v>52314</c:v>
                </c:pt>
                <c:pt idx="279">
                  <c:v>52345</c:v>
                </c:pt>
                <c:pt idx="280">
                  <c:v>52377</c:v>
                </c:pt>
                <c:pt idx="281">
                  <c:v>52406</c:v>
                </c:pt>
                <c:pt idx="282">
                  <c:v>52436</c:v>
                </c:pt>
                <c:pt idx="283">
                  <c:v>52467</c:v>
                </c:pt>
                <c:pt idx="284">
                  <c:v>52498</c:v>
                </c:pt>
                <c:pt idx="285">
                  <c:v>52530</c:v>
                </c:pt>
                <c:pt idx="286">
                  <c:v>52559</c:v>
                </c:pt>
                <c:pt idx="287">
                  <c:v>52589</c:v>
                </c:pt>
                <c:pt idx="288">
                  <c:v>52621</c:v>
                </c:pt>
                <c:pt idx="289">
                  <c:v>52651</c:v>
                </c:pt>
                <c:pt idx="290">
                  <c:v>52680</c:v>
                </c:pt>
                <c:pt idx="291">
                  <c:v>52712</c:v>
                </c:pt>
                <c:pt idx="292">
                  <c:v>52741</c:v>
                </c:pt>
                <c:pt idx="293">
                  <c:v>52772</c:v>
                </c:pt>
                <c:pt idx="294">
                  <c:v>52803</c:v>
                </c:pt>
                <c:pt idx="295">
                  <c:v>52833</c:v>
                </c:pt>
                <c:pt idx="296">
                  <c:v>52866</c:v>
                </c:pt>
                <c:pt idx="297">
                  <c:v>52894</c:v>
                </c:pt>
                <c:pt idx="298">
                  <c:v>52925</c:v>
                </c:pt>
                <c:pt idx="299">
                  <c:v>52959</c:v>
                </c:pt>
                <c:pt idx="300">
                  <c:v>52986</c:v>
                </c:pt>
                <c:pt idx="301">
                  <c:v>53017</c:v>
                </c:pt>
                <c:pt idx="302">
                  <c:v>53045</c:v>
                </c:pt>
                <c:pt idx="303">
                  <c:v>53076</c:v>
                </c:pt>
                <c:pt idx="304">
                  <c:v>53106</c:v>
                </c:pt>
                <c:pt idx="305">
                  <c:v>53139</c:v>
                </c:pt>
                <c:pt idx="306">
                  <c:v>53167</c:v>
                </c:pt>
                <c:pt idx="307">
                  <c:v>53198</c:v>
                </c:pt>
                <c:pt idx="308">
                  <c:v>53230</c:v>
                </c:pt>
                <c:pt idx="309">
                  <c:v>53259</c:v>
                </c:pt>
                <c:pt idx="310">
                  <c:v>53290</c:v>
                </c:pt>
                <c:pt idx="311">
                  <c:v>53323</c:v>
                </c:pt>
                <c:pt idx="312">
                  <c:v>53351</c:v>
                </c:pt>
                <c:pt idx="313">
                  <c:v>53384</c:v>
                </c:pt>
                <c:pt idx="314">
                  <c:v>53413</c:v>
                </c:pt>
                <c:pt idx="315">
                  <c:v>53441</c:v>
                </c:pt>
                <c:pt idx="316">
                  <c:v>53471</c:v>
                </c:pt>
                <c:pt idx="317">
                  <c:v>53503</c:v>
                </c:pt>
                <c:pt idx="318">
                  <c:v>53532</c:v>
                </c:pt>
                <c:pt idx="319">
                  <c:v>53563</c:v>
                </c:pt>
                <c:pt idx="320">
                  <c:v>53594</c:v>
                </c:pt>
                <c:pt idx="321">
                  <c:v>53624</c:v>
                </c:pt>
                <c:pt idx="322">
                  <c:v>53657</c:v>
                </c:pt>
                <c:pt idx="323">
                  <c:v>53685</c:v>
                </c:pt>
                <c:pt idx="324">
                  <c:v>53716</c:v>
                </c:pt>
                <c:pt idx="325">
                  <c:v>53748</c:v>
                </c:pt>
                <c:pt idx="326">
                  <c:v>53776</c:v>
                </c:pt>
                <c:pt idx="327">
                  <c:v>53806</c:v>
                </c:pt>
                <c:pt idx="328">
                  <c:v>53836</c:v>
                </c:pt>
                <c:pt idx="329">
                  <c:v>53867</c:v>
                </c:pt>
                <c:pt idx="330">
                  <c:v>53897</c:v>
                </c:pt>
                <c:pt idx="331">
                  <c:v>53931</c:v>
                </c:pt>
                <c:pt idx="332">
                  <c:v>53959</c:v>
                </c:pt>
                <c:pt idx="333">
                  <c:v>53989</c:v>
                </c:pt>
                <c:pt idx="334">
                  <c:v>54021</c:v>
                </c:pt>
                <c:pt idx="335">
                  <c:v>54050</c:v>
                </c:pt>
                <c:pt idx="336">
                  <c:v>54081</c:v>
                </c:pt>
                <c:pt idx="337">
                  <c:v>54112</c:v>
                </c:pt>
                <c:pt idx="338">
                  <c:v>54141</c:v>
                </c:pt>
                <c:pt idx="339">
                  <c:v>54172</c:v>
                </c:pt>
                <c:pt idx="340">
                  <c:v>54204</c:v>
                </c:pt>
                <c:pt idx="341">
                  <c:v>54233</c:v>
                </c:pt>
                <c:pt idx="342">
                  <c:v>54263</c:v>
                </c:pt>
                <c:pt idx="343">
                  <c:v>54294</c:v>
                </c:pt>
                <c:pt idx="344">
                  <c:v>54325</c:v>
                </c:pt>
                <c:pt idx="345">
                  <c:v>54357</c:v>
                </c:pt>
                <c:pt idx="346">
                  <c:v>54386</c:v>
                </c:pt>
                <c:pt idx="347">
                  <c:v>54416</c:v>
                </c:pt>
                <c:pt idx="348">
                  <c:v>54448</c:v>
                </c:pt>
                <c:pt idx="349">
                  <c:v>54478</c:v>
                </c:pt>
                <c:pt idx="350">
                  <c:v>54506</c:v>
                </c:pt>
                <c:pt idx="351">
                  <c:v>54539</c:v>
                </c:pt>
                <c:pt idx="352">
                  <c:v>54567</c:v>
                </c:pt>
                <c:pt idx="353">
                  <c:v>54598</c:v>
                </c:pt>
                <c:pt idx="354">
                  <c:v>54630</c:v>
                </c:pt>
                <c:pt idx="355">
                  <c:v>54659</c:v>
                </c:pt>
                <c:pt idx="356">
                  <c:v>54690</c:v>
                </c:pt>
                <c:pt idx="357">
                  <c:v>54721</c:v>
                </c:pt>
                <c:pt idx="358">
                  <c:v>54751</c:v>
                </c:pt>
                <c:pt idx="359">
                  <c:v>54781</c:v>
                </c:pt>
                <c:pt idx="360">
                  <c:v>54812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DISPLAY_CURVE!$E$10:$E$501</c:f>
              <c:numCache>
                <c:formatCode>0.00000%</c:formatCode>
                <c:ptCount val="492"/>
                <c:pt idx="0">
                  <c:v>6.9075000000003665E-3</c:v>
                </c:pt>
                <c:pt idx="1">
                  <c:v>6.4683653617334429E-3</c:v>
                </c:pt>
                <c:pt idx="2">
                  <c:v>6.1045869866532725E-3</c:v>
                </c:pt>
                <c:pt idx="3">
                  <c:v>5.9084148287622687E-3</c:v>
                </c:pt>
                <c:pt idx="4">
                  <c:v>5.5879786737453056E-3</c:v>
                </c:pt>
                <c:pt idx="5">
                  <c:v>5.34996577525084E-3</c:v>
                </c:pt>
                <c:pt idx="6">
                  <c:v>5.2740527384495355E-3</c:v>
                </c:pt>
                <c:pt idx="7">
                  <c:v>5.1038798741531461E-3</c:v>
                </c:pt>
                <c:pt idx="8">
                  <c:v>4.9951137441788807E-3</c:v>
                </c:pt>
                <c:pt idx="9">
                  <c:v>5.0650783699356166E-3</c:v>
                </c:pt>
                <c:pt idx="10">
                  <c:v>5.0409969801160134E-3</c:v>
                </c:pt>
                <c:pt idx="11">
                  <c:v>5.033910152021235E-3</c:v>
                </c:pt>
                <c:pt idx="12">
                  <c:v>5.078637401853334E-3</c:v>
                </c:pt>
                <c:pt idx="13">
                  <c:v>5.0606922419278782E-3</c:v>
                </c:pt>
                <c:pt idx="14">
                  <c:v>5.0338728343052464E-3</c:v>
                </c:pt>
                <c:pt idx="15">
                  <c:v>5.0117930266445265E-3</c:v>
                </c:pt>
                <c:pt idx="16">
                  <c:v>5.0050809090281499E-3</c:v>
                </c:pt>
                <c:pt idx="17">
                  <c:v>5.0103582774197256E-3</c:v>
                </c:pt>
                <c:pt idx="18">
                  <c:v>5.0281869747481125E-3</c:v>
                </c:pt>
                <c:pt idx="19">
                  <c:v>5.0540199815185165E-3</c:v>
                </c:pt>
                <c:pt idx="20">
                  <c:v>5.0917523875078589E-3</c:v>
                </c:pt>
                <c:pt idx="21">
                  <c:v>5.1402164428109923E-3</c:v>
                </c:pt>
                <c:pt idx="22">
                  <c:v>5.1968566948340745E-3</c:v>
                </c:pt>
                <c:pt idx="23">
                  <c:v>5.2596004610095054E-3</c:v>
                </c:pt>
                <c:pt idx="24">
                  <c:v>5.326374031335443E-3</c:v>
                </c:pt>
                <c:pt idx="25">
                  <c:v>5.3912938930576419E-3</c:v>
                </c:pt>
                <c:pt idx="26">
                  <c:v>5.4476668607570077E-3</c:v>
                </c:pt>
                <c:pt idx="27">
                  <c:v>5.5094538886288806E-3</c:v>
                </c:pt>
                <c:pt idx="28">
                  <c:v>5.5629984400031801E-3</c:v>
                </c:pt>
                <c:pt idx="29">
                  <c:v>5.6175865244157235E-3</c:v>
                </c:pt>
                <c:pt idx="30">
                  <c:v>5.6693472506813914E-3</c:v>
                </c:pt>
                <c:pt idx="31">
                  <c:v>5.7166660862091566E-3</c:v>
                </c:pt>
                <c:pt idx="32">
                  <c:v>5.76550513827165E-3</c:v>
                </c:pt>
                <c:pt idx="33">
                  <c:v>5.8042623664347993E-3</c:v>
                </c:pt>
                <c:pt idx="34">
                  <c:v>5.8443462164741783E-3</c:v>
                </c:pt>
                <c:pt idx="35">
                  <c:v>5.885387297770832E-3</c:v>
                </c:pt>
                <c:pt idx="36">
                  <c:v>5.9162321356809574E-3</c:v>
                </c:pt>
                <c:pt idx="37">
                  <c:v>5.9500935112357456E-3</c:v>
                </c:pt>
                <c:pt idx="38">
                  <c:v>5.9791797227031398E-3</c:v>
                </c:pt>
                <c:pt idx="39">
                  <c:v>6.0095466535082659E-3</c:v>
                </c:pt>
                <c:pt idx="40">
                  <c:v>6.0369560058037355E-3</c:v>
                </c:pt>
                <c:pt idx="41">
                  <c:v>6.0648520297322548E-3</c:v>
                </c:pt>
                <c:pt idx="42">
                  <c:v>6.0866962132899074E-3</c:v>
                </c:pt>
                <c:pt idx="43">
                  <c:v>6.1089490305131569E-3</c:v>
                </c:pt>
                <c:pt idx="44">
                  <c:v>6.1297884730537695E-3</c:v>
                </c:pt>
                <c:pt idx="45">
                  <c:v>6.1467973700109254E-3</c:v>
                </c:pt>
                <c:pt idx="46">
                  <c:v>6.1632752447779446E-3</c:v>
                </c:pt>
                <c:pt idx="47">
                  <c:v>6.1804210939860457E-3</c:v>
                </c:pt>
                <c:pt idx="48">
                  <c:v>6.1961011935560721E-3</c:v>
                </c:pt>
                <c:pt idx="49">
                  <c:v>6.2173370313895618E-3</c:v>
                </c:pt>
                <c:pt idx="50">
                  <c:v>6.2379158010869174E-3</c:v>
                </c:pt>
                <c:pt idx="51">
                  <c:v>6.2625966787189409E-3</c:v>
                </c:pt>
                <c:pt idx="52">
                  <c:v>6.2900140588105103E-3</c:v>
                </c:pt>
                <c:pt idx="53">
                  <c:v>6.3211916607970754E-3</c:v>
                </c:pt>
                <c:pt idx="54">
                  <c:v>6.3540800293959932E-3</c:v>
                </c:pt>
                <c:pt idx="55">
                  <c:v>6.3945160634859607E-3</c:v>
                </c:pt>
                <c:pt idx="56">
                  <c:v>6.4302327605587758E-3</c:v>
                </c:pt>
                <c:pt idx="57">
                  <c:v>6.4708030828018554E-3</c:v>
                </c:pt>
                <c:pt idx="58">
                  <c:v>6.516386452179051E-3</c:v>
                </c:pt>
                <c:pt idx="59">
                  <c:v>6.5588763794304462E-3</c:v>
                </c:pt>
                <c:pt idx="60">
                  <c:v>6.6044508920641478E-3</c:v>
                </c:pt>
                <c:pt idx="61">
                  <c:v>6.6492158705860928E-3</c:v>
                </c:pt>
                <c:pt idx="62">
                  <c:v>6.6885937195939622E-3</c:v>
                </c:pt>
                <c:pt idx="63">
                  <c:v>6.7307595345621482E-3</c:v>
                </c:pt>
                <c:pt idx="64">
                  <c:v>6.7737775029726513E-3</c:v>
                </c:pt>
                <c:pt idx="65">
                  <c:v>6.8088623845213962E-3</c:v>
                </c:pt>
                <c:pt idx="66">
                  <c:v>6.8451761190198961E-3</c:v>
                </c:pt>
                <c:pt idx="67">
                  <c:v>6.8836892964174636E-3</c:v>
                </c:pt>
                <c:pt idx="68">
                  <c:v>6.9160693257213158E-3</c:v>
                </c:pt>
                <c:pt idx="69">
                  <c:v>6.9478287798574812E-3</c:v>
                </c:pt>
                <c:pt idx="70">
                  <c:v>6.9787696004698814E-3</c:v>
                </c:pt>
                <c:pt idx="71">
                  <c:v>7.0079379368242576E-3</c:v>
                </c:pt>
                <c:pt idx="72">
                  <c:v>7.0406717572730933E-3</c:v>
                </c:pt>
                <c:pt idx="73">
                  <c:v>7.0711138740728119E-3</c:v>
                </c:pt>
                <c:pt idx="74">
                  <c:v>7.1022705614138424E-3</c:v>
                </c:pt>
                <c:pt idx="75">
                  <c:v>7.1388671368476505E-3</c:v>
                </c:pt>
                <c:pt idx="76">
                  <c:v>7.1789484179190675E-3</c:v>
                </c:pt>
                <c:pt idx="77">
                  <c:v>7.2169464807939785E-3</c:v>
                </c:pt>
                <c:pt idx="78">
                  <c:v>7.2575020677951687E-3</c:v>
                </c:pt>
                <c:pt idx="79">
                  <c:v>7.300431873332066E-3</c:v>
                </c:pt>
                <c:pt idx="80">
                  <c:v>7.3446394885724369E-3</c:v>
                </c:pt>
                <c:pt idx="81">
                  <c:v>7.392014321099598E-3</c:v>
                </c:pt>
                <c:pt idx="82">
                  <c:v>7.4366408195584302E-3</c:v>
                </c:pt>
                <c:pt idx="83">
                  <c:v>7.4838765677471778E-3</c:v>
                </c:pt>
                <c:pt idx="84">
                  <c:v>7.5345176808143989E-3</c:v>
                </c:pt>
                <c:pt idx="85">
                  <c:v>7.5814880279310203E-3</c:v>
                </c:pt>
                <c:pt idx="86">
                  <c:v>7.6247769887426639E-3</c:v>
                </c:pt>
                <c:pt idx="87">
                  <c:v>7.6751629597838263E-3</c:v>
                </c:pt>
                <c:pt idx="88">
                  <c:v>7.7173983137029676E-3</c:v>
                </c:pt>
                <c:pt idx="89">
                  <c:v>7.7635301367232771E-3</c:v>
                </c:pt>
                <c:pt idx="90">
                  <c:v>7.810342807271292E-3</c:v>
                </c:pt>
                <c:pt idx="91">
                  <c:v>7.8519737890514994E-3</c:v>
                </c:pt>
                <c:pt idx="92">
                  <c:v>7.8956314019283953E-3</c:v>
                </c:pt>
                <c:pt idx="93">
                  <c:v>7.9384273553354812E-3</c:v>
                </c:pt>
                <c:pt idx="94">
                  <c:v>7.9790610487146148E-3</c:v>
                </c:pt>
                <c:pt idx="95">
                  <c:v>8.019077130528943E-3</c:v>
                </c:pt>
                <c:pt idx="96">
                  <c:v>8.0599682399070949E-3</c:v>
                </c:pt>
                <c:pt idx="97">
                  <c:v>8.1005535770324825E-3</c:v>
                </c:pt>
                <c:pt idx="98">
                  <c:v>8.1382657632186831E-3</c:v>
                </c:pt>
                <c:pt idx="99">
                  <c:v>8.1782965562419846E-3</c:v>
                </c:pt>
                <c:pt idx="100">
                  <c:v>8.2167411957559337E-3</c:v>
                </c:pt>
                <c:pt idx="101">
                  <c:v>8.2586386976828876E-3</c:v>
                </c:pt>
                <c:pt idx="102">
                  <c:v>8.2938140844009915E-3</c:v>
                </c:pt>
                <c:pt idx="103">
                  <c:v>8.3322964909838711E-3</c:v>
                </c:pt>
                <c:pt idx="104">
                  <c:v>8.3714250672361386E-3</c:v>
                </c:pt>
                <c:pt idx="105">
                  <c:v>8.4062828661449207E-3</c:v>
                </c:pt>
                <c:pt idx="106">
                  <c:v>8.4428864947929411E-3</c:v>
                </c:pt>
                <c:pt idx="107">
                  <c:v>8.4813414448536417E-3</c:v>
                </c:pt>
                <c:pt idx="108">
                  <c:v>8.5137943889984028E-3</c:v>
                </c:pt>
                <c:pt idx="109">
                  <c:v>8.552025998981248E-3</c:v>
                </c:pt>
                <c:pt idx="110">
                  <c:v>8.5843358111228583E-3</c:v>
                </c:pt>
                <c:pt idx="111">
                  <c:v>8.6175049950324885E-3</c:v>
                </c:pt>
                <c:pt idx="112">
                  <c:v>8.6513636513472214E-3</c:v>
                </c:pt>
                <c:pt idx="113">
                  <c:v>8.6869711332690676E-3</c:v>
                </c:pt>
                <c:pt idx="114">
                  <c:v>8.718822018475219E-3</c:v>
                </c:pt>
                <c:pt idx="115">
                  <c:v>8.7524437150066896E-3</c:v>
                </c:pt>
                <c:pt idx="116">
                  <c:v>8.7855490782476221E-3</c:v>
                </c:pt>
                <c:pt idx="117">
                  <c:v>8.8170013950938566E-3</c:v>
                </c:pt>
                <c:pt idx="118">
                  <c:v>8.850843406864501E-3</c:v>
                </c:pt>
                <c:pt idx="119">
                  <c:v>8.8789155460042585E-3</c:v>
                </c:pt>
                <c:pt idx="120">
                  <c:v>8.9092973021547405E-3</c:v>
                </c:pt>
                <c:pt idx="121">
                  <c:v>8.9398462031018752E-3</c:v>
                </c:pt>
                <c:pt idx="122">
                  <c:v>8.9657647328576125E-3</c:v>
                </c:pt>
                <c:pt idx="123">
                  <c:v>8.9925304582711297E-3</c:v>
                </c:pt>
                <c:pt idx="124">
                  <c:v>9.0181258498686669E-3</c:v>
                </c:pt>
                <c:pt idx="125">
                  <c:v>9.0433446374662985E-3</c:v>
                </c:pt>
                <c:pt idx="126">
                  <c:v>9.0665937648953324E-3</c:v>
                </c:pt>
                <c:pt idx="127">
                  <c:v>9.0915888752928914E-3</c:v>
                </c:pt>
                <c:pt idx="128">
                  <c:v>9.1110521509588233E-3</c:v>
                </c:pt>
                <c:pt idx="129">
                  <c:v>9.1307279829906593E-3</c:v>
                </c:pt>
                <c:pt idx="130">
                  <c:v>9.1503526216700493E-3</c:v>
                </c:pt>
                <c:pt idx="131">
                  <c:v>9.1670342553881803E-3</c:v>
                </c:pt>
                <c:pt idx="132">
                  <c:v>9.1838590736597805E-3</c:v>
                </c:pt>
                <c:pt idx="133">
                  <c:v>9.199749779361872E-3</c:v>
                </c:pt>
                <c:pt idx="134">
                  <c:v>9.2132287235029489E-3</c:v>
                </c:pt>
                <c:pt idx="135">
                  <c:v>9.2270586515588032E-3</c:v>
                </c:pt>
                <c:pt idx="136">
                  <c:v>9.240412794574028E-3</c:v>
                </c:pt>
                <c:pt idx="137">
                  <c:v>9.2506730409795315E-3</c:v>
                </c:pt>
                <c:pt idx="138">
                  <c:v>9.2606422481037974E-3</c:v>
                </c:pt>
                <c:pt idx="139">
                  <c:v>9.270426112543622E-3</c:v>
                </c:pt>
                <c:pt idx="140">
                  <c:v>9.2779214029934595E-3</c:v>
                </c:pt>
                <c:pt idx="141">
                  <c:v>9.2844836204517174E-3</c:v>
                </c:pt>
                <c:pt idx="142">
                  <c:v>9.2899546339982233E-3</c:v>
                </c:pt>
                <c:pt idx="143">
                  <c:v>9.2942190477366057E-3</c:v>
                </c:pt>
                <c:pt idx="144">
                  <c:v>9.2980969972545884E-3</c:v>
                </c:pt>
                <c:pt idx="145">
                  <c:v>9.3010514053789416E-3</c:v>
                </c:pt>
                <c:pt idx="146">
                  <c:v>9.3035933264246726E-3</c:v>
                </c:pt>
                <c:pt idx="147">
                  <c:v>9.3059203684426935E-3</c:v>
                </c:pt>
                <c:pt idx="148">
                  <c:v>9.3073775618618855E-3</c:v>
                </c:pt>
                <c:pt idx="149">
                  <c:v>9.3084252422806664E-3</c:v>
                </c:pt>
                <c:pt idx="150">
                  <c:v>9.3088824991301097E-3</c:v>
                </c:pt>
                <c:pt idx="151">
                  <c:v>9.308748940027178E-3</c:v>
                </c:pt>
                <c:pt idx="152">
                  <c:v>9.3080319466142467E-3</c:v>
                </c:pt>
                <c:pt idx="153">
                  <c:v>9.3067241384884227E-3</c:v>
                </c:pt>
                <c:pt idx="154">
                  <c:v>9.304899525271592E-3</c:v>
                </c:pt>
                <c:pt idx="155">
                  <c:v>9.3025329278513397E-3</c:v>
                </c:pt>
                <c:pt idx="156">
                  <c:v>9.2995275006019784E-3</c:v>
                </c:pt>
                <c:pt idx="157">
                  <c:v>9.2959599619697256E-3</c:v>
                </c:pt>
                <c:pt idx="158">
                  <c:v>9.2922515656449021E-3</c:v>
                </c:pt>
                <c:pt idx="159">
                  <c:v>9.2874422439025578E-3</c:v>
                </c:pt>
                <c:pt idx="160">
                  <c:v>9.282552280821121E-3</c:v>
                </c:pt>
                <c:pt idx="161">
                  <c:v>9.2767618769983573E-3</c:v>
                </c:pt>
                <c:pt idx="162">
                  <c:v>9.2703854493796142E-3</c:v>
                </c:pt>
                <c:pt idx="163">
                  <c:v>9.2636555294176685E-3</c:v>
                </c:pt>
                <c:pt idx="164">
                  <c:v>9.2556290089719009E-3</c:v>
                </c:pt>
                <c:pt idx="165">
                  <c:v>9.2483181688879715E-3</c:v>
                </c:pt>
                <c:pt idx="166">
                  <c:v>9.2396955699426964E-3</c:v>
                </c:pt>
                <c:pt idx="167">
                  <c:v>9.2295838222912589E-3</c:v>
                </c:pt>
                <c:pt idx="168">
                  <c:v>9.2210501542422385E-3</c:v>
                </c:pt>
                <c:pt idx="169">
                  <c:v>9.2106896479535599E-3</c:v>
                </c:pt>
                <c:pt idx="170">
                  <c:v>9.2008188697121438E-3</c:v>
                </c:pt>
                <c:pt idx="171">
                  <c:v>9.1893310334956665E-3</c:v>
                </c:pt>
                <c:pt idx="172">
                  <c:v>9.1776607392108425E-3</c:v>
                </c:pt>
                <c:pt idx="173">
                  <c:v>9.1641957737841652E-3</c:v>
                </c:pt>
                <c:pt idx="174">
                  <c:v>9.1522543350605855E-3</c:v>
                </c:pt>
                <c:pt idx="175">
                  <c:v>9.1384838550642878E-3</c:v>
                </c:pt>
                <c:pt idx="176">
                  <c:v>9.1236868227237387E-3</c:v>
                </c:pt>
                <c:pt idx="177">
                  <c:v>9.1097905536117948E-3</c:v>
                </c:pt>
                <c:pt idx="178">
                  <c:v>9.0944726637208744E-3</c:v>
                </c:pt>
                <c:pt idx="179">
                  <c:v>9.0777956920629066E-3</c:v>
                </c:pt>
                <c:pt idx="180">
                  <c:v>9.0634876226983619E-3</c:v>
                </c:pt>
                <c:pt idx="181">
                  <c:v>9.0465854359296181E-3</c:v>
                </c:pt>
                <c:pt idx="182">
                  <c:v>9.0317507634941722E-3</c:v>
                </c:pt>
                <c:pt idx="183">
                  <c:v>9.0174782660720001E-3</c:v>
                </c:pt>
                <c:pt idx="184">
                  <c:v>9.0022703587582607E-3</c:v>
                </c:pt>
                <c:pt idx="185">
                  <c:v>8.9861475657220958E-3</c:v>
                </c:pt>
                <c:pt idx="186">
                  <c:v>8.9716211280336279E-3</c:v>
                </c:pt>
                <c:pt idx="187">
                  <c:v>8.9561799469871986E-3</c:v>
                </c:pt>
                <c:pt idx="188">
                  <c:v>8.9408324594179647E-3</c:v>
                </c:pt>
                <c:pt idx="189">
                  <c:v>8.9260741317425743E-3</c:v>
                </c:pt>
                <c:pt idx="190">
                  <c:v>8.909947600122212E-3</c:v>
                </c:pt>
                <c:pt idx="191">
                  <c:v>8.8963395144772677E-3</c:v>
                </c:pt>
                <c:pt idx="192">
                  <c:v>8.8813356647451901E-3</c:v>
                </c:pt>
                <c:pt idx="193">
                  <c:v>8.8659020063732597E-3</c:v>
                </c:pt>
                <c:pt idx="194">
                  <c:v>8.8524468997772249E-3</c:v>
                </c:pt>
                <c:pt idx="195">
                  <c:v>8.8376129804005662E-3</c:v>
                </c:pt>
                <c:pt idx="196">
                  <c:v>8.8218995370871502E-3</c:v>
                </c:pt>
                <c:pt idx="197">
                  <c:v>8.8086175867681995E-3</c:v>
                </c:pt>
                <c:pt idx="198">
                  <c:v>8.7944223956371373E-3</c:v>
                </c:pt>
                <c:pt idx="199">
                  <c:v>8.7788474782709777E-3</c:v>
                </c:pt>
                <c:pt idx="200">
                  <c:v>8.7652429313466451E-3</c:v>
                </c:pt>
                <c:pt idx="201">
                  <c:v>8.7513095719643497E-3</c:v>
                </c:pt>
                <c:pt idx="202">
                  <c:v>8.7371006449337915E-3</c:v>
                </c:pt>
                <c:pt idx="203">
                  <c:v>8.7234865745329047E-3</c:v>
                </c:pt>
                <c:pt idx="204">
                  <c:v>8.708587630790016E-3</c:v>
                </c:pt>
                <c:pt idx="205">
                  <c:v>8.6955041834268394E-3</c:v>
                </c:pt>
                <c:pt idx="206">
                  <c:v>8.6828693720538055E-3</c:v>
                </c:pt>
                <c:pt idx="207">
                  <c:v>8.6688783080859227E-3</c:v>
                </c:pt>
                <c:pt idx="208">
                  <c:v>8.6544472668375859E-3</c:v>
                </c:pt>
                <c:pt idx="209">
                  <c:v>8.6414362843102513E-3</c:v>
                </c:pt>
                <c:pt idx="210">
                  <c:v>8.6281116137361773E-3</c:v>
                </c:pt>
                <c:pt idx="211">
                  <c:v>8.614533380242026E-3</c:v>
                </c:pt>
                <c:pt idx="212">
                  <c:v>8.6010975966278307E-3</c:v>
                </c:pt>
                <c:pt idx="213">
                  <c:v>8.5872971478148166E-3</c:v>
                </c:pt>
                <c:pt idx="214">
                  <c:v>8.5747986419502011E-3</c:v>
                </c:pt>
                <c:pt idx="215">
                  <c:v>8.5619008769837589E-3</c:v>
                </c:pt>
                <c:pt idx="216">
                  <c:v>8.5482285985555885E-3</c:v>
                </c:pt>
                <c:pt idx="217">
                  <c:v>8.5355246899359444E-3</c:v>
                </c:pt>
                <c:pt idx="218">
                  <c:v>8.5237484897004809E-3</c:v>
                </c:pt>
                <c:pt idx="219">
                  <c:v>8.5095113880716573E-3</c:v>
                </c:pt>
                <c:pt idx="220">
                  <c:v>8.4982301017349077E-3</c:v>
                </c:pt>
                <c:pt idx="221">
                  <c:v>8.4853198810710476E-3</c:v>
                </c:pt>
                <c:pt idx="222">
                  <c:v>8.4720723264962005E-3</c:v>
                </c:pt>
                <c:pt idx="223">
                  <c:v>8.4601595156318741E-3</c:v>
                </c:pt>
                <c:pt idx="224">
                  <c:v>8.4475237858889253E-3</c:v>
                </c:pt>
                <c:pt idx="225">
                  <c:v>8.4349845657690232E-3</c:v>
                </c:pt>
                <c:pt idx="226">
                  <c:v>8.4229356949369217E-3</c:v>
                </c:pt>
                <c:pt idx="227">
                  <c:v>8.4109621645875945E-3</c:v>
                </c:pt>
                <c:pt idx="228">
                  <c:v>8.398658210362878E-3</c:v>
                </c:pt>
                <c:pt idx="229">
                  <c:v>8.3864151965929341E-3</c:v>
                </c:pt>
                <c:pt idx="230">
                  <c:v>8.3754080382471719E-3</c:v>
                </c:pt>
                <c:pt idx="231">
                  <c:v>8.3628880754385362E-3</c:v>
                </c:pt>
                <c:pt idx="232">
                  <c:v>8.3515986332887218E-3</c:v>
                </c:pt>
                <c:pt idx="233">
                  <c:v>8.3395994027505652E-3</c:v>
                </c:pt>
                <c:pt idx="234">
                  <c:v>8.3276825641455318E-3</c:v>
                </c:pt>
                <c:pt idx="235">
                  <c:v>8.3162376430226548E-3</c:v>
                </c:pt>
                <c:pt idx="236">
                  <c:v>8.3037492639968617E-3</c:v>
                </c:pt>
                <c:pt idx="237">
                  <c:v>8.2932355977487996E-3</c:v>
                </c:pt>
                <c:pt idx="238">
                  <c:v>8.2816737006697217E-3</c:v>
                </c:pt>
                <c:pt idx="239">
                  <c:v>8.2690298235118861E-3</c:v>
                </c:pt>
                <c:pt idx="240">
                  <c:v>8.258967125084192E-3</c:v>
                </c:pt>
                <c:pt idx="241">
                  <c:v>8.2473453708326698E-3</c:v>
                </c:pt>
                <c:pt idx="242">
                  <c:v>8.2356426891637309E-3</c:v>
                </c:pt>
                <c:pt idx="243">
                  <c:v>8.2246217082393557E-3</c:v>
                </c:pt>
                <c:pt idx="244">
                  <c:v>8.2131472605227237E-3</c:v>
                </c:pt>
                <c:pt idx="245">
                  <c:v>8.2008321907126105E-3</c:v>
                </c:pt>
                <c:pt idx="246">
                  <c:v>8.1896112407172962E-3</c:v>
                </c:pt>
                <c:pt idx="247">
                  <c:v>8.1775617294805106E-3</c:v>
                </c:pt>
                <c:pt idx="248">
                  <c:v>8.1654699873039433E-3</c:v>
                </c:pt>
                <c:pt idx="249">
                  <c:v>8.1537430167163728E-3</c:v>
                </c:pt>
                <c:pt idx="250">
                  <c:v>8.1408200305091282E-3</c:v>
                </c:pt>
                <c:pt idx="251">
                  <c:v>8.1298062407227853E-3</c:v>
                </c:pt>
                <c:pt idx="252">
                  <c:v>8.1175192247030393E-3</c:v>
                </c:pt>
                <c:pt idx="253">
                  <c:v>8.104702365583796E-3</c:v>
                </c:pt>
                <c:pt idx="254">
                  <c:v>8.0933927905552649E-3</c:v>
                </c:pt>
                <c:pt idx="255">
                  <c:v>8.0812050441188901E-3</c:v>
                </c:pt>
                <c:pt idx="256">
                  <c:v>8.0689669310798854E-3</c:v>
                </c:pt>
                <c:pt idx="257">
                  <c:v>8.0562678123575933E-3</c:v>
                </c:pt>
                <c:pt idx="258">
                  <c:v>8.0439209571027456E-3</c:v>
                </c:pt>
                <c:pt idx="259">
                  <c:v>8.0298585372527605E-3</c:v>
                </c:pt>
                <c:pt idx="260">
                  <c:v>8.0182386763592798E-3</c:v>
                </c:pt>
                <c:pt idx="261">
                  <c:v>8.005769970283785E-3</c:v>
                </c:pt>
                <c:pt idx="262">
                  <c:v>7.9924572787767201E-3</c:v>
                </c:pt>
                <c:pt idx="263">
                  <c:v>7.9803444604279704E-3</c:v>
                </c:pt>
                <c:pt idx="264">
                  <c:v>7.9672949049557473E-3</c:v>
                </c:pt>
                <c:pt idx="265">
                  <c:v>7.9541051432504874E-3</c:v>
                </c:pt>
                <c:pt idx="266">
                  <c:v>7.9420948495118777E-3</c:v>
                </c:pt>
                <c:pt idx="267">
                  <c:v>7.9287320337099749E-3</c:v>
                </c:pt>
                <c:pt idx="268">
                  <c:v>7.9144635167570834E-3</c:v>
                </c:pt>
                <c:pt idx="269">
                  <c:v>7.9022996804009888E-3</c:v>
                </c:pt>
                <c:pt idx="270">
                  <c:v>7.8891744423118925E-3</c:v>
                </c:pt>
                <c:pt idx="271">
                  <c:v>7.8746083878033918E-3</c:v>
                </c:pt>
                <c:pt idx="272">
                  <c:v>7.8617515291807046E-3</c:v>
                </c:pt>
                <c:pt idx="273">
                  <c:v>7.8484658911030878E-3</c:v>
                </c:pt>
                <c:pt idx="274">
                  <c:v>7.8348001844219563E-3</c:v>
                </c:pt>
                <c:pt idx="275">
                  <c:v>7.8215859433401827E-3</c:v>
                </c:pt>
                <c:pt idx="276">
                  <c:v>7.8069758854958015E-3</c:v>
                </c:pt>
                <c:pt idx="277">
                  <c:v>7.7940092468952267E-3</c:v>
                </c:pt>
                <c:pt idx="278">
                  <c:v>7.7813605793833713E-3</c:v>
                </c:pt>
                <c:pt idx="279">
                  <c:v>7.7672037081359408E-3</c:v>
                </c:pt>
                <c:pt idx="280">
                  <c:v>7.7524335804651824E-3</c:v>
                </c:pt>
                <c:pt idx="281">
                  <c:v>7.738979152405112E-3</c:v>
                </c:pt>
                <c:pt idx="282">
                  <c:v>7.7250738784174723E-3</c:v>
                </c:pt>
                <c:pt idx="283">
                  <c:v>7.7107779868436817E-3</c:v>
                </c:pt>
                <c:pt idx="284">
                  <c:v>7.6965073446932089E-3</c:v>
                </c:pt>
                <c:pt idx="285">
                  <c:v>7.6817220493438998E-3</c:v>
                </c:pt>
                <c:pt idx="286">
                  <c:v>7.6682191013650904E-3</c:v>
                </c:pt>
                <c:pt idx="287">
                  <c:v>7.6541494944236572E-3</c:v>
                </c:pt>
                <c:pt idx="288">
                  <c:v>7.6390499072823042E-3</c:v>
                </c:pt>
                <c:pt idx="289">
                  <c:v>7.6248232198304093E-3</c:v>
                </c:pt>
                <c:pt idx="290">
                  <c:v>7.611001702815914E-3</c:v>
                </c:pt>
                <c:pt idx="291">
                  <c:v>7.5956615209124773E-3</c:v>
                </c:pt>
                <c:pt idx="292">
                  <c:v>7.5816735868157919E-3</c:v>
                </c:pt>
                <c:pt idx="293">
                  <c:v>7.5666419317572198E-3</c:v>
                </c:pt>
                <c:pt idx="294">
                  <c:v>7.5515449188901197E-3</c:v>
                </c:pt>
                <c:pt idx="295">
                  <c:v>7.5368890359277744E-3</c:v>
                </c:pt>
                <c:pt idx="296">
                  <c:v>7.5207376343665536E-3</c:v>
                </c:pt>
                <c:pt idx="297">
                  <c:v>7.5070271006276498E-3</c:v>
                </c:pt>
                <c:pt idx="298">
                  <c:v>7.4918752719711438E-3</c:v>
                </c:pt>
                <c:pt idx="299">
                  <c:v>7.4754014969735556E-3</c:v>
                </c:pt>
                <c:pt idx="300">
                  <c:v>7.4625193847767607E-3</c:v>
                </c:pt>
                <c:pt idx="301">
                  <c:v>7.4480383704704682E-3</c:v>
                </c:pt>
                <c:pt idx="302">
                  <c:v>7.4352904310819893E-3</c:v>
                </c:pt>
                <c:pt idx="303">
                  <c:v>7.4215908153810331E-3</c:v>
                </c:pt>
                <c:pt idx="304">
                  <c:v>7.4087847937433756E-3</c:v>
                </c:pt>
                <c:pt idx="305">
                  <c:v>7.3952117066501235E-3</c:v>
                </c:pt>
                <c:pt idx="306">
                  <c:v>7.3841085083551283E-3</c:v>
                </c:pt>
                <c:pt idx="307">
                  <c:v>7.3722525626746032E-3</c:v>
                </c:pt>
                <c:pt idx="308">
                  <c:v>7.3605039261867393E-3</c:v>
                </c:pt>
                <c:pt idx="309">
                  <c:v>7.3502965356755804E-3</c:v>
                </c:pt>
                <c:pt idx="310">
                  <c:v>7.33985099344572E-3</c:v>
                </c:pt>
                <c:pt idx="311">
                  <c:v>7.3292322580448023E-3</c:v>
                </c:pt>
                <c:pt idx="312">
                  <c:v>7.3205990644898845E-3</c:v>
                </c:pt>
                <c:pt idx="313">
                  <c:v>7.3108458934175542E-3</c:v>
                </c:pt>
                <c:pt idx="314">
                  <c:v>7.3026680839699161E-3</c:v>
                </c:pt>
                <c:pt idx="315">
                  <c:v>7.295142683392996E-3</c:v>
                </c:pt>
                <c:pt idx="316">
                  <c:v>7.2875013826774297E-3</c:v>
                </c:pt>
                <c:pt idx="317">
                  <c:v>7.2798311357922182E-3</c:v>
                </c:pt>
                <c:pt idx="318">
                  <c:v>7.273303840455568E-3</c:v>
                </c:pt>
                <c:pt idx="319">
                  <c:v>7.2667675064922201E-3</c:v>
                </c:pt>
                <c:pt idx="320">
                  <c:v>7.2606834337914884E-3</c:v>
                </c:pt>
                <c:pt idx="321">
                  <c:v>7.2552230455611598E-3</c:v>
                </c:pt>
                <c:pt idx="322">
                  <c:v>7.2496995042445776E-3</c:v>
                </c:pt>
                <c:pt idx="323">
                  <c:v>7.2454102995974864E-3</c:v>
                </c:pt>
                <c:pt idx="324">
                  <c:v>7.2410886504584594E-3</c:v>
                </c:pt>
                <c:pt idx="325">
                  <c:v>7.2371002536562269E-3</c:v>
                </c:pt>
                <c:pt idx="326">
                  <c:v>7.2340065268962483E-3</c:v>
                </c:pt>
                <c:pt idx="327">
                  <c:v>7.231104554819354E-3</c:v>
                </c:pt>
                <c:pt idx="328">
                  <c:v>7.2286309642124319E-3</c:v>
                </c:pt>
                <c:pt idx="329">
                  <c:v>7.226521912019653E-3</c:v>
                </c:pt>
                <c:pt idx="330">
                  <c:v>7.224909417416733E-3</c:v>
                </c:pt>
                <c:pt idx="331">
                  <c:v>7.2235868459138413E-3</c:v>
                </c:pt>
                <c:pt idx="332">
                  <c:v>7.222897998287312E-3</c:v>
                </c:pt>
                <c:pt idx="333">
                  <c:v>7.2225589486044307E-3</c:v>
                </c:pt>
                <c:pt idx="334">
                  <c:v>7.2226501392688583E-3</c:v>
                </c:pt>
                <c:pt idx="335">
                  <c:v>7.2231359406829529E-3</c:v>
                </c:pt>
                <c:pt idx="336">
                  <c:v>7.2240788290099953E-3</c:v>
                </c:pt>
                <c:pt idx="337">
                  <c:v>7.2254663256675171E-3</c:v>
                </c:pt>
                <c:pt idx="338">
                  <c:v>7.2271983954667468E-3</c:v>
                </c:pt>
                <c:pt idx="339">
                  <c:v>7.2295546996729472E-3</c:v>
                </c:pt>
                <c:pt idx="340">
                  <c:v>7.2325541882617425E-3</c:v>
                </c:pt>
                <c:pt idx="341">
                  <c:v>7.2357074161372046E-3</c:v>
                </c:pt>
                <c:pt idx="342">
                  <c:v>7.2393224163735479E-3</c:v>
                </c:pt>
                <c:pt idx="343">
                  <c:v>7.2433748707053927E-3</c:v>
                </c:pt>
                <c:pt idx="344">
                  <c:v>7.2477917450737683E-3</c:v>
                </c:pt>
                <c:pt idx="345">
                  <c:v>7.2528057558804062E-3</c:v>
                </c:pt>
                <c:pt idx="346">
                  <c:v>7.2577991873676948E-3</c:v>
                </c:pt>
                <c:pt idx="347">
                  <c:v>7.2634133057365583E-3</c:v>
                </c:pt>
                <c:pt idx="348">
                  <c:v>7.2698871156920567E-3</c:v>
                </c:pt>
                <c:pt idx="349">
                  <c:v>7.2763998594215186E-3</c:v>
                </c:pt>
                <c:pt idx="350">
                  <c:v>7.2828732153965604E-3</c:v>
                </c:pt>
                <c:pt idx="351">
                  <c:v>7.2910073887790293E-3</c:v>
                </c:pt>
                <c:pt idx="352">
                  <c:v>7.2983450594012534E-3</c:v>
                </c:pt>
                <c:pt idx="353">
                  <c:v>7.3069173507788968E-3</c:v>
                </c:pt>
                <c:pt idx="354">
                  <c:v>7.3162318443185147E-3</c:v>
                </c:pt>
                <c:pt idx="355">
                  <c:v>7.3250594497905617E-3</c:v>
                </c:pt>
                <c:pt idx="356">
                  <c:v>7.334893214563468E-3</c:v>
                </c:pt>
                <c:pt idx="357">
                  <c:v>7.3451325940654634E-3</c:v>
                </c:pt>
                <c:pt idx="358">
                  <c:v>7.355399348496992E-3</c:v>
                </c:pt>
                <c:pt idx="359">
                  <c:v>7.3658942608028199E-3</c:v>
                </c:pt>
                <c:pt idx="360">
                  <c:v>7.3768226177683485E-3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2-4B6D-A377-32F933455548}"/>
            </c:ext>
          </c:extLst>
        </c:ser>
        <c:ser>
          <c:idx val="3"/>
          <c:order val="3"/>
          <c:tx>
            <c:strRef>
              <c:f>DISPLAY_CURVE!$F$9</c:f>
              <c:strCache>
                <c:ptCount val="1"/>
                <c:pt idx="0">
                  <c:v>GBP6ML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43854</c:v>
                </c:pt>
                <c:pt idx="1">
                  <c:v>43885</c:v>
                </c:pt>
                <c:pt idx="2">
                  <c:v>43914</c:v>
                </c:pt>
                <c:pt idx="3">
                  <c:v>43945</c:v>
                </c:pt>
                <c:pt idx="4">
                  <c:v>43977</c:v>
                </c:pt>
                <c:pt idx="5">
                  <c:v>44006</c:v>
                </c:pt>
                <c:pt idx="6">
                  <c:v>44036</c:v>
                </c:pt>
                <c:pt idx="7">
                  <c:v>44067</c:v>
                </c:pt>
                <c:pt idx="8">
                  <c:v>44098</c:v>
                </c:pt>
                <c:pt idx="9">
                  <c:v>44130</c:v>
                </c:pt>
                <c:pt idx="10">
                  <c:v>44159</c:v>
                </c:pt>
                <c:pt idx="11">
                  <c:v>44189</c:v>
                </c:pt>
                <c:pt idx="12">
                  <c:v>44221</c:v>
                </c:pt>
                <c:pt idx="13">
                  <c:v>44251</c:v>
                </c:pt>
                <c:pt idx="14">
                  <c:v>44279</c:v>
                </c:pt>
                <c:pt idx="15">
                  <c:v>44312</c:v>
                </c:pt>
                <c:pt idx="16">
                  <c:v>44340</c:v>
                </c:pt>
                <c:pt idx="17">
                  <c:v>44371</c:v>
                </c:pt>
                <c:pt idx="18">
                  <c:v>44403</c:v>
                </c:pt>
                <c:pt idx="19">
                  <c:v>44432</c:v>
                </c:pt>
                <c:pt idx="20">
                  <c:v>44463</c:v>
                </c:pt>
                <c:pt idx="21">
                  <c:v>44494</c:v>
                </c:pt>
                <c:pt idx="22">
                  <c:v>44524</c:v>
                </c:pt>
                <c:pt idx="23">
                  <c:v>44554</c:v>
                </c:pt>
                <c:pt idx="24">
                  <c:v>44585</c:v>
                </c:pt>
                <c:pt idx="25">
                  <c:v>44616</c:v>
                </c:pt>
                <c:pt idx="26">
                  <c:v>44644</c:v>
                </c:pt>
                <c:pt idx="27">
                  <c:v>44676</c:v>
                </c:pt>
                <c:pt idx="28">
                  <c:v>44705</c:v>
                </c:pt>
                <c:pt idx="29">
                  <c:v>44736</c:v>
                </c:pt>
                <c:pt idx="30">
                  <c:v>44767</c:v>
                </c:pt>
                <c:pt idx="31">
                  <c:v>44797</c:v>
                </c:pt>
                <c:pt idx="32">
                  <c:v>44830</c:v>
                </c:pt>
                <c:pt idx="33">
                  <c:v>44858</c:v>
                </c:pt>
                <c:pt idx="34">
                  <c:v>44889</c:v>
                </c:pt>
                <c:pt idx="35">
                  <c:v>44923</c:v>
                </c:pt>
                <c:pt idx="36">
                  <c:v>44950</c:v>
                </c:pt>
                <c:pt idx="37">
                  <c:v>44981</c:v>
                </c:pt>
                <c:pt idx="38">
                  <c:v>45009</c:v>
                </c:pt>
                <c:pt idx="39">
                  <c:v>45040</c:v>
                </c:pt>
                <c:pt idx="40">
                  <c:v>45070</c:v>
                </c:pt>
                <c:pt idx="41">
                  <c:v>45103</c:v>
                </c:pt>
                <c:pt idx="42">
                  <c:v>45131</c:v>
                </c:pt>
                <c:pt idx="43">
                  <c:v>45162</c:v>
                </c:pt>
                <c:pt idx="44">
                  <c:v>45194</c:v>
                </c:pt>
                <c:pt idx="45">
                  <c:v>45223</c:v>
                </c:pt>
                <c:pt idx="46">
                  <c:v>45254</c:v>
                </c:pt>
                <c:pt idx="47">
                  <c:v>45287</c:v>
                </c:pt>
                <c:pt idx="48">
                  <c:v>45315</c:v>
                </c:pt>
                <c:pt idx="49">
                  <c:v>45348</c:v>
                </c:pt>
                <c:pt idx="50">
                  <c:v>45376</c:v>
                </c:pt>
                <c:pt idx="51">
                  <c:v>45406</c:v>
                </c:pt>
                <c:pt idx="52">
                  <c:v>45436</c:v>
                </c:pt>
                <c:pt idx="53">
                  <c:v>45467</c:v>
                </c:pt>
                <c:pt idx="54">
                  <c:v>45497</c:v>
                </c:pt>
                <c:pt idx="55">
                  <c:v>45531</c:v>
                </c:pt>
                <c:pt idx="56">
                  <c:v>45559</c:v>
                </c:pt>
                <c:pt idx="57">
                  <c:v>45589</c:v>
                </c:pt>
                <c:pt idx="58">
                  <c:v>45621</c:v>
                </c:pt>
                <c:pt idx="59">
                  <c:v>45650</c:v>
                </c:pt>
                <c:pt idx="60">
                  <c:v>45681</c:v>
                </c:pt>
                <c:pt idx="61">
                  <c:v>45712</c:v>
                </c:pt>
                <c:pt idx="62">
                  <c:v>45740</c:v>
                </c:pt>
                <c:pt idx="63">
                  <c:v>45771</c:v>
                </c:pt>
                <c:pt idx="64">
                  <c:v>45804</c:v>
                </c:pt>
                <c:pt idx="65">
                  <c:v>45832</c:v>
                </c:pt>
                <c:pt idx="66">
                  <c:v>45862</c:v>
                </c:pt>
                <c:pt idx="67">
                  <c:v>45895</c:v>
                </c:pt>
                <c:pt idx="68">
                  <c:v>45924</c:v>
                </c:pt>
                <c:pt idx="69">
                  <c:v>45954</c:v>
                </c:pt>
                <c:pt idx="70">
                  <c:v>45985</c:v>
                </c:pt>
                <c:pt idx="71">
                  <c:v>46015</c:v>
                </c:pt>
                <c:pt idx="72">
                  <c:v>46048</c:v>
                </c:pt>
                <c:pt idx="73">
                  <c:v>46077</c:v>
                </c:pt>
                <c:pt idx="74">
                  <c:v>46105</c:v>
                </c:pt>
                <c:pt idx="75">
                  <c:v>46136</c:v>
                </c:pt>
                <c:pt idx="76">
                  <c:v>46168</c:v>
                </c:pt>
                <c:pt idx="77">
                  <c:v>46197</c:v>
                </c:pt>
                <c:pt idx="78">
                  <c:v>46227</c:v>
                </c:pt>
                <c:pt idx="79">
                  <c:v>46258</c:v>
                </c:pt>
                <c:pt idx="80">
                  <c:v>46289</c:v>
                </c:pt>
                <c:pt idx="81">
                  <c:v>46321</c:v>
                </c:pt>
                <c:pt idx="82">
                  <c:v>46350</c:v>
                </c:pt>
                <c:pt idx="83">
                  <c:v>46380</c:v>
                </c:pt>
                <c:pt idx="84">
                  <c:v>46412</c:v>
                </c:pt>
                <c:pt idx="85">
                  <c:v>46442</c:v>
                </c:pt>
                <c:pt idx="86">
                  <c:v>46470</c:v>
                </c:pt>
                <c:pt idx="87">
                  <c:v>46503</c:v>
                </c:pt>
                <c:pt idx="88">
                  <c:v>46531</c:v>
                </c:pt>
                <c:pt idx="89">
                  <c:v>46562</c:v>
                </c:pt>
                <c:pt idx="90">
                  <c:v>46594</c:v>
                </c:pt>
                <c:pt idx="91">
                  <c:v>46623</c:v>
                </c:pt>
                <c:pt idx="92">
                  <c:v>46654</c:v>
                </c:pt>
                <c:pt idx="93">
                  <c:v>46685</c:v>
                </c:pt>
                <c:pt idx="94">
                  <c:v>46715</c:v>
                </c:pt>
                <c:pt idx="95">
                  <c:v>46745</c:v>
                </c:pt>
                <c:pt idx="96">
                  <c:v>46776</c:v>
                </c:pt>
                <c:pt idx="97">
                  <c:v>46807</c:v>
                </c:pt>
                <c:pt idx="98">
                  <c:v>46836</c:v>
                </c:pt>
                <c:pt idx="99">
                  <c:v>46867</c:v>
                </c:pt>
                <c:pt idx="100">
                  <c:v>46897</c:v>
                </c:pt>
                <c:pt idx="101">
                  <c:v>46930</c:v>
                </c:pt>
                <c:pt idx="102">
                  <c:v>46958</c:v>
                </c:pt>
                <c:pt idx="103">
                  <c:v>46989</c:v>
                </c:pt>
                <c:pt idx="104">
                  <c:v>47021</c:v>
                </c:pt>
                <c:pt idx="105">
                  <c:v>47050</c:v>
                </c:pt>
                <c:pt idx="106">
                  <c:v>47081</c:v>
                </c:pt>
                <c:pt idx="107">
                  <c:v>47114</c:v>
                </c:pt>
                <c:pt idx="108">
                  <c:v>47142</c:v>
                </c:pt>
                <c:pt idx="109">
                  <c:v>47175</c:v>
                </c:pt>
                <c:pt idx="110">
                  <c:v>47203</c:v>
                </c:pt>
                <c:pt idx="111">
                  <c:v>47232</c:v>
                </c:pt>
                <c:pt idx="112">
                  <c:v>47262</c:v>
                </c:pt>
                <c:pt idx="113">
                  <c:v>47294</c:v>
                </c:pt>
                <c:pt idx="114">
                  <c:v>47323</c:v>
                </c:pt>
                <c:pt idx="115">
                  <c:v>47354</c:v>
                </c:pt>
                <c:pt idx="116">
                  <c:v>47385</c:v>
                </c:pt>
                <c:pt idx="117">
                  <c:v>47415</c:v>
                </c:pt>
                <c:pt idx="118">
                  <c:v>47448</c:v>
                </c:pt>
                <c:pt idx="119">
                  <c:v>47476</c:v>
                </c:pt>
                <c:pt idx="120">
                  <c:v>47507</c:v>
                </c:pt>
                <c:pt idx="121">
                  <c:v>47539</c:v>
                </c:pt>
                <c:pt idx="122">
                  <c:v>47567</c:v>
                </c:pt>
                <c:pt idx="123">
                  <c:v>47597</c:v>
                </c:pt>
                <c:pt idx="124">
                  <c:v>47627</c:v>
                </c:pt>
                <c:pt idx="125">
                  <c:v>47658</c:v>
                </c:pt>
                <c:pt idx="126">
                  <c:v>47688</c:v>
                </c:pt>
                <c:pt idx="127">
                  <c:v>47722</c:v>
                </c:pt>
                <c:pt idx="128">
                  <c:v>47750</c:v>
                </c:pt>
                <c:pt idx="129">
                  <c:v>47780</c:v>
                </c:pt>
                <c:pt idx="130">
                  <c:v>47812</c:v>
                </c:pt>
                <c:pt idx="131">
                  <c:v>47841</c:v>
                </c:pt>
                <c:pt idx="132">
                  <c:v>47872</c:v>
                </c:pt>
                <c:pt idx="133">
                  <c:v>47903</c:v>
                </c:pt>
                <c:pt idx="134">
                  <c:v>47931</c:v>
                </c:pt>
                <c:pt idx="135">
                  <c:v>47962</c:v>
                </c:pt>
                <c:pt idx="136">
                  <c:v>47995</c:v>
                </c:pt>
                <c:pt idx="137">
                  <c:v>48023</c:v>
                </c:pt>
                <c:pt idx="138">
                  <c:v>48053</c:v>
                </c:pt>
                <c:pt idx="139">
                  <c:v>48086</c:v>
                </c:pt>
                <c:pt idx="140">
                  <c:v>48115</c:v>
                </c:pt>
                <c:pt idx="141">
                  <c:v>48145</c:v>
                </c:pt>
                <c:pt idx="142">
                  <c:v>48176</c:v>
                </c:pt>
                <c:pt idx="143">
                  <c:v>48206</c:v>
                </c:pt>
                <c:pt idx="144">
                  <c:v>48239</c:v>
                </c:pt>
                <c:pt idx="145">
                  <c:v>48268</c:v>
                </c:pt>
                <c:pt idx="146">
                  <c:v>48297</c:v>
                </c:pt>
                <c:pt idx="147">
                  <c:v>48330</c:v>
                </c:pt>
                <c:pt idx="148">
                  <c:v>48358</c:v>
                </c:pt>
                <c:pt idx="149">
                  <c:v>48389</c:v>
                </c:pt>
                <c:pt idx="150">
                  <c:v>48421</c:v>
                </c:pt>
                <c:pt idx="151">
                  <c:v>48450</c:v>
                </c:pt>
                <c:pt idx="152">
                  <c:v>48481</c:v>
                </c:pt>
                <c:pt idx="153">
                  <c:v>48512</c:v>
                </c:pt>
                <c:pt idx="154">
                  <c:v>48542</c:v>
                </c:pt>
                <c:pt idx="155">
                  <c:v>48572</c:v>
                </c:pt>
                <c:pt idx="156">
                  <c:v>48603</c:v>
                </c:pt>
                <c:pt idx="157">
                  <c:v>48634</c:v>
                </c:pt>
                <c:pt idx="158">
                  <c:v>48662</c:v>
                </c:pt>
                <c:pt idx="159">
                  <c:v>48694</c:v>
                </c:pt>
                <c:pt idx="160">
                  <c:v>48723</c:v>
                </c:pt>
                <c:pt idx="161">
                  <c:v>48754</c:v>
                </c:pt>
                <c:pt idx="162">
                  <c:v>48785</c:v>
                </c:pt>
                <c:pt idx="163">
                  <c:v>48815</c:v>
                </c:pt>
                <c:pt idx="164">
                  <c:v>48848</c:v>
                </c:pt>
                <c:pt idx="165">
                  <c:v>48876</c:v>
                </c:pt>
                <c:pt idx="166">
                  <c:v>48907</c:v>
                </c:pt>
                <c:pt idx="167">
                  <c:v>48941</c:v>
                </c:pt>
                <c:pt idx="168">
                  <c:v>48968</c:v>
                </c:pt>
                <c:pt idx="169">
                  <c:v>48999</c:v>
                </c:pt>
                <c:pt idx="170">
                  <c:v>49027</c:v>
                </c:pt>
                <c:pt idx="171">
                  <c:v>49058</c:v>
                </c:pt>
                <c:pt idx="172">
                  <c:v>49088</c:v>
                </c:pt>
                <c:pt idx="173">
                  <c:v>49121</c:v>
                </c:pt>
                <c:pt idx="174">
                  <c:v>49149</c:v>
                </c:pt>
                <c:pt idx="175">
                  <c:v>49180</c:v>
                </c:pt>
                <c:pt idx="176">
                  <c:v>49212</c:v>
                </c:pt>
                <c:pt idx="177">
                  <c:v>49241</c:v>
                </c:pt>
                <c:pt idx="178">
                  <c:v>49272</c:v>
                </c:pt>
                <c:pt idx="179">
                  <c:v>49305</c:v>
                </c:pt>
                <c:pt idx="180">
                  <c:v>49333</c:v>
                </c:pt>
                <c:pt idx="181">
                  <c:v>49366</c:v>
                </c:pt>
                <c:pt idx="182">
                  <c:v>49395</c:v>
                </c:pt>
                <c:pt idx="183">
                  <c:v>49423</c:v>
                </c:pt>
                <c:pt idx="184">
                  <c:v>49453</c:v>
                </c:pt>
                <c:pt idx="185">
                  <c:v>49485</c:v>
                </c:pt>
                <c:pt idx="186">
                  <c:v>49514</c:v>
                </c:pt>
                <c:pt idx="187">
                  <c:v>49545</c:v>
                </c:pt>
                <c:pt idx="188">
                  <c:v>49576</c:v>
                </c:pt>
                <c:pt idx="189">
                  <c:v>49606</c:v>
                </c:pt>
                <c:pt idx="190">
                  <c:v>49639</c:v>
                </c:pt>
                <c:pt idx="191">
                  <c:v>49667</c:v>
                </c:pt>
                <c:pt idx="192">
                  <c:v>49698</c:v>
                </c:pt>
                <c:pt idx="193">
                  <c:v>49730</c:v>
                </c:pt>
                <c:pt idx="194">
                  <c:v>49758</c:v>
                </c:pt>
                <c:pt idx="195">
                  <c:v>49789</c:v>
                </c:pt>
                <c:pt idx="196">
                  <c:v>49822</c:v>
                </c:pt>
                <c:pt idx="197">
                  <c:v>49850</c:v>
                </c:pt>
                <c:pt idx="198">
                  <c:v>49880</c:v>
                </c:pt>
                <c:pt idx="199">
                  <c:v>49913</c:v>
                </c:pt>
                <c:pt idx="200">
                  <c:v>49942</c:v>
                </c:pt>
                <c:pt idx="201">
                  <c:v>49972</c:v>
                </c:pt>
                <c:pt idx="202">
                  <c:v>50003</c:v>
                </c:pt>
                <c:pt idx="203">
                  <c:v>50033</c:v>
                </c:pt>
                <c:pt idx="204">
                  <c:v>50066</c:v>
                </c:pt>
                <c:pt idx="205">
                  <c:v>50095</c:v>
                </c:pt>
                <c:pt idx="206">
                  <c:v>50123</c:v>
                </c:pt>
                <c:pt idx="207">
                  <c:v>50154</c:v>
                </c:pt>
                <c:pt idx="208">
                  <c:v>50186</c:v>
                </c:pt>
                <c:pt idx="209">
                  <c:v>50215</c:v>
                </c:pt>
                <c:pt idx="210">
                  <c:v>50245</c:v>
                </c:pt>
                <c:pt idx="211">
                  <c:v>50276</c:v>
                </c:pt>
                <c:pt idx="212">
                  <c:v>50307</c:v>
                </c:pt>
                <c:pt idx="213">
                  <c:v>50339</c:v>
                </c:pt>
                <c:pt idx="214">
                  <c:v>50368</c:v>
                </c:pt>
                <c:pt idx="215">
                  <c:v>50398</c:v>
                </c:pt>
                <c:pt idx="216">
                  <c:v>50430</c:v>
                </c:pt>
                <c:pt idx="217">
                  <c:v>50460</c:v>
                </c:pt>
                <c:pt idx="218">
                  <c:v>50488</c:v>
                </c:pt>
                <c:pt idx="219">
                  <c:v>50522</c:v>
                </c:pt>
                <c:pt idx="220">
                  <c:v>50549</c:v>
                </c:pt>
                <c:pt idx="221">
                  <c:v>50580</c:v>
                </c:pt>
                <c:pt idx="222">
                  <c:v>50612</c:v>
                </c:pt>
                <c:pt idx="223">
                  <c:v>50641</c:v>
                </c:pt>
                <c:pt idx="224">
                  <c:v>50672</c:v>
                </c:pt>
                <c:pt idx="225">
                  <c:v>50703</c:v>
                </c:pt>
                <c:pt idx="226">
                  <c:v>50733</c:v>
                </c:pt>
                <c:pt idx="227">
                  <c:v>50763</c:v>
                </c:pt>
                <c:pt idx="228">
                  <c:v>50794</c:v>
                </c:pt>
                <c:pt idx="229">
                  <c:v>50825</c:v>
                </c:pt>
                <c:pt idx="230">
                  <c:v>50853</c:v>
                </c:pt>
                <c:pt idx="231">
                  <c:v>50885</c:v>
                </c:pt>
                <c:pt idx="232">
                  <c:v>50914</c:v>
                </c:pt>
                <c:pt idx="233">
                  <c:v>50945</c:v>
                </c:pt>
                <c:pt idx="234">
                  <c:v>50976</c:v>
                </c:pt>
                <c:pt idx="235">
                  <c:v>51006</c:v>
                </c:pt>
                <c:pt idx="236">
                  <c:v>51039</c:v>
                </c:pt>
                <c:pt idx="237">
                  <c:v>51067</c:v>
                </c:pt>
                <c:pt idx="238">
                  <c:v>51098</c:v>
                </c:pt>
                <c:pt idx="239">
                  <c:v>51132</c:v>
                </c:pt>
                <c:pt idx="240">
                  <c:v>51159</c:v>
                </c:pt>
                <c:pt idx="241">
                  <c:v>51190</c:v>
                </c:pt>
                <c:pt idx="242">
                  <c:v>51221</c:v>
                </c:pt>
                <c:pt idx="243">
                  <c:v>51250</c:v>
                </c:pt>
                <c:pt idx="244">
                  <c:v>51280</c:v>
                </c:pt>
                <c:pt idx="245">
                  <c:v>51312</c:v>
                </c:pt>
                <c:pt idx="246">
                  <c:v>51341</c:v>
                </c:pt>
                <c:pt idx="247">
                  <c:v>51372</c:v>
                </c:pt>
                <c:pt idx="248">
                  <c:v>51403</c:v>
                </c:pt>
                <c:pt idx="249">
                  <c:v>51433</c:v>
                </c:pt>
                <c:pt idx="250">
                  <c:v>51466</c:v>
                </c:pt>
                <c:pt idx="251">
                  <c:v>51494</c:v>
                </c:pt>
                <c:pt idx="252">
                  <c:v>51525</c:v>
                </c:pt>
                <c:pt idx="253">
                  <c:v>51557</c:v>
                </c:pt>
                <c:pt idx="254">
                  <c:v>51585</c:v>
                </c:pt>
                <c:pt idx="255">
                  <c:v>51615</c:v>
                </c:pt>
                <c:pt idx="256">
                  <c:v>51645</c:v>
                </c:pt>
                <c:pt idx="257">
                  <c:v>51676</c:v>
                </c:pt>
                <c:pt idx="258">
                  <c:v>51706</c:v>
                </c:pt>
                <c:pt idx="259">
                  <c:v>51740</c:v>
                </c:pt>
                <c:pt idx="260">
                  <c:v>51768</c:v>
                </c:pt>
                <c:pt idx="261">
                  <c:v>51798</c:v>
                </c:pt>
                <c:pt idx="262">
                  <c:v>51830</c:v>
                </c:pt>
                <c:pt idx="263">
                  <c:v>51859</c:v>
                </c:pt>
                <c:pt idx="264">
                  <c:v>51890</c:v>
                </c:pt>
                <c:pt idx="265">
                  <c:v>51921</c:v>
                </c:pt>
                <c:pt idx="266">
                  <c:v>51949</c:v>
                </c:pt>
                <c:pt idx="267">
                  <c:v>51980</c:v>
                </c:pt>
                <c:pt idx="268">
                  <c:v>52013</c:v>
                </c:pt>
                <c:pt idx="269">
                  <c:v>52041</c:v>
                </c:pt>
                <c:pt idx="270">
                  <c:v>52071</c:v>
                </c:pt>
                <c:pt idx="271">
                  <c:v>52104</c:v>
                </c:pt>
                <c:pt idx="272">
                  <c:v>52133</c:v>
                </c:pt>
                <c:pt idx="273">
                  <c:v>52163</c:v>
                </c:pt>
                <c:pt idx="274">
                  <c:v>52194</c:v>
                </c:pt>
                <c:pt idx="275">
                  <c:v>52224</c:v>
                </c:pt>
                <c:pt idx="276">
                  <c:v>52257</c:v>
                </c:pt>
                <c:pt idx="277">
                  <c:v>52286</c:v>
                </c:pt>
                <c:pt idx="278">
                  <c:v>52314</c:v>
                </c:pt>
                <c:pt idx="279">
                  <c:v>52345</c:v>
                </c:pt>
                <c:pt idx="280">
                  <c:v>52377</c:v>
                </c:pt>
                <c:pt idx="281">
                  <c:v>52406</c:v>
                </c:pt>
                <c:pt idx="282">
                  <c:v>52436</c:v>
                </c:pt>
                <c:pt idx="283">
                  <c:v>52467</c:v>
                </c:pt>
                <c:pt idx="284">
                  <c:v>52498</c:v>
                </c:pt>
                <c:pt idx="285">
                  <c:v>52530</c:v>
                </c:pt>
                <c:pt idx="286">
                  <c:v>52559</c:v>
                </c:pt>
                <c:pt idx="287">
                  <c:v>52589</c:v>
                </c:pt>
                <c:pt idx="288">
                  <c:v>52621</c:v>
                </c:pt>
                <c:pt idx="289">
                  <c:v>52651</c:v>
                </c:pt>
                <c:pt idx="290">
                  <c:v>52680</c:v>
                </c:pt>
                <c:pt idx="291">
                  <c:v>52712</c:v>
                </c:pt>
                <c:pt idx="292">
                  <c:v>52741</c:v>
                </c:pt>
                <c:pt idx="293">
                  <c:v>52772</c:v>
                </c:pt>
                <c:pt idx="294">
                  <c:v>52803</c:v>
                </c:pt>
                <c:pt idx="295">
                  <c:v>52833</c:v>
                </c:pt>
                <c:pt idx="296">
                  <c:v>52866</c:v>
                </c:pt>
                <c:pt idx="297">
                  <c:v>52894</c:v>
                </c:pt>
                <c:pt idx="298">
                  <c:v>52925</c:v>
                </c:pt>
                <c:pt idx="299">
                  <c:v>52959</c:v>
                </c:pt>
                <c:pt idx="300">
                  <c:v>52986</c:v>
                </c:pt>
                <c:pt idx="301">
                  <c:v>53017</c:v>
                </c:pt>
                <c:pt idx="302">
                  <c:v>53045</c:v>
                </c:pt>
                <c:pt idx="303">
                  <c:v>53076</c:v>
                </c:pt>
                <c:pt idx="304">
                  <c:v>53106</c:v>
                </c:pt>
                <c:pt idx="305">
                  <c:v>53139</c:v>
                </c:pt>
                <c:pt idx="306">
                  <c:v>53167</c:v>
                </c:pt>
                <c:pt idx="307">
                  <c:v>53198</c:v>
                </c:pt>
                <c:pt idx="308">
                  <c:v>53230</c:v>
                </c:pt>
                <c:pt idx="309">
                  <c:v>53259</c:v>
                </c:pt>
                <c:pt idx="310">
                  <c:v>53290</c:v>
                </c:pt>
                <c:pt idx="311">
                  <c:v>53323</c:v>
                </c:pt>
                <c:pt idx="312">
                  <c:v>53351</c:v>
                </c:pt>
                <c:pt idx="313">
                  <c:v>53384</c:v>
                </c:pt>
                <c:pt idx="314">
                  <c:v>53413</c:v>
                </c:pt>
                <c:pt idx="315">
                  <c:v>53441</c:v>
                </c:pt>
                <c:pt idx="316">
                  <c:v>53471</c:v>
                </c:pt>
                <c:pt idx="317">
                  <c:v>53503</c:v>
                </c:pt>
                <c:pt idx="318">
                  <c:v>53532</c:v>
                </c:pt>
                <c:pt idx="319">
                  <c:v>53563</c:v>
                </c:pt>
                <c:pt idx="320">
                  <c:v>53594</c:v>
                </c:pt>
                <c:pt idx="321">
                  <c:v>53624</c:v>
                </c:pt>
                <c:pt idx="322">
                  <c:v>53657</c:v>
                </c:pt>
                <c:pt idx="323">
                  <c:v>53685</c:v>
                </c:pt>
                <c:pt idx="324">
                  <c:v>53716</c:v>
                </c:pt>
                <c:pt idx="325">
                  <c:v>53748</c:v>
                </c:pt>
                <c:pt idx="326">
                  <c:v>53776</c:v>
                </c:pt>
                <c:pt idx="327">
                  <c:v>53806</c:v>
                </c:pt>
                <c:pt idx="328">
                  <c:v>53836</c:v>
                </c:pt>
                <c:pt idx="329">
                  <c:v>53867</c:v>
                </c:pt>
                <c:pt idx="330">
                  <c:v>53897</c:v>
                </c:pt>
                <c:pt idx="331">
                  <c:v>53931</c:v>
                </c:pt>
                <c:pt idx="332">
                  <c:v>53959</c:v>
                </c:pt>
                <c:pt idx="333">
                  <c:v>53989</c:v>
                </c:pt>
                <c:pt idx="334">
                  <c:v>54021</c:v>
                </c:pt>
                <c:pt idx="335">
                  <c:v>54050</c:v>
                </c:pt>
                <c:pt idx="336">
                  <c:v>54081</c:v>
                </c:pt>
                <c:pt idx="337">
                  <c:v>54112</c:v>
                </c:pt>
                <c:pt idx="338">
                  <c:v>54141</c:v>
                </c:pt>
                <c:pt idx="339">
                  <c:v>54172</c:v>
                </c:pt>
                <c:pt idx="340">
                  <c:v>54204</c:v>
                </c:pt>
                <c:pt idx="341">
                  <c:v>54233</c:v>
                </c:pt>
                <c:pt idx="342">
                  <c:v>54263</c:v>
                </c:pt>
                <c:pt idx="343">
                  <c:v>54294</c:v>
                </c:pt>
                <c:pt idx="344">
                  <c:v>54325</c:v>
                </c:pt>
                <c:pt idx="345">
                  <c:v>54357</c:v>
                </c:pt>
                <c:pt idx="346">
                  <c:v>54386</c:v>
                </c:pt>
                <c:pt idx="347">
                  <c:v>54416</c:v>
                </c:pt>
                <c:pt idx="348">
                  <c:v>54448</c:v>
                </c:pt>
                <c:pt idx="349">
                  <c:v>54478</c:v>
                </c:pt>
                <c:pt idx="350">
                  <c:v>54506</c:v>
                </c:pt>
                <c:pt idx="351">
                  <c:v>54539</c:v>
                </c:pt>
                <c:pt idx="352">
                  <c:v>54567</c:v>
                </c:pt>
                <c:pt idx="353">
                  <c:v>54598</c:v>
                </c:pt>
                <c:pt idx="354">
                  <c:v>54630</c:v>
                </c:pt>
                <c:pt idx="355">
                  <c:v>54659</c:v>
                </c:pt>
                <c:pt idx="356">
                  <c:v>54690</c:v>
                </c:pt>
                <c:pt idx="357">
                  <c:v>54721</c:v>
                </c:pt>
                <c:pt idx="358">
                  <c:v>54751</c:v>
                </c:pt>
                <c:pt idx="359">
                  <c:v>54781</c:v>
                </c:pt>
                <c:pt idx="360">
                  <c:v>54812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DISPLAY_CURVE!$F$10:$F$501</c:f>
              <c:numCache>
                <c:formatCode>0.00000%</c:formatCode>
                <c:ptCount val="492"/>
                <c:pt idx="0">
                  <c:v>7.4750000000000597E-3</c:v>
                </c:pt>
                <c:pt idx="1">
                  <c:v>7.2402981043846191E-3</c:v>
                </c:pt>
                <c:pt idx="2">
                  <c:v>6.9674753941710091E-3</c:v>
                </c:pt>
                <c:pt idx="3">
                  <c:v>6.660349252051119E-3</c:v>
                </c:pt>
                <c:pt idx="4">
                  <c:v>6.3548926591974041E-3</c:v>
                </c:pt>
                <c:pt idx="5">
                  <c:v>6.1004296073151739E-3</c:v>
                </c:pt>
                <c:pt idx="6">
                  <c:v>5.8745114256238207E-3</c:v>
                </c:pt>
                <c:pt idx="7">
                  <c:v>5.7142672489443654E-3</c:v>
                </c:pt>
                <c:pt idx="8">
                  <c:v>5.6143788754286529E-3</c:v>
                </c:pt>
                <c:pt idx="9">
                  <c:v>5.5612300686127165E-3</c:v>
                </c:pt>
                <c:pt idx="10">
                  <c:v>5.548251002248661E-3</c:v>
                </c:pt>
                <c:pt idx="11">
                  <c:v>5.5602631831781595E-3</c:v>
                </c:pt>
                <c:pt idx="12">
                  <c:v>5.5882168733419691E-3</c:v>
                </c:pt>
                <c:pt idx="13">
                  <c:v>5.6187675299299361E-3</c:v>
                </c:pt>
                <c:pt idx="14">
                  <c:v>5.6524501495136556E-3</c:v>
                </c:pt>
                <c:pt idx="15">
                  <c:v>5.6924032051407633E-3</c:v>
                </c:pt>
                <c:pt idx="16">
                  <c:v>5.7304451413388857E-3</c:v>
                </c:pt>
                <c:pt idx="17">
                  <c:v>5.7739229796817965E-3</c:v>
                </c:pt>
                <c:pt idx="18">
                  <c:v>5.8238643409744828E-3</c:v>
                </c:pt>
                <c:pt idx="19">
                  <c:v>5.8712310256208286E-3</c:v>
                </c:pt>
                <c:pt idx="20">
                  <c:v>5.9214992839373608E-3</c:v>
                </c:pt>
                <c:pt idx="21">
                  <c:v>5.9775661643735175E-3</c:v>
                </c:pt>
                <c:pt idx="22">
                  <c:v>6.0312567333995239E-3</c:v>
                </c:pt>
                <c:pt idx="23">
                  <c:v>6.0876441385469488E-3</c:v>
                </c:pt>
                <c:pt idx="24">
                  <c:v>6.145080890032171E-3</c:v>
                </c:pt>
                <c:pt idx="25">
                  <c:v>6.2012312828909509E-3</c:v>
                </c:pt>
                <c:pt idx="26">
                  <c:v>6.2572597575791056E-3</c:v>
                </c:pt>
                <c:pt idx="27">
                  <c:v>6.3125128908991125E-3</c:v>
                </c:pt>
                <c:pt idx="28">
                  <c:v>6.3657570841010548E-3</c:v>
                </c:pt>
                <c:pt idx="29">
                  <c:v>6.4240771658634161E-3</c:v>
                </c:pt>
                <c:pt idx="30">
                  <c:v>6.4763338192054525E-3</c:v>
                </c:pt>
                <c:pt idx="31">
                  <c:v>6.5291596520777734E-3</c:v>
                </c:pt>
                <c:pt idx="32">
                  <c:v>6.5844806790279591E-3</c:v>
                </c:pt>
                <c:pt idx="33">
                  <c:v>6.6317609743958977E-3</c:v>
                </c:pt>
                <c:pt idx="34">
                  <c:v>6.6815090803915723E-3</c:v>
                </c:pt>
                <c:pt idx="35">
                  <c:v>6.7350687313310568E-3</c:v>
                </c:pt>
                <c:pt idx="36">
                  <c:v>6.7737827058760849E-3</c:v>
                </c:pt>
                <c:pt idx="37">
                  <c:v>6.81605918351648E-3</c:v>
                </c:pt>
                <c:pt idx="38">
                  <c:v>6.8538502445316101E-3</c:v>
                </c:pt>
                <c:pt idx="39">
                  <c:v>6.888460233707908E-3</c:v>
                </c:pt>
                <c:pt idx="40">
                  <c:v>6.9204904125304322E-3</c:v>
                </c:pt>
                <c:pt idx="41">
                  <c:v>6.9515089006559772E-3</c:v>
                </c:pt>
                <c:pt idx="42">
                  <c:v>6.9748742906433243E-3</c:v>
                </c:pt>
                <c:pt idx="43">
                  <c:v>6.9985019878433087E-3</c:v>
                </c:pt>
                <c:pt idx="44">
                  <c:v>7.0183340229670729E-3</c:v>
                </c:pt>
                <c:pt idx="45">
                  <c:v>7.0369299344286568E-3</c:v>
                </c:pt>
                <c:pt idx="46">
                  <c:v>7.0559373946601544E-3</c:v>
                </c:pt>
                <c:pt idx="47">
                  <c:v>7.0781437108607681E-3</c:v>
                </c:pt>
                <c:pt idx="48">
                  <c:v>7.0980181675231622E-3</c:v>
                </c:pt>
                <c:pt idx="49">
                  <c:v>7.1257078403342868E-3</c:v>
                </c:pt>
                <c:pt idx="50">
                  <c:v>7.1522053065899375E-3</c:v>
                </c:pt>
                <c:pt idx="51">
                  <c:v>7.1822144248358619E-3</c:v>
                </c:pt>
                <c:pt idx="52">
                  <c:v>7.2172173320324794E-3</c:v>
                </c:pt>
                <c:pt idx="53">
                  <c:v>7.2536326720563024E-3</c:v>
                </c:pt>
                <c:pt idx="54">
                  <c:v>7.2940705339904653E-3</c:v>
                </c:pt>
                <c:pt idx="55">
                  <c:v>7.3424547116945462E-3</c:v>
                </c:pt>
                <c:pt idx="56">
                  <c:v>7.3818169522400509E-3</c:v>
                </c:pt>
                <c:pt idx="57">
                  <c:v>7.4290545793375268E-3</c:v>
                </c:pt>
                <c:pt idx="58">
                  <c:v>7.4802082542105314E-3</c:v>
                </c:pt>
                <c:pt idx="59">
                  <c:v>7.524942476747047E-3</c:v>
                </c:pt>
                <c:pt idx="60">
                  <c:v>7.5720972595435089E-3</c:v>
                </c:pt>
                <c:pt idx="61">
                  <c:v>7.6202241865439098E-3</c:v>
                </c:pt>
                <c:pt idx="62">
                  <c:v>7.6616228191950042E-3</c:v>
                </c:pt>
                <c:pt idx="63">
                  <c:v>7.7043273179023862E-3</c:v>
                </c:pt>
                <c:pt idx="64">
                  <c:v>7.7495812070085867E-3</c:v>
                </c:pt>
                <c:pt idx="65">
                  <c:v>7.7852434946098798E-3</c:v>
                </c:pt>
                <c:pt idx="66">
                  <c:v>7.8248027978545572E-3</c:v>
                </c:pt>
                <c:pt idx="67">
                  <c:v>7.8631133190116727E-3</c:v>
                </c:pt>
                <c:pt idx="68">
                  <c:v>7.8950122325516618E-3</c:v>
                </c:pt>
                <c:pt idx="69">
                  <c:v>7.9301808869742373E-3</c:v>
                </c:pt>
                <c:pt idx="70">
                  <c:v>7.9665108308123178E-3</c:v>
                </c:pt>
                <c:pt idx="71">
                  <c:v>8.0008368587187722E-3</c:v>
                </c:pt>
                <c:pt idx="72">
                  <c:v>8.0405138250320921E-3</c:v>
                </c:pt>
                <c:pt idx="73">
                  <c:v>8.0760807415401377E-3</c:v>
                </c:pt>
                <c:pt idx="74">
                  <c:v>8.1148386575810635E-3</c:v>
                </c:pt>
                <c:pt idx="75">
                  <c:v>8.1576279215756758E-3</c:v>
                </c:pt>
                <c:pt idx="76">
                  <c:v>8.2018918287497487E-3</c:v>
                </c:pt>
                <c:pt idx="77">
                  <c:v>8.2433997613750726E-3</c:v>
                </c:pt>
                <c:pt idx="78">
                  <c:v>8.2905058167100591E-3</c:v>
                </c:pt>
                <c:pt idx="79">
                  <c:v>8.3380600567447803E-3</c:v>
                </c:pt>
                <c:pt idx="80">
                  <c:v>8.3850588313549562E-3</c:v>
                </c:pt>
                <c:pt idx="81">
                  <c:v>8.4384009720005152E-3</c:v>
                </c:pt>
                <c:pt idx="82">
                  <c:v>8.4855940321703852E-3</c:v>
                </c:pt>
                <c:pt idx="83">
                  <c:v>8.5366395926189595E-3</c:v>
                </c:pt>
                <c:pt idx="84">
                  <c:v>8.5901107708188928E-3</c:v>
                </c:pt>
                <c:pt idx="85">
                  <c:v>8.6390597637678677E-3</c:v>
                </c:pt>
                <c:pt idx="86">
                  <c:v>8.6881064817926085E-3</c:v>
                </c:pt>
                <c:pt idx="87">
                  <c:v>8.741383007296941E-3</c:v>
                </c:pt>
                <c:pt idx="88">
                  <c:v>8.7879974820214667E-3</c:v>
                </c:pt>
                <c:pt idx="89">
                  <c:v>8.8373737292700375E-3</c:v>
                </c:pt>
                <c:pt idx="90">
                  <c:v>8.8898552538290068E-3</c:v>
                </c:pt>
                <c:pt idx="91">
                  <c:v>8.9362498209552329E-3</c:v>
                </c:pt>
                <c:pt idx="92">
                  <c:v>8.9834965051764689E-3</c:v>
                </c:pt>
                <c:pt idx="93">
                  <c:v>9.0325476946669109E-3</c:v>
                </c:pt>
                <c:pt idx="94">
                  <c:v>9.077246328300469E-3</c:v>
                </c:pt>
                <c:pt idx="95">
                  <c:v>9.1239261479929348E-3</c:v>
                </c:pt>
                <c:pt idx="96">
                  <c:v>9.165581941015518E-3</c:v>
                </c:pt>
                <c:pt idx="97">
                  <c:v>9.2077687355874172E-3</c:v>
                </c:pt>
                <c:pt idx="98">
                  <c:v>9.2476380521455664E-3</c:v>
                </c:pt>
                <c:pt idx="99">
                  <c:v>9.2845959011460723E-3</c:v>
                </c:pt>
                <c:pt idx="100">
                  <c:v>9.3205691787659629E-3</c:v>
                </c:pt>
                <c:pt idx="101">
                  <c:v>9.3572814202027219E-3</c:v>
                </c:pt>
                <c:pt idx="102">
                  <c:v>9.3867072205623958E-3</c:v>
                </c:pt>
                <c:pt idx="103">
                  <c:v>9.4186748285018489E-3</c:v>
                </c:pt>
                <c:pt idx="104">
                  <c:v>9.446667457050504E-3</c:v>
                </c:pt>
                <c:pt idx="105">
                  <c:v>9.4732113618924141E-3</c:v>
                </c:pt>
                <c:pt idx="106">
                  <c:v>9.5005141242457836E-3</c:v>
                </c:pt>
                <c:pt idx="107">
                  <c:v>9.5307375057153663E-3</c:v>
                </c:pt>
                <c:pt idx="108">
                  <c:v>9.5557041172825586E-3</c:v>
                </c:pt>
                <c:pt idx="109">
                  <c:v>9.5879668130849499E-3</c:v>
                </c:pt>
                <c:pt idx="110">
                  <c:v>9.6157832826870432E-3</c:v>
                </c:pt>
                <c:pt idx="111">
                  <c:v>9.6441055455833077E-3</c:v>
                </c:pt>
                <c:pt idx="112">
                  <c:v>9.6769103019610607E-3</c:v>
                </c:pt>
                <c:pt idx="113">
                  <c:v>9.7101060056992428E-3</c:v>
                </c:pt>
                <c:pt idx="114">
                  <c:v>9.7409522226128802E-3</c:v>
                </c:pt>
                <c:pt idx="115">
                  <c:v>9.7761909564597679E-3</c:v>
                </c:pt>
                <c:pt idx="116">
                  <c:v>9.8091420389780689E-3</c:v>
                </c:pt>
                <c:pt idx="117">
                  <c:v>9.8432239513553486E-3</c:v>
                </c:pt>
                <c:pt idx="118">
                  <c:v>9.8811179834700745E-3</c:v>
                </c:pt>
                <c:pt idx="119">
                  <c:v>9.9114363063570344E-3</c:v>
                </c:pt>
                <c:pt idx="120">
                  <c:v>9.9441124197028226E-3</c:v>
                </c:pt>
                <c:pt idx="121">
                  <c:v>9.9783079305393405E-3</c:v>
                </c:pt>
                <c:pt idx="122">
                  <c:v>1.0006439169126235E-2</c:v>
                </c:pt>
                <c:pt idx="123">
                  <c:v>1.0034036649245029E-2</c:v>
                </c:pt>
                <c:pt idx="124">
                  <c:v>1.0061975165820088E-2</c:v>
                </c:pt>
                <c:pt idx="125">
                  <c:v>1.0087180345141472E-2</c:v>
                </c:pt>
                <c:pt idx="126">
                  <c:v>1.0111767982360444E-2</c:v>
                </c:pt>
                <c:pt idx="127">
                  <c:v>1.013739699044465E-2</c:v>
                </c:pt>
                <c:pt idx="128">
                  <c:v>1.0155811311332086E-2</c:v>
                </c:pt>
                <c:pt idx="129">
                  <c:v>1.0176221129166496E-2</c:v>
                </c:pt>
                <c:pt idx="130">
                  <c:v>1.0196420840044511E-2</c:v>
                </c:pt>
                <c:pt idx="131">
                  <c:v>1.0212601217924569E-2</c:v>
                </c:pt>
                <c:pt idx="132">
                  <c:v>1.0228568976163503E-2</c:v>
                </c:pt>
                <c:pt idx="133">
                  <c:v>1.0244182513610397E-2</c:v>
                </c:pt>
                <c:pt idx="134">
                  <c:v>1.0256696368862414E-2</c:v>
                </c:pt>
                <c:pt idx="135">
                  <c:v>1.0268483299414181E-2</c:v>
                </c:pt>
                <c:pt idx="136">
                  <c:v>1.0280069653450331E-2</c:v>
                </c:pt>
                <c:pt idx="137">
                  <c:v>1.0288096812535317E-2</c:v>
                </c:pt>
                <c:pt idx="138">
                  <c:v>1.0296397514355583E-2</c:v>
                </c:pt>
                <c:pt idx="139">
                  <c:v>1.0302713197547098E-2</c:v>
                </c:pt>
                <c:pt idx="140">
                  <c:v>1.0307072885758333E-2</c:v>
                </c:pt>
                <c:pt idx="141">
                  <c:v>1.0311542537500258E-2</c:v>
                </c:pt>
                <c:pt idx="142">
                  <c:v>1.0314064648376494E-2</c:v>
                </c:pt>
                <c:pt idx="143">
                  <c:v>1.0316444458368667E-2</c:v>
                </c:pt>
                <c:pt idx="144">
                  <c:v>1.0318016597660871E-2</c:v>
                </c:pt>
                <c:pt idx="145">
                  <c:v>1.0319079794339455E-2</c:v>
                </c:pt>
                <c:pt idx="146">
                  <c:v>1.0320026317590663E-2</c:v>
                </c:pt>
                <c:pt idx="147">
                  <c:v>1.0320120564902266E-2</c:v>
                </c:pt>
                <c:pt idx="148">
                  <c:v>1.0320040003938208E-2</c:v>
                </c:pt>
                <c:pt idx="149">
                  <c:v>1.0319229977229545E-2</c:v>
                </c:pt>
                <c:pt idx="150">
                  <c:v>1.0318153954413812E-2</c:v>
                </c:pt>
                <c:pt idx="151">
                  <c:v>1.0316636322244416E-2</c:v>
                </c:pt>
                <c:pt idx="152">
                  <c:v>1.0314258263728558E-2</c:v>
                </c:pt>
                <c:pt idx="153">
                  <c:v>1.031183187245145E-2</c:v>
                </c:pt>
                <c:pt idx="154">
                  <c:v>1.0308854329551814E-2</c:v>
                </c:pt>
                <c:pt idx="155">
                  <c:v>1.0305611262610504E-2</c:v>
                </c:pt>
                <c:pt idx="156">
                  <c:v>1.0301711005993752E-2</c:v>
                </c:pt>
                <c:pt idx="157">
                  <c:v>1.0297279736642526E-2</c:v>
                </c:pt>
                <c:pt idx="158">
                  <c:v>1.0293220739472283E-2</c:v>
                </c:pt>
                <c:pt idx="159">
                  <c:v>1.0287609552807468E-2</c:v>
                </c:pt>
                <c:pt idx="160">
                  <c:v>1.0282287522265551E-2</c:v>
                </c:pt>
                <c:pt idx="161">
                  <c:v>1.0276193444352932E-2</c:v>
                </c:pt>
                <c:pt idx="162">
                  <c:v>1.0269433460000504E-2</c:v>
                </c:pt>
                <c:pt idx="163">
                  <c:v>1.0262542296929609E-2</c:v>
                </c:pt>
                <c:pt idx="164">
                  <c:v>1.0254436346101495E-2</c:v>
                </c:pt>
                <c:pt idx="165">
                  <c:v>1.0247173958752187E-2</c:v>
                </c:pt>
                <c:pt idx="166">
                  <c:v>1.0238693031848607E-2</c:v>
                </c:pt>
                <c:pt idx="167">
                  <c:v>1.0228844100907809E-2</c:v>
                </c:pt>
                <c:pt idx="168">
                  <c:v>1.0220645691408596E-2</c:v>
                </c:pt>
                <c:pt idx="169">
                  <c:v>1.0210780181090461E-2</c:v>
                </c:pt>
                <c:pt idx="170">
                  <c:v>1.0201327220683544E-2</c:v>
                </c:pt>
                <c:pt idx="171">
                  <c:v>1.0190626729942493E-2</c:v>
                </c:pt>
                <c:pt idx="172">
                  <c:v>1.0179707665377393E-2</c:v>
                </c:pt>
                <c:pt idx="173">
                  <c:v>1.0167238552631708E-2</c:v>
                </c:pt>
                <c:pt idx="174">
                  <c:v>1.0156243578450712E-2</c:v>
                </c:pt>
                <c:pt idx="175">
                  <c:v>1.0143493384859316E-2</c:v>
                </c:pt>
                <c:pt idx="176">
                  <c:v>1.0130299464461243E-2</c:v>
                </c:pt>
                <c:pt idx="177">
                  <c:v>1.0117938284681232E-2</c:v>
                </c:pt>
                <c:pt idx="178">
                  <c:v>1.0104497765695372E-2</c:v>
                </c:pt>
                <c:pt idx="179">
                  <c:v>1.0089853047647127E-2</c:v>
                </c:pt>
                <c:pt idx="180">
                  <c:v>1.0077514619448705E-2</c:v>
                </c:pt>
                <c:pt idx="181">
                  <c:v>1.0062701430966502E-2</c:v>
                </c:pt>
                <c:pt idx="182">
                  <c:v>1.0049749894924206E-2</c:v>
                </c:pt>
                <c:pt idx="183">
                  <c:v>1.0037412715884137E-2</c:v>
                </c:pt>
                <c:pt idx="184">
                  <c:v>1.0023855492891507E-2</c:v>
                </c:pt>
                <c:pt idx="185">
                  <c:v>1.0009751589424593E-2</c:v>
                </c:pt>
                <c:pt idx="186">
                  <c:v>9.9969818531454382E-3</c:v>
                </c:pt>
                <c:pt idx="187">
                  <c:v>9.9831593500012434E-3</c:v>
                </c:pt>
                <c:pt idx="188">
                  <c:v>9.9696818331308466E-3</c:v>
                </c:pt>
                <c:pt idx="189">
                  <c:v>9.9563094685826675E-3</c:v>
                </c:pt>
                <c:pt idx="190">
                  <c:v>9.9416978918147481E-3</c:v>
                </c:pt>
                <c:pt idx="191">
                  <c:v>9.9293034929963143E-3</c:v>
                </c:pt>
                <c:pt idx="192">
                  <c:v>9.9156714048595253E-3</c:v>
                </c:pt>
                <c:pt idx="193">
                  <c:v>9.9014272893876449E-3</c:v>
                </c:pt>
                <c:pt idx="194">
                  <c:v>9.8889555281703369E-3</c:v>
                </c:pt>
                <c:pt idx="195">
                  <c:v>9.875335086840643E-3</c:v>
                </c:pt>
                <c:pt idx="196">
                  <c:v>9.860659094864872E-3</c:v>
                </c:pt>
                <c:pt idx="197">
                  <c:v>9.8483726634827073E-3</c:v>
                </c:pt>
                <c:pt idx="198">
                  <c:v>9.8348520969284738E-3</c:v>
                </c:pt>
                <c:pt idx="199">
                  <c:v>9.8204525095457896E-3</c:v>
                </c:pt>
                <c:pt idx="200">
                  <c:v>9.8079136196255155E-3</c:v>
                </c:pt>
                <c:pt idx="201">
                  <c:v>9.7945805755910026E-3</c:v>
                </c:pt>
                <c:pt idx="202">
                  <c:v>9.7808091294543705E-3</c:v>
                </c:pt>
                <c:pt idx="203">
                  <c:v>9.7676620898580861E-3</c:v>
                </c:pt>
                <c:pt idx="204">
                  <c:v>9.7531056579737898E-3</c:v>
                </c:pt>
                <c:pt idx="205">
                  <c:v>9.7404077812962651E-3</c:v>
                </c:pt>
                <c:pt idx="206">
                  <c:v>9.7277908262580395E-3</c:v>
                </c:pt>
                <c:pt idx="207">
                  <c:v>9.7140354607314124E-3</c:v>
                </c:pt>
                <c:pt idx="208">
                  <c:v>9.7000257310723027E-3</c:v>
                </c:pt>
                <c:pt idx="209">
                  <c:v>9.6873419917281808E-3</c:v>
                </c:pt>
                <c:pt idx="210">
                  <c:v>9.6739453473506445E-3</c:v>
                </c:pt>
                <c:pt idx="211">
                  <c:v>9.660388059362689E-3</c:v>
                </c:pt>
                <c:pt idx="212">
                  <c:v>9.6470205226420868E-3</c:v>
                </c:pt>
                <c:pt idx="213">
                  <c:v>9.6327534476057675E-3</c:v>
                </c:pt>
                <c:pt idx="214">
                  <c:v>9.6201819983637079E-3</c:v>
                </c:pt>
                <c:pt idx="215">
                  <c:v>9.6068944368869879E-3</c:v>
                </c:pt>
                <c:pt idx="216">
                  <c:v>9.5928244098356617E-3</c:v>
                </c:pt>
                <c:pt idx="217">
                  <c:v>9.5797315508046304E-3</c:v>
                </c:pt>
                <c:pt idx="218">
                  <c:v>9.5671436987605721E-3</c:v>
                </c:pt>
                <c:pt idx="219">
                  <c:v>9.5523004473505434E-3</c:v>
                </c:pt>
                <c:pt idx="220">
                  <c:v>9.5403462944519332E-3</c:v>
                </c:pt>
                <c:pt idx="221">
                  <c:v>9.5268288230481567E-3</c:v>
                </c:pt>
                <c:pt idx="222">
                  <c:v>9.5126854616760965E-3</c:v>
                </c:pt>
                <c:pt idx="223">
                  <c:v>9.499957879083679E-3</c:v>
                </c:pt>
                <c:pt idx="224">
                  <c:v>9.4866447504819464E-3</c:v>
                </c:pt>
                <c:pt idx="225">
                  <c:v>9.4729511372160253E-3</c:v>
                </c:pt>
                <c:pt idx="226">
                  <c:v>9.4598926692523195E-3</c:v>
                </c:pt>
                <c:pt idx="227">
                  <c:v>9.4466441554983682E-3</c:v>
                </c:pt>
                <c:pt idx="228">
                  <c:v>9.4330576924962373E-3</c:v>
                </c:pt>
                <c:pt idx="229">
                  <c:v>9.4195725908236324E-3</c:v>
                </c:pt>
                <c:pt idx="230">
                  <c:v>9.4068182451232819E-3</c:v>
                </c:pt>
                <c:pt idx="231">
                  <c:v>9.3930981992171401E-3</c:v>
                </c:pt>
                <c:pt idx="232">
                  <c:v>9.3803031562962429E-3</c:v>
                </c:pt>
                <c:pt idx="233">
                  <c:v>9.3664379476315722E-3</c:v>
                </c:pt>
                <c:pt idx="234">
                  <c:v>9.3531691525602697E-3</c:v>
                </c:pt>
                <c:pt idx="235">
                  <c:v>9.3400448336213877E-3</c:v>
                </c:pt>
                <c:pt idx="236">
                  <c:v>9.3258094781997376E-3</c:v>
                </c:pt>
                <c:pt idx="237">
                  <c:v>9.3134623091260527E-3</c:v>
                </c:pt>
                <c:pt idx="238">
                  <c:v>9.3000013634830132E-3</c:v>
                </c:pt>
                <c:pt idx="239">
                  <c:v>9.2850225544460988E-3</c:v>
                </c:pt>
                <c:pt idx="240">
                  <c:v>9.2733039955646048E-3</c:v>
                </c:pt>
                <c:pt idx="241">
                  <c:v>9.259726560592622E-3</c:v>
                </c:pt>
                <c:pt idx="242">
                  <c:v>9.2459368680724782E-3</c:v>
                </c:pt>
                <c:pt idx="243">
                  <c:v>9.233323509770134E-3</c:v>
                </c:pt>
                <c:pt idx="244">
                  <c:v>9.2198525562835216E-3</c:v>
                </c:pt>
                <c:pt idx="245">
                  <c:v>9.2059085909112839E-3</c:v>
                </c:pt>
                <c:pt idx="246">
                  <c:v>9.1932755421282545E-3</c:v>
                </c:pt>
                <c:pt idx="247">
                  <c:v>9.1795484206205601E-3</c:v>
                </c:pt>
                <c:pt idx="248">
                  <c:v>9.1662332751835801E-3</c:v>
                </c:pt>
                <c:pt idx="249">
                  <c:v>9.1530367139334677E-3</c:v>
                </c:pt>
                <c:pt idx="250">
                  <c:v>9.1384063436369817E-3</c:v>
                </c:pt>
                <c:pt idx="251">
                  <c:v>9.1261820161349719E-3</c:v>
                </c:pt>
                <c:pt idx="252">
                  <c:v>9.1126302989302816E-3</c:v>
                </c:pt>
                <c:pt idx="253">
                  <c:v>9.0983089272354389E-3</c:v>
                </c:pt>
                <c:pt idx="254">
                  <c:v>9.085850426645883E-3</c:v>
                </c:pt>
                <c:pt idx="255">
                  <c:v>9.0727185558741805E-3</c:v>
                </c:pt>
                <c:pt idx="256">
                  <c:v>9.0592544183375426E-3</c:v>
                </c:pt>
                <c:pt idx="257">
                  <c:v>9.0457761720475326E-3</c:v>
                </c:pt>
                <c:pt idx="258">
                  <c:v>9.0324055410268191E-3</c:v>
                </c:pt>
                <c:pt idx="259">
                  <c:v>9.0173673761399977E-3</c:v>
                </c:pt>
                <c:pt idx="260">
                  <c:v>9.0053077663941258E-3</c:v>
                </c:pt>
                <c:pt idx="261">
                  <c:v>8.9919151194495905E-3</c:v>
                </c:pt>
                <c:pt idx="262">
                  <c:v>8.9776283163751826E-3</c:v>
                </c:pt>
                <c:pt idx="263">
                  <c:v>8.9648864095412881E-3</c:v>
                </c:pt>
                <c:pt idx="264">
                  <c:v>8.9512516739379266E-3</c:v>
                </c:pt>
                <c:pt idx="265">
                  <c:v>8.9372720405199429E-3</c:v>
                </c:pt>
                <c:pt idx="266">
                  <c:v>8.9247285060818585E-3</c:v>
                </c:pt>
                <c:pt idx="267">
                  <c:v>8.9110724022272696E-3</c:v>
                </c:pt>
                <c:pt idx="268">
                  <c:v>8.8962923586469646E-3</c:v>
                </c:pt>
                <c:pt idx="269">
                  <c:v>8.8839560335953853E-3</c:v>
                </c:pt>
                <c:pt idx="270">
                  <c:v>8.8702644212980963E-3</c:v>
                </c:pt>
                <c:pt idx="271">
                  <c:v>8.8558045960609542E-3</c:v>
                </c:pt>
                <c:pt idx="272">
                  <c:v>8.8432359939234744E-3</c:v>
                </c:pt>
                <c:pt idx="273">
                  <c:v>8.829752405946396E-3</c:v>
                </c:pt>
                <c:pt idx="274">
                  <c:v>8.8158149360030962E-3</c:v>
                </c:pt>
                <c:pt idx="275">
                  <c:v>8.8025497273860175E-3</c:v>
                </c:pt>
                <c:pt idx="276">
                  <c:v>8.7878214083007018E-3</c:v>
                </c:pt>
                <c:pt idx="277">
                  <c:v>8.7749894396183074E-3</c:v>
                </c:pt>
                <c:pt idx="278">
                  <c:v>8.7621244408240383E-3</c:v>
                </c:pt>
                <c:pt idx="279">
                  <c:v>8.7481472611161768E-3</c:v>
                </c:pt>
                <c:pt idx="280">
                  <c:v>8.7339532123059324E-3</c:v>
                </c:pt>
                <c:pt idx="281">
                  <c:v>8.7210949838306788E-3</c:v>
                </c:pt>
                <c:pt idx="282">
                  <c:v>8.7074221723280384E-3</c:v>
                </c:pt>
                <c:pt idx="283">
                  <c:v>8.693654821793708E-3</c:v>
                </c:pt>
                <c:pt idx="284">
                  <c:v>8.6800020821042323E-3</c:v>
                </c:pt>
                <c:pt idx="285">
                  <c:v>8.6655300097396686E-3</c:v>
                </c:pt>
                <c:pt idx="286">
                  <c:v>8.6526397634027613E-3</c:v>
                </c:pt>
                <c:pt idx="287">
                  <c:v>8.6390496744099647E-3</c:v>
                </c:pt>
                <c:pt idx="288">
                  <c:v>8.6247991027129014E-3</c:v>
                </c:pt>
                <c:pt idx="289">
                  <c:v>8.6113170374591107E-3</c:v>
                </c:pt>
                <c:pt idx="290">
                  <c:v>8.5977821504364393E-3</c:v>
                </c:pt>
                <c:pt idx="291">
                  <c:v>8.5837574949083825E-3</c:v>
                </c:pt>
                <c:pt idx="292">
                  <c:v>8.5705791492395184E-3</c:v>
                </c:pt>
                <c:pt idx="293">
                  <c:v>8.5562419040492131E-3</c:v>
                </c:pt>
                <c:pt idx="294">
                  <c:v>8.542648560562081E-3</c:v>
                </c:pt>
                <c:pt idx="295">
                  <c:v>8.5291347608794556E-3</c:v>
                </c:pt>
                <c:pt idx="296">
                  <c:v>8.5145840957279173E-3</c:v>
                </c:pt>
                <c:pt idx="297">
                  <c:v>8.5021406396005635E-3</c:v>
                </c:pt>
                <c:pt idx="298">
                  <c:v>8.4886670204667898E-3</c:v>
                </c:pt>
                <c:pt idx="299">
                  <c:v>8.4739598849134234E-3</c:v>
                </c:pt>
                <c:pt idx="300">
                  <c:v>8.4627639084773523E-3</c:v>
                </c:pt>
                <c:pt idx="301">
                  <c:v>8.4501561521154421E-3</c:v>
                </c:pt>
                <c:pt idx="302">
                  <c:v>8.4387564339629354E-3</c:v>
                </c:pt>
                <c:pt idx="303">
                  <c:v>8.4271126057286171E-3</c:v>
                </c:pt>
                <c:pt idx="304">
                  <c:v>8.4159784222736546E-3</c:v>
                </c:pt>
                <c:pt idx="305">
                  <c:v>8.4042614429180422E-3</c:v>
                </c:pt>
                <c:pt idx="306">
                  <c:v>8.3946799637980331E-3</c:v>
                </c:pt>
                <c:pt idx="307">
                  <c:v>8.3843399470132762E-3</c:v>
                </c:pt>
                <c:pt idx="308">
                  <c:v>8.3743831788446309E-3</c:v>
                </c:pt>
                <c:pt idx="309">
                  <c:v>8.3656195504275433E-3</c:v>
                </c:pt>
                <c:pt idx="310">
                  <c:v>8.3566280679287456E-3</c:v>
                </c:pt>
                <c:pt idx="311">
                  <c:v>8.3474181443329576E-3</c:v>
                </c:pt>
                <c:pt idx="312">
                  <c:v>8.3400263292725194E-3</c:v>
                </c:pt>
                <c:pt idx="313">
                  <c:v>8.331656708332141E-3</c:v>
                </c:pt>
                <c:pt idx="314">
                  <c:v>8.3247148448188542E-3</c:v>
                </c:pt>
                <c:pt idx="315">
                  <c:v>8.3183784814587179E-3</c:v>
                </c:pt>
                <c:pt idx="316">
                  <c:v>8.3119312605595356E-3</c:v>
                </c:pt>
                <c:pt idx="317">
                  <c:v>8.305498222418101E-3</c:v>
                </c:pt>
                <c:pt idx="318">
                  <c:v>8.3000291181012636E-3</c:v>
                </c:pt>
                <c:pt idx="319">
                  <c:v>8.2945949033287041E-3</c:v>
                </c:pt>
                <c:pt idx="320">
                  <c:v>8.2894894563281599E-3</c:v>
                </c:pt>
                <c:pt idx="321">
                  <c:v>8.2849807046902861E-3</c:v>
                </c:pt>
                <c:pt idx="322">
                  <c:v>8.2804946971960502E-3</c:v>
                </c:pt>
                <c:pt idx="323">
                  <c:v>8.276983417502189E-3</c:v>
                </c:pt>
                <c:pt idx="324">
                  <c:v>8.2734732094363467E-3</c:v>
                </c:pt>
                <c:pt idx="325">
                  <c:v>8.2704253252398642E-3</c:v>
                </c:pt>
                <c:pt idx="326">
                  <c:v>8.2680897754901367E-3</c:v>
                </c:pt>
                <c:pt idx="327">
                  <c:v>8.2658295640254155E-3</c:v>
                </c:pt>
                <c:pt idx="328">
                  <c:v>8.2641546674215166E-3</c:v>
                </c:pt>
                <c:pt idx="329">
                  <c:v>8.26252654542926E-3</c:v>
                </c:pt>
                <c:pt idx="330">
                  <c:v>8.2615632454921799E-3</c:v>
                </c:pt>
                <c:pt idx="331">
                  <c:v>8.2608405149589819E-3</c:v>
                </c:pt>
                <c:pt idx="332">
                  <c:v>8.2604142924726735E-3</c:v>
                </c:pt>
                <c:pt idx="333">
                  <c:v>8.2606278247070088E-3</c:v>
                </c:pt>
                <c:pt idx="334">
                  <c:v>8.2611689027247363E-3</c:v>
                </c:pt>
                <c:pt idx="335">
                  <c:v>8.262032263035889E-3</c:v>
                </c:pt>
                <c:pt idx="336">
                  <c:v>8.2632231130251137E-3</c:v>
                </c:pt>
                <c:pt idx="337">
                  <c:v>8.2649368752025342E-3</c:v>
                </c:pt>
                <c:pt idx="338">
                  <c:v>8.2671810543767498E-3</c:v>
                </c:pt>
                <c:pt idx="339">
                  <c:v>8.2698361619665504E-3</c:v>
                </c:pt>
                <c:pt idx="340">
                  <c:v>8.2727096106054426E-3</c:v>
                </c:pt>
                <c:pt idx="341">
                  <c:v>8.2756603231297875E-3</c:v>
                </c:pt>
                <c:pt idx="342">
                  <c:v>8.2795680705729912E-3</c:v>
                </c:pt>
                <c:pt idx="343">
                  <c:v>8.2835108967727073E-3</c:v>
                </c:pt>
                <c:pt idx="344">
                  <c:v>8.2874935147132581E-3</c:v>
                </c:pt>
                <c:pt idx="345">
                  <c:v>8.2927379460569772E-3</c:v>
                </c:pt>
                <c:pt idx="346">
                  <c:v>8.2975149437295587E-3</c:v>
                </c:pt>
                <c:pt idx="347">
                  <c:v>8.3032147771180728E-3</c:v>
                </c:pt>
                <c:pt idx="348">
                  <c:v>8.3095111384279569E-3</c:v>
                </c:pt>
                <c:pt idx="349">
                  <c:v>8.3155971513210816E-3</c:v>
                </c:pt>
                <c:pt idx="350">
                  <c:v>8.3224544919035439E-3</c:v>
                </c:pt>
                <c:pt idx="351">
                  <c:v>8.3299988181279264E-3</c:v>
                </c:pt>
                <c:pt idx="352">
                  <c:v>8.3371714691400853E-3</c:v>
                </c:pt>
                <c:pt idx="353">
                  <c:v>8.3450167505517339E-3</c:v>
                </c:pt>
                <c:pt idx="354">
                  <c:v>8.3540183417400733E-3</c:v>
                </c:pt>
                <c:pt idx="355">
                  <c:v>8.3623212652930122E-3</c:v>
                </c:pt>
                <c:pt idx="356">
                  <c:v>8.3707524052429021E-3</c:v>
                </c:pt>
                <c:pt idx="357">
                  <c:v>8.3804149664837672E-3</c:v>
                </c:pt>
                <c:pt idx="358">
                  <c:v>8.3894148257776576E-3</c:v>
                </c:pt>
                <c:pt idx="359">
                  <c:v>8.3989782924722596E-3</c:v>
                </c:pt>
                <c:pt idx="360">
                  <c:v>8.4085794458331441E-3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72-4B6D-A377-32F933455548}"/>
            </c:ext>
          </c:extLst>
        </c:ser>
        <c:ser>
          <c:idx val="4"/>
          <c:order val="4"/>
          <c:tx>
            <c:strRef>
              <c:f>DISPLAY_CURVE!$G$9</c:f>
              <c:strCache>
                <c:ptCount val="1"/>
                <c:pt idx="0">
                  <c:v>GBP12ML</c:v>
                </c:pt>
              </c:strCache>
            </c:strRef>
          </c:tx>
          <c:marker>
            <c:symbol val="none"/>
          </c:marker>
          <c:cat>
            <c:numRef>
              <c:f>DISPLAY_CURVE!$B$10:$B$501</c:f>
              <c:numCache>
                <c:formatCode>d\-mmm\-yy</c:formatCode>
                <c:ptCount val="492"/>
                <c:pt idx="0">
                  <c:v>43854</c:v>
                </c:pt>
                <c:pt idx="1">
                  <c:v>43885</c:v>
                </c:pt>
                <c:pt idx="2">
                  <c:v>43914</c:v>
                </c:pt>
                <c:pt idx="3">
                  <c:v>43945</c:v>
                </c:pt>
                <c:pt idx="4">
                  <c:v>43977</c:v>
                </c:pt>
                <c:pt idx="5">
                  <c:v>44006</c:v>
                </c:pt>
                <c:pt idx="6">
                  <c:v>44036</c:v>
                </c:pt>
                <c:pt idx="7">
                  <c:v>44067</c:v>
                </c:pt>
                <c:pt idx="8">
                  <c:v>44098</c:v>
                </c:pt>
                <c:pt idx="9">
                  <c:v>44130</c:v>
                </c:pt>
                <c:pt idx="10">
                  <c:v>44159</c:v>
                </c:pt>
                <c:pt idx="11">
                  <c:v>44189</c:v>
                </c:pt>
                <c:pt idx="12">
                  <c:v>44221</c:v>
                </c:pt>
                <c:pt idx="13">
                  <c:v>44251</c:v>
                </c:pt>
                <c:pt idx="14">
                  <c:v>44279</c:v>
                </c:pt>
                <c:pt idx="15">
                  <c:v>44312</c:v>
                </c:pt>
                <c:pt idx="16">
                  <c:v>44340</c:v>
                </c:pt>
                <c:pt idx="17">
                  <c:v>44371</c:v>
                </c:pt>
                <c:pt idx="18">
                  <c:v>44403</c:v>
                </c:pt>
                <c:pt idx="19">
                  <c:v>44432</c:v>
                </c:pt>
                <c:pt idx="20">
                  <c:v>44463</c:v>
                </c:pt>
                <c:pt idx="21">
                  <c:v>44494</c:v>
                </c:pt>
                <c:pt idx="22">
                  <c:v>44524</c:v>
                </c:pt>
                <c:pt idx="23">
                  <c:v>44554</c:v>
                </c:pt>
                <c:pt idx="24">
                  <c:v>44585</c:v>
                </c:pt>
                <c:pt idx="25">
                  <c:v>44616</c:v>
                </c:pt>
                <c:pt idx="26">
                  <c:v>44644</c:v>
                </c:pt>
                <c:pt idx="27">
                  <c:v>44676</c:v>
                </c:pt>
                <c:pt idx="28">
                  <c:v>44705</c:v>
                </c:pt>
                <c:pt idx="29">
                  <c:v>44736</c:v>
                </c:pt>
                <c:pt idx="30">
                  <c:v>44767</c:v>
                </c:pt>
                <c:pt idx="31">
                  <c:v>44797</c:v>
                </c:pt>
                <c:pt idx="32">
                  <c:v>44830</c:v>
                </c:pt>
                <c:pt idx="33">
                  <c:v>44858</c:v>
                </c:pt>
                <c:pt idx="34">
                  <c:v>44889</c:v>
                </c:pt>
                <c:pt idx="35">
                  <c:v>44923</c:v>
                </c:pt>
                <c:pt idx="36">
                  <c:v>44950</c:v>
                </c:pt>
                <c:pt idx="37">
                  <c:v>44981</c:v>
                </c:pt>
                <c:pt idx="38">
                  <c:v>45009</c:v>
                </c:pt>
                <c:pt idx="39">
                  <c:v>45040</c:v>
                </c:pt>
                <c:pt idx="40">
                  <c:v>45070</c:v>
                </c:pt>
                <c:pt idx="41">
                  <c:v>45103</c:v>
                </c:pt>
                <c:pt idx="42">
                  <c:v>45131</c:v>
                </c:pt>
                <c:pt idx="43">
                  <c:v>45162</c:v>
                </c:pt>
                <c:pt idx="44">
                  <c:v>45194</c:v>
                </c:pt>
                <c:pt idx="45">
                  <c:v>45223</c:v>
                </c:pt>
                <c:pt idx="46">
                  <c:v>45254</c:v>
                </c:pt>
                <c:pt idx="47">
                  <c:v>45287</c:v>
                </c:pt>
                <c:pt idx="48">
                  <c:v>45315</c:v>
                </c:pt>
                <c:pt idx="49">
                  <c:v>45348</c:v>
                </c:pt>
                <c:pt idx="50">
                  <c:v>45376</c:v>
                </c:pt>
                <c:pt idx="51">
                  <c:v>45406</c:v>
                </c:pt>
                <c:pt idx="52">
                  <c:v>45436</c:v>
                </c:pt>
                <c:pt idx="53">
                  <c:v>45467</c:v>
                </c:pt>
                <c:pt idx="54">
                  <c:v>45497</c:v>
                </c:pt>
                <c:pt idx="55">
                  <c:v>45531</c:v>
                </c:pt>
                <c:pt idx="56">
                  <c:v>45559</c:v>
                </c:pt>
                <c:pt idx="57">
                  <c:v>45589</c:v>
                </c:pt>
                <c:pt idx="58">
                  <c:v>45621</c:v>
                </c:pt>
                <c:pt idx="59">
                  <c:v>45650</c:v>
                </c:pt>
                <c:pt idx="60">
                  <c:v>45681</c:v>
                </c:pt>
                <c:pt idx="61">
                  <c:v>45712</c:v>
                </c:pt>
                <c:pt idx="62">
                  <c:v>45740</c:v>
                </c:pt>
                <c:pt idx="63">
                  <c:v>45771</c:v>
                </c:pt>
                <c:pt idx="64">
                  <c:v>45804</c:v>
                </c:pt>
                <c:pt idx="65">
                  <c:v>45832</c:v>
                </c:pt>
                <c:pt idx="66">
                  <c:v>45862</c:v>
                </c:pt>
                <c:pt idx="67">
                  <c:v>45895</c:v>
                </c:pt>
                <c:pt idx="68">
                  <c:v>45924</c:v>
                </c:pt>
                <c:pt idx="69">
                  <c:v>45954</c:v>
                </c:pt>
                <c:pt idx="70">
                  <c:v>45985</c:v>
                </c:pt>
                <c:pt idx="71">
                  <c:v>46015</c:v>
                </c:pt>
                <c:pt idx="72">
                  <c:v>46048</c:v>
                </c:pt>
                <c:pt idx="73">
                  <c:v>46077</c:v>
                </c:pt>
                <c:pt idx="74">
                  <c:v>46105</c:v>
                </c:pt>
                <c:pt idx="75">
                  <c:v>46136</c:v>
                </c:pt>
                <c:pt idx="76">
                  <c:v>46168</c:v>
                </c:pt>
                <c:pt idx="77">
                  <c:v>46197</c:v>
                </c:pt>
                <c:pt idx="78">
                  <c:v>46227</c:v>
                </c:pt>
                <c:pt idx="79">
                  <c:v>46258</c:v>
                </c:pt>
                <c:pt idx="80">
                  <c:v>46289</c:v>
                </c:pt>
                <c:pt idx="81">
                  <c:v>46321</c:v>
                </c:pt>
                <c:pt idx="82">
                  <c:v>46350</c:v>
                </c:pt>
                <c:pt idx="83">
                  <c:v>46380</c:v>
                </c:pt>
                <c:pt idx="84">
                  <c:v>46412</c:v>
                </c:pt>
                <c:pt idx="85">
                  <c:v>46442</c:v>
                </c:pt>
                <c:pt idx="86">
                  <c:v>46470</c:v>
                </c:pt>
                <c:pt idx="87">
                  <c:v>46503</c:v>
                </c:pt>
                <c:pt idx="88">
                  <c:v>46531</c:v>
                </c:pt>
                <c:pt idx="89">
                  <c:v>46562</c:v>
                </c:pt>
                <c:pt idx="90">
                  <c:v>46594</c:v>
                </c:pt>
                <c:pt idx="91">
                  <c:v>46623</c:v>
                </c:pt>
                <c:pt idx="92">
                  <c:v>46654</c:v>
                </c:pt>
                <c:pt idx="93">
                  <c:v>46685</c:v>
                </c:pt>
                <c:pt idx="94">
                  <c:v>46715</c:v>
                </c:pt>
                <c:pt idx="95">
                  <c:v>46745</c:v>
                </c:pt>
                <c:pt idx="96">
                  <c:v>46776</c:v>
                </c:pt>
                <c:pt idx="97">
                  <c:v>46807</c:v>
                </c:pt>
                <c:pt idx="98">
                  <c:v>46836</c:v>
                </c:pt>
                <c:pt idx="99">
                  <c:v>46867</c:v>
                </c:pt>
                <c:pt idx="100">
                  <c:v>46897</c:v>
                </c:pt>
                <c:pt idx="101">
                  <c:v>46930</c:v>
                </c:pt>
                <c:pt idx="102">
                  <c:v>46958</c:v>
                </c:pt>
                <c:pt idx="103">
                  <c:v>46989</c:v>
                </c:pt>
                <c:pt idx="104">
                  <c:v>47021</c:v>
                </c:pt>
                <c:pt idx="105">
                  <c:v>47050</c:v>
                </c:pt>
                <c:pt idx="106">
                  <c:v>47081</c:v>
                </c:pt>
                <c:pt idx="107">
                  <c:v>47114</c:v>
                </c:pt>
                <c:pt idx="108">
                  <c:v>47142</c:v>
                </c:pt>
                <c:pt idx="109">
                  <c:v>47175</c:v>
                </c:pt>
                <c:pt idx="110">
                  <c:v>47203</c:v>
                </c:pt>
                <c:pt idx="111">
                  <c:v>47232</c:v>
                </c:pt>
                <c:pt idx="112">
                  <c:v>47262</c:v>
                </c:pt>
                <c:pt idx="113">
                  <c:v>47294</c:v>
                </c:pt>
                <c:pt idx="114">
                  <c:v>47323</c:v>
                </c:pt>
                <c:pt idx="115">
                  <c:v>47354</c:v>
                </c:pt>
                <c:pt idx="116">
                  <c:v>47385</c:v>
                </c:pt>
                <c:pt idx="117">
                  <c:v>47415</c:v>
                </c:pt>
                <c:pt idx="118">
                  <c:v>47448</c:v>
                </c:pt>
                <c:pt idx="119">
                  <c:v>47476</c:v>
                </c:pt>
                <c:pt idx="120">
                  <c:v>47507</c:v>
                </c:pt>
                <c:pt idx="121">
                  <c:v>47539</c:v>
                </c:pt>
                <c:pt idx="122">
                  <c:v>47567</c:v>
                </c:pt>
                <c:pt idx="123">
                  <c:v>47597</c:v>
                </c:pt>
                <c:pt idx="124">
                  <c:v>47627</c:v>
                </c:pt>
                <c:pt idx="125">
                  <c:v>47658</c:v>
                </c:pt>
                <c:pt idx="126">
                  <c:v>47688</c:v>
                </c:pt>
                <c:pt idx="127">
                  <c:v>47722</c:v>
                </c:pt>
                <c:pt idx="128">
                  <c:v>47750</c:v>
                </c:pt>
                <c:pt idx="129">
                  <c:v>47780</c:v>
                </c:pt>
                <c:pt idx="130">
                  <c:v>47812</c:v>
                </c:pt>
                <c:pt idx="131">
                  <c:v>47841</c:v>
                </c:pt>
                <c:pt idx="132">
                  <c:v>47872</c:v>
                </c:pt>
                <c:pt idx="133">
                  <c:v>47903</c:v>
                </c:pt>
                <c:pt idx="134">
                  <c:v>47931</c:v>
                </c:pt>
                <c:pt idx="135">
                  <c:v>47962</c:v>
                </c:pt>
                <c:pt idx="136">
                  <c:v>47995</c:v>
                </c:pt>
                <c:pt idx="137">
                  <c:v>48023</c:v>
                </c:pt>
                <c:pt idx="138">
                  <c:v>48053</c:v>
                </c:pt>
                <c:pt idx="139">
                  <c:v>48086</c:v>
                </c:pt>
                <c:pt idx="140">
                  <c:v>48115</c:v>
                </c:pt>
                <c:pt idx="141">
                  <c:v>48145</c:v>
                </c:pt>
                <c:pt idx="142">
                  <c:v>48176</c:v>
                </c:pt>
                <c:pt idx="143">
                  <c:v>48206</c:v>
                </c:pt>
                <c:pt idx="144">
                  <c:v>48239</c:v>
                </c:pt>
                <c:pt idx="145">
                  <c:v>48268</c:v>
                </c:pt>
                <c:pt idx="146">
                  <c:v>48297</c:v>
                </c:pt>
                <c:pt idx="147">
                  <c:v>48330</c:v>
                </c:pt>
                <c:pt idx="148">
                  <c:v>48358</c:v>
                </c:pt>
                <c:pt idx="149">
                  <c:v>48389</c:v>
                </c:pt>
                <c:pt idx="150">
                  <c:v>48421</c:v>
                </c:pt>
                <c:pt idx="151">
                  <c:v>48450</c:v>
                </c:pt>
                <c:pt idx="152">
                  <c:v>48481</c:v>
                </c:pt>
                <c:pt idx="153">
                  <c:v>48512</c:v>
                </c:pt>
                <c:pt idx="154">
                  <c:v>48542</c:v>
                </c:pt>
                <c:pt idx="155">
                  <c:v>48572</c:v>
                </c:pt>
                <c:pt idx="156">
                  <c:v>48603</c:v>
                </c:pt>
                <c:pt idx="157">
                  <c:v>48634</c:v>
                </c:pt>
                <c:pt idx="158">
                  <c:v>48662</c:v>
                </c:pt>
                <c:pt idx="159">
                  <c:v>48694</c:v>
                </c:pt>
                <c:pt idx="160">
                  <c:v>48723</c:v>
                </c:pt>
                <c:pt idx="161">
                  <c:v>48754</c:v>
                </c:pt>
                <c:pt idx="162">
                  <c:v>48785</c:v>
                </c:pt>
                <c:pt idx="163">
                  <c:v>48815</c:v>
                </c:pt>
                <c:pt idx="164">
                  <c:v>48848</c:v>
                </c:pt>
                <c:pt idx="165">
                  <c:v>48876</c:v>
                </c:pt>
                <c:pt idx="166">
                  <c:v>48907</c:v>
                </c:pt>
                <c:pt idx="167">
                  <c:v>48941</c:v>
                </c:pt>
                <c:pt idx="168">
                  <c:v>48968</c:v>
                </c:pt>
                <c:pt idx="169">
                  <c:v>48999</c:v>
                </c:pt>
                <c:pt idx="170">
                  <c:v>49027</c:v>
                </c:pt>
                <c:pt idx="171">
                  <c:v>49058</c:v>
                </c:pt>
                <c:pt idx="172">
                  <c:v>49088</c:v>
                </c:pt>
                <c:pt idx="173">
                  <c:v>49121</c:v>
                </c:pt>
                <c:pt idx="174">
                  <c:v>49149</c:v>
                </c:pt>
                <c:pt idx="175">
                  <c:v>49180</c:v>
                </c:pt>
                <c:pt idx="176">
                  <c:v>49212</c:v>
                </c:pt>
                <c:pt idx="177">
                  <c:v>49241</c:v>
                </c:pt>
                <c:pt idx="178">
                  <c:v>49272</c:v>
                </c:pt>
                <c:pt idx="179">
                  <c:v>49305</c:v>
                </c:pt>
                <c:pt idx="180">
                  <c:v>49333</c:v>
                </c:pt>
                <c:pt idx="181">
                  <c:v>49366</c:v>
                </c:pt>
                <c:pt idx="182">
                  <c:v>49395</c:v>
                </c:pt>
                <c:pt idx="183">
                  <c:v>49423</c:v>
                </c:pt>
                <c:pt idx="184">
                  <c:v>49453</c:v>
                </c:pt>
                <c:pt idx="185">
                  <c:v>49485</c:v>
                </c:pt>
                <c:pt idx="186">
                  <c:v>49514</c:v>
                </c:pt>
                <c:pt idx="187">
                  <c:v>49545</c:v>
                </c:pt>
                <c:pt idx="188">
                  <c:v>49576</c:v>
                </c:pt>
                <c:pt idx="189">
                  <c:v>49606</c:v>
                </c:pt>
                <c:pt idx="190">
                  <c:v>49639</c:v>
                </c:pt>
                <c:pt idx="191">
                  <c:v>49667</c:v>
                </c:pt>
                <c:pt idx="192">
                  <c:v>49698</c:v>
                </c:pt>
                <c:pt idx="193">
                  <c:v>49730</c:v>
                </c:pt>
                <c:pt idx="194">
                  <c:v>49758</c:v>
                </c:pt>
                <c:pt idx="195">
                  <c:v>49789</c:v>
                </c:pt>
                <c:pt idx="196">
                  <c:v>49822</c:v>
                </c:pt>
                <c:pt idx="197">
                  <c:v>49850</c:v>
                </c:pt>
                <c:pt idx="198">
                  <c:v>49880</c:v>
                </c:pt>
                <c:pt idx="199">
                  <c:v>49913</c:v>
                </c:pt>
                <c:pt idx="200">
                  <c:v>49942</c:v>
                </c:pt>
                <c:pt idx="201">
                  <c:v>49972</c:v>
                </c:pt>
                <c:pt idx="202">
                  <c:v>50003</c:v>
                </c:pt>
                <c:pt idx="203">
                  <c:v>50033</c:v>
                </c:pt>
                <c:pt idx="204">
                  <c:v>50066</c:v>
                </c:pt>
                <c:pt idx="205">
                  <c:v>50095</c:v>
                </c:pt>
                <c:pt idx="206">
                  <c:v>50123</c:v>
                </c:pt>
                <c:pt idx="207">
                  <c:v>50154</c:v>
                </c:pt>
                <c:pt idx="208">
                  <c:v>50186</c:v>
                </c:pt>
                <c:pt idx="209">
                  <c:v>50215</c:v>
                </c:pt>
                <c:pt idx="210">
                  <c:v>50245</c:v>
                </c:pt>
                <c:pt idx="211">
                  <c:v>50276</c:v>
                </c:pt>
                <c:pt idx="212">
                  <c:v>50307</c:v>
                </c:pt>
                <c:pt idx="213">
                  <c:v>50339</c:v>
                </c:pt>
                <c:pt idx="214">
                  <c:v>50368</c:v>
                </c:pt>
                <c:pt idx="215">
                  <c:v>50398</c:v>
                </c:pt>
                <c:pt idx="216">
                  <c:v>50430</c:v>
                </c:pt>
                <c:pt idx="217">
                  <c:v>50460</c:v>
                </c:pt>
                <c:pt idx="218">
                  <c:v>50488</c:v>
                </c:pt>
                <c:pt idx="219">
                  <c:v>50522</c:v>
                </c:pt>
                <c:pt idx="220">
                  <c:v>50549</c:v>
                </c:pt>
                <c:pt idx="221">
                  <c:v>50580</c:v>
                </c:pt>
                <c:pt idx="222">
                  <c:v>50612</c:v>
                </c:pt>
                <c:pt idx="223">
                  <c:v>50641</c:v>
                </c:pt>
                <c:pt idx="224">
                  <c:v>50672</c:v>
                </c:pt>
                <c:pt idx="225">
                  <c:v>50703</c:v>
                </c:pt>
                <c:pt idx="226">
                  <c:v>50733</c:v>
                </c:pt>
                <c:pt idx="227">
                  <c:v>50763</c:v>
                </c:pt>
                <c:pt idx="228">
                  <c:v>50794</c:v>
                </c:pt>
                <c:pt idx="229">
                  <c:v>50825</c:v>
                </c:pt>
                <c:pt idx="230">
                  <c:v>50853</c:v>
                </c:pt>
                <c:pt idx="231">
                  <c:v>50885</c:v>
                </c:pt>
                <c:pt idx="232">
                  <c:v>50914</c:v>
                </c:pt>
                <c:pt idx="233">
                  <c:v>50945</c:v>
                </c:pt>
                <c:pt idx="234">
                  <c:v>50976</c:v>
                </c:pt>
                <c:pt idx="235">
                  <c:v>51006</c:v>
                </c:pt>
                <c:pt idx="236">
                  <c:v>51039</c:v>
                </c:pt>
                <c:pt idx="237">
                  <c:v>51067</c:v>
                </c:pt>
                <c:pt idx="238">
                  <c:v>51098</c:v>
                </c:pt>
                <c:pt idx="239">
                  <c:v>51132</c:v>
                </c:pt>
                <c:pt idx="240">
                  <c:v>51159</c:v>
                </c:pt>
                <c:pt idx="241">
                  <c:v>51190</c:v>
                </c:pt>
                <c:pt idx="242">
                  <c:v>51221</c:v>
                </c:pt>
                <c:pt idx="243">
                  <c:v>51250</c:v>
                </c:pt>
                <c:pt idx="244">
                  <c:v>51280</c:v>
                </c:pt>
                <c:pt idx="245">
                  <c:v>51312</c:v>
                </c:pt>
                <c:pt idx="246">
                  <c:v>51341</c:v>
                </c:pt>
                <c:pt idx="247">
                  <c:v>51372</c:v>
                </c:pt>
                <c:pt idx="248">
                  <c:v>51403</c:v>
                </c:pt>
                <c:pt idx="249">
                  <c:v>51433</c:v>
                </c:pt>
                <c:pt idx="250">
                  <c:v>51466</c:v>
                </c:pt>
                <c:pt idx="251">
                  <c:v>51494</c:v>
                </c:pt>
                <c:pt idx="252">
                  <c:v>51525</c:v>
                </c:pt>
                <c:pt idx="253">
                  <c:v>51557</c:v>
                </c:pt>
                <c:pt idx="254">
                  <c:v>51585</c:v>
                </c:pt>
                <c:pt idx="255">
                  <c:v>51615</c:v>
                </c:pt>
                <c:pt idx="256">
                  <c:v>51645</c:v>
                </c:pt>
                <c:pt idx="257">
                  <c:v>51676</c:v>
                </c:pt>
                <c:pt idx="258">
                  <c:v>51706</c:v>
                </c:pt>
                <c:pt idx="259">
                  <c:v>51740</c:v>
                </c:pt>
                <c:pt idx="260">
                  <c:v>51768</c:v>
                </c:pt>
                <c:pt idx="261">
                  <c:v>51798</c:v>
                </c:pt>
                <c:pt idx="262">
                  <c:v>51830</c:v>
                </c:pt>
                <c:pt idx="263">
                  <c:v>51859</c:v>
                </c:pt>
                <c:pt idx="264">
                  <c:v>51890</c:v>
                </c:pt>
                <c:pt idx="265">
                  <c:v>51921</c:v>
                </c:pt>
                <c:pt idx="266">
                  <c:v>51949</c:v>
                </c:pt>
                <c:pt idx="267">
                  <c:v>51980</c:v>
                </c:pt>
                <c:pt idx="268">
                  <c:v>52013</c:v>
                </c:pt>
                <c:pt idx="269">
                  <c:v>52041</c:v>
                </c:pt>
                <c:pt idx="270">
                  <c:v>52071</c:v>
                </c:pt>
                <c:pt idx="271">
                  <c:v>52104</c:v>
                </c:pt>
                <c:pt idx="272">
                  <c:v>52133</c:v>
                </c:pt>
                <c:pt idx="273">
                  <c:v>52163</c:v>
                </c:pt>
                <c:pt idx="274">
                  <c:v>52194</c:v>
                </c:pt>
                <c:pt idx="275">
                  <c:v>52224</c:v>
                </c:pt>
                <c:pt idx="276">
                  <c:v>52257</c:v>
                </c:pt>
                <c:pt idx="277">
                  <c:v>52286</c:v>
                </c:pt>
                <c:pt idx="278">
                  <c:v>52314</c:v>
                </c:pt>
                <c:pt idx="279">
                  <c:v>52345</c:v>
                </c:pt>
                <c:pt idx="280">
                  <c:v>52377</c:v>
                </c:pt>
                <c:pt idx="281">
                  <c:v>52406</c:v>
                </c:pt>
                <c:pt idx="282">
                  <c:v>52436</c:v>
                </c:pt>
                <c:pt idx="283">
                  <c:v>52467</c:v>
                </c:pt>
                <c:pt idx="284">
                  <c:v>52498</c:v>
                </c:pt>
                <c:pt idx="285">
                  <c:v>52530</c:v>
                </c:pt>
                <c:pt idx="286">
                  <c:v>52559</c:v>
                </c:pt>
                <c:pt idx="287">
                  <c:v>52589</c:v>
                </c:pt>
                <c:pt idx="288">
                  <c:v>52621</c:v>
                </c:pt>
                <c:pt idx="289">
                  <c:v>52651</c:v>
                </c:pt>
                <c:pt idx="290">
                  <c:v>52680</c:v>
                </c:pt>
                <c:pt idx="291">
                  <c:v>52712</c:v>
                </c:pt>
                <c:pt idx="292">
                  <c:v>52741</c:v>
                </c:pt>
                <c:pt idx="293">
                  <c:v>52772</c:v>
                </c:pt>
                <c:pt idx="294">
                  <c:v>52803</c:v>
                </c:pt>
                <c:pt idx="295">
                  <c:v>52833</c:v>
                </c:pt>
                <c:pt idx="296">
                  <c:v>52866</c:v>
                </c:pt>
                <c:pt idx="297">
                  <c:v>52894</c:v>
                </c:pt>
                <c:pt idx="298">
                  <c:v>52925</c:v>
                </c:pt>
                <c:pt idx="299">
                  <c:v>52959</c:v>
                </c:pt>
                <c:pt idx="300">
                  <c:v>52986</c:v>
                </c:pt>
                <c:pt idx="301">
                  <c:v>53017</c:v>
                </c:pt>
                <c:pt idx="302">
                  <c:v>53045</c:v>
                </c:pt>
                <c:pt idx="303">
                  <c:v>53076</c:v>
                </c:pt>
                <c:pt idx="304">
                  <c:v>53106</c:v>
                </c:pt>
                <c:pt idx="305">
                  <c:v>53139</c:v>
                </c:pt>
                <c:pt idx="306">
                  <c:v>53167</c:v>
                </c:pt>
                <c:pt idx="307">
                  <c:v>53198</c:v>
                </c:pt>
                <c:pt idx="308">
                  <c:v>53230</c:v>
                </c:pt>
                <c:pt idx="309">
                  <c:v>53259</c:v>
                </c:pt>
                <c:pt idx="310">
                  <c:v>53290</c:v>
                </c:pt>
                <c:pt idx="311">
                  <c:v>53323</c:v>
                </c:pt>
                <c:pt idx="312">
                  <c:v>53351</c:v>
                </c:pt>
                <c:pt idx="313">
                  <c:v>53384</c:v>
                </c:pt>
                <c:pt idx="314">
                  <c:v>53413</c:v>
                </c:pt>
                <c:pt idx="315">
                  <c:v>53441</c:v>
                </c:pt>
                <c:pt idx="316">
                  <c:v>53471</c:v>
                </c:pt>
                <c:pt idx="317">
                  <c:v>53503</c:v>
                </c:pt>
                <c:pt idx="318">
                  <c:v>53532</c:v>
                </c:pt>
                <c:pt idx="319">
                  <c:v>53563</c:v>
                </c:pt>
                <c:pt idx="320">
                  <c:v>53594</c:v>
                </c:pt>
                <c:pt idx="321">
                  <c:v>53624</c:v>
                </c:pt>
                <c:pt idx="322">
                  <c:v>53657</c:v>
                </c:pt>
                <c:pt idx="323">
                  <c:v>53685</c:v>
                </c:pt>
                <c:pt idx="324">
                  <c:v>53716</c:v>
                </c:pt>
                <c:pt idx="325">
                  <c:v>53748</c:v>
                </c:pt>
                <c:pt idx="326">
                  <c:v>53776</c:v>
                </c:pt>
                <c:pt idx="327">
                  <c:v>53806</c:v>
                </c:pt>
                <c:pt idx="328">
                  <c:v>53836</c:v>
                </c:pt>
                <c:pt idx="329">
                  <c:v>53867</c:v>
                </c:pt>
                <c:pt idx="330">
                  <c:v>53897</c:v>
                </c:pt>
                <c:pt idx="331">
                  <c:v>53931</c:v>
                </c:pt>
                <c:pt idx="332">
                  <c:v>53959</c:v>
                </c:pt>
                <c:pt idx="333">
                  <c:v>53989</c:v>
                </c:pt>
                <c:pt idx="334">
                  <c:v>54021</c:v>
                </c:pt>
                <c:pt idx="335">
                  <c:v>54050</c:v>
                </c:pt>
                <c:pt idx="336">
                  <c:v>54081</c:v>
                </c:pt>
                <c:pt idx="337">
                  <c:v>54112</c:v>
                </c:pt>
                <c:pt idx="338">
                  <c:v>54141</c:v>
                </c:pt>
                <c:pt idx="339">
                  <c:v>54172</c:v>
                </c:pt>
                <c:pt idx="340">
                  <c:v>54204</c:v>
                </c:pt>
                <c:pt idx="341">
                  <c:v>54233</c:v>
                </c:pt>
                <c:pt idx="342">
                  <c:v>54263</c:v>
                </c:pt>
                <c:pt idx="343">
                  <c:v>54294</c:v>
                </c:pt>
                <c:pt idx="344">
                  <c:v>54325</c:v>
                </c:pt>
                <c:pt idx="345">
                  <c:v>54357</c:v>
                </c:pt>
                <c:pt idx="346">
                  <c:v>54386</c:v>
                </c:pt>
                <c:pt idx="347">
                  <c:v>54416</c:v>
                </c:pt>
                <c:pt idx="348">
                  <c:v>54448</c:v>
                </c:pt>
                <c:pt idx="349">
                  <c:v>54478</c:v>
                </c:pt>
                <c:pt idx="350">
                  <c:v>54506</c:v>
                </c:pt>
                <c:pt idx="351">
                  <c:v>54539</c:v>
                </c:pt>
                <c:pt idx="352">
                  <c:v>54567</c:v>
                </c:pt>
                <c:pt idx="353">
                  <c:v>54598</c:v>
                </c:pt>
                <c:pt idx="354">
                  <c:v>54630</c:v>
                </c:pt>
                <c:pt idx="355">
                  <c:v>54659</c:v>
                </c:pt>
                <c:pt idx="356">
                  <c:v>54690</c:v>
                </c:pt>
                <c:pt idx="357">
                  <c:v>54721</c:v>
                </c:pt>
                <c:pt idx="358">
                  <c:v>54751</c:v>
                </c:pt>
                <c:pt idx="359">
                  <c:v>54781</c:v>
                </c:pt>
                <c:pt idx="360">
                  <c:v>54812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cat>
          <c:val>
            <c:numRef>
              <c:f>DISPLAY_CURVE!$G$10:$G$501</c:f>
              <c:numCache>
                <c:formatCode>0.00000%</c:formatCode>
                <c:ptCount val="492"/>
                <c:pt idx="0">
                  <c:v>8.0438000000002865E-3</c:v>
                </c:pt>
                <c:pt idx="1">
                  <c:v>7.8671955133659786E-3</c:v>
                </c:pt>
                <c:pt idx="2">
                  <c:v>7.6818843000958648E-3</c:v>
                </c:pt>
                <c:pt idx="3">
                  <c:v>7.4552604279640887E-3</c:v>
                </c:pt>
                <c:pt idx="4">
                  <c:v>7.2274794370457141E-3</c:v>
                </c:pt>
                <c:pt idx="5">
                  <c:v>7.0105316988375854E-3</c:v>
                </c:pt>
                <c:pt idx="6">
                  <c:v>6.7825817622414204E-3</c:v>
                </c:pt>
                <c:pt idx="7">
                  <c:v>6.5699297393468923E-3</c:v>
                </c:pt>
                <c:pt idx="8">
                  <c:v>6.3672577602647005E-3</c:v>
                </c:pt>
                <c:pt idx="9">
                  <c:v>6.1825425822554791E-3</c:v>
                </c:pt>
                <c:pt idx="10">
                  <c:v>6.0428212004366433E-3</c:v>
                </c:pt>
                <c:pt idx="11">
                  <c:v>5.9321041070821154E-3</c:v>
                </c:pt>
                <c:pt idx="12">
                  <c:v>5.8588022077352689E-3</c:v>
                </c:pt>
                <c:pt idx="13">
                  <c:v>5.8364323697168707E-3</c:v>
                </c:pt>
                <c:pt idx="14">
                  <c:v>5.8528010554070855E-3</c:v>
                </c:pt>
                <c:pt idx="15">
                  <c:v>5.9120543132378245E-3</c:v>
                </c:pt>
                <c:pt idx="16">
                  <c:v>5.9910772944327118E-3</c:v>
                </c:pt>
                <c:pt idx="17">
                  <c:v>6.1036295294414344E-3</c:v>
                </c:pt>
                <c:pt idx="18">
                  <c:v>6.2411861680311525E-3</c:v>
                </c:pt>
                <c:pt idx="19">
                  <c:v>6.3790437635840025E-3</c:v>
                </c:pt>
                <c:pt idx="20">
                  <c:v>6.5394133494025355E-3</c:v>
                </c:pt>
                <c:pt idx="21">
                  <c:v>6.69208986014036E-3</c:v>
                </c:pt>
                <c:pt idx="22">
                  <c:v>6.8410458182850426E-3</c:v>
                </c:pt>
                <c:pt idx="23">
                  <c:v>6.987301863900364E-3</c:v>
                </c:pt>
                <c:pt idx="24">
                  <c:v>7.1095520469839357E-3</c:v>
                </c:pt>
                <c:pt idx="25">
                  <c:v>7.217818725542724E-3</c:v>
                </c:pt>
                <c:pt idx="26">
                  <c:v>7.2986705571285171E-3</c:v>
                </c:pt>
                <c:pt idx="27">
                  <c:v>7.3734343946088021E-3</c:v>
                </c:pt>
                <c:pt idx="28">
                  <c:v>7.4267871575204314E-3</c:v>
                </c:pt>
                <c:pt idx="29">
                  <c:v>7.4712657999459657E-3</c:v>
                </c:pt>
                <c:pt idx="30">
                  <c:v>7.5030948359506855E-3</c:v>
                </c:pt>
                <c:pt idx="31">
                  <c:v>7.5254950041168112E-3</c:v>
                </c:pt>
                <c:pt idx="32">
                  <c:v>7.5422771031457003E-3</c:v>
                </c:pt>
                <c:pt idx="33">
                  <c:v>7.5519094623190952E-3</c:v>
                </c:pt>
                <c:pt idx="34">
                  <c:v>7.559647069977915E-3</c:v>
                </c:pt>
                <c:pt idx="35">
                  <c:v>7.5670543347547969E-3</c:v>
                </c:pt>
                <c:pt idx="36">
                  <c:v>7.5739484985759553E-3</c:v>
                </c:pt>
                <c:pt idx="37">
                  <c:v>7.5853215994131102E-3</c:v>
                </c:pt>
                <c:pt idx="38">
                  <c:v>7.5976109116550209E-3</c:v>
                </c:pt>
                <c:pt idx="39">
                  <c:v>7.6134872538771992E-3</c:v>
                </c:pt>
                <c:pt idx="40">
                  <c:v>7.6318289503016449E-3</c:v>
                </c:pt>
                <c:pt idx="41">
                  <c:v>7.6547377945424553E-3</c:v>
                </c:pt>
                <c:pt idx="42">
                  <c:v>7.6762683859158808E-3</c:v>
                </c:pt>
                <c:pt idx="43">
                  <c:v>7.7039139700275528E-3</c:v>
                </c:pt>
                <c:pt idx="44">
                  <c:v>7.731037217960415E-3</c:v>
                </c:pt>
                <c:pt idx="45">
                  <c:v>7.7588757743521919E-3</c:v>
                </c:pt>
                <c:pt idx="46">
                  <c:v>7.7908817818609826E-3</c:v>
                </c:pt>
                <c:pt idx="47">
                  <c:v>7.8252544733522118E-3</c:v>
                </c:pt>
                <c:pt idx="48">
                  <c:v>7.856124077679898E-3</c:v>
                </c:pt>
                <c:pt idx="49">
                  <c:v>7.8937021603873499E-3</c:v>
                </c:pt>
                <c:pt idx="50">
                  <c:v>7.9258014721306225E-3</c:v>
                </c:pt>
                <c:pt idx="51">
                  <c:v>7.9618090496844651E-3</c:v>
                </c:pt>
                <c:pt idx="52">
                  <c:v>8.0008380921801642E-3</c:v>
                </c:pt>
                <c:pt idx="53">
                  <c:v>8.0374534323688351E-3</c:v>
                </c:pt>
                <c:pt idx="54">
                  <c:v>8.0756815446305641E-3</c:v>
                </c:pt>
                <c:pt idx="55">
                  <c:v>8.1196851901728095E-3</c:v>
                </c:pt>
                <c:pt idx="56">
                  <c:v>8.1563826809414319E-3</c:v>
                </c:pt>
                <c:pt idx="57">
                  <c:v>8.196079192712924E-3</c:v>
                </c:pt>
                <c:pt idx="58">
                  <c:v>8.2387606278286896E-3</c:v>
                </c:pt>
                <c:pt idx="59">
                  <c:v>8.2776590893791635E-3</c:v>
                </c:pt>
                <c:pt idx="60">
                  <c:v>8.3209207271642532E-3</c:v>
                </c:pt>
                <c:pt idx="61">
                  <c:v>8.361173815460976E-3</c:v>
                </c:pt>
                <c:pt idx="62">
                  <c:v>8.3989752871600487E-3</c:v>
                </c:pt>
                <c:pt idx="63">
                  <c:v>8.4408932280748417E-3</c:v>
                </c:pt>
                <c:pt idx="64">
                  <c:v>8.4856010595852904E-3</c:v>
                </c:pt>
                <c:pt idx="65">
                  <c:v>8.5236113767301891E-3</c:v>
                </c:pt>
                <c:pt idx="66">
                  <c:v>8.5644218749965084E-3</c:v>
                </c:pt>
                <c:pt idx="67">
                  <c:v>8.6094239567293673E-3</c:v>
                </c:pt>
                <c:pt idx="68">
                  <c:v>8.6490745392853174E-3</c:v>
                </c:pt>
                <c:pt idx="69">
                  <c:v>8.6917894364018713E-3</c:v>
                </c:pt>
                <c:pt idx="70">
                  <c:v>8.732824483250079E-3</c:v>
                </c:pt>
                <c:pt idx="71">
                  <c:v>8.7742009158604528E-3</c:v>
                </c:pt>
                <c:pt idx="72">
                  <c:v>8.8198702728479184E-3</c:v>
                </c:pt>
                <c:pt idx="73">
                  <c:v>8.860168573012972E-3</c:v>
                </c:pt>
                <c:pt idx="74">
                  <c:v>8.8993198494895509E-3</c:v>
                </c:pt>
                <c:pt idx="75">
                  <c:v>8.9447352479238608E-3</c:v>
                </c:pt>
                <c:pt idx="76">
                  <c:v>8.9888240572908451E-3</c:v>
                </c:pt>
                <c:pt idx="77">
                  <c:v>9.0309358526121652E-3</c:v>
                </c:pt>
                <c:pt idx="78">
                  <c:v>9.0770564282955917E-3</c:v>
                </c:pt>
                <c:pt idx="79">
                  <c:v>9.1220596888701433E-3</c:v>
                </c:pt>
                <c:pt idx="80">
                  <c:v>9.1699660345387901E-3</c:v>
                </c:pt>
                <c:pt idx="81">
                  <c:v>9.2207477967469753E-3</c:v>
                </c:pt>
                <c:pt idx="82">
                  <c:v>9.2680671822225058E-3</c:v>
                </c:pt>
                <c:pt idx="83">
                  <c:v>9.3184478559142914E-3</c:v>
                </c:pt>
                <c:pt idx="84">
                  <c:v>9.3739364117906374E-3</c:v>
                </c:pt>
                <c:pt idx="85">
                  <c:v>9.4276013025988894E-3</c:v>
                </c:pt>
                <c:pt idx="86">
                  <c:v>9.4798260813442944E-3</c:v>
                </c:pt>
                <c:pt idx="87">
                  <c:v>9.540805777425056E-3</c:v>
                </c:pt>
                <c:pt idx="88">
                  <c:v>9.5926548420407296E-3</c:v>
                </c:pt>
                <c:pt idx="89">
                  <c:v>9.6516647008101919E-3</c:v>
                </c:pt>
                <c:pt idx="90">
                  <c:v>9.7073922069993279E-3</c:v>
                </c:pt>
                <c:pt idx="91">
                  <c:v>9.7582779549734069E-3</c:v>
                </c:pt>
                <c:pt idx="92">
                  <c:v>9.8114359868716298E-3</c:v>
                </c:pt>
                <c:pt idx="93">
                  <c:v>9.8601636469199411E-3</c:v>
                </c:pt>
                <c:pt idx="94">
                  <c:v>9.9049945310052678E-3</c:v>
                </c:pt>
                <c:pt idx="95">
                  <c:v>9.9480841533834928E-3</c:v>
                </c:pt>
                <c:pt idx="96">
                  <c:v>9.9843738986985925E-3</c:v>
                </c:pt>
                <c:pt idx="97">
                  <c:v>1.0018716126719843E-2</c:v>
                </c:pt>
                <c:pt idx="98">
                  <c:v>1.0045510100546559E-2</c:v>
                </c:pt>
                <c:pt idx="99">
                  <c:v>1.007038159619511E-2</c:v>
                </c:pt>
                <c:pt idx="100">
                  <c:v>1.0092522022818518E-2</c:v>
                </c:pt>
                <c:pt idx="101">
                  <c:v>1.0114514583441148E-2</c:v>
                </c:pt>
                <c:pt idx="102">
                  <c:v>1.0131869615710665E-2</c:v>
                </c:pt>
                <c:pt idx="103">
                  <c:v>1.0150376238531544E-2</c:v>
                </c:pt>
                <c:pt idx="104">
                  <c:v>1.0169454411333323E-2</c:v>
                </c:pt>
                <c:pt idx="105">
                  <c:v>1.0187393568322767E-2</c:v>
                </c:pt>
                <c:pt idx="106">
                  <c:v>1.0209130988263392E-2</c:v>
                </c:pt>
                <c:pt idx="107">
                  <c:v>1.0232254139137531E-2</c:v>
                </c:pt>
                <c:pt idx="108">
                  <c:v>1.0255460004567452E-2</c:v>
                </c:pt>
                <c:pt idx="109">
                  <c:v>1.0286414101086105E-2</c:v>
                </c:pt>
                <c:pt idx="110">
                  <c:v>1.0315485546670056E-2</c:v>
                </c:pt>
                <c:pt idx="111">
                  <c:v>1.0347918921188137E-2</c:v>
                </c:pt>
                <c:pt idx="112">
                  <c:v>1.0383550335073766E-2</c:v>
                </c:pt>
                <c:pt idx="113">
                  <c:v>1.0423407700549614E-2</c:v>
                </c:pt>
                <c:pt idx="114">
                  <c:v>1.0460748451641244E-2</c:v>
                </c:pt>
                <c:pt idx="115">
                  <c:v>1.0503937676621186E-2</c:v>
                </c:pt>
                <c:pt idx="116">
                  <c:v>1.054260957658637E-2</c:v>
                </c:pt>
                <c:pt idx="117">
                  <c:v>1.0582312374505909E-2</c:v>
                </c:pt>
                <c:pt idx="118">
                  <c:v>1.0625351562684182E-2</c:v>
                </c:pt>
                <c:pt idx="119">
                  <c:v>1.0660926126168535E-2</c:v>
                </c:pt>
                <c:pt idx="120">
                  <c:v>1.0698842494251348E-2</c:v>
                </c:pt>
                <c:pt idx="121">
                  <c:v>1.0735949653535082E-2</c:v>
                </c:pt>
                <c:pt idx="122">
                  <c:v>1.0766656060007929E-2</c:v>
                </c:pt>
                <c:pt idx="123">
                  <c:v>1.0797732334513199E-2</c:v>
                </c:pt>
                <c:pt idx="124">
                  <c:v>1.082862191338207E-2</c:v>
                </c:pt>
                <c:pt idx="125">
                  <c:v>1.085511124624583E-2</c:v>
                </c:pt>
                <c:pt idx="126">
                  <c:v>1.0880477049383774E-2</c:v>
                </c:pt>
                <c:pt idx="127">
                  <c:v>1.0906953753111459E-2</c:v>
                </c:pt>
                <c:pt idx="128">
                  <c:v>1.0926947947117238E-2</c:v>
                </c:pt>
                <c:pt idx="129">
                  <c:v>1.0946557777522514E-2</c:v>
                </c:pt>
                <c:pt idx="130">
                  <c:v>1.0965410242697926E-2</c:v>
                </c:pt>
                <c:pt idx="131">
                  <c:v>1.0980656148857237E-2</c:v>
                </c:pt>
                <c:pt idx="132">
                  <c:v>1.0995655271956126E-2</c:v>
                </c:pt>
                <c:pt idx="133">
                  <c:v>1.1007408967486532E-2</c:v>
                </c:pt>
                <c:pt idx="134">
                  <c:v>1.1017240299271548E-2</c:v>
                </c:pt>
                <c:pt idx="135">
                  <c:v>1.1026606715792409E-2</c:v>
                </c:pt>
                <c:pt idx="136">
                  <c:v>1.1033788298911636E-2</c:v>
                </c:pt>
                <c:pt idx="137">
                  <c:v>1.1038935409555261E-2</c:v>
                </c:pt>
                <c:pt idx="138">
                  <c:v>1.1043554346918331E-2</c:v>
                </c:pt>
                <c:pt idx="139">
                  <c:v>1.1046472155420666E-2</c:v>
                </c:pt>
                <c:pt idx="140">
                  <c:v>1.1048281459909333E-2</c:v>
                </c:pt>
                <c:pt idx="141">
                  <c:v>1.1049352293813401E-2</c:v>
                </c:pt>
                <c:pt idx="142">
                  <c:v>1.1049257388876622E-2</c:v>
                </c:pt>
                <c:pt idx="143">
                  <c:v>1.1048559968838519E-2</c:v>
                </c:pt>
                <c:pt idx="144">
                  <c:v>1.1047077867925276E-2</c:v>
                </c:pt>
                <c:pt idx="145">
                  <c:v>1.1045256534049379E-2</c:v>
                </c:pt>
                <c:pt idx="146">
                  <c:v>1.104286402954302E-2</c:v>
                </c:pt>
                <c:pt idx="147">
                  <c:v>1.1039705648718812E-2</c:v>
                </c:pt>
                <c:pt idx="148">
                  <c:v>1.1036553106405833E-2</c:v>
                </c:pt>
                <c:pt idx="149">
                  <c:v>1.1032556322838616E-2</c:v>
                </c:pt>
                <c:pt idx="150">
                  <c:v>1.1027872061933675E-2</c:v>
                </c:pt>
                <c:pt idx="151">
                  <c:v>1.102313657469689E-2</c:v>
                </c:pt>
                <c:pt idx="152">
                  <c:v>1.1017667380397842E-2</c:v>
                </c:pt>
                <c:pt idx="153">
                  <c:v>1.1011447351294112E-2</c:v>
                </c:pt>
                <c:pt idx="154">
                  <c:v>1.100502514588575E-2</c:v>
                </c:pt>
                <c:pt idx="155">
                  <c:v>1.0998216235057156E-2</c:v>
                </c:pt>
                <c:pt idx="156">
                  <c:v>1.0990424533261933E-2</c:v>
                </c:pt>
                <c:pt idx="157">
                  <c:v>1.0982212184962536E-2</c:v>
                </c:pt>
                <c:pt idx="158">
                  <c:v>1.0974336105032068E-2</c:v>
                </c:pt>
                <c:pt idx="159">
                  <c:v>1.0964802164782572E-2</c:v>
                </c:pt>
                <c:pt idx="160">
                  <c:v>1.0955671358580776E-2</c:v>
                </c:pt>
                <c:pt idx="161">
                  <c:v>1.0945347849935999E-2</c:v>
                </c:pt>
                <c:pt idx="162">
                  <c:v>1.093458603394537E-2</c:v>
                </c:pt>
                <c:pt idx="163">
                  <c:v>1.0923618556457626E-2</c:v>
                </c:pt>
                <c:pt idx="164">
                  <c:v>1.0910978435231256E-2</c:v>
                </c:pt>
                <c:pt idx="165">
                  <c:v>1.0899780530970293E-2</c:v>
                </c:pt>
                <c:pt idx="166">
                  <c:v>1.0886876589785155E-2</c:v>
                </c:pt>
                <c:pt idx="167">
                  <c:v>1.0872112410908574E-2</c:v>
                </c:pt>
                <c:pt idx="168">
                  <c:v>1.0859932413096685E-2</c:v>
                </c:pt>
                <c:pt idx="169">
                  <c:v>1.0845273025834866E-2</c:v>
                </c:pt>
                <c:pt idx="170">
                  <c:v>1.0831678273518051E-2</c:v>
                </c:pt>
                <c:pt idx="171">
                  <c:v>1.0816643722457053E-2</c:v>
                </c:pt>
                <c:pt idx="172">
                  <c:v>1.080145004797739E-2</c:v>
                </c:pt>
                <c:pt idx="173">
                  <c:v>1.0784393565370864E-2</c:v>
                </c:pt>
                <c:pt idx="174">
                  <c:v>1.0769687307401243E-2</c:v>
                </c:pt>
                <c:pt idx="175">
                  <c:v>1.0753206924721148E-2</c:v>
                </c:pt>
                <c:pt idx="176">
                  <c:v>1.0736033313675675E-2</c:v>
                </c:pt>
                <c:pt idx="177">
                  <c:v>1.0720378794407237E-2</c:v>
                </c:pt>
                <c:pt idx="178">
                  <c:v>1.0703378853465022E-2</c:v>
                </c:pt>
                <c:pt idx="179">
                  <c:v>1.0685758534194401E-2</c:v>
                </c:pt>
                <c:pt idx="180">
                  <c:v>1.0670679154816343E-2</c:v>
                </c:pt>
                <c:pt idx="181">
                  <c:v>1.0653027626264189E-2</c:v>
                </c:pt>
                <c:pt idx="182">
                  <c:v>1.0637524448552149E-2</c:v>
                </c:pt>
                <c:pt idx="183">
                  <c:v>1.0622761605776751E-2</c:v>
                </c:pt>
                <c:pt idx="184">
                  <c:v>1.0606745332286172E-2</c:v>
                </c:pt>
                <c:pt idx="185">
                  <c:v>1.0590428081457779E-2</c:v>
                </c:pt>
                <c:pt idx="186">
                  <c:v>1.0575472241051657E-2</c:v>
                </c:pt>
                <c:pt idx="187">
                  <c:v>1.0559405335364497E-2</c:v>
                </c:pt>
                <c:pt idx="188">
                  <c:v>1.0543855849084845E-2</c:v>
                </c:pt>
                <c:pt idx="189">
                  <c:v>1.0528732484251416E-2</c:v>
                </c:pt>
                <c:pt idx="190">
                  <c:v>1.0512228265825742E-2</c:v>
                </c:pt>
                <c:pt idx="191">
                  <c:v>1.0498332550799553E-2</c:v>
                </c:pt>
                <c:pt idx="192">
                  <c:v>1.0482880503992263E-2</c:v>
                </c:pt>
                <c:pt idx="193">
                  <c:v>1.0467428579403899E-2</c:v>
                </c:pt>
                <c:pt idx="194">
                  <c:v>1.0453942515409764E-2</c:v>
                </c:pt>
                <c:pt idx="195">
                  <c:v>1.0439027295376713E-2</c:v>
                </c:pt>
                <c:pt idx="196">
                  <c:v>1.0423282985728477E-2</c:v>
                </c:pt>
                <c:pt idx="197">
                  <c:v>1.0410031923336449E-2</c:v>
                </c:pt>
                <c:pt idx="198">
                  <c:v>1.0395944158805959E-2</c:v>
                </c:pt>
                <c:pt idx="199">
                  <c:v>1.0380578855713862E-2</c:v>
                </c:pt>
                <c:pt idx="200">
                  <c:v>1.0367189549028488E-2</c:v>
                </c:pt>
                <c:pt idx="201">
                  <c:v>1.0353294642616697E-2</c:v>
                </c:pt>
                <c:pt idx="202">
                  <c:v>1.0339372639754707E-2</c:v>
                </c:pt>
                <c:pt idx="203">
                  <c:v>1.0325864709032073E-2</c:v>
                </c:pt>
                <c:pt idx="204">
                  <c:v>1.0311137408011595E-2</c:v>
                </c:pt>
                <c:pt idx="205">
                  <c:v>1.029830888421035E-2</c:v>
                </c:pt>
                <c:pt idx="206">
                  <c:v>1.0286023577173786E-2</c:v>
                </c:pt>
                <c:pt idx="207">
                  <c:v>1.0272331855734116E-2</c:v>
                </c:pt>
                <c:pt idx="208">
                  <c:v>1.0258743896319755E-2</c:v>
                </c:pt>
                <c:pt idx="209">
                  <c:v>1.0246355157252252E-2</c:v>
                </c:pt>
                <c:pt idx="210">
                  <c:v>1.0233523161146878E-2</c:v>
                </c:pt>
                <c:pt idx="211">
                  <c:v>1.0220642916899614E-2</c:v>
                </c:pt>
                <c:pt idx="212">
                  <c:v>1.0207756190742989E-2</c:v>
                </c:pt>
                <c:pt idx="213">
                  <c:v>1.0194581084951304E-2</c:v>
                </c:pt>
                <c:pt idx="214">
                  <c:v>1.0182752850617094E-2</c:v>
                </c:pt>
                <c:pt idx="215">
                  <c:v>1.0170628496402712E-2</c:v>
                </c:pt>
                <c:pt idx="216">
                  <c:v>1.0157821090866825E-2</c:v>
                </c:pt>
                <c:pt idx="217">
                  <c:v>1.0145931613233738E-2</c:v>
                </c:pt>
                <c:pt idx="218">
                  <c:v>1.0134937375978925E-2</c:v>
                </c:pt>
                <c:pt idx="219">
                  <c:v>1.0121720387414879E-2</c:v>
                </c:pt>
                <c:pt idx="220">
                  <c:v>1.011132855418273E-2</c:v>
                </c:pt>
                <c:pt idx="221">
                  <c:v>1.0099510705615433E-2</c:v>
                </c:pt>
                <c:pt idx="222">
                  <c:v>1.0087438878945587E-2</c:v>
                </c:pt>
                <c:pt idx="223">
                  <c:v>1.0076610405111097E-2</c:v>
                </c:pt>
                <c:pt idx="224">
                  <c:v>1.0065069141244489E-2</c:v>
                </c:pt>
                <c:pt idx="225">
                  <c:v>1.0053815715568071E-2</c:v>
                </c:pt>
                <c:pt idx="226">
                  <c:v>1.0042960021584113E-2</c:v>
                </c:pt>
                <c:pt idx="227">
                  <c:v>1.0032070556160422E-2</c:v>
                </c:pt>
                <c:pt idx="228">
                  <c:v>1.0021236507290476E-2</c:v>
                </c:pt>
                <c:pt idx="229">
                  <c:v>1.0010374105292152E-2</c:v>
                </c:pt>
                <c:pt idx="230">
                  <c:v>1.0000558028064316E-2</c:v>
                </c:pt>
                <c:pt idx="231">
                  <c:v>9.9896140136660309E-3</c:v>
                </c:pt>
                <c:pt idx="232">
                  <c:v>9.979713497067156E-3</c:v>
                </c:pt>
                <c:pt idx="233">
                  <c:v>9.9691672921997168E-3</c:v>
                </c:pt>
                <c:pt idx="234">
                  <c:v>9.9587419234992199E-3</c:v>
                </c:pt>
                <c:pt idx="235">
                  <c:v>9.9486656923976364E-3</c:v>
                </c:pt>
                <c:pt idx="236">
                  <c:v>9.9376167079834928E-3</c:v>
                </c:pt>
                <c:pt idx="237">
                  <c:v>9.9282591438112754E-3</c:v>
                </c:pt>
                <c:pt idx="238">
                  <c:v>9.9178384931025224E-3</c:v>
                </c:pt>
                <c:pt idx="239">
                  <c:v>9.9065418820090071E-3</c:v>
                </c:pt>
                <c:pt idx="240">
                  <c:v>9.8975013067880424E-3</c:v>
                </c:pt>
                <c:pt idx="241">
                  <c:v>9.8870574473129864E-3</c:v>
                </c:pt>
                <c:pt idx="242">
                  <c:v>9.8766894780748515E-3</c:v>
                </c:pt>
                <c:pt idx="243">
                  <c:v>9.866894749798405E-3</c:v>
                </c:pt>
                <c:pt idx="244">
                  <c:v>9.8567328994363379E-3</c:v>
                </c:pt>
                <c:pt idx="245">
                  <c:v>9.8458607010440957E-3</c:v>
                </c:pt>
                <c:pt idx="246">
                  <c:v>9.835978473833773E-3</c:v>
                </c:pt>
                <c:pt idx="247">
                  <c:v>9.8252628682041886E-3</c:v>
                </c:pt>
                <c:pt idx="248">
                  <c:v>9.8147576427081162E-3</c:v>
                </c:pt>
                <c:pt idx="249">
                  <c:v>9.8044439152886742E-3</c:v>
                </c:pt>
                <c:pt idx="250">
                  <c:v>9.7930645289563412E-3</c:v>
                </c:pt>
                <c:pt idx="251">
                  <c:v>9.7833811546286231E-3</c:v>
                </c:pt>
                <c:pt idx="252">
                  <c:v>9.7726301783362945E-3</c:v>
                </c:pt>
                <c:pt idx="253">
                  <c:v>9.7614992499017728E-3</c:v>
                </c:pt>
                <c:pt idx="254">
                  <c:v>9.7517320641127281E-3</c:v>
                </c:pt>
                <c:pt idx="255">
                  <c:v>9.7412386044382071E-3</c:v>
                </c:pt>
                <c:pt idx="256">
                  <c:v>9.7305734094344926E-3</c:v>
                </c:pt>
                <c:pt idx="257">
                  <c:v>9.7198105741880259E-3</c:v>
                </c:pt>
                <c:pt idx="258">
                  <c:v>9.7092272675474156E-3</c:v>
                </c:pt>
                <c:pt idx="259">
                  <c:v>9.6971970280927966E-3</c:v>
                </c:pt>
                <c:pt idx="260">
                  <c:v>9.687261184117002E-3</c:v>
                </c:pt>
                <c:pt idx="261">
                  <c:v>9.6765869766290979E-3</c:v>
                </c:pt>
                <c:pt idx="262">
                  <c:v>9.6651684688688899E-3</c:v>
                </c:pt>
                <c:pt idx="263">
                  <c:v>9.6547912958038218E-3</c:v>
                </c:pt>
                <c:pt idx="264">
                  <c:v>9.6435603962082145E-3</c:v>
                </c:pt>
                <c:pt idx="265">
                  <c:v>9.6325126195868638E-3</c:v>
                </c:pt>
                <c:pt idx="266">
                  <c:v>9.6224097403390108E-3</c:v>
                </c:pt>
                <c:pt idx="267">
                  <c:v>9.6111942610366263E-3</c:v>
                </c:pt>
                <c:pt idx="268">
                  <c:v>9.5992203915367114E-3</c:v>
                </c:pt>
                <c:pt idx="269">
                  <c:v>9.5890325951526467E-3</c:v>
                </c:pt>
                <c:pt idx="270">
                  <c:v>9.5780884248382048E-3</c:v>
                </c:pt>
                <c:pt idx="271">
                  <c:v>9.5660155803791724E-3</c:v>
                </c:pt>
                <c:pt idx="272">
                  <c:v>9.5553764875484504E-3</c:v>
                </c:pt>
                <c:pt idx="273">
                  <c:v>9.5442197755935404E-3</c:v>
                </c:pt>
                <c:pt idx="274">
                  <c:v>9.5329072694565475E-3</c:v>
                </c:pt>
                <c:pt idx="275">
                  <c:v>9.5218118713069622E-3</c:v>
                </c:pt>
                <c:pt idx="276">
                  <c:v>9.5095726992786567E-3</c:v>
                </c:pt>
                <c:pt idx="277">
                  <c:v>9.4987874605536593E-3</c:v>
                </c:pt>
                <c:pt idx="278">
                  <c:v>9.4882831209041393E-3</c:v>
                </c:pt>
                <c:pt idx="279">
                  <c:v>9.4766284985783721E-3</c:v>
                </c:pt>
                <c:pt idx="280">
                  <c:v>9.4646979564513237E-3</c:v>
                </c:pt>
                <c:pt idx="281">
                  <c:v>9.4537973628331228E-3</c:v>
                </c:pt>
                <c:pt idx="282">
                  <c:v>9.4424238036860501E-3</c:v>
                </c:pt>
                <c:pt idx="283">
                  <c:v>9.4307781286886265E-3</c:v>
                </c:pt>
                <c:pt idx="284">
                  <c:v>9.4188937256320521E-3</c:v>
                </c:pt>
                <c:pt idx="285">
                  <c:v>9.4068755319649099E-3</c:v>
                </c:pt>
                <c:pt idx="286">
                  <c:v>9.3958288187098761E-3</c:v>
                </c:pt>
                <c:pt idx="287">
                  <c:v>9.3840841334145685E-3</c:v>
                </c:pt>
                <c:pt idx="288">
                  <c:v>9.3721188129932999E-3</c:v>
                </c:pt>
                <c:pt idx="289">
                  <c:v>9.3606063699105523E-3</c:v>
                </c:pt>
                <c:pt idx="290">
                  <c:v>9.3495497204640898E-3</c:v>
                </c:pt>
                <c:pt idx="291">
                  <c:v>9.3372974273746578E-3</c:v>
                </c:pt>
                <c:pt idx="292">
                  <c:v>9.3262470643884487E-3</c:v>
                </c:pt>
                <c:pt idx="293">
                  <c:v>9.3143870662092867E-3</c:v>
                </c:pt>
                <c:pt idx="294">
                  <c:v>9.3029110935713977E-3</c:v>
                </c:pt>
                <c:pt idx="295">
                  <c:v>9.2918183355117367E-3</c:v>
                </c:pt>
                <c:pt idx="296">
                  <c:v>9.2798109887792801E-3</c:v>
                </c:pt>
                <c:pt idx="297">
                  <c:v>9.2698098415293639E-3</c:v>
                </c:pt>
                <c:pt idx="298">
                  <c:v>9.2589665616304995E-3</c:v>
                </c:pt>
                <c:pt idx="299">
                  <c:v>9.2473870065563624E-3</c:v>
                </c:pt>
                <c:pt idx="300">
                  <c:v>9.2384513139440738E-3</c:v>
                </c:pt>
                <c:pt idx="301">
                  <c:v>9.2284369149852191E-3</c:v>
                </c:pt>
                <c:pt idx="302">
                  <c:v>9.2197158034824662E-3</c:v>
                </c:pt>
                <c:pt idx="303">
                  <c:v>9.2104733843239028E-3</c:v>
                </c:pt>
                <c:pt idx="304">
                  <c:v>9.2017688860619451E-3</c:v>
                </c:pt>
                <c:pt idx="305">
                  <c:v>9.1925528437257764E-3</c:v>
                </c:pt>
                <c:pt idx="306">
                  <c:v>9.1850280267065099E-3</c:v>
                </c:pt>
                <c:pt idx="307">
                  <c:v>9.1770127163439685E-3</c:v>
                </c:pt>
                <c:pt idx="308">
                  <c:v>9.1690868555298621E-3</c:v>
                </c:pt>
                <c:pt idx="309">
                  <c:v>9.1622094020786804E-3</c:v>
                </c:pt>
                <c:pt idx="310">
                  <c:v>9.1552073308221651E-3</c:v>
                </c:pt>
                <c:pt idx="311">
                  <c:v>9.1480589134143031E-3</c:v>
                </c:pt>
                <c:pt idx="312">
                  <c:v>9.1423126665390875E-3</c:v>
                </c:pt>
                <c:pt idx="313">
                  <c:v>9.135887701223977E-3</c:v>
                </c:pt>
                <c:pt idx="314">
                  <c:v>9.1305518168198763E-3</c:v>
                </c:pt>
                <c:pt idx="315">
                  <c:v>9.1256753708017779E-3</c:v>
                </c:pt>
                <c:pt idx="316">
                  <c:v>9.1207509060027281E-3</c:v>
                </c:pt>
                <c:pt idx="317">
                  <c:v>9.1158405562663525E-3</c:v>
                </c:pt>
                <c:pt idx="318">
                  <c:v>9.1116958591443975E-3</c:v>
                </c:pt>
                <c:pt idx="319">
                  <c:v>9.1077673251990128E-3</c:v>
                </c:pt>
                <c:pt idx="320">
                  <c:v>9.1038085146888381E-3</c:v>
                </c:pt>
                <c:pt idx="321">
                  <c:v>9.1004683881250603E-3</c:v>
                </c:pt>
                <c:pt idx="322">
                  <c:v>9.0971530403771705E-3</c:v>
                </c:pt>
                <c:pt idx="323">
                  <c:v>9.094634775062227E-3</c:v>
                </c:pt>
                <c:pt idx="324">
                  <c:v>9.092162324203068E-3</c:v>
                </c:pt>
                <c:pt idx="325">
                  <c:v>9.089958006401222E-3</c:v>
                </c:pt>
                <c:pt idx="326">
                  <c:v>9.0884156838655396E-3</c:v>
                </c:pt>
                <c:pt idx="327">
                  <c:v>9.0869651567064072E-3</c:v>
                </c:pt>
                <c:pt idx="328">
                  <c:v>9.0860392567729733E-3</c:v>
                </c:pt>
                <c:pt idx="329">
                  <c:v>9.0849736623399638E-3</c:v>
                </c:pt>
                <c:pt idx="330">
                  <c:v>9.084465345002209E-3</c:v>
                </c:pt>
                <c:pt idx="331">
                  <c:v>9.0842647563421017E-3</c:v>
                </c:pt>
                <c:pt idx="332">
                  <c:v>9.0843991397298682E-3</c:v>
                </c:pt>
                <c:pt idx="333">
                  <c:v>9.0851100244743292E-3</c:v>
                </c:pt>
                <c:pt idx="334">
                  <c:v>9.0856596107593314E-3</c:v>
                </c:pt>
                <c:pt idx="335">
                  <c:v>9.086704577066217E-3</c:v>
                </c:pt>
                <c:pt idx="336">
                  <c:v>9.088291824839877E-3</c:v>
                </c:pt>
                <c:pt idx="337">
                  <c:v>9.0899122356547825E-3</c:v>
                </c:pt>
                <c:pt idx="338">
                  <c:v>9.0917083937256393E-3</c:v>
                </c:pt>
                <c:pt idx="339">
                  <c:v>9.0944448134648859E-3</c:v>
                </c:pt>
                <c:pt idx="340">
                  <c:v>9.0969464216787976E-3</c:v>
                </c:pt>
                <c:pt idx="341">
                  <c:v>9.0998180235155601E-3</c:v>
                </c:pt>
                <c:pt idx="342">
                  <c:v>9.1034560808663425E-3</c:v>
                </c:pt>
                <c:pt idx="343">
                  <c:v>9.1068057642822442E-3</c:v>
                </c:pt>
                <c:pt idx="344">
                  <c:v>9.1108491171851824E-3</c:v>
                </c:pt>
                <c:pt idx="345">
                  <c:v>9.115370829578362E-3</c:v>
                </c:pt>
                <c:pt idx="346">
                  <c:v>9.1197739336148498E-3</c:v>
                </c:pt>
                <c:pt idx="347">
                  <c:v>9.1246343455304579E-3</c:v>
                </c:pt>
                <c:pt idx="348">
                  <c:v>9.1301611972083307E-3</c:v>
                </c:pt>
                <c:pt idx="349">
                  <c:v>9.1356572711400741E-3</c:v>
                </c:pt>
                <c:pt idx="350">
                  <c:v>9.1410376131519921E-3</c:v>
                </c:pt>
                <c:pt idx="351">
                  <c:v>9.1476539830068759E-3</c:v>
                </c:pt>
                <c:pt idx="352">
                  <c:v>9.1534719022423605E-3</c:v>
                </c:pt>
                <c:pt idx="353">
                  <c:v>9.1600988806412875E-3</c:v>
                </c:pt>
                <c:pt idx="354">
                  <c:v>9.1671084878865994E-3</c:v>
                </c:pt>
                <c:pt idx="355">
                  <c:v>9.1735772187124809E-3</c:v>
                </c:pt>
                <c:pt idx="356">
                  <c:v>9.1810395522574119E-3</c:v>
                </c:pt>
                <c:pt idx="357">
                  <c:v>9.1876412395091034E-3</c:v>
                </c:pt>
                <c:pt idx="358">
                  <c:v>9.1944950851221563E-3</c:v>
                </c:pt>
                <c:pt idx="359">
                  <c:v>9.2022452231258229E-3</c:v>
                </c:pt>
                <c:pt idx="360">
                  <c:v>9.2083606357145076E-3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72-4B6D-A377-32F93345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8119040"/>
        <c:axId val="666674304"/>
      </c:lineChart>
      <c:dateAx>
        <c:axId val="7381190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66674304"/>
        <c:crosses val="autoZero"/>
        <c:auto val="1"/>
        <c:lblOffset val="100"/>
        <c:baseTimeUnit val="months"/>
      </c:dateAx>
      <c:valAx>
        <c:axId val="666674304"/>
        <c:scaling>
          <c:orientation val="minMax"/>
        </c:scaling>
        <c:delete val="0"/>
        <c:axPos val="l"/>
        <c:majorGridlines/>
        <c:numFmt formatCode="0.00000%" sourceLinked="1"/>
        <c:majorTickMark val="out"/>
        <c:minorTickMark val="none"/>
        <c:tickLblPos val="nextTo"/>
        <c:crossAx val="7381190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570043047081011"/>
          <c:y val="0.57559007396802675"/>
          <c:w val="0.1823465736185087"/>
          <c:h val="0.25471295633500357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9</xdr:row>
      <xdr:rowOff>47625</xdr:rowOff>
    </xdr:from>
    <xdr:to>
      <xdr:col>21</xdr:col>
      <xdr:colOff>209549</xdr:colOff>
      <xdr:row>42</xdr:row>
      <xdr:rowOff>47625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X119"/>
  <sheetViews>
    <sheetView showGridLines="0" tabSelected="1" workbookViewId="0"/>
  </sheetViews>
  <sheetFormatPr defaultRowHeight="15"/>
  <cols>
    <col min="1" max="1" width="4.7109375" customWidth="1"/>
    <col min="2" max="2" width="2.7109375" customWidth="1"/>
    <col min="3" max="3" width="16" customWidth="1"/>
    <col min="4" max="4" width="27.7109375" customWidth="1"/>
    <col min="5" max="5" width="2.7109375" customWidth="1"/>
    <col min="6" max="6" width="4.7109375" customWidth="1"/>
    <col min="7" max="7" width="2.7109375" customWidth="1"/>
    <col min="8" max="8" width="25.28515625" bestFit="1" customWidth="1"/>
    <col min="9" max="9" width="28.28515625" customWidth="1"/>
    <col min="10" max="10" width="2.7109375" customWidth="1"/>
    <col min="13" max="13" width="2.7109375" customWidth="1"/>
    <col min="14" max="14" width="12.140625" customWidth="1"/>
    <col min="15" max="16" width="12.7109375" customWidth="1"/>
    <col min="18" max="18" width="13.5703125" customWidth="1"/>
    <col min="19" max="19" width="2.7109375" customWidth="1"/>
    <col min="21" max="21" width="10.140625" customWidth="1"/>
    <col min="23" max="23" width="2.7109375" customWidth="1"/>
  </cols>
  <sheetData>
    <row r="3" spans="2:23">
      <c r="B3" s="6"/>
      <c r="C3" s="9"/>
      <c r="D3" s="9"/>
      <c r="E3" s="10"/>
      <c r="G3" s="6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2:23">
      <c r="B4" s="11"/>
      <c r="C4" s="25" t="s">
        <v>61</v>
      </c>
      <c r="D4" s="13"/>
      <c r="E4" s="14"/>
      <c r="G4" s="11"/>
      <c r="H4" s="15" t="s">
        <v>10</v>
      </c>
      <c r="I4" s="16"/>
      <c r="J4" s="13" t="s">
        <v>9</v>
      </c>
      <c r="K4" s="13" t="s">
        <v>9</v>
      </c>
      <c r="L4" s="13" t="s">
        <v>9</v>
      </c>
      <c r="M4" s="13" t="s">
        <v>9</v>
      </c>
      <c r="N4" s="17" t="s">
        <v>11</v>
      </c>
      <c r="O4" s="5"/>
      <c r="P4" s="5"/>
      <c r="Q4" s="5"/>
      <c r="R4" s="5"/>
      <c r="S4" s="5"/>
      <c r="T4" s="17" t="s">
        <v>12</v>
      </c>
      <c r="U4" s="17"/>
      <c r="V4" s="13"/>
      <c r="W4" s="14"/>
    </row>
    <row r="5" spans="2:23">
      <c r="B5" s="11"/>
      <c r="C5" s="69" t="s">
        <v>54</v>
      </c>
      <c r="D5" s="69" t="s">
        <v>55</v>
      </c>
      <c r="E5" s="14"/>
      <c r="G5" s="11" t="s">
        <v>9</v>
      </c>
      <c r="H5" s="69" t="s">
        <v>54</v>
      </c>
      <c r="I5" s="69" t="s">
        <v>55</v>
      </c>
      <c r="J5" s="13" t="s">
        <v>9</v>
      </c>
      <c r="K5" s="13" t="s">
        <v>9</v>
      </c>
      <c r="L5" s="13" t="s">
        <v>9</v>
      </c>
      <c r="M5" s="13" t="s">
        <v>9</v>
      </c>
      <c r="N5" s="18" t="s">
        <v>14</v>
      </c>
      <c r="O5" s="18" t="s">
        <v>15</v>
      </c>
      <c r="P5" s="18" t="s">
        <v>16</v>
      </c>
      <c r="Q5" s="18" t="s">
        <v>17</v>
      </c>
      <c r="R5" s="18" t="s">
        <v>18</v>
      </c>
      <c r="S5" s="13"/>
      <c r="T5" s="18" t="s">
        <v>14</v>
      </c>
      <c r="U5" s="18" t="s">
        <v>15</v>
      </c>
      <c r="V5" s="13"/>
      <c r="W5" s="14"/>
    </row>
    <row r="6" spans="2:23">
      <c r="B6" s="11"/>
      <c r="C6" s="12" t="s">
        <v>63</v>
      </c>
      <c r="D6" s="86" t="s">
        <v>102</v>
      </c>
      <c r="E6" s="14"/>
      <c r="G6" s="11"/>
      <c r="H6" s="36" t="s">
        <v>4</v>
      </c>
      <c r="I6" s="89" t="s">
        <v>104</v>
      </c>
      <c r="J6" s="13" t="s">
        <v>9</v>
      </c>
      <c r="K6" s="13" t="s">
        <v>9</v>
      </c>
      <c r="L6" s="13" t="s">
        <v>9</v>
      </c>
      <c r="M6" s="13" t="s">
        <v>9</v>
      </c>
      <c r="N6" s="49" t="s">
        <v>32</v>
      </c>
      <c r="O6" s="55">
        <v>7.1040000000000001E-3</v>
      </c>
      <c r="P6" s="29"/>
      <c r="Q6" s="30"/>
      <c r="R6" s="19" t="b">
        <v>1</v>
      </c>
      <c r="S6" s="53"/>
      <c r="T6" s="49" t="s">
        <v>2</v>
      </c>
      <c r="U6" s="50">
        <v>1.15E-3</v>
      </c>
      <c r="V6" s="26"/>
      <c r="W6" s="27"/>
    </row>
    <row r="7" spans="2:23">
      <c r="B7" s="11"/>
      <c r="C7" s="79" t="s">
        <v>7</v>
      </c>
      <c r="D7" s="87" t="s">
        <v>103</v>
      </c>
      <c r="E7" s="14"/>
      <c r="G7" s="11"/>
      <c r="H7" s="39" t="s">
        <v>19</v>
      </c>
      <c r="I7" s="90" t="s">
        <v>11</v>
      </c>
      <c r="J7" s="13" t="s">
        <v>9</v>
      </c>
      <c r="K7" s="13" t="s">
        <v>9</v>
      </c>
      <c r="L7" s="13" t="s">
        <v>9</v>
      </c>
      <c r="M7" s="13" t="s">
        <v>9</v>
      </c>
      <c r="N7" s="33" t="s">
        <v>33</v>
      </c>
      <c r="O7" s="56">
        <v>6.9099999999999995E-3</v>
      </c>
      <c r="P7" s="30"/>
      <c r="Q7" s="30"/>
      <c r="R7" s="19" t="b">
        <v>1</v>
      </c>
      <c r="S7" s="53"/>
      <c r="T7" s="33" t="s">
        <v>34</v>
      </c>
      <c r="U7" s="51">
        <v>1.1999999999999999E-3</v>
      </c>
      <c r="V7" s="26"/>
      <c r="W7" s="27"/>
    </row>
    <row r="8" spans="2:23">
      <c r="B8" s="11"/>
      <c r="C8" s="20" t="s">
        <v>62</v>
      </c>
      <c r="D8" s="88" t="str">
        <f ca="1">_xll.meLWOCurveEngineCalibrate(D6,D7,C12:D15,D19,D26,D20,D27,D21,D28,D22,D29,D23,D30)</f>
        <v>GBP_CURVE@22:16</v>
      </c>
      <c r="E8" s="14"/>
      <c r="G8" s="11"/>
      <c r="H8" s="39" t="s">
        <v>20</v>
      </c>
      <c r="I8" s="185" t="s">
        <v>21</v>
      </c>
      <c r="J8" s="13" t="s">
        <v>9</v>
      </c>
      <c r="K8" s="13" t="s">
        <v>9</v>
      </c>
      <c r="L8" s="13" t="s">
        <v>9</v>
      </c>
      <c r="M8" s="13" t="s">
        <v>9</v>
      </c>
      <c r="N8" s="33" t="s">
        <v>36</v>
      </c>
      <c r="O8" s="56">
        <v>6.0000000000000001E-3</v>
      </c>
      <c r="P8" s="30"/>
      <c r="Q8" s="30"/>
      <c r="R8" s="19" t="b">
        <v>1</v>
      </c>
      <c r="S8" s="53"/>
      <c r="T8" s="33" t="s">
        <v>27</v>
      </c>
      <c r="U8" s="51">
        <v>1.2600000000000001E-3</v>
      </c>
      <c r="V8" s="26"/>
      <c r="W8" s="27"/>
    </row>
    <row r="9" spans="2:23">
      <c r="B9" s="11"/>
      <c r="C9" s="13"/>
      <c r="D9" s="13"/>
      <c r="E9" s="14"/>
      <c r="G9" s="11"/>
      <c r="H9" s="59" t="s">
        <v>6</v>
      </c>
      <c r="I9" s="91">
        <v>43854</v>
      </c>
      <c r="J9" s="13" t="s">
        <v>9</v>
      </c>
      <c r="K9" s="13" t="s">
        <v>9</v>
      </c>
      <c r="L9" s="13" t="s">
        <v>9</v>
      </c>
      <c r="M9" s="13" t="s">
        <v>9</v>
      </c>
      <c r="N9" s="33" t="s">
        <v>37</v>
      </c>
      <c r="O9" s="56">
        <v>5.8699999999999994E-3</v>
      </c>
      <c r="P9" s="30"/>
      <c r="Q9" s="30"/>
      <c r="R9" s="19" t="b">
        <v>1</v>
      </c>
      <c r="S9" s="53"/>
      <c r="T9" s="33" t="s">
        <v>35</v>
      </c>
      <c r="U9" s="51">
        <v>1.2999999999999999E-3</v>
      </c>
      <c r="V9" s="26"/>
      <c r="W9" s="27"/>
    </row>
    <row r="10" spans="2:23">
      <c r="B10" s="11"/>
      <c r="C10" s="13"/>
      <c r="D10" s="13"/>
      <c r="E10" s="14"/>
      <c r="G10" s="11"/>
      <c r="H10" s="16"/>
      <c r="I10" s="16"/>
      <c r="J10" s="13" t="s">
        <v>9</v>
      </c>
      <c r="K10" s="13" t="s">
        <v>9</v>
      </c>
      <c r="L10" s="13" t="s">
        <v>9</v>
      </c>
      <c r="M10" s="13" t="s">
        <v>9</v>
      </c>
      <c r="N10" s="33" t="s">
        <v>39</v>
      </c>
      <c r="O10" s="56">
        <v>5.6999999999999993E-3</v>
      </c>
      <c r="P10" s="30"/>
      <c r="Q10" s="30"/>
      <c r="R10" s="19" t="b">
        <v>1</v>
      </c>
      <c r="S10" s="53"/>
      <c r="T10" s="33" t="s">
        <v>3</v>
      </c>
      <c r="U10" s="51">
        <v>1.32E-3</v>
      </c>
      <c r="V10" s="26"/>
      <c r="W10" s="27"/>
    </row>
    <row r="11" spans="2:23">
      <c r="B11" s="11"/>
      <c r="C11" s="15" t="s">
        <v>56</v>
      </c>
      <c r="D11" s="13"/>
      <c r="E11" s="14"/>
      <c r="G11" s="11"/>
      <c r="H11" s="13"/>
      <c r="I11" s="92"/>
      <c r="J11" s="13" t="s">
        <v>9</v>
      </c>
      <c r="K11" s="13" t="s">
        <v>9</v>
      </c>
      <c r="L11" s="13" t="s">
        <v>9</v>
      </c>
      <c r="M11" s="13" t="s">
        <v>9</v>
      </c>
      <c r="N11" s="33" t="s">
        <v>41</v>
      </c>
      <c r="O11" s="56">
        <v>5.5200000000000006E-3</v>
      </c>
      <c r="P11" s="30"/>
      <c r="Q11" s="30"/>
      <c r="R11" s="19" t="b">
        <v>1</v>
      </c>
      <c r="S11" s="53"/>
      <c r="T11" s="33" t="s">
        <v>38</v>
      </c>
      <c r="U11" s="51">
        <v>1.3699999999999999E-3</v>
      </c>
      <c r="V11" s="26"/>
      <c r="W11" s="27"/>
    </row>
    <row r="12" spans="2:23">
      <c r="B12" s="11"/>
      <c r="C12" s="36" t="s">
        <v>57</v>
      </c>
      <c r="D12" s="76" t="b">
        <v>1</v>
      </c>
      <c r="E12" s="14"/>
      <c r="G12" s="11"/>
      <c r="H12" s="24" t="s">
        <v>22</v>
      </c>
      <c r="I12" s="16"/>
      <c r="J12" s="13" t="s">
        <v>9</v>
      </c>
      <c r="K12" s="13" t="s">
        <v>9</v>
      </c>
      <c r="L12" s="13" t="s">
        <v>9</v>
      </c>
      <c r="M12" s="13" t="s">
        <v>9</v>
      </c>
      <c r="N12" s="33" t="s">
        <v>43</v>
      </c>
      <c r="O12" s="56">
        <v>5.3700000000000006E-3</v>
      </c>
      <c r="P12" s="30"/>
      <c r="Q12" s="30"/>
      <c r="R12" s="19" t="b">
        <v>1</v>
      </c>
      <c r="S12" s="53"/>
      <c r="T12" s="33" t="s">
        <v>40</v>
      </c>
      <c r="U12" s="51">
        <v>1.41E-3</v>
      </c>
      <c r="V12" s="26"/>
      <c r="W12" s="27"/>
    </row>
    <row r="13" spans="2:23">
      <c r="B13" s="11"/>
      <c r="C13" s="39" t="s">
        <v>88</v>
      </c>
      <c r="D13" s="77">
        <v>1.0000000000000001E-9</v>
      </c>
      <c r="E13" s="14"/>
      <c r="G13" s="11"/>
      <c r="H13" s="12" t="s">
        <v>23</v>
      </c>
      <c r="I13" s="86" t="s">
        <v>129</v>
      </c>
      <c r="J13" s="13" t="s">
        <v>9</v>
      </c>
      <c r="K13" s="13" t="s">
        <v>9</v>
      </c>
      <c r="L13" s="13" t="s">
        <v>9</v>
      </c>
      <c r="M13" s="13" t="s">
        <v>9</v>
      </c>
      <c r="N13" s="33" t="s">
        <v>45</v>
      </c>
      <c r="O13" s="56">
        <v>5.2399999999999999E-3</v>
      </c>
      <c r="P13" s="30"/>
      <c r="Q13" s="30"/>
      <c r="R13" s="19" t="b">
        <v>1</v>
      </c>
      <c r="S13" s="53"/>
      <c r="T13" s="33" t="s">
        <v>44</v>
      </c>
      <c r="U13" s="51">
        <v>1.4499999999999999E-3</v>
      </c>
      <c r="V13" s="26"/>
      <c r="W13" s="27"/>
    </row>
    <row r="14" spans="2:23">
      <c r="B14" s="11"/>
      <c r="C14" s="39" t="s">
        <v>89</v>
      </c>
      <c r="D14" s="77">
        <v>1.0000000000000001E-15</v>
      </c>
      <c r="E14" s="14"/>
      <c r="G14" s="11"/>
      <c r="H14" s="20" t="s">
        <v>24</v>
      </c>
      <c r="I14" s="97" t="str">
        <f ca="1">_xll.meLWOCurveMarketDataCreate(I13,H4,H6:I9,N4,N6:R20,T4,T6:U20)</f>
        <v>GBP_OIS_MARKETDATA@3:16</v>
      </c>
      <c r="J14" s="13" t="s">
        <v>9</v>
      </c>
      <c r="K14" s="13" t="s">
        <v>9</v>
      </c>
      <c r="L14" s="13" t="s">
        <v>9</v>
      </c>
      <c r="M14" s="13" t="s">
        <v>9</v>
      </c>
      <c r="N14" s="33" t="s">
        <v>120</v>
      </c>
      <c r="O14" s="56">
        <v>5.11E-3</v>
      </c>
      <c r="P14" s="30"/>
      <c r="Q14" s="30"/>
      <c r="R14" s="19" t="b">
        <v>1</v>
      </c>
      <c r="S14" s="53"/>
      <c r="T14" s="33" t="s">
        <v>46</v>
      </c>
      <c r="U14" s="51">
        <v>1.47E-3</v>
      </c>
      <c r="V14" s="26"/>
      <c r="W14" s="27"/>
    </row>
    <row r="15" spans="2:23">
      <c r="B15" s="11"/>
      <c r="C15" s="59" t="s">
        <v>90</v>
      </c>
      <c r="D15" s="78">
        <v>1E-10</v>
      </c>
      <c r="E15" s="14"/>
      <c r="G15" s="11"/>
      <c r="H15" s="13"/>
      <c r="I15" s="13"/>
      <c r="J15" s="13" t="s">
        <v>9</v>
      </c>
      <c r="K15" s="13" t="s">
        <v>9</v>
      </c>
      <c r="L15" s="13" t="s">
        <v>9</v>
      </c>
      <c r="M15" s="13" t="s">
        <v>9</v>
      </c>
      <c r="N15" s="33" t="s">
        <v>121</v>
      </c>
      <c r="O15" s="56">
        <v>4.9800000000000001E-3</v>
      </c>
      <c r="P15" s="30"/>
      <c r="Q15" s="30"/>
      <c r="R15" s="19" t="b">
        <v>1</v>
      </c>
      <c r="S15" s="53"/>
      <c r="T15" s="33" t="s">
        <v>49</v>
      </c>
      <c r="U15" s="51">
        <v>1.49E-3</v>
      </c>
      <c r="V15" s="26"/>
      <c r="W15" s="27"/>
    </row>
    <row r="16" spans="2:23">
      <c r="B16" s="11"/>
      <c r="C16" s="13"/>
      <c r="D16" s="13"/>
      <c r="E16" s="14"/>
      <c r="G16" s="11"/>
      <c r="H16" s="13"/>
      <c r="I16" s="13"/>
      <c r="J16" s="13" t="s">
        <v>9</v>
      </c>
      <c r="K16" s="13" t="s">
        <v>9</v>
      </c>
      <c r="L16" s="13" t="s">
        <v>9</v>
      </c>
      <c r="M16" s="13" t="s">
        <v>9</v>
      </c>
      <c r="N16" s="33" t="s">
        <v>47</v>
      </c>
      <c r="O16" s="56">
        <v>4.8700000000000002E-3</v>
      </c>
      <c r="P16" s="30"/>
      <c r="Q16" s="30"/>
      <c r="R16" s="19" t="b">
        <v>1</v>
      </c>
      <c r="S16" s="53"/>
      <c r="T16" s="33" t="s">
        <v>25</v>
      </c>
      <c r="U16" s="51">
        <v>1.49E-3</v>
      </c>
      <c r="V16" s="26"/>
      <c r="W16" s="27"/>
    </row>
    <row r="17" spans="2:24">
      <c r="B17" s="11"/>
      <c r="C17" s="13"/>
      <c r="D17" s="13"/>
      <c r="E17" s="14"/>
      <c r="G17" s="11"/>
      <c r="H17" s="13"/>
      <c r="I17" s="13"/>
      <c r="J17" s="13" t="s">
        <v>9</v>
      </c>
      <c r="K17" s="13" t="s">
        <v>9</v>
      </c>
      <c r="L17" s="13" t="s">
        <v>9</v>
      </c>
      <c r="M17" s="13" t="s">
        <v>9</v>
      </c>
      <c r="N17" s="33" t="s">
        <v>122</v>
      </c>
      <c r="O17" s="56">
        <v>4.79E-3</v>
      </c>
      <c r="P17" s="30"/>
      <c r="Q17" s="30"/>
      <c r="R17" s="19" t="b">
        <v>1</v>
      </c>
      <c r="S17" s="53"/>
      <c r="T17" s="33" t="s">
        <v>26</v>
      </c>
      <c r="U17" s="51">
        <v>1.49E-3</v>
      </c>
      <c r="V17" s="26"/>
      <c r="W17" s="27"/>
    </row>
    <row r="18" spans="2:24">
      <c r="B18" s="11"/>
      <c r="C18" s="15" t="s">
        <v>58</v>
      </c>
      <c r="D18" s="13"/>
      <c r="E18" s="14"/>
      <c r="G18" s="11"/>
      <c r="H18" s="13"/>
      <c r="I18" s="13"/>
      <c r="J18" s="13" t="s">
        <v>9</v>
      </c>
      <c r="K18" s="13" t="s">
        <v>9</v>
      </c>
      <c r="L18" s="13" t="s">
        <v>9</v>
      </c>
      <c r="M18" s="13" t="s">
        <v>9</v>
      </c>
      <c r="N18" s="33" t="s">
        <v>123</v>
      </c>
      <c r="O18" s="56">
        <v>4.7099999999999998E-3</v>
      </c>
      <c r="P18" s="30"/>
      <c r="Q18" s="30"/>
      <c r="R18" s="19" t="b">
        <v>1</v>
      </c>
      <c r="S18" s="53"/>
      <c r="T18" s="33" t="s">
        <v>92</v>
      </c>
      <c r="U18" s="51">
        <f ca="1">U17</f>
        <v>1.49E-3</v>
      </c>
      <c r="V18" s="26"/>
      <c r="W18" s="27"/>
    </row>
    <row r="19" spans="2:24">
      <c r="B19" s="11"/>
      <c r="C19" s="36" t="s">
        <v>11</v>
      </c>
      <c r="D19" s="12" t="s">
        <v>108</v>
      </c>
      <c r="E19" s="14"/>
      <c r="G19" s="11"/>
      <c r="H19" s="13"/>
      <c r="I19" s="13"/>
      <c r="J19" s="13" t="s">
        <v>9</v>
      </c>
      <c r="K19" s="13" t="s">
        <v>9</v>
      </c>
      <c r="L19" s="13" t="s">
        <v>9</v>
      </c>
      <c r="M19" s="13" t="s">
        <v>9</v>
      </c>
      <c r="N19" s="33"/>
      <c r="O19" s="56"/>
      <c r="P19" s="30"/>
      <c r="Q19" s="30"/>
      <c r="R19" s="19"/>
      <c r="S19" s="53"/>
      <c r="T19" s="33"/>
      <c r="U19" s="51"/>
      <c r="V19" s="26"/>
      <c r="W19" s="27"/>
    </row>
    <row r="20" spans="2:24">
      <c r="B20" s="11"/>
      <c r="C20" s="39" t="s">
        <v>99</v>
      </c>
      <c r="D20" s="79" t="s">
        <v>109</v>
      </c>
      <c r="E20" s="14"/>
      <c r="G20" s="11"/>
      <c r="H20" s="13"/>
      <c r="I20" s="13"/>
      <c r="J20" s="13"/>
      <c r="K20" s="13"/>
      <c r="L20" s="13"/>
      <c r="M20" s="13"/>
      <c r="N20" s="45"/>
      <c r="O20" s="57"/>
      <c r="P20" s="58"/>
      <c r="Q20" s="58"/>
      <c r="R20" s="54"/>
      <c r="S20" s="53"/>
      <c r="T20" s="45"/>
      <c r="U20" s="52"/>
      <c r="V20" s="26"/>
      <c r="W20" s="27"/>
    </row>
    <row r="21" spans="2:24">
      <c r="B21" s="11"/>
      <c r="C21" s="39" t="s">
        <v>59</v>
      </c>
      <c r="D21" s="79" t="s">
        <v>110</v>
      </c>
      <c r="E21" s="14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3"/>
    </row>
    <row r="22" spans="2:24">
      <c r="B22" s="11"/>
      <c r="C22" s="39" t="s">
        <v>96</v>
      </c>
      <c r="D22" s="79" t="s">
        <v>111</v>
      </c>
      <c r="E22" s="14"/>
    </row>
    <row r="23" spans="2:24">
      <c r="B23" s="11"/>
      <c r="C23" s="59" t="s">
        <v>100</v>
      </c>
      <c r="D23" s="20" t="s">
        <v>112</v>
      </c>
      <c r="E23" s="14"/>
    </row>
    <row r="24" spans="2:24">
      <c r="B24" s="11"/>
      <c r="C24" s="13"/>
      <c r="D24" s="13"/>
      <c r="E24" s="14"/>
      <c r="G24" s="6"/>
      <c r="H24" s="9"/>
      <c r="I24" s="9"/>
      <c r="J24" s="9"/>
      <c r="K24" s="9"/>
      <c r="L24" s="9"/>
      <c r="M24" s="9"/>
      <c r="N24" s="9"/>
      <c r="O24" s="9"/>
      <c r="P24" s="9"/>
      <c r="Q24" s="188"/>
      <c r="R24" s="9"/>
      <c r="S24" s="9"/>
      <c r="T24" s="9"/>
      <c r="U24" s="9"/>
      <c r="V24" s="9"/>
      <c r="W24" s="10"/>
    </row>
    <row r="25" spans="2:24">
      <c r="B25" s="11"/>
      <c r="C25" s="15" t="s">
        <v>60</v>
      </c>
      <c r="D25" s="13"/>
      <c r="E25" s="14"/>
      <c r="G25" s="11"/>
      <c r="H25" s="15" t="s">
        <v>10</v>
      </c>
      <c r="I25" s="13"/>
      <c r="J25" s="13"/>
      <c r="K25" s="15" t="s">
        <v>29</v>
      </c>
      <c r="L25" s="13"/>
      <c r="M25" s="13"/>
      <c r="N25" s="15" t="s">
        <v>30</v>
      </c>
      <c r="O25" s="35"/>
      <c r="P25" s="13"/>
      <c r="Q25" s="13"/>
      <c r="R25" s="13"/>
      <c r="S25" s="13"/>
      <c r="T25" s="15" t="s">
        <v>13</v>
      </c>
      <c r="U25" s="13"/>
      <c r="V25" s="13"/>
      <c r="W25" s="14"/>
    </row>
    <row r="26" spans="2:24">
      <c r="B26" s="11"/>
      <c r="C26" s="36" t="s">
        <v>11</v>
      </c>
      <c r="D26" s="81" t="str">
        <f ca="1">I14</f>
        <v>GBP_OIS_MARKETDATA@3:16</v>
      </c>
      <c r="E26" s="14"/>
      <c r="G26" s="11"/>
      <c r="H26" s="69" t="s">
        <v>54</v>
      </c>
      <c r="I26" s="69" t="s">
        <v>55</v>
      </c>
      <c r="J26" s="13" t="s">
        <v>9</v>
      </c>
      <c r="K26" s="16" t="s">
        <v>14</v>
      </c>
      <c r="L26" s="16" t="s">
        <v>15</v>
      </c>
      <c r="M26" s="34"/>
      <c r="N26" s="37" t="s">
        <v>14</v>
      </c>
      <c r="O26" s="37" t="s">
        <v>16</v>
      </c>
      <c r="P26" s="37" t="s">
        <v>17</v>
      </c>
      <c r="Q26" s="37" t="s">
        <v>15</v>
      </c>
      <c r="R26" s="37" t="s">
        <v>8</v>
      </c>
      <c r="S26" s="34"/>
      <c r="T26" s="38" t="s">
        <v>14</v>
      </c>
      <c r="U26" s="16" t="s">
        <v>15</v>
      </c>
      <c r="V26" s="16" t="s">
        <v>18</v>
      </c>
      <c r="W26" s="14"/>
    </row>
    <row r="27" spans="2:24">
      <c r="B27" s="11"/>
      <c r="C27" s="39" t="s">
        <v>99</v>
      </c>
      <c r="D27" s="184" t="str">
        <f ca="1">I57</f>
        <v>GBP_1M_MARKETDATA@1:16</v>
      </c>
      <c r="E27" s="14"/>
      <c r="G27" s="11"/>
      <c r="H27" s="36" t="s">
        <v>4</v>
      </c>
      <c r="I27" s="93" t="s">
        <v>104</v>
      </c>
      <c r="J27" s="13" t="s">
        <v>9</v>
      </c>
      <c r="K27" s="49" t="s">
        <v>36</v>
      </c>
      <c r="L27" s="60">
        <v>6.3062999999999999E-3</v>
      </c>
      <c r="M27" s="26"/>
      <c r="N27" s="61" t="s">
        <v>124</v>
      </c>
      <c r="O27" s="72">
        <v>43908</v>
      </c>
      <c r="P27" s="72">
        <v>43999</v>
      </c>
      <c r="Q27" s="62">
        <v>99.385000000000005</v>
      </c>
      <c r="R27" s="40">
        <v>1.6E-2</v>
      </c>
      <c r="S27" s="26"/>
      <c r="T27" s="61" t="s">
        <v>34</v>
      </c>
      <c r="U27" s="63">
        <v>5.4300000000000008E-3</v>
      </c>
      <c r="V27" s="41" t="b">
        <v>1</v>
      </c>
      <c r="W27" s="27"/>
      <c r="X27" s="187"/>
    </row>
    <row r="28" spans="2:24">
      <c r="B28" s="11"/>
      <c r="C28" s="39" t="s">
        <v>59</v>
      </c>
      <c r="D28" s="184" t="str">
        <f ca="1">I35</f>
        <v>GBP_3M_MARKETDATA@2:16</v>
      </c>
      <c r="E28" s="14"/>
      <c r="G28" s="11"/>
      <c r="H28" s="39" t="s">
        <v>19</v>
      </c>
      <c r="I28" s="94" t="s">
        <v>31</v>
      </c>
      <c r="J28" s="13" t="s">
        <v>9</v>
      </c>
      <c r="K28" s="33" t="s">
        <v>39</v>
      </c>
      <c r="L28" s="64">
        <v>6.9074999999999996E-3</v>
      </c>
      <c r="M28" s="26"/>
      <c r="N28" s="65" t="s">
        <v>125</v>
      </c>
      <c r="O28" s="73">
        <v>43999</v>
      </c>
      <c r="P28" s="73">
        <v>44090</v>
      </c>
      <c r="Q28" s="66">
        <v>99.46</v>
      </c>
      <c r="R28" s="42">
        <v>1.6E-2</v>
      </c>
      <c r="S28" s="26"/>
      <c r="T28" s="65" t="s">
        <v>27</v>
      </c>
      <c r="U28" s="67">
        <v>5.4800000000000005E-3</v>
      </c>
      <c r="V28" s="43" t="b">
        <v>1</v>
      </c>
      <c r="W28" s="27"/>
      <c r="X28" s="187"/>
    </row>
    <row r="29" spans="2:24">
      <c r="B29" s="11"/>
      <c r="C29" s="39" t="s">
        <v>96</v>
      </c>
      <c r="D29" s="184" t="str">
        <f ca="1">I108</f>
        <v>GBP_6M_MARKETDATA@5:0</v>
      </c>
      <c r="E29" s="14"/>
      <c r="G29" s="11"/>
      <c r="H29" s="39" t="s">
        <v>20</v>
      </c>
      <c r="I29" s="185" t="s">
        <v>28</v>
      </c>
      <c r="J29" s="13" t="s">
        <v>9</v>
      </c>
      <c r="K29" s="33" t="s">
        <v>45</v>
      </c>
      <c r="L29" s="64">
        <v>7.4750000000000007E-3</v>
      </c>
      <c r="M29" s="26"/>
      <c r="N29" s="65" t="s">
        <v>126</v>
      </c>
      <c r="O29" s="74">
        <v>44090</v>
      </c>
      <c r="P29" s="74">
        <v>44181</v>
      </c>
      <c r="Q29" s="66">
        <v>99.495000000000005</v>
      </c>
      <c r="R29" s="44">
        <v>1.6E-2</v>
      </c>
      <c r="S29" s="26"/>
      <c r="T29" s="65" t="s">
        <v>35</v>
      </c>
      <c r="U29" s="67">
        <v>5.6200000000000009E-3</v>
      </c>
      <c r="V29" s="43" t="b">
        <v>1</v>
      </c>
      <c r="W29" s="27"/>
      <c r="X29" s="187"/>
    </row>
    <row r="30" spans="2:24">
      <c r="B30" s="11"/>
      <c r="C30" s="59" t="s">
        <v>100</v>
      </c>
      <c r="D30" s="80" t="str">
        <f ca="1">I82</f>
        <v>GBP_12M_MARKETDATA@4:16</v>
      </c>
      <c r="E30" s="14"/>
      <c r="G30" s="11"/>
      <c r="H30" s="39" t="s">
        <v>6</v>
      </c>
      <c r="I30" s="95">
        <f ca="1">$I$9</f>
        <v>43854</v>
      </c>
      <c r="J30" s="13" t="s">
        <v>9</v>
      </c>
      <c r="K30" s="33" t="s">
        <v>119</v>
      </c>
      <c r="L30" s="64">
        <v>8.0438000000000003E-3</v>
      </c>
      <c r="M30" s="26"/>
      <c r="N30" s="65" t="s">
        <v>127</v>
      </c>
      <c r="O30" s="74">
        <v>44181</v>
      </c>
      <c r="P30" s="74">
        <v>44272</v>
      </c>
      <c r="Q30" s="66">
        <v>99.484999999999999</v>
      </c>
      <c r="R30" s="44">
        <v>1.6E-2</v>
      </c>
      <c r="S30" s="26"/>
      <c r="T30" s="65" t="s">
        <v>3</v>
      </c>
      <c r="U30" s="67">
        <v>5.7599999999999995E-3</v>
      </c>
      <c r="V30" s="43" t="b">
        <v>1</v>
      </c>
      <c r="W30" s="27"/>
      <c r="X30" s="187"/>
    </row>
    <row r="31" spans="2:24">
      <c r="B31" s="11"/>
      <c r="C31" s="13"/>
      <c r="D31" s="13"/>
      <c r="E31" s="14"/>
      <c r="G31" s="11"/>
      <c r="H31" s="59"/>
      <c r="I31" s="96"/>
      <c r="J31" s="13" t="s">
        <v>9</v>
      </c>
      <c r="K31" s="45"/>
      <c r="L31" s="52"/>
      <c r="M31" s="26"/>
      <c r="N31" s="65"/>
      <c r="O31" s="74"/>
      <c r="P31" s="74"/>
      <c r="Q31" s="66"/>
      <c r="R31" s="44"/>
      <c r="S31" s="26"/>
      <c r="T31" s="65" t="s">
        <v>128</v>
      </c>
      <c r="U31" s="67">
        <v>5.9299999999999995E-3</v>
      </c>
      <c r="V31" s="43" t="b">
        <v>1</v>
      </c>
      <c r="W31" s="27"/>
    </row>
    <row r="32" spans="2:24">
      <c r="B32" s="11"/>
      <c r="C32" s="13"/>
      <c r="D32" s="13"/>
      <c r="E32" s="14"/>
      <c r="G32" s="11"/>
      <c r="H32" s="13"/>
      <c r="I32" s="92"/>
      <c r="J32" s="13" t="s">
        <v>9</v>
      </c>
      <c r="K32" s="26"/>
      <c r="L32" s="26"/>
      <c r="M32" s="26"/>
      <c r="N32" s="65"/>
      <c r="O32" s="74"/>
      <c r="P32" s="74"/>
      <c r="Q32" s="66"/>
      <c r="R32" s="44"/>
      <c r="S32" s="26"/>
      <c r="T32" s="65" t="s">
        <v>38</v>
      </c>
      <c r="U32" s="67">
        <v>6.11E-3</v>
      </c>
      <c r="V32" s="43" t="b">
        <v>1</v>
      </c>
      <c r="W32" s="27"/>
    </row>
    <row r="33" spans="2:23">
      <c r="B33" s="11"/>
      <c r="C33" s="13"/>
      <c r="D33" s="13"/>
      <c r="E33" s="14"/>
      <c r="G33" s="11"/>
      <c r="H33" s="25" t="s">
        <v>22</v>
      </c>
      <c r="I33" s="16"/>
      <c r="J33" s="13" t="s">
        <v>9</v>
      </c>
      <c r="K33" s="26"/>
      <c r="L33" s="26"/>
      <c r="M33" s="26"/>
      <c r="N33" s="65"/>
      <c r="O33" s="74"/>
      <c r="P33" s="74"/>
      <c r="Q33" s="66"/>
      <c r="R33" s="44"/>
      <c r="S33" s="26"/>
      <c r="T33" s="65" t="s">
        <v>50</v>
      </c>
      <c r="U33" s="67">
        <v>6.3099999999999996E-3</v>
      </c>
      <c r="V33" s="43" t="b">
        <v>1</v>
      </c>
      <c r="W33" s="27"/>
    </row>
    <row r="34" spans="2:23">
      <c r="B34" s="11"/>
      <c r="C34" s="13"/>
      <c r="D34" s="13"/>
      <c r="E34" s="14"/>
      <c r="G34" s="11"/>
      <c r="H34" s="12" t="s">
        <v>23</v>
      </c>
      <c r="I34" s="86" t="s">
        <v>105</v>
      </c>
      <c r="J34" s="13" t="s">
        <v>9</v>
      </c>
      <c r="K34" s="26"/>
      <c r="L34" s="26"/>
      <c r="M34" s="26"/>
      <c r="N34" s="65"/>
      <c r="O34" s="74"/>
      <c r="P34" s="74"/>
      <c r="Q34" s="66"/>
      <c r="R34" s="44"/>
      <c r="S34" s="26"/>
      <c r="T34" s="65" t="s">
        <v>40</v>
      </c>
      <c r="U34" s="67">
        <v>6.7300000000000007E-3</v>
      </c>
      <c r="V34" s="43" t="b">
        <v>1</v>
      </c>
      <c r="W34" s="27"/>
    </row>
    <row r="35" spans="2:23">
      <c r="B35" s="11"/>
      <c r="C35" s="13"/>
      <c r="D35" s="13"/>
      <c r="E35" s="14"/>
      <c r="G35" s="11"/>
      <c r="H35" s="20" t="s">
        <v>24</v>
      </c>
      <c r="I35" s="97" t="str">
        <f ca="1">_xll.meLWOCurveMarketDataCreate(I34,H25,H27:I31,K25,K27:L31,N25,N27:R42,T25,T27:V42)</f>
        <v>GBP_3M_MARKETDATA@2:16</v>
      </c>
      <c r="J35" s="13" t="s">
        <v>9</v>
      </c>
      <c r="K35" s="26"/>
      <c r="L35" s="26"/>
      <c r="M35" s="70"/>
      <c r="N35" s="65"/>
      <c r="O35" s="74"/>
      <c r="P35" s="74"/>
      <c r="Q35" s="66"/>
      <c r="R35" s="44"/>
      <c r="S35" s="26"/>
      <c r="T35" s="65" t="s">
        <v>42</v>
      </c>
      <c r="U35" s="67">
        <v>7.1199999999999996E-3</v>
      </c>
      <c r="V35" s="43" t="b">
        <v>1</v>
      </c>
      <c r="W35" s="27"/>
    </row>
    <row r="36" spans="2:23">
      <c r="B36" s="11"/>
      <c r="C36" s="13"/>
      <c r="D36" s="13"/>
      <c r="E36" s="14"/>
      <c r="G36" s="11"/>
      <c r="H36" s="13"/>
      <c r="I36" s="13"/>
      <c r="J36" s="13" t="s">
        <v>9</v>
      </c>
      <c r="K36" s="26"/>
      <c r="L36" s="26"/>
      <c r="M36" s="71"/>
      <c r="N36" s="65"/>
      <c r="O36" s="74"/>
      <c r="P36" s="74"/>
      <c r="Q36" s="66"/>
      <c r="R36" s="44"/>
      <c r="S36" s="26"/>
      <c r="T36" s="65" t="s">
        <v>44</v>
      </c>
      <c r="U36" s="67">
        <v>7.5300000000000002E-3</v>
      </c>
      <c r="V36" s="43" t="b">
        <v>1</v>
      </c>
      <c r="W36" s="27"/>
    </row>
    <row r="37" spans="2:23">
      <c r="B37" s="11"/>
      <c r="C37" s="13"/>
      <c r="D37" s="13"/>
      <c r="E37" s="14"/>
      <c r="G37" s="11"/>
      <c r="H37" s="13"/>
      <c r="I37" s="13"/>
      <c r="J37" s="13" t="s">
        <v>9</v>
      </c>
      <c r="K37" s="26"/>
      <c r="L37" s="26"/>
      <c r="M37" s="71"/>
      <c r="N37" s="65"/>
      <c r="O37" s="74"/>
      <c r="P37" s="74"/>
      <c r="Q37" s="66"/>
      <c r="R37" s="44"/>
      <c r="S37" s="26"/>
      <c r="T37" s="65" t="s">
        <v>46</v>
      </c>
      <c r="U37" s="67">
        <v>7.8000000000000005E-3</v>
      </c>
      <c r="V37" s="43" t="b">
        <v>1</v>
      </c>
      <c r="W37" s="27"/>
    </row>
    <row r="38" spans="2:23">
      <c r="B38" s="11"/>
      <c r="C38" s="13"/>
      <c r="D38" s="13"/>
      <c r="E38" s="14"/>
      <c r="G38" s="11"/>
      <c r="H38" s="13"/>
      <c r="I38" s="13"/>
      <c r="J38" s="13" t="s">
        <v>9</v>
      </c>
      <c r="K38" s="26"/>
      <c r="L38" s="26"/>
      <c r="M38" s="71"/>
      <c r="N38" s="65"/>
      <c r="O38" s="74"/>
      <c r="P38" s="74"/>
      <c r="Q38" s="66"/>
      <c r="R38" s="44"/>
      <c r="S38" s="26"/>
      <c r="T38" s="65" t="s">
        <v>48</v>
      </c>
      <c r="U38" s="67">
        <v>7.8200000000000006E-3</v>
      </c>
      <c r="V38" s="43" t="b">
        <v>1</v>
      </c>
      <c r="W38" s="27"/>
    </row>
    <row r="39" spans="2:23">
      <c r="B39" s="11"/>
      <c r="C39" s="13"/>
      <c r="D39" s="13"/>
      <c r="E39" s="14"/>
      <c r="G39" s="11"/>
      <c r="H39" s="13"/>
      <c r="I39" s="13"/>
      <c r="J39" s="13" t="s">
        <v>9</v>
      </c>
      <c r="K39" s="26"/>
      <c r="L39" s="26"/>
      <c r="M39" s="26"/>
      <c r="N39" s="65"/>
      <c r="O39" s="74"/>
      <c r="P39" s="74"/>
      <c r="Q39" s="66"/>
      <c r="R39" s="44"/>
      <c r="S39" s="26"/>
      <c r="T39" s="65" t="s">
        <v>49</v>
      </c>
      <c r="U39" s="67">
        <v>7.7400000000000004E-3</v>
      </c>
      <c r="V39" s="43" t="b">
        <v>1</v>
      </c>
      <c r="W39" s="27"/>
    </row>
    <row r="40" spans="2:23">
      <c r="B40" s="11"/>
      <c r="C40" s="13"/>
      <c r="D40" s="13"/>
      <c r="E40" s="14"/>
      <c r="G40" s="11"/>
      <c r="H40" s="13"/>
      <c r="I40" s="13"/>
      <c r="J40" s="13"/>
      <c r="K40" s="26"/>
      <c r="L40" s="26"/>
      <c r="M40" s="26"/>
      <c r="N40" s="65"/>
      <c r="O40" s="74"/>
      <c r="P40" s="74"/>
      <c r="Q40" s="66"/>
      <c r="R40" s="44"/>
      <c r="S40" s="26"/>
      <c r="T40" s="65" t="s">
        <v>25</v>
      </c>
      <c r="U40" s="67">
        <v>7.7400000000000004E-3</v>
      </c>
      <c r="V40" s="43" t="b">
        <v>1</v>
      </c>
      <c r="W40" s="27"/>
    </row>
    <row r="41" spans="2:23">
      <c r="B41" s="21"/>
      <c r="C41" s="22"/>
      <c r="D41" s="22"/>
      <c r="E41" s="23"/>
      <c r="G41" s="11"/>
      <c r="H41" s="13"/>
      <c r="I41" s="13"/>
      <c r="J41" s="13"/>
      <c r="K41" s="26"/>
      <c r="L41" s="26"/>
      <c r="M41" s="26"/>
      <c r="N41" s="65"/>
      <c r="O41" s="74"/>
      <c r="P41" s="74"/>
      <c r="Q41" s="66"/>
      <c r="R41" s="44"/>
      <c r="S41" s="26"/>
      <c r="T41" s="65" t="s">
        <v>26</v>
      </c>
      <c r="U41" s="67">
        <v>7.7400000000000004E-3</v>
      </c>
      <c r="V41" s="43" t="b">
        <v>1</v>
      </c>
      <c r="W41" s="27"/>
    </row>
    <row r="42" spans="2:23">
      <c r="G42" s="11"/>
      <c r="H42" s="13"/>
      <c r="I42" s="13"/>
      <c r="J42" s="13"/>
      <c r="K42" s="13"/>
      <c r="L42" s="13"/>
      <c r="M42" s="13"/>
      <c r="N42" s="46"/>
      <c r="O42" s="75"/>
      <c r="P42" s="75"/>
      <c r="Q42" s="47"/>
      <c r="R42" s="48"/>
      <c r="S42" s="13"/>
      <c r="T42" s="181" t="s">
        <v>92</v>
      </c>
      <c r="U42" s="182">
        <f ca="1">U41</f>
        <v>7.7400000000000004E-3</v>
      </c>
      <c r="V42" s="183" t="b">
        <v>1</v>
      </c>
      <c r="W42" s="27"/>
    </row>
    <row r="43" spans="2:23"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3"/>
    </row>
    <row r="46" spans="2:23">
      <c r="G46" s="6"/>
      <c r="H46" s="7"/>
      <c r="I46" s="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</row>
    <row r="47" spans="2:23">
      <c r="G47" s="11"/>
      <c r="H47" s="15" t="s">
        <v>10</v>
      </c>
      <c r="I47" s="16"/>
      <c r="J47" s="13" t="s">
        <v>9</v>
      </c>
      <c r="K47" s="13" t="s">
        <v>9</v>
      </c>
      <c r="L47" s="13" t="s">
        <v>9</v>
      </c>
      <c r="M47" s="13" t="s">
        <v>9</v>
      </c>
      <c r="N47" s="17" t="s">
        <v>95</v>
      </c>
      <c r="O47" s="17"/>
      <c r="P47" s="13"/>
      <c r="Q47" s="13" t="s">
        <v>9</v>
      </c>
      <c r="R47" s="13" t="s">
        <v>9</v>
      </c>
      <c r="S47" s="13" t="s">
        <v>9</v>
      </c>
      <c r="T47" s="13" t="s">
        <v>9</v>
      </c>
      <c r="U47" s="13" t="s">
        <v>9</v>
      </c>
      <c r="V47" s="13" t="s">
        <v>9</v>
      </c>
      <c r="W47" s="14"/>
    </row>
    <row r="48" spans="2:23">
      <c r="G48" s="11" t="s">
        <v>9</v>
      </c>
      <c r="H48" s="69" t="s">
        <v>54</v>
      </c>
      <c r="I48" s="69" t="s">
        <v>55</v>
      </c>
      <c r="J48" s="13" t="s">
        <v>9</v>
      </c>
      <c r="K48" s="13" t="s">
        <v>9</v>
      </c>
      <c r="L48" s="13" t="s">
        <v>9</v>
      </c>
      <c r="M48" s="13" t="s">
        <v>9</v>
      </c>
      <c r="N48" s="18" t="s">
        <v>14</v>
      </c>
      <c r="O48" s="18" t="s">
        <v>15</v>
      </c>
      <c r="P48" s="13"/>
      <c r="Q48" s="13" t="s">
        <v>9</v>
      </c>
      <c r="R48" s="13" t="s">
        <v>9</v>
      </c>
      <c r="S48" s="13" t="s">
        <v>9</v>
      </c>
      <c r="T48" s="13" t="s">
        <v>9</v>
      </c>
      <c r="U48" s="13" t="s">
        <v>9</v>
      </c>
      <c r="V48" s="13" t="s">
        <v>9</v>
      </c>
      <c r="W48" s="14"/>
    </row>
    <row r="49" spans="7:23">
      <c r="G49" s="11"/>
      <c r="H49" s="36" t="s">
        <v>4</v>
      </c>
      <c r="I49" s="89" t="s">
        <v>104</v>
      </c>
      <c r="J49" s="13" t="s">
        <v>9</v>
      </c>
      <c r="K49" s="13" t="s">
        <v>9</v>
      </c>
      <c r="L49" s="13" t="s">
        <v>9</v>
      </c>
      <c r="M49" s="13" t="s">
        <v>9</v>
      </c>
      <c r="N49" s="49" t="s">
        <v>2</v>
      </c>
      <c r="O49" s="50">
        <v>8.9999999999999998E-4</v>
      </c>
      <c r="P49" s="26"/>
      <c r="Q49" s="13" t="s">
        <v>9</v>
      </c>
      <c r="R49" s="13" t="s">
        <v>9</v>
      </c>
      <c r="S49" s="13" t="s">
        <v>9</v>
      </c>
      <c r="T49" s="13" t="s">
        <v>9</v>
      </c>
      <c r="U49" s="13" t="s">
        <v>9</v>
      </c>
      <c r="V49" s="13" t="s">
        <v>9</v>
      </c>
      <c r="W49" s="27"/>
    </row>
    <row r="50" spans="7:23">
      <c r="G50" s="11"/>
      <c r="H50" s="39" t="s">
        <v>19</v>
      </c>
      <c r="I50" s="90" t="s">
        <v>98</v>
      </c>
      <c r="J50" s="13" t="s">
        <v>9</v>
      </c>
      <c r="K50" s="13" t="s">
        <v>9</v>
      </c>
      <c r="L50" s="13" t="s">
        <v>9</v>
      </c>
      <c r="M50" s="13" t="s">
        <v>9</v>
      </c>
      <c r="N50" s="33" t="s">
        <v>34</v>
      </c>
      <c r="O50" s="51">
        <v>8.699999999999999E-4</v>
      </c>
      <c r="P50" s="26"/>
      <c r="Q50" s="13" t="s">
        <v>9</v>
      </c>
      <c r="R50" s="13" t="s">
        <v>9</v>
      </c>
      <c r="S50" s="13" t="s">
        <v>9</v>
      </c>
      <c r="T50" s="13" t="s">
        <v>9</v>
      </c>
      <c r="U50" s="13" t="s">
        <v>9</v>
      </c>
      <c r="V50" s="13" t="s">
        <v>9</v>
      </c>
      <c r="W50" s="27"/>
    </row>
    <row r="51" spans="7:23">
      <c r="G51" s="11"/>
      <c r="H51" s="39" t="s">
        <v>20</v>
      </c>
      <c r="I51" s="185" t="s">
        <v>87</v>
      </c>
      <c r="J51" s="13" t="s">
        <v>9</v>
      </c>
      <c r="K51" s="13" t="s">
        <v>9</v>
      </c>
      <c r="L51" s="13" t="s">
        <v>9</v>
      </c>
      <c r="M51" s="13" t="s">
        <v>9</v>
      </c>
      <c r="N51" s="33" t="s">
        <v>27</v>
      </c>
      <c r="O51" s="51">
        <v>8.4000000000000003E-4</v>
      </c>
      <c r="P51" s="26"/>
      <c r="Q51" s="13" t="s">
        <v>9</v>
      </c>
      <c r="R51" s="13" t="s">
        <v>9</v>
      </c>
      <c r="S51" s="13" t="s">
        <v>9</v>
      </c>
      <c r="T51" s="13" t="s">
        <v>9</v>
      </c>
      <c r="U51" s="13" t="s">
        <v>9</v>
      </c>
      <c r="V51" s="13" t="s">
        <v>9</v>
      </c>
      <c r="W51" s="27"/>
    </row>
    <row r="52" spans="7:23">
      <c r="G52" s="11"/>
      <c r="H52" s="59" t="s">
        <v>6</v>
      </c>
      <c r="I52" s="91">
        <f ca="1">$I$9</f>
        <v>43854</v>
      </c>
      <c r="J52" s="13" t="s">
        <v>9</v>
      </c>
      <c r="K52" s="13" t="s">
        <v>9</v>
      </c>
      <c r="L52" s="13" t="s">
        <v>9</v>
      </c>
      <c r="M52" s="13" t="s">
        <v>9</v>
      </c>
      <c r="N52" s="33" t="s">
        <v>35</v>
      </c>
      <c r="O52" s="51">
        <v>8.4000000000000003E-4</v>
      </c>
      <c r="P52" s="26"/>
      <c r="Q52" s="13" t="s">
        <v>9</v>
      </c>
      <c r="R52" s="13" t="s">
        <v>9</v>
      </c>
      <c r="S52" s="13" t="s">
        <v>9</v>
      </c>
      <c r="T52" s="13" t="s">
        <v>9</v>
      </c>
      <c r="U52" s="13" t="s">
        <v>9</v>
      </c>
      <c r="V52" s="13" t="s">
        <v>9</v>
      </c>
      <c r="W52" s="27"/>
    </row>
    <row r="53" spans="7:23">
      <c r="G53" s="11"/>
      <c r="H53" s="16"/>
      <c r="I53" s="16"/>
      <c r="J53" s="13" t="s">
        <v>9</v>
      </c>
      <c r="K53" s="13" t="s">
        <v>9</v>
      </c>
      <c r="L53" s="13" t="s">
        <v>9</v>
      </c>
      <c r="M53" s="13" t="s">
        <v>9</v>
      </c>
      <c r="N53" s="33" t="s">
        <v>3</v>
      </c>
      <c r="O53" s="51">
        <v>8.4000000000000003E-4</v>
      </c>
      <c r="P53" s="26"/>
      <c r="Q53" s="13" t="s">
        <v>9</v>
      </c>
      <c r="R53" s="13" t="s">
        <v>9</v>
      </c>
      <c r="S53" s="13" t="s">
        <v>9</v>
      </c>
      <c r="T53" s="13" t="s">
        <v>9</v>
      </c>
      <c r="U53" s="13" t="s">
        <v>9</v>
      </c>
      <c r="V53" s="13" t="s">
        <v>9</v>
      </c>
      <c r="W53" s="27"/>
    </row>
    <row r="54" spans="7:23">
      <c r="G54" s="11"/>
      <c r="H54" s="13"/>
      <c r="I54" s="92"/>
      <c r="J54" s="13" t="s">
        <v>9</v>
      </c>
      <c r="K54" s="13" t="s">
        <v>9</v>
      </c>
      <c r="L54" s="13" t="s">
        <v>9</v>
      </c>
      <c r="M54" s="13" t="s">
        <v>9</v>
      </c>
      <c r="N54" s="33" t="s">
        <v>128</v>
      </c>
      <c r="O54" s="51">
        <v>8.4000000000000003E-4</v>
      </c>
      <c r="P54" s="26"/>
      <c r="Q54" s="13" t="s">
        <v>9</v>
      </c>
      <c r="R54" s="13" t="s">
        <v>9</v>
      </c>
      <c r="S54" s="13" t="s">
        <v>9</v>
      </c>
      <c r="T54" s="13" t="s">
        <v>9</v>
      </c>
      <c r="U54" s="13" t="s">
        <v>9</v>
      </c>
      <c r="V54" s="13" t="s">
        <v>9</v>
      </c>
      <c r="W54" s="27"/>
    </row>
    <row r="55" spans="7:23">
      <c r="G55" s="11"/>
      <c r="H55" s="24" t="s">
        <v>22</v>
      </c>
      <c r="I55" s="16"/>
      <c r="J55" s="13" t="s">
        <v>9</v>
      </c>
      <c r="K55" s="13" t="s">
        <v>9</v>
      </c>
      <c r="L55" s="13" t="s">
        <v>9</v>
      </c>
      <c r="M55" s="13" t="s">
        <v>9</v>
      </c>
      <c r="N55" s="33" t="s">
        <v>38</v>
      </c>
      <c r="O55" s="51">
        <v>8.4000000000000003E-4</v>
      </c>
      <c r="P55" s="26"/>
      <c r="Q55" s="13" t="s">
        <v>9</v>
      </c>
      <c r="R55" s="13" t="s">
        <v>9</v>
      </c>
      <c r="S55" s="13" t="s">
        <v>9</v>
      </c>
      <c r="T55" s="13" t="s">
        <v>9</v>
      </c>
      <c r="U55" s="13" t="s">
        <v>9</v>
      </c>
      <c r="V55" s="13" t="s">
        <v>9</v>
      </c>
      <c r="W55" s="27"/>
    </row>
    <row r="56" spans="7:23">
      <c r="G56" s="11"/>
      <c r="H56" s="12" t="s">
        <v>23</v>
      </c>
      <c r="I56" s="86" t="s">
        <v>107</v>
      </c>
      <c r="J56" s="13" t="s">
        <v>9</v>
      </c>
      <c r="K56" s="13" t="s">
        <v>9</v>
      </c>
      <c r="L56" s="13" t="s">
        <v>9</v>
      </c>
      <c r="M56" s="13" t="s">
        <v>9</v>
      </c>
      <c r="N56" s="33" t="s">
        <v>50</v>
      </c>
      <c r="O56" s="51">
        <v>8.4999999999999995E-4</v>
      </c>
      <c r="P56" s="26"/>
      <c r="Q56" s="13" t="s">
        <v>9</v>
      </c>
      <c r="R56" s="13" t="s">
        <v>9</v>
      </c>
      <c r="S56" s="13" t="s">
        <v>9</v>
      </c>
      <c r="T56" s="13" t="s">
        <v>9</v>
      </c>
      <c r="U56" s="13" t="s">
        <v>9</v>
      </c>
      <c r="V56" s="13" t="s">
        <v>9</v>
      </c>
      <c r="W56" s="27"/>
    </row>
    <row r="57" spans="7:23">
      <c r="G57" s="11"/>
      <c r="H57" s="20" t="s">
        <v>24</v>
      </c>
      <c r="I57" s="97" t="str">
        <f ca="1">_xll.meLWOCurveMarketDataCreate(I56,H47,H49:I52,N47,N49:O66)</f>
        <v>GBP_1M_MARKETDATA@1:16</v>
      </c>
      <c r="J57" s="13" t="s">
        <v>9</v>
      </c>
      <c r="K57" s="13" t="s">
        <v>9</v>
      </c>
      <c r="L57" s="13" t="s">
        <v>9</v>
      </c>
      <c r="M57" s="13" t="s">
        <v>9</v>
      </c>
      <c r="N57" s="33" t="s">
        <v>51</v>
      </c>
      <c r="O57" s="51">
        <v>8.5999999999999998E-4</v>
      </c>
      <c r="P57" s="26"/>
      <c r="Q57" s="13" t="s">
        <v>9</v>
      </c>
      <c r="R57" s="13" t="s">
        <v>9</v>
      </c>
      <c r="S57" s="13" t="s">
        <v>9</v>
      </c>
      <c r="T57" s="13" t="s">
        <v>9</v>
      </c>
      <c r="U57" s="13" t="s">
        <v>9</v>
      </c>
      <c r="V57" s="13" t="s">
        <v>9</v>
      </c>
      <c r="W57" s="27"/>
    </row>
    <row r="58" spans="7:23">
      <c r="G58" s="11"/>
      <c r="H58" s="13"/>
      <c r="I58" s="13"/>
      <c r="J58" s="13" t="s">
        <v>9</v>
      </c>
      <c r="K58" s="13" t="s">
        <v>9</v>
      </c>
      <c r="L58" s="13" t="s">
        <v>9</v>
      </c>
      <c r="M58" s="13" t="s">
        <v>9</v>
      </c>
      <c r="N58" s="33" t="s">
        <v>40</v>
      </c>
      <c r="O58" s="51">
        <v>8.5999999999999998E-4</v>
      </c>
      <c r="P58" s="26"/>
      <c r="Q58" s="13" t="s">
        <v>9</v>
      </c>
      <c r="R58" s="13" t="s">
        <v>9</v>
      </c>
      <c r="S58" s="13" t="s">
        <v>9</v>
      </c>
      <c r="T58" s="13" t="s">
        <v>9</v>
      </c>
      <c r="U58" s="13" t="s">
        <v>9</v>
      </c>
      <c r="V58" s="13" t="s">
        <v>9</v>
      </c>
      <c r="W58" s="27"/>
    </row>
    <row r="59" spans="7:23">
      <c r="G59" s="11"/>
      <c r="H59" s="13"/>
      <c r="I59" s="13"/>
      <c r="J59" s="13" t="s">
        <v>9</v>
      </c>
      <c r="K59" s="13" t="s">
        <v>9</v>
      </c>
      <c r="L59" s="13" t="s">
        <v>9</v>
      </c>
      <c r="M59" s="13" t="s">
        <v>9</v>
      </c>
      <c r="N59" s="33" t="s">
        <v>42</v>
      </c>
      <c r="O59" s="51">
        <v>8.699999999999999E-4</v>
      </c>
      <c r="P59" s="26"/>
      <c r="Q59" s="13" t="s">
        <v>9</v>
      </c>
      <c r="R59" s="13" t="s">
        <v>9</v>
      </c>
      <c r="S59" s="13" t="s">
        <v>9</v>
      </c>
      <c r="T59" s="13" t="s">
        <v>9</v>
      </c>
      <c r="U59" s="13" t="s">
        <v>9</v>
      </c>
      <c r="V59" s="13" t="s">
        <v>9</v>
      </c>
      <c r="W59" s="27"/>
    </row>
    <row r="60" spans="7:23">
      <c r="G60" s="11"/>
      <c r="H60" s="13"/>
      <c r="I60" s="13"/>
      <c r="J60" s="13" t="s">
        <v>9</v>
      </c>
      <c r="K60" s="13" t="s">
        <v>9</v>
      </c>
      <c r="L60" s="13" t="s">
        <v>9</v>
      </c>
      <c r="M60" s="13" t="s">
        <v>9</v>
      </c>
      <c r="N60" s="33" t="s">
        <v>44</v>
      </c>
      <c r="O60" s="51">
        <v>8.699999999999999E-4</v>
      </c>
      <c r="P60" s="26"/>
      <c r="Q60" s="13" t="s">
        <v>9</v>
      </c>
      <c r="R60" s="13" t="s">
        <v>9</v>
      </c>
      <c r="S60" s="13" t="s">
        <v>9</v>
      </c>
      <c r="T60" s="13" t="s">
        <v>9</v>
      </c>
      <c r="U60" s="13" t="s">
        <v>9</v>
      </c>
      <c r="V60" s="13" t="s">
        <v>9</v>
      </c>
      <c r="W60" s="27"/>
    </row>
    <row r="61" spans="7:23">
      <c r="G61" s="11"/>
      <c r="H61" s="13"/>
      <c r="I61" s="13"/>
      <c r="J61" s="13" t="s">
        <v>9</v>
      </c>
      <c r="K61" s="13" t="s">
        <v>9</v>
      </c>
      <c r="L61" s="13" t="s">
        <v>9</v>
      </c>
      <c r="M61" s="13" t="s">
        <v>9</v>
      </c>
      <c r="N61" s="33" t="s">
        <v>46</v>
      </c>
      <c r="O61" s="51">
        <v>8.699999999999999E-4</v>
      </c>
      <c r="P61" s="26"/>
      <c r="Q61" s="13" t="s">
        <v>9</v>
      </c>
      <c r="R61" s="13" t="s">
        <v>9</v>
      </c>
      <c r="S61" s="13" t="s">
        <v>9</v>
      </c>
      <c r="T61" s="13" t="s">
        <v>9</v>
      </c>
      <c r="U61" s="13" t="s">
        <v>9</v>
      </c>
      <c r="V61" s="13" t="s">
        <v>9</v>
      </c>
      <c r="W61" s="27"/>
    </row>
    <row r="62" spans="7:23">
      <c r="G62" s="11"/>
      <c r="H62" s="13"/>
      <c r="I62" s="13"/>
      <c r="J62" s="13" t="s">
        <v>9</v>
      </c>
      <c r="K62" s="13" t="s">
        <v>9</v>
      </c>
      <c r="L62" s="13" t="s">
        <v>9</v>
      </c>
      <c r="M62" s="13" t="s">
        <v>9</v>
      </c>
      <c r="N62" s="33" t="s">
        <v>48</v>
      </c>
      <c r="O62" s="51">
        <v>8.699999999999999E-4</v>
      </c>
      <c r="P62" s="26"/>
      <c r="Q62" s="13" t="s">
        <v>9</v>
      </c>
      <c r="R62" s="13" t="s">
        <v>9</v>
      </c>
      <c r="S62" s="13" t="s">
        <v>9</v>
      </c>
      <c r="T62" s="13" t="s">
        <v>9</v>
      </c>
      <c r="U62" s="13" t="s">
        <v>9</v>
      </c>
      <c r="V62" s="13" t="s">
        <v>9</v>
      </c>
      <c r="W62" s="27"/>
    </row>
    <row r="63" spans="7:23">
      <c r="G63" s="11"/>
      <c r="H63" s="13"/>
      <c r="I63" s="13"/>
      <c r="J63" s="13"/>
      <c r="K63" s="13"/>
      <c r="L63" s="13"/>
      <c r="M63" s="13"/>
      <c r="N63" s="33" t="s">
        <v>49</v>
      </c>
      <c r="O63" s="51">
        <v>8.699999999999999E-4</v>
      </c>
      <c r="P63" s="26"/>
      <c r="Q63" s="13" t="s">
        <v>9</v>
      </c>
      <c r="R63" s="13" t="s">
        <v>9</v>
      </c>
      <c r="S63" s="13" t="s">
        <v>9</v>
      </c>
      <c r="T63" s="13" t="s">
        <v>9</v>
      </c>
      <c r="U63" s="13" t="s">
        <v>9</v>
      </c>
      <c r="V63" s="13" t="s">
        <v>9</v>
      </c>
      <c r="W63" s="27"/>
    </row>
    <row r="64" spans="7:23">
      <c r="G64" s="11"/>
      <c r="H64" s="13"/>
      <c r="I64" s="13"/>
      <c r="J64" s="13"/>
      <c r="K64" s="13"/>
      <c r="L64" s="13"/>
      <c r="M64" s="13"/>
      <c r="N64" s="33" t="s">
        <v>25</v>
      </c>
      <c r="O64" s="51">
        <v>8.699999999999999E-4</v>
      </c>
      <c r="P64" s="26"/>
      <c r="Q64" s="13"/>
      <c r="R64" s="13"/>
      <c r="S64" s="13"/>
      <c r="T64" s="13"/>
      <c r="U64" s="13"/>
      <c r="V64" s="13"/>
      <c r="W64" s="27"/>
    </row>
    <row r="65" spans="7:23">
      <c r="G65" s="11"/>
      <c r="H65" s="13"/>
      <c r="I65" s="13"/>
      <c r="J65" s="13"/>
      <c r="K65" s="13"/>
      <c r="L65" s="13"/>
      <c r="M65" s="13"/>
      <c r="N65" s="33" t="s">
        <v>26</v>
      </c>
      <c r="O65" s="51">
        <v>8.699999999999999E-4</v>
      </c>
      <c r="P65" s="26"/>
      <c r="Q65" s="13"/>
      <c r="R65" s="13"/>
      <c r="S65" s="13"/>
      <c r="T65" s="13"/>
      <c r="U65" s="13"/>
      <c r="V65" s="13"/>
      <c r="W65" s="27"/>
    </row>
    <row r="66" spans="7:23">
      <c r="G66" s="11"/>
      <c r="H66" s="13"/>
      <c r="I66" s="13"/>
      <c r="J66" s="13"/>
      <c r="K66" s="13"/>
      <c r="L66" s="13"/>
      <c r="M66" s="13"/>
      <c r="N66" s="45" t="s">
        <v>92</v>
      </c>
      <c r="O66" s="52">
        <f ca="1">O65</f>
        <v>8.699999999999999E-4</v>
      </c>
      <c r="P66" s="13"/>
      <c r="Q66" s="13"/>
      <c r="R66" s="13"/>
      <c r="S66" s="13"/>
      <c r="T66" s="13"/>
      <c r="U66" s="13"/>
      <c r="V66" s="13"/>
      <c r="W66" s="27"/>
    </row>
    <row r="67" spans="7:23">
      <c r="G67" s="11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7"/>
    </row>
    <row r="68" spans="7:23">
      <c r="G68" s="2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71" spans="7:23">
      <c r="G71" s="6"/>
      <c r="H71" s="7"/>
      <c r="I71" s="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</row>
    <row r="72" spans="7:23">
      <c r="G72" s="11"/>
      <c r="H72" s="15" t="s">
        <v>10</v>
      </c>
      <c r="I72" s="16"/>
      <c r="J72" s="13" t="s">
        <v>9</v>
      </c>
      <c r="K72" s="13" t="s">
        <v>9</v>
      </c>
      <c r="L72" s="13" t="s">
        <v>9</v>
      </c>
      <c r="M72" s="13" t="s">
        <v>9</v>
      </c>
      <c r="N72" s="17" t="s">
        <v>95</v>
      </c>
      <c r="O72" s="17"/>
      <c r="P72" s="13"/>
      <c r="Q72" s="13" t="s">
        <v>9</v>
      </c>
      <c r="R72" s="13" t="s">
        <v>9</v>
      </c>
      <c r="S72" s="13" t="s">
        <v>9</v>
      </c>
      <c r="T72" s="13" t="s">
        <v>9</v>
      </c>
      <c r="U72" s="13" t="s">
        <v>9</v>
      </c>
      <c r="V72" s="13" t="s">
        <v>9</v>
      </c>
      <c r="W72" s="14"/>
    </row>
    <row r="73" spans="7:23">
      <c r="G73" s="11" t="s">
        <v>9</v>
      </c>
      <c r="H73" s="69" t="s">
        <v>54</v>
      </c>
      <c r="I73" s="69" t="s">
        <v>55</v>
      </c>
      <c r="J73" s="13" t="s">
        <v>9</v>
      </c>
      <c r="K73" s="13" t="s">
        <v>9</v>
      </c>
      <c r="L73" s="13" t="s">
        <v>9</v>
      </c>
      <c r="M73" s="13" t="s">
        <v>9</v>
      </c>
      <c r="N73" s="18" t="s">
        <v>14</v>
      </c>
      <c r="O73" s="18" t="s">
        <v>15</v>
      </c>
      <c r="P73" s="13"/>
      <c r="Q73" s="13" t="s">
        <v>9</v>
      </c>
      <c r="R73" s="13" t="s">
        <v>9</v>
      </c>
      <c r="S73" s="13" t="s">
        <v>9</v>
      </c>
      <c r="T73" s="13" t="s">
        <v>9</v>
      </c>
      <c r="U73" s="13" t="s">
        <v>9</v>
      </c>
      <c r="V73" s="13" t="s">
        <v>9</v>
      </c>
      <c r="W73" s="14"/>
    </row>
    <row r="74" spans="7:23">
      <c r="G74" s="11"/>
      <c r="H74" s="36" t="s">
        <v>4</v>
      </c>
      <c r="I74" s="89" t="s">
        <v>104</v>
      </c>
      <c r="J74" s="13" t="s">
        <v>9</v>
      </c>
      <c r="K74" s="13" t="s">
        <v>9</v>
      </c>
      <c r="L74" s="13" t="s">
        <v>9</v>
      </c>
      <c r="M74" s="13" t="s">
        <v>9</v>
      </c>
      <c r="N74" s="49" t="s">
        <v>2</v>
      </c>
      <c r="O74" s="50">
        <v>1.5400000000000001E-3</v>
      </c>
      <c r="P74" s="26"/>
      <c r="Q74" s="13" t="s">
        <v>9</v>
      </c>
      <c r="R74" s="13" t="s">
        <v>9</v>
      </c>
      <c r="S74" s="13" t="s">
        <v>9</v>
      </c>
      <c r="T74" s="13" t="s">
        <v>9</v>
      </c>
      <c r="U74" s="13" t="s">
        <v>9</v>
      </c>
      <c r="V74" s="13" t="s">
        <v>9</v>
      </c>
      <c r="W74" s="27"/>
    </row>
    <row r="75" spans="7:23">
      <c r="G75" s="11"/>
      <c r="H75" s="39" t="s">
        <v>19</v>
      </c>
      <c r="I75" s="90" t="s">
        <v>98</v>
      </c>
      <c r="J75" s="13" t="s">
        <v>9</v>
      </c>
      <c r="K75" s="13" t="s">
        <v>9</v>
      </c>
      <c r="L75" s="13" t="s">
        <v>9</v>
      </c>
      <c r="M75" s="13" t="s">
        <v>9</v>
      </c>
      <c r="N75" s="33" t="s">
        <v>34</v>
      </c>
      <c r="O75" s="51">
        <v>1.5199999999999999E-3</v>
      </c>
      <c r="P75" s="26"/>
      <c r="Q75" s="13" t="s">
        <v>9</v>
      </c>
      <c r="R75" s="13" t="s">
        <v>9</v>
      </c>
      <c r="S75" s="13" t="s">
        <v>9</v>
      </c>
      <c r="T75" s="13" t="s">
        <v>9</v>
      </c>
      <c r="U75" s="13" t="s">
        <v>9</v>
      </c>
      <c r="V75" s="13" t="s">
        <v>9</v>
      </c>
      <c r="W75" s="27"/>
    </row>
    <row r="76" spans="7:23">
      <c r="G76" s="11"/>
      <c r="H76" s="39" t="s">
        <v>20</v>
      </c>
      <c r="I76" s="185" t="s">
        <v>101</v>
      </c>
      <c r="J76" s="13" t="s">
        <v>9</v>
      </c>
      <c r="K76" s="13" t="s">
        <v>9</v>
      </c>
      <c r="L76" s="13" t="s">
        <v>9</v>
      </c>
      <c r="M76" s="13" t="s">
        <v>9</v>
      </c>
      <c r="N76" s="33" t="s">
        <v>27</v>
      </c>
      <c r="O76" s="51">
        <v>1.5199999999999999E-3</v>
      </c>
      <c r="P76" s="26"/>
      <c r="Q76" s="13" t="s">
        <v>9</v>
      </c>
      <c r="R76" s="13" t="s">
        <v>9</v>
      </c>
      <c r="S76" s="13" t="s">
        <v>9</v>
      </c>
      <c r="T76" s="13" t="s">
        <v>9</v>
      </c>
      <c r="U76" s="13" t="s">
        <v>9</v>
      </c>
      <c r="V76" s="13" t="s">
        <v>9</v>
      </c>
      <c r="W76" s="27"/>
    </row>
    <row r="77" spans="7:23">
      <c r="G77" s="11"/>
      <c r="H77" s="59" t="s">
        <v>6</v>
      </c>
      <c r="I77" s="91">
        <f ca="1">$I$9</f>
        <v>43854</v>
      </c>
      <c r="J77" s="13" t="s">
        <v>9</v>
      </c>
      <c r="K77" s="13" t="s">
        <v>9</v>
      </c>
      <c r="L77" s="13" t="s">
        <v>9</v>
      </c>
      <c r="M77" s="13" t="s">
        <v>9</v>
      </c>
      <c r="N77" s="33" t="s">
        <v>35</v>
      </c>
      <c r="O77" s="51">
        <v>1.5199999999999999E-3</v>
      </c>
      <c r="P77" s="26"/>
      <c r="Q77" s="13" t="s">
        <v>9</v>
      </c>
      <c r="R77" s="13" t="s">
        <v>9</v>
      </c>
      <c r="S77" s="13" t="s">
        <v>9</v>
      </c>
      <c r="T77" s="13" t="s">
        <v>9</v>
      </c>
      <c r="U77" s="13" t="s">
        <v>9</v>
      </c>
      <c r="V77" s="13" t="s">
        <v>9</v>
      </c>
      <c r="W77" s="27"/>
    </row>
    <row r="78" spans="7:23">
      <c r="G78" s="11"/>
      <c r="H78" s="16"/>
      <c r="I78" s="16"/>
      <c r="J78" s="13" t="s">
        <v>9</v>
      </c>
      <c r="K78" s="13" t="s">
        <v>9</v>
      </c>
      <c r="L78" s="13" t="s">
        <v>9</v>
      </c>
      <c r="M78" s="13" t="s">
        <v>9</v>
      </c>
      <c r="N78" s="33" t="s">
        <v>3</v>
      </c>
      <c r="O78" s="51">
        <v>1.5199999999999999E-3</v>
      </c>
      <c r="P78" s="26"/>
      <c r="Q78" s="13" t="s">
        <v>9</v>
      </c>
      <c r="R78" s="13" t="s">
        <v>9</v>
      </c>
      <c r="S78" s="13" t="s">
        <v>9</v>
      </c>
      <c r="T78" s="13" t="s">
        <v>9</v>
      </c>
      <c r="U78" s="13" t="s">
        <v>9</v>
      </c>
      <c r="V78" s="13" t="s">
        <v>9</v>
      </c>
      <c r="W78" s="27"/>
    </row>
    <row r="79" spans="7:23">
      <c r="G79" s="11"/>
      <c r="H79" s="13"/>
      <c r="I79" s="92"/>
      <c r="J79" s="13" t="s">
        <v>9</v>
      </c>
      <c r="K79" s="13" t="s">
        <v>9</v>
      </c>
      <c r="L79" s="13" t="s">
        <v>9</v>
      </c>
      <c r="M79" s="13" t="s">
        <v>9</v>
      </c>
      <c r="N79" s="33" t="s">
        <v>128</v>
      </c>
      <c r="O79" s="51">
        <v>1.5199999999999999E-3</v>
      </c>
      <c r="P79" s="26"/>
      <c r="Q79" s="13" t="s">
        <v>9</v>
      </c>
      <c r="R79" s="13" t="s">
        <v>9</v>
      </c>
      <c r="S79" s="13" t="s">
        <v>9</v>
      </c>
      <c r="T79" s="13" t="s">
        <v>9</v>
      </c>
      <c r="U79" s="13" t="s">
        <v>9</v>
      </c>
      <c r="V79" s="13" t="s">
        <v>9</v>
      </c>
      <c r="W79" s="27"/>
    </row>
    <row r="80" spans="7:23">
      <c r="G80" s="11"/>
      <c r="H80" s="24" t="s">
        <v>22</v>
      </c>
      <c r="I80" s="16"/>
      <c r="J80" s="13" t="s">
        <v>9</v>
      </c>
      <c r="K80" s="13" t="s">
        <v>9</v>
      </c>
      <c r="L80" s="13" t="s">
        <v>9</v>
      </c>
      <c r="M80" s="13" t="s">
        <v>9</v>
      </c>
      <c r="N80" s="33" t="s">
        <v>38</v>
      </c>
      <c r="O80" s="51">
        <v>1.5300000000000001E-3</v>
      </c>
      <c r="P80" s="26"/>
      <c r="Q80" s="13" t="s">
        <v>9</v>
      </c>
      <c r="R80" s="13" t="s">
        <v>9</v>
      </c>
      <c r="S80" s="13" t="s">
        <v>9</v>
      </c>
      <c r="T80" s="13" t="s">
        <v>9</v>
      </c>
      <c r="U80" s="13" t="s">
        <v>9</v>
      </c>
      <c r="V80" s="13" t="s">
        <v>9</v>
      </c>
      <c r="W80" s="27"/>
    </row>
    <row r="81" spans="7:23">
      <c r="G81" s="11"/>
      <c r="H81" s="12" t="s">
        <v>23</v>
      </c>
      <c r="I81" s="86" t="s">
        <v>106</v>
      </c>
      <c r="J81" s="13" t="s">
        <v>9</v>
      </c>
      <c r="K81" s="13" t="s">
        <v>9</v>
      </c>
      <c r="L81" s="13" t="s">
        <v>9</v>
      </c>
      <c r="M81" s="13" t="s">
        <v>9</v>
      </c>
      <c r="N81" s="33" t="s">
        <v>50</v>
      </c>
      <c r="O81" s="51">
        <v>1.5400000000000001E-3</v>
      </c>
      <c r="P81" s="26"/>
      <c r="Q81" s="13" t="s">
        <v>9</v>
      </c>
      <c r="R81" s="13" t="s">
        <v>9</v>
      </c>
      <c r="S81" s="13" t="s">
        <v>9</v>
      </c>
      <c r="T81" s="13" t="s">
        <v>9</v>
      </c>
      <c r="U81" s="13" t="s">
        <v>9</v>
      </c>
      <c r="V81" s="13" t="s">
        <v>9</v>
      </c>
      <c r="W81" s="27"/>
    </row>
    <row r="82" spans="7:23">
      <c r="G82" s="11"/>
      <c r="H82" s="20" t="s">
        <v>24</v>
      </c>
      <c r="I82" s="97" t="str">
        <f ca="1">_xll.meLWOCurveMarketDataCreate(I81,H72,H74:I77,N72,N74:O91)</f>
        <v>GBP_12M_MARKETDATA@4:16</v>
      </c>
      <c r="J82" s="13" t="s">
        <v>9</v>
      </c>
      <c r="K82" s="13" t="s">
        <v>9</v>
      </c>
      <c r="L82" s="13" t="s">
        <v>9</v>
      </c>
      <c r="M82" s="13" t="s">
        <v>9</v>
      </c>
      <c r="N82" s="33" t="s">
        <v>51</v>
      </c>
      <c r="O82" s="51">
        <v>1.56E-3</v>
      </c>
      <c r="P82" s="26"/>
      <c r="Q82" s="13" t="s">
        <v>9</v>
      </c>
      <c r="R82" s="13" t="s">
        <v>9</v>
      </c>
      <c r="S82" s="13" t="s">
        <v>9</v>
      </c>
      <c r="T82" s="13" t="s">
        <v>9</v>
      </c>
      <c r="U82" s="13" t="s">
        <v>9</v>
      </c>
      <c r="V82" s="13" t="s">
        <v>9</v>
      </c>
      <c r="W82" s="27"/>
    </row>
    <row r="83" spans="7:23">
      <c r="G83" s="11"/>
      <c r="H83" s="13"/>
      <c r="I83" s="13"/>
      <c r="J83" s="13" t="s">
        <v>9</v>
      </c>
      <c r="K83" s="13" t="s">
        <v>9</v>
      </c>
      <c r="L83" s="13" t="s">
        <v>9</v>
      </c>
      <c r="M83" s="13" t="s">
        <v>9</v>
      </c>
      <c r="N83" s="33" t="s">
        <v>40</v>
      </c>
      <c r="O83" s="51">
        <v>1.56E-3</v>
      </c>
      <c r="P83" s="26"/>
      <c r="Q83" s="13" t="s">
        <v>9</v>
      </c>
      <c r="R83" s="13" t="s">
        <v>9</v>
      </c>
      <c r="S83" s="13" t="s">
        <v>9</v>
      </c>
      <c r="T83" s="13" t="s">
        <v>9</v>
      </c>
      <c r="U83" s="13" t="s">
        <v>9</v>
      </c>
      <c r="V83" s="13" t="s">
        <v>9</v>
      </c>
      <c r="W83" s="27"/>
    </row>
    <row r="84" spans="7:23">
      <c r="G84" s="11"/>
      <c r="H84" s="13"/>
      <c r="I84" s="13"/>
      <c r="J84" s="13" t="s">
        <v>9</v>
      </c>
      <c r="K84" s="13" t="s">
        <v>9</v>
      </c>
      <c r="L84" s="13" t="s">
        <v>9</v>
      </c>
      <c r="M84" s="13" t="s">
        <v>9</v>
      </c>
      <c r="N84" s="33" t="s">
        <v>42</v>
      </c>
      <c r="O84" s="51">
        <v>1.58E-3</v>
      </c>
      <c r="P84" s="26"/>
      <c r="Q84" s="13" t="s">
        <v>9</v>
      </c>
      <c r="R84" s="13" t="s">
        <v>9</v>
      </c>
      <c r="S84" s="13" t="s">
        <v>9</v>
      </c>
      <c r="T84" s="13" t="s">
        <v>9</v>
      </c>
      <c r="U84" s="13" t="s">
        <v>9</v>
      </c>
      <c r="V84" s="13" t="s">
        <v>9</v>
      </c>
      <c r="W84" s="27"/>
    </row>
    <row r="85" spans="7:23">
      <c r="G85" s="11"/>
      <c r="H85" s="13"/>
      <c r="I85" s="13"/>
      <c r="J85" s="13" t="s">
        <v>9</v>
      </c>
      <c r="K85" s="13" t="s">
        <v>9</v>
      </c>
      <c r="L85" s="13" t="s">
        <v>9</v>
      </c>
      <c r="M85" s="13" t="s">
        <v>9</v>
      </c>
      <c r="N85" s="33" t="s">
        <v>44</v>
      </c>
      <c r="O85" s="51">
        <v>1.6000000000000001E-3</v>
      </c>
      <c r="P85" s="26"/>
      <c r="Q85" s="13" t="s">
        <v>9</v>
      </c>
      <c r="R85" s="13" t="s">
        <v>9</v>
      </c>
      <c r="S85" s="13" t="s">
        <v>9</v>
      </c>
      <c r="T85" s="13" t="s">
        <v>9</v>
      </c>
      <c r="U85" s="13" t="s">
        <v>9</v>
      </c>
      <c r="V85" s="13" t="s">
        <v>9</v>
      </c>
      <c r="W85" s="27"/>
    </row>
    <row r="86" spans="7:23">
      <c r="G86" s="11"/>
      <c r="H86" s="13"/>
      <c r="I86" s="13"/>
      <c r="J86" s="13" t="s">
        <v>9</v>
      </c>
      <c r="K86" s="13" t="s">
        <v>9</v>
      </c>
      <c r="L86" s="13" t="s">
        <v>9</v>
      </c>
      <c r="M86" s="13" t="s">
        <v>9</v>
      </c>
      <c r="N86" s="33" t="s">
        <v>46</v>
      </c>
      <c r="O86" s="51">
        <v>1.6100000000000001E-3</v>
      </c>
      <c r="P86" s="26"/>
      <c r="Q86" s="13" t="s">
        <v>9</v>
      </c>
      <c r="R86" s="13" t="s">
        <v>9</v>
      </c>
      <c r="S86" s="13" t="s">
        <v>9</v>
      </c>
      <c r="T86" s="13" t="s">
        <v>9</v>
      </c>
      <c r="U86" s="13" t="s">
        <v>9</v>
      </c>
      <c r="V86" s="13" t="s">
        <v>9</v>
      </c>
      <c r="W86" s="27"/>
    </row>
    <row r="87" spans="7:23">
      <c r="G87" s="11"/>
      <c r="H87" s="13"/>
      <c r="I87" s="13"/>
      <c r="J87" s="13" t="s">
        <v>9</v>
      </c>
      <c r="K87" s="13" t="s">
        <v>9</v>
      </c>
      <c r="L87" s="13" t="s">
        <v>9</v>
      </c>
      <c r="M87" s="13" t="s">
        <v>9</v>
      </c>
      <c r="N87" s="33" t="s">
        <v>48</v>
      </c>
      <c r="O87" s="51">
        <v>1.6300000000000002E-3</v>
      </c>
      <c r="P87" s="26"/>
      <c r="Q87" s="13" t="s">
        <v>9</v>
      </c>
      <c r="R87" s="13" t="s">
        <v>9</v>
      </c>
      <c r="S87" s="13" t="s">
        <v>9</v>
      </c>
      <c r="T87" s="13" t="s">
        <v>9</v>
      </c>
      <c r="U87" s="13" t="s">
        <v>9</v>
      </c>
      <c r="V87" s="13" t="s">
        <v>9</v>
      </c>
      <c r="W87" s="27"/>
    </row>
    <row r="88" spans="7:23">
      <c r="G88" s="11"/>
      <c r="H88" s="13"/>
      <c r="I88" s="13"/>
      <c r="J88" s="13"/>
      <c r="K88" s="13"/>
      <c r="L88" s="13"/>
      <c r="M88" s="13"/>
      <c r="N88" s="33" t="s">
        <v>49</v>
      </c>
      <c r="O88" s="51">
        <v>1.6600000000000002E-3</v>
      </c>
      <c r="P88" s="26"/>
      <c r="Q88" s="13" t="s">
        <v>9</v>
      </c>
      <c r="R88" s="13" t="s">
        <v>9</v>
      </c>
      <c r="S88" s="13" t="s">
        <v>9</v>
      </c>
      <c r="T88" s="13" t="s">
        <v>9</v>
      </c>
      <c r="U88" s="13" t="s">
        <v>9</v>
      </c>
      <c r="V88" s="13" t="s">
        <v>9</v>
      </c>
      <c r="W88" s="27"/>
    </row>
    <row r="89" spans="7:23">
      <c r="G89" s="11"/>
      <c r="H89" s="13"/>
      <c r="I89" s="13"/>
      <c r="J89" s="13"/>
      <c r="K89" s="13"/>
      <c r="L89" s="13"/>
      <c r="M89" s="13"/>
      <c r="N89" s="33" t="s">
        <v>25</v>
      </c>
      <c r="O89" s="51">
        <v>1.6600000000000002E-3</v>
      </c>
      <c r="P89" s="26"/>
      <c r="Q89" s="13"/>
      <c r="R89" s="13"/>
      <c r="S89" s="13"/>
      <c r="T89" s="13"/>
      <c r="U89" s="13"/>
      <c r="V89" s="13"/>
      <c r="W89" s="27"/>
    </row>
    <row r="90" spans="7:23">
      <c r="G90" s="11"/>
      <c r="H90" s="13"/>
      <c r="I90" s="13"/>
      <c r="J90" s="13"/>
      <c r="K90" s="13"/>
      <c r="L90" s="13"/>
      <c r="M90" s="13"/>
      <c r="N90" s="33" t="s">
        <v>26</v>
      </c>
      <c r="O90" s="51">
        <v>1.6600000000000002E-3</v>
      </c>
      <c r="P90" s="26"/>
      <c r="Q90" s="13"/>
      <c r="R90" s="13"/>
      <c r="S90" s="13"/>
      <c r="T90" s="13"/>
      <c r="U90" s="13"/>
      <c r="V90" s="13"/>
      <c r="W90" s="27"/>
    </row>
    <row r="91" spans="7:23">
      <c r="G91" s="11"/>
      <c r="H91" s="13"/>
      <c r="I91" s="13"/>
      <c r="J91" s="13"/>
      <c r="K91" s="13"/>
      <c r="L91" s="13"/>
      <c r="M91" s="13"/>
      <c r="N91" s="45" t="s">
        <v>92</v>
      </c>
      <c r="O91" s="52">
        <f ca="1">O90</f>
        <v>1.6600000000000002E-3</v>
      </c>
      <c r="P91" s="26"/>
      <c r="Q91" s="13"/>
      <c r="R91" s="13"/>
      <c r="S91" s="13"/>
      <c r="T91" s="13"/>
      <c r="U91" s="13"/>
      <c r="V91" s="13"/>
      <c r="W91" s="27"/>
    </row>
    <row r="92" spans="7:23">
      <c r="G92" s="1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7"/>
    </row>
    <row r="93" spans="7:23">
      <c r="G93" s="2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3"/>
    </row>
    <row r="97" spans="7:23">
      <c r="G97" s="6"/>
      <c r="H97" s="7"/>
      <c r="I97" s="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</row>
    <row r="98" spans="7:23">
      <c r="G98" s="11"/>
      <c r="H98" s="15" t="s">
        <v>10</v>
      </c>
      <c r="I98" s="16"/>
      <c r="J98" s="13" t="s">
        <v>9</v>
      </c>
      <c r="K98" s="13" t="s">
        <v>9</v>
      </c>
      <c r="L98" s="13" t="s">
        <v>9</v>
      </c>
      <c r="M98" s="13" t="s">
        <v>9</v>
      </c>
      <c r="N98" s="17" t="s">
        <v>95</v>
      </c>
      <c r="O98" s="17"/>
      <c r="P98" s="13"/>
      <c r="Q98" s="13" t="s">
        <v>9</v>
      </c>
      <c r="R98" s="13" t="s">
        <v>9</v>
      </c>
      <c r="S98" s="13" t="s">
        <v>9</v>
      </c>
      <c r="T98" s="13" t="s">
        <v>9</v>
      </c>
      <c r="U98" s="13" t="s">
        <v>9</v>
      </c>
      <c r="V98" s="13" t="s">
        <v>9</v>
      </c>
      <c r="W98" s="14"/>
    </row>
    <row r="99" spans="7:23">
      <c r="G99" s="11" t="s">
        <v>9</v>
      </c>
      <c r="H99" s="69" t="s">
        <v>54</v>
      </c>
      <c r="I99" s="69" t="s">
        <v>55</v>
      </c>
      <c r="J99" s="13" t="s">
        <v>9</v>
      </c>
      <c r="K99" s="13" t="s">
        <v>9</v>
      </c>
      <c r="L99" s="13" t="s">
        <v>9</v>
      </c>
      <c r="M99" s="13" t="s">
        <v>9</v>
      </c>
      <c r="N99" s="18" t="s">
        <v>14</v>
      </c>
      <c r="O99" s="18" t="s">
        <v>15</v>
      </c>
      <c r="P99" s="13"/>
      <c r="Q99" s="13" t="s">
        <v>9</v>
      </c>
      <c r="R99" s="13" t="s">
        <v>9</v>
      </c>
      <c r="S99" s="13" t="s">
        <v>9</v>
      </c>
      <c r="T99" s="13" t="s">
        <v>9</v>
      </c>
      <c r="U99" s="13" t="s">
        <v>9</v>
      </c>
      <c r="V99" s="13" t="s">
        <v>9</v>
      </c>
      <c r="W99" s="14"/>
    </row>
    <row r="100" spans="7:23">
      <c r="G100" s="11"/>
      <c r="H100" s="36" t="s">
        <v>4</v>
      </c>
      <c r="I100" s="89" t="s">
        <v>104</v>
      </c>
      <c r="J100" s="13" t="s">
        <v>9</v>
      </c>
      <c r="K100" s="13" t="s">
        <v>9</v>
      </c>
      <c r="L100" s="13" t="s">
        <v>9</v>
      </c>
      <c r="M100" s="13" t="s">
        <v>9</v>
      </c>
      <c r="N100" s="49" t="s">
        <v>2</v>
      </c>
      <c r="O100" s="50">
        <v>8.8000000000000003E-4</v>
      </c>
      <c r="P100" s="26"/>
      <c r="Q100" s="13" t="s">
        <v>9</v>
      </c>
      <c r="R100" s="13" t="s">
        <v>9</v>
      </c>
      <c r="S100" s="13" t="s">
        <v>9</v>
      </c>
      <c r="T100" s="13" t="s">
        <v>9</v>
      </c>
      <c r="U100" s="13" t="s">
        <v>9</v>
      </c>
      <c r="V100" s="13" t="s">
        <v>9</v>
      </c>
      <c r="W100" s="27"/>
    </row>
    <row r="101" spans="7:23">
      <c r="G101" s="11"/>
      <c r="H101" s="39" t="s">
        <v>19</v>
      </c>
      <c r="I101" s="90" t="s">
        <v>98</v>
      </c>
      <c r="J101" s="13" t="s">
        <v>9</v>
      </c>
      <c r="K101" s="13" t="s">
        <v>9</v>
      </c>
      <c r="L101" s="13" t="s">
        <v>9</v>
      </c>
      <c r="M101" s="13" t="s">
        <v>9</v>
      </c>
      <c r="N101" s="33" t="s">
        <v>34</v>
      </c>
      <c r="O101" s="51">
        <v>7.5999999999999993E-4</v>
      </c>
      <c r="P101" s="26"/>
      <c r="Q101" s="13" t="s">
        <v>9</v>
      </c>
      <c r="R101" s="13" t="s">
        <v>9</v>
      </c>
      <c r="S101" s="13" t="s">
        <v>9</v>
      </c>
      <c r="T101" s="13" t="s">
        <v>9</v>
      </c>
      <c r="U101" s="13" t="s">
        <v>9</v>
      </c>
      <c r="V101" s="13" t="s">
        <v>9</v>
      </c>
      <c r="W101" s="27"/>
    </row>
    <row r="102" spans="7:23">
      <c r="G102" s="11"/>
      <c r="H102" s="39" t="s">
        <v>20</v>
      </c>
      <c r="I102" s="185" t="s">
        <v>97</v>
      </c>
      <c r="J102" s="13" t="s">
        <v>9</v>
      </c>
      <c r="K102" s="13" t="s">
        <v>9</v>
      </c>
      <c r="L102" s="13" t="s">
        <v>9</v>
      </c>
      <c r="M102" s="13" t="s">
        <v>9</v>
      </c>
      <c r="N102" s="33" t="s">
        <v>27</v>
      </c>
      <c r="O102" s="51">
        <v>7.5000000000000002E-4</v>
      </c>
      <c r="P102" s="26"/>
      <c r="Q102" s="13" t="s">
        <v>9</v>
      </c>
      <c r="R102" s="13" t="s">
        <v>9</v>
      </c>
      <c r="S102" s="13" t="s">
        <v>9</v>
      </c>
      <c r="T102" s="13" t="s">
        <v>9</v>
      </c>
      <c r="U102" s="13" t="s">
        <v>9</v>
      </c>
      <c r="V102" s="13" t="s">
        <v>9</v>
      </c>
      <c r="W102" s="27"/>
    </row>
    <row r="103" spans="7:23">
      <c r="G103" s="11"/>
      <c r="H103" s="59" t="s">
        <v>6</v>
      </c>
      <c r="I103" s="91">
        <f ca="1">$I$9</f>
        <v>43854</v>
      </c>
      <c r="J103" s="13" t="s">
        <v>9</v>
      </c>
      <c r="K103" s="13" t="s">
        <v>9</v>
      </c>
      <c r="L103" s="13" t="s">
        <v>9</v>
      </c>
      <c r="M103" s="13" t="s">
        <v>9</v>
      </c>
      <c r="N103" s="33" t="s">
        <v>35</v>
      </c>
      <c r="O103" s="51">
        <v>7.7000000000000007E-4</v>
      </c>
      <c r="P103" s="26"/>
      <c r="Q103" s="13" t="s">
        <v>9</v>
      </c>
      <c r="R103" s="13" t="s">
        <v>9</v>
      </c>
      <c r="S103" s="13" t="s">
        <v>9</v>
      </c>
      <c r="T103" s="13" t="s">
        <v>9</v>
      </c>
      <c r="U103" s="13" t="s">
        <v>9</v>
      </c>
      <c r="V103" s="13" t="s">
        <v>9</v>
      </c>
      <c r="W103" s="27"/>
    </row>
    <row r="104" spans="7:23">
      <c r="G104" s="11"/>
      <c r="H104" s="16"/>
      <c r="I104" s="16"/>
      <c r="J104" s="13" t="s">
        <v>9</v>
      </c>
      <c r="K104" s="13" t="s">
        <v>9</v>
      </c>
      <c r="L104" s="13" t="s">
        <v>9</v>
      </c>
      <c r="M104" s="13" t="s">
        <v>9</v>
      </c>
      <c r="N104" s="33" t="s">
        <v>3</v>
      </c>
      <c r="O104" s="51">
        <v>7.9000000000000001E-4</v>
      </c>
      <c r="P104" s="26"/>
      <c r="Q104" s="13" t="s">
        <v>9</v>
      </c>
      <c r="R104" s="13" t="s">
        <v>9</v>
      </c>
      <c r="S104" s="13" t="s">
        <v>9</v>
      </c>
      <c r="T104" s="13" t="s">
        <v>9</v>
      </c>
      <c r="U104" s="13" t="s">
        <v>9</v>
      </c>
      <c r="V104" s="13" t="s">
        <v>9</v>
      </c>
      <c r="W104" s="27"/>
    </row>
    <row r="105" spans="7:23">
      <c r="G105" s="11"/>
      <c r="H105" s="13"/>
      <c r="I105" s="92"/>
      <c r="J105" s="13" t="s">
        <v>9</v>
      </c>
      <c r="K105" s="13" t="s">
        <v>9</v>
      </c>
      <c r="L105" s="13" t="s">
        <v>9</v>
      </c>
      <c r="M105" s="13" t="s">
        <v>9</v>
      </c>
      <c r="N105" s="33" t="s">
        <v>128</v>
      </c>
      <c r="O105" s="51">
        <v>8.0999999999999996E-4</v>
      </c>
      <c r="P105" s="26"/>
      <c r="Q105" s="13" t="s">
        <v>9</v>
      </c>
      <c r="R105" s="13" t="s">
        <v>9</v>
      </c>
      <c r="S105" s="13" t="s">
        <v>9</v>
      </c>
      <c r="T105" s="13" t="s">
        <v>9</v>
      </c>
      <c r="U105" s="13" t="s">
        <v>9</v>
      </c>
      <c r="V105" s="13" t="s">
        <v>9</v>
      </c>
      <c r="W105" s="27"/>
    </row>
    <row r="106" spans="7:23">
      <c r="G106" s="11"/>
      <c r="H106" s="24" t="s">
        <v>22</v>
      </c>
      <c r="I106" s="16"/>
      <c r="J106" s="13" t="s">
        <v>9</v>
      </c>
      <c r="K106" s="13" t="s">
        <v>9</v>
      </c>
      <c r="L106" s="13" t="s">
        <v>9</v>
      </c>
      <c r="M106" s="13" t="s">
        <v>9</v>
      </c>
      <c r="N106" s="33" t="s">
        <v>38</v>
      </c>
      <c r="O106" s="51">
        <v>8.3000000000000012E-4</v>
      </c>
      <c r="P106" s="26"/>
      <c r="Q106" s="13" t="s">
        <v>9</v>
      </c>
      <c r="R106" s="13" t="s">
        <v>9</v>
      </c>
      <c r="S106" s="13" t="s">
        <v>9</v>
      </c>
      <c r="T106" s="13" t="s">
        <v>9</v>
      </c>
      <c r="U106" s="13" t="s">
        <v>9</v>
      </c>
      <c r="V106" s="13" t="s">
        <v>9</v>
      </c>
      <c r="W106" s="27"/>
    </row>
    <row r="107" spans="7:23">
      <c r="G107" s="11"/>
      <c r="H107" s="12" t="s">
        <v>23</v>
      </c>
      <c r="I107" s="86" t="s">
        <v>133</v>
      </c>
      <c r="J107" s="13" t="s">
        <v>9</v>
      </c>
      <c r="K107" s="13" t="s">
        <v>9</v>
      </c>
      <c r="L107" s="13" t="s">
        <v>9</v>
      </c>
      <c r="M107" s="13" t="s">
        <v>9</v>
      </c>
      <c r="N107" s="33" t="s">
        <v>50</v>
      </c>
      <c r="O107" s="51">
        <v>8.4999999999999995E-4</v>
      </c>
      <c r="P107" s="26"/>
      <c r="Q107" s="13" t="s">
        <v>9</v>
      </c>
      <c r="R107" s="13" t="s">
        <v>9</v>
      </c>
      <c r="S107" s="13" t="s">
        <v>9</v>
      </c>
      <c r="T107" s="13" t="s">
        <v>9</v>
      </c>
      <c r="U107" s="13" t="s">
        <v>9</v>
      </c>
      <c r="V107" s="13" t="s">
        <v>9</v>
      </c>
      <c r="W107" s="27"/>
    </row>
    <row r="108" spans="7:23">
      <c r="G108" s="11"/>
      <c r="H108" s="20" t="s">
        <v>24</v>
      </c>
      <c r="I108" s="97" t="str">
        <f ca="1">_xll.meLWOCurveMarketDataCreate(I107,H98,H100:I103,N98,N100:O117)</f>
        <v>GBP_6M_MARKETDATA@5:0</v>
      </c>
      <c r="J108" s="13" t="s">
        <v>9</v>
      </c>
      <c r="K108" s="13" t="s">
        <v>9</v>
      </c>
      <c r="L108" s="13" t="s">
        <v>9</v>
      </c>
      <c r="M108" s="13" t="s">
        <v>9</v>
      </c>
      <c r="N108" s="33" t="s">
        <v>51</v>
      </c>
      <c r="O108" s="51">
        <v>8.699999999999999E-4</v>
      </c>
      <c r="P108" s="26"/>
      <c r="Q108" s="13" t="s">
        <v>9</v>
      </c>
      <c r="R108" s="13" t="s">
        <v>9</v>
      </c>
      <c r="S108" s="13" t="s">
        <v>9</v>
      </c>
      <c r="T108" s="13" t="s">
        <v>9</v>
      </c>
      <c r="U108" s="13" t="s">
        <v>9</v>
      </c>
      <c r="V108" s="13" t="s">
        <v>9</v>
      </c>
      <c r="W108" s="27"/>
    </row>
    <row r="109" spans="7:23">
      <c r="G109" s="11"/>
      <c r="H109" s="13"/>
      <c r="I109" s="13"/>
      <c r="J109" s="13" t="s">
        <v>9</v>
      </c>
      <c r="K109" s="13" t="s">
        <v>9</v>
      </c>
      <c r="L109" s="13" t="s">
        <v>9</v>
      </c>
      <c r="M109" s="13" t="s">
        <v>9</v>
      </c>
      <c r="N109" s="33" t="s">
        <v>40</v>
      </c>
      <c r="O109" s="51">
        <v>8.8000000000000003E-4</v>
      </c>
      <c r="P109" s="26"/>
      <c r="Q109" s="13" t="s">
        <v>9</v>
      </c>
      <c r="R109" s="13" t="s">
        <v>9</v>
      </c>
      <c r="S109" s="13" t="s">
        <v>9</v>
      </c>
      <c r="T109" s="13" t="s">
        <v>9</v>
      </c>
      <c r="U109" s="13" t="s">
        <v>9</v>
      </c>
      <c r="V109" s="13" t="s">
        <v>9</v>
      </c>
      <c r="W109" s="27"/>
    </row>
    <row r="110" spans="7:23">
      <c r="G110" s="11"/>
      <c r="H110" s="13"/>
      <c r="I110" s="13"/>
      <c r="J110" s="13" t="s">
        <v>9</v>
      </c>
      <c r="K110" s="13" t="s">
        <v>9</v>
      </c>
      <c r="L110" s="13" t="s">
        <v>9</v>
      </c>
      <c r="M110" s="13" t="s">
        <v>9</v>
      </c>
      <c r="N110" s="33" t="s">
        <v>42</v>
      </c>
      <c r="O110" s="51">
        <v>8.9999999999999998E-4</v>
      </c>
      <c r="P110" s="26"/>
      <c r="Q110" s="13" t="s">
        <v>9</v>
      </c>
      <c r="R110" s="13" t="s">
        <v>9</v>
      </c>
      <c r="S110" s="13" t="s">
        <v>9</v>
      </c>
      <c r="T110" s="13" t="s">
        <v>9</v>
      </c>
      <c r="U110" s="13" t="s">
        <v>9</v>
      </c>
      <c r="V110" s="13" t="s">
        <v>9</v>
      </c>
      <c r="W110" s="27"/>
    </row>
    <row r="111" spans="7:23">
      <c r="G111" s="11"/>
      <c r="H111" s="13"/>
      <c r="I111" s="13"/>
      <c r="J111" s="13" t="s">
        <v>9</v>
      </c>
      <c r="K111" s="13" t="s">
        <v>9</v>
      </c>
      <c r="L111" s="13" t="s">
        <v>9</v>
      </c>
      <c r="M111" s="13" t="s">
        <v>9</v>
      </c>
      <c r="N111" s="33" t="s">
        <v>44</v>
      </c>
      <c r="O111" s="51">
        <v>9.1999999999999992E-4</v>
      </c>
      <c r="P111" s="26"/>
      <c r="Q111" s="13" t="s">
        <v>9</v>
      </c>
      <c r="R111" s="13" t="s">
        <v>9</v>
      </c>
      <c r="S111" s="13" t="s">
        <v>9</v>
      </c>
      <c r="T111" s="13" t="s">
        <v>9</v>
      </c>
      <c r="U111" s="13" t="s">
        <v>9</v>
      </c>
      <c r="V111" s="13" t="s">
        <v>9</v>
      </c>
      <c r="W111" s="27"/>
    </row>
    <row r="112" spans="7:23">
      <c r="G112" s="11"/>
      <c r="H112" s="13"/>
      <c r="I112" s="13"/>
      <c r="J112" s="13" t="s">
        <v>9</v>
      </c>
      <c r="K112" s="13" t="s">
        <v>9</v>
      </c>
      <c r="L112" s="13" t="s">
        <v>9</v>
      </c>
      <c r="M112" s="13" t="s">
        <v>9</v>
      </c>
      <c r="N112" s="33" t="s">
        <v>46</v>
      </c>
      <c r="O112" s="51">
        <v>9.5E-4</v>
      </c>
      <c r="P112" s="26"/>
      <c r="Q112" s="13" t="s">
        <v>9</v>
      </c>
      <c r="R112" s="13" t="s">
        <v>9</v>
      </c>
      <c r="S112" s="13" t="s">
        <v>9</v>
      </c>
      <c r="T112" s="13" t="s">
        <v>9</v>
      </c>
      <c r="U112" s="13" t="s">
        <v>9</v>
      </c>
      <c r="V112" s="13" t="s">
        <v>9</v>
      </c>
      <c r="W112" s="27"/>
    </row>
    <row r="113" spans="7:23">
      <c r="G113" s="11"/>
      <c r="H113" s="13"/>
      <c r="I113" s="13"/>
      <c r="J113" s="13" t="s">
        <v>9</v>
      </c>
      <c r="K113" s="13" t="s">
        <v>9</v>
      </c>
      <c r="L113" s="13" t="s">
        <v>9</v>
      </c>
      <c r="M113" s="13" t="s">
        <v>9</v>
      </c>
      <c r="N113" s="33" t="s">
        <v>48</v>
      </c>
      <c r="O113" s="51">
        <v>9.5999999999999992E-4</v>
      </c>
      <c r="P113" s="26"/>
      <c r="Q113" s="13" t="s">
        <v>9</v>
      </c>
      <c r="R113" s="13" t="s">
        <v>9</v>
      </c>
      <c r="S113" s="13" t="s">
        <v>9</v>
      </c>
      <c r="T113" s="13" t="s">
        <v>9</v>
      </c>
      <c r="U113" s="13" t="s">
        <v>9</v>
      </c>
      <c r="V113" s="13" t="s">
        <v>9</v>
      </c>
      <c r="W113" s="27"/>
    </row>
    <row r="114" spans="7:23">
      <c r="G114" s="11"/>
      <c r="H114" s="13"/>
      <c r="I114" s="13"/>
      <c r="J114" s="13"/>
      <c r="K114" s="13"/>
      <c r="L114" s="13"/>
      <c r="M114" s="13"/>
      <c r="N114" s="33" t="s">
        <v>49</v>
      </c>
      <c r="O114" s="51">
        <v>9.6999999999999994E-4</v>
      </c>
      <c r="P114" s="26"/>
      <c r="Q114" s="13" t="s">
        <v>9</v>
      </c>
      <c r="R114" s="13" t="s">
        <v>9</v>
      </c>
      <c r="S114" s="13" t="s">
        <v>9</v>
      </c>
      <c r="T114" s="13" t="s">
        <v>9</v>
      </c>
      <c r="U114" s="13" t="s">
        <v>9</v>
      </c>
      <c r="V114" s="13" t="s">
        <v>9</v>
      </c>
      <c r="W114" s="27"/>
    </row>
    <row r="115" spans="7:23">
      <c r="G115" s="11"/>
      <c r="H115" s="13"/>
      <c r="I115" s="13"/>
      <c r="J115" s="13"/>
      <c r="K115" s="13"/>
      <c r="L115" s="13"/>
      <c r="M115" s="13"/>
      <c r="N115" s="33" t="s">
        <v>25</v>
      </c>
      <c r="O115" s="51">
        <v>9.6999999999999994E-4</v>
      </c>
      <c r="P115" s="26"/>
      <c r="Q115" s="13"/>
      <c r="R115" s="13"/>
      <c r="S115" s="13"/>
      <c r="T115" s="13"/>
      <c r="U115" s="13"/>
      <c r="V115" s="13"/>
      <c r="W115" s="27"/>
    </row>
    <row r="116" spans="7:23">
      <c r="G116" s="11"/>
      <c r="H116" s="13"/>
      <c r="I116" s="13"/>
      <c r="J116" s="13"/>
      <c r="K116" s="13"/>
      <c r="L116" s="13"/>
      <c r="M116" s="13"/>
      <c r="N116" s="33" t="s">
        <v>26</v>
      </c>
      <c r="O116" s="51">
        <v>9.6999999999999994E-4</v>
      </c>
      <c r="P116" s="26"/>
      <c r="Q116" s="13"/>
      <c r="R116" s="13"/>
      <c r="S116" s="13"/>
      <c r="T116" s="13"/>
      <c r="U116" s="13"/>
      <c r="V116" s="13"/>
      <c r="W116" s="27"/>
    </row>
    <row r="117" spans="7:23">
      <c r="G117" s="11"/>
      <c r="H117" s="13"/>
      <c r="I117" s="13"/>
      <c r="J117" s="13"/>
      <c r="K117" s="13"/>
      <c r="L117" s="13"/>
      <c r="M117" s="13"/>
      <c r="N117" s="45" t="s">
        <v>92</v>
      </c>
      <c r="O117" s="52">
        <f ca="1">O116</f>
        <v>9.6999999999999994E-4</v>
      </c>
      <c r="P117" s="13"/>
      <c r="Q117" s="13"/>
      <c r="R117" s="13"/>
      <c r="S117" s="13"/>
      <c r="T117" s="13"/>
      <c r="U117" s="13"/>
      <c r="V117" s="13"/>
      <c r="W117" s="27"/>
    </row>
    <row r="118" spans="7:23">
      <c r="G118" s="11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27"/>
    </row>
    <row r="119" spans="7:23">
      <c r="G119" s="21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501"/>
  <sheetViews>
    <sheetView showGridLines="0" workbookViewId="0"/>
  </sheetViews>
  <sheetFormatPr defaultRowHeight="15"/>
  <cols>
    <col min="1" max="1" width="9.85546875" bestFit="1" customWidth="1"/>
    <col min="2" max="2" width="15.28515625" bestFit="1" customWidth="1"/>
    <col min="3" max="3" width="15.140625" customWidth="1"/>
    <col min="4" max="7" width="12.7109375" customWidth="1"/>
  </cols>
  <sheetData>
    <row r="2" spans="1:7">
      <c r="B2" s="2" t="s">
        <v>69</v>
      </c>
      <c r="E2" s="2" t="s">
        <v>64</v>
      </c>
      <c r="F2" s="2"/>
      <c r="G2" s="2"/>
    </row>
    <row r="3" spans="1:7">
      <c r="B3" s="28" t="s">
        <v>7</v>
      </c>
      <c r="C3" s="83" t="s">
        <v>103</v>
      </c>
      <c r="E3" s="83" t="s">
        <v>113</v>
      </c>
      <c r="F3" s="2"/>
      <c r="G3" s="2"/>
    </row>
    <row r="4" spans="1:7">
      <c r="B4" s="31" t="s">
        <v>65</v>
      </c>
      <c r="C4" s="84" t="s">
        <v>68</v>
      </c>
      <c r="E4" s="84" t="s">
        <v>114</v>
      </c>
      <c r="F4" s="2"/>
      <c r="G4" s="2"/>
    </row>
    <row r="5" spans="1:7">
      <c r="B5" s="31" t="s">
        <v>66</v>
      </c>
      <c r="C5" s="84" t="s">
        <v>49</v>
      </c>
      <c r="E5" s="84" t="s">
        <v>115</v>
      </c>
      <c r="F5" s="2"/>
      <c r="G5" s="2"/>
    </row>
    <row r="6" spans="1:7">
      <c r="B6" s="32" t="s">
        <v>67</v>
      </c>
      <c r="C6" s="85" t="s">
        <v>87</v>
      </c>
      <c r="E6" s="84" t="s">
        <v>116</v>
      </c>
      <c r="F6" s="2"/>
      <c r="G6" s="2"/>
    </row>
    <row r="7" spans="1:7">
      <c r="E7" s="85" t="s">
        <v>117</v>
      </c>
      <c r="F7" s="2"/>
      <c r="G7" s="2"/>
    </row>
    <row r="9" spans="1:7">
      <c r="B9" s="3" t="str">
        <f t="array" aca="1" ref="B9:G501" ca="1">_xll.meLWOCurveForwardRatesTable($C$3,$E$3:$E$7,C4,C5,,,,C6)</f>
        <v>Fixing Dates</v>
      </c>
      <c r="C9" s="3" t="str">
        <f ca="1"/>
        <v>GBPOIS</v>
      </c>
      <c r="D9" s="3" t="str">
        <f ca="1"/>
        <v>GBP1ML</v>
      </c>
      <c r="E9" s="186" t="str">
        <f ca="1"/>
        <v>GBP3ML</v>
      </c>
      <c r="F9" s="186" t="str">
        <f ca="1"/>
        <v>GBP6ML</v>
      </c>
      <c r="G9" s="186" t="str">
        <f ca="1"/>
        <v>GBP12ML</v>
      </c>
    </row>
    <row r="10" spans="1:7">
      <c r="B10" s="98">
        <f ca="1"/>
        <v>43854</v>
      </c>
      <c r="C10" s="99">
        <f ca="1"/>
        <v>7.0310226751676055E-3</v>
      </c>
      <c r="D10" s="99">
        <f ca="1"/>
        <v>6.3062999999987232E-3</v>
      </c>
      <c r="E10" s="99">
        <f ca="1"/>
        <v>6.9075000000003665E-3</v>
      </c>
      <c r="F10" s="99">
        <f ca="1"/>
        <v>7.4750000000000597E-3</v>
      </c>
      <c r="G10" s="100">
        <f ca="1"/>
        <v>8.0438000000002865E-3</v>
      </c>
    </row>
    <row r="11" spans="1:7">
      <c r="A11" s="189"/>
      <c r="B11" s="101">
        <f ca="1"/>
        <v>43885</v>
      </c>
      <c r="C11" s="102">
        <f ca="1"/>
        <v>5.5214585478702231E-3</v>
      </c>
      <c r="D11" s="102">
        <f ca="1"/>
        <v>5.9928304633236167E-3</v>
      </c>
      <c r="E11" s="102">
        <f ca="1"/>
        <v>6.4683653617334429E-3</v>
      </c>
      <c r="F11" s="102">
        <f ca="1"/>
        <v>7.2402981043846191E-3</v>
      </c>
      <c r="G11" s="103">
        <f ca="1"/>
        <v>7.8671955133659786E-3</v>
      </c>
    </row>
    <row r="12" spans="1:7">
      <c r="A12" s="189"/>
      <c r="B12" s="101">
        <f ca="1"/>
        <v>43914</v>
      </c>
      <c r="C12" s="102">
        <f ca="1"/>
        <v>5.6493783191146835E-3</v>
      </c>
      <c r="D12" s="102">
        <f ca="1"/>
        <v>5.6425264579595593E-3</v>
      </c>
      <c r="E12" s="102">
        <f ca="1"/>
        <v>6.1045869866532725E-3</v>
      </c>
      <c r="F12" s="102">
        <f ca="1"/>
        <v>6.9674753941710091E-3</v>
      </c>
      <c r="G12" s="103">
        <f ca="1"/>
        <v>7.6818843000958648E-3</v>
      </c>
    </row>
    <row r="13" spans="1:7">
      <c r="A13" s="189"/>
      <c r="B13" s="101">
        <f ca="1"/>
        <v>43945</v>
      </c>
      <c r="C13" s="102">
        <f ca="1"/>
        <v>5.1357653977997745E-3</v>
      </c>
      <c r="D13" s="102">
        <f ca="1"/>
        <v>5.3123931081483847E-3</v>
      </c>
      <c r="E13" s="102">
        <f ca="1"/>
        <v>5.9084148287622687E-3</v>
      </c>
      <c r="F13" s="102">
        <f ca="1"/>
        <v>6.660349252051119E-3</v>
      </c>
      <c r="G13" s="103">
        <f ca="1"/>
        <v>7.4552604279640887E-3</v>
      </c>
    </row>
    <row r="14" spans="1:7">
      <c r="A14" s="189"/>
      <c r="B14" s="101">
        <f ca="1"/>
        <v>43977</v>
      </c>
      <c r="C14" s="102">
        <f ca="1"/>
        <v>4.836033423131234E-3</v>
      </c>
      <c r="D14" s="102">
        <f ca="1"/>
        <v>5.0207504529993742E-3</v>
      </c>
      <c r="E14" s="102">
        <f ca="1"/>
        <v>5.5879786737453056E-3</v>
      </c>
      <c r="F14" s="102">
        <f ca="1"/>
        <v>6.3548926591974041E-3</v>
      </c>
      <c r="G14" s="103">
        <f ca="1"/>
        <v>7.2274794370457141E-3</v>
      </c>
    </row>
    <row r="15" spans="1:7">
      <c r="A15" s="189"/>
      <c r="B15" s="101">
        <f ca="1"/>
        <v>44006</v>
      </c>
      <c r="C15" s="102">
        <f ca="1"/>
        <v>4.6410762742965708E-3</v>
      </c>
      <c r="D15" s="102">
        <f ca="1"/>
        <v>4.7902878483603306E-3</v>
      </c>
      <c r="E15" s="102">
        <f ca="1"/>
        <v>5.34996577525084E-3</v>
      </c>
      <c r="F15" s="102">
        <f ca="1"/>
        <v>6.1004296073151739E-3</v>
      </c>
      <c r="G15" s="103">
        <f ca="1"/>
        <v>7.0105316988375854E-3</v>
      </c>
    </row>
    <row r="16" spans="1:7">
      <c r="A16" s="189"/>
      <c r="B16" s="101">
        <f ca="1"/>
        <v>44036</v>
      </c>
      <c r="C16" s="102">
        <f ca="1"/>
        <v>4.4605502220333134E-3</v>
      </c>
      <c r="D16" s="102">
        <f ca="1"/>
        <v>4.5790769095402075E-3</v>
      </c>
      <c r="E16" s="102">
        <f ca="1"/>
        <v>5.2740527384495355E-3</v>
      </c>
      <c r="F16" s="102">
        <f ca="1"/>
        <v>5.8745114256238207E-3</v>
      </c>
      <c r="G16" s="103">
        <f ca="1"/>
        <v>6.7825817622414204E-3</v>
      </c>
    </row>
    <row r="17" spans="1:7">
      <c r="A17" s="189"/>
      <c r="B17" s="101">
        <f ca="1"/>
        <v>44067</v>
      </c>
      <c r="C17" s="102">
        <f ca="1"/>
        <v>4.1797101669727339E-3</v>
      </c>
      <c r="D17" s="102">
        <f ca="1"/>
        <v>4.4015128098569868E-3</v>
      </c>
      <c r="E17" s="102">
        <f ca="1"/>
        <v>5.1038798741531461E-3</v>
      </c>
      <c r="F17" s="102">
        <f ca="1"/>
        <v>5.7142672489443654E-3</v>
      </c>
      <c r="G17" s="103">
        <f ca="1"/>
        <v>6.5699297393468923E-3</v>
      </c>
    </row>
    <row r="18" spans="1:7">
      <c r="A18" s="189"/>
      <c r="B18" s="101">
        <f ca="1"/>
        <v>44098</v>
      </c>
      <c r="C18" s="102">
        <f ca="1"/>
        <v>4.0132516576296849E-3</v>
      </c>
      <c r="D18" s="102">
        <f ca="1"/>
        <v>4.2596686234440077E-3</v>
      </c>
      <c r="E18" s="102">
        <f ca="1"/>
        <v>4.9951137441788807E-3</v>
      </c>
      <c r="F18" s="102">
        <f ca="1"/>
        <v>5.6143788754286529E-3</v>
      </c>
      <c r="G18" s="103">
        <f ca="1"/>
        <v>6.3672577602647005E-3</v>
      </c>
    </row>
    <row r="19" spans="1:7">
      <c r="A19" s="189"/>
      <c r="B19" s="101">
        <f ca="1"/>
        <v>44130</v>
      </c>
      <c r="C19" s="102">
        <f ca="1"/>
        <v>4.0355246289147826E-3</v>
      </c>
      <c r="D19" s="102">
        <f ca="1"/>
        <v>4.1563323580974939E-3</v>
      </c>
      <c r="E19" s="102">
        <f ca="1"/>
        <v>5.0650783699356166E-3</v>
      </c>
      <c r="F19" s="102">
        <f ca="1"/>
        <v>5.5612300686127165E-3</v>
      </c>
      <c r="G19" s="103">
        <f ca="1"/>
        <v>6.1825425822554791E-3</v>
      </c>
    </row>
    <row r="20" spans="1:7">
      <c r="A20" s="189"/>
      <c r="B20" s="101">
        <f ca="1"/>
        <v>44159</v>
      </c>
      <c r="C20" s="102">
        <f ca="1"/>
        <v>3.9380539364508747E-3</v>
      </c>
      <c r="D20" s="102">
        <f ca="1"/>
        <v>4.0962307553047417E-3</v>
      </c>
      <c r="E20" s="102">
        <f ca="1"/>
        <v>5.0409969801160134E-3</v>
      </c>
      <c r="F20" s="102">
        <f ca="1"/>
        <v>5.548251002248661E-3</v>
      </c>
      <c r="G20" s="103">
        <f ca="1"/>
        <v>6.0428212004366433E-3</v>
      </c>
    </row>
    <row r="21" spans="1:7">
      <c r="A21" s="189"/>
      <c r="B21" s="101">
        <f ca="1"/>
        <v>44189</v>
      </c>
      <c r="C21" s="102">
        <f ca="1"/>
        <v>3.8924015228723068E-3</v>
      </c>
      <c r="D21" s="102">
        <f ca="1"/>
        <v>4.0672641639987956E-3</v>
      </c>
      <c r="E21" s="102">
        <f ca="1"/>
        <v>5.033910152021235E-3</v>
      </c>
      <c r="F21" s="102">
        <f ca="1"/>
        <v>5.5602631831781595E-3</v>
      </c>
      <c r="G21" s="103">
        <f ca="1"/>
        <v>5.9321041070821154E-3</v>
      </c>
    </row>
    <row r="22" spans="1:7">
      <c r="A22" s="189"/>
      <c r="B22" s="101">
        <f ca="1"/>
        <v>44221</v>
      </c>
      <c r="C22" s="102">
        <f ca="1"/>
        <v>3.9222472588883129E-3</v>
      </c>
      <c r="D22" s="102">
        <f ca="1"/>
        <v>4.0704169726512073E-3</v>
      </c>
      <c r="E22" s="102">
        <f ca="1"/>
        <v>5.078637401853334E-3</v>
      </c>
      <c r="F22" s="102">
        <f ca="1"/>
        <v>5.5882168733419691E-3</v>
      </c>
      <c r="G22" s="103">
        <f ca="1"/>
        <v>5.8588022077352689E-3</v>
      </c>
    </row>
    <row r="23" spans="1:7">
      <c r="A23" s="189"/>
      <c r="B23" s="101">
        <f ca="1"/>
        <v>44251</v>
      </c>
      <c r="C23" s="102">
        <f ca="1"/>
        <v>3.8731476185395806E-3</v>
      </c>
      <c r="D23" s="102">
        <f ca="1"/>
        <v>4.0825833631869821E-3</v>
      </c>
      <c r="E23" s="102">
        <f ca="1"/>
        <v>5.0606922419278782E-3</v>
      </c>
      <c r="F23" s="102">
        <f ca="1"/>
        <v>5.6187675299299361E-3</v>
      </c>
      <c r="G23" s="103">
        <f ca="1"/>
        <v>5.8364323697168707E-3</v>
      </c>
    </row>
    <row r="24" spans="1:7">
      <c r="A24" s="189"/>
      <c r="B24" s="101">
        <f ca="1"/>
        <v>44279</v>
      </c>
      <c r="C24" s="102">
        <f ca="1"/>
        <v>3.8351921270017566E-3</v>
      </c>
      <c r="D24" s="102">
        <f ca="1"/>
        <v>4.1001973198798777E-3</v>
      </c>
      <c r="E24" s="102">
        <f ca="1"/>
        <v>5.0338728343052464E-3</v>
      </c>
      <c r="F24" s="102">
        <f ca="1"/>
        <v>5.6524501495136556E-3</v>
      </c>
      <c r="G24" s="103">
        <f ca="1"/>
        <v>5.8528010554070855E-3</v>
      </c>
    </row>
    <row r="25" spans="1:7">
      <c r="A25" s="189"/>
      <c r="B25" s="101">
        <f ca="1"/>
        <v>44312</v>
      </c>
      <c r="C25" s="102">
        <f ca="1"/>
        <v>3.800228010004542E-3</v>
      </c>
      <c r="D25" s="102">
        <f ca="1"/>
        <v>4.1227753833601392E-3</v>
      </c>
      <c r="E25" s="102">
        <f ca="1"/>
        <v>5.0117930266445265E-3</v>
      </c>
      <c r="F25" s="102">
        <f ca="1"/>
        <v>5.6924032051407633E-3</v>
      </c>
      <c r="G25" s="103">
        <f ca="1"/>
        <v>5.9120543132378245E-3</v>
      </c>
    </row>
    <row r="26" spans="1:7">
      <c r="A26" s="189"/>
      <c r="B26" s="101">
        <f ca="1"/>
        <v>44340</v>
      </c>
      <c r="C26" s="102">
        <f ca="1"/>
        <v>3.778842476043378E-3</v>
      </c>
      <c r="D26" s="102">
        <f ca="1"/>
        <v>4.1474285793881883E-3</v>
      </c>
      <c r="E26" s="102">
        <f ca="1"/>
        <v>5.0050809090281499E-3</v>
      </c>
      <c r="F26" s="102">
        <f ca="1"/>
        <v>5.7304451413388857E-3</v>
      </c>
      <c r="G26" s="103">
        <f ca="1"/>
        <v>5.9910772944327118E-3</v>
      </c>
    </row>
    <row r="27" spans="1:7">
      <c r="A27" s="189"/>
      <c r="B27" s="101">
        <f ca="1"/>
        <v>44371</v>
      </c>
      <c r="C27" s="102">
        <f ca="1"/>
        <v>3.7640228085357732E-3</v>
      </c>
      <c r="D27" s="102">
        <f ca="1"/>
        <v>4.1791981790927843E-3</v>
      </c>
      <c r="E27" s="102">
        <f ca="1"/>
        <v>5.0103582774197256E-3</v>
      </c>
      <c r="F27" s="102">
        <f ca="1"/>
        <v>5.7739229796817965E-3</v>
      </c>
      <c r="G27" s="103">
        <f ca="1"/>
        <v>6.1036295294414344E-3</v>
      </c>
    </row>
    <row r="28" spans="1:7">
      <c r="A28" s="189"/>
      <c r="B28" s="101">
        <f ca="1"/>
        <v>44403</v>
      </c>
      <c r="C28" s="102">
        <f ca="1"/>
        <v>3.758500141684969E-3</v>
      </c>
      <c r="D28" s="102">
        <f ca="1"/>
        <v>4.2156450605331198E-3</v>
      </c>
      <c r="E28" s="102">
        <f ca="1"/>
        <v>5.0281869747481125E-3</v>
      </c>
      <c r="F28" s="102">
        <f ca="1"/>
        <v>5.8238643409744828E-3</v>
      </c>
      <c r="G28" s="103">
        <f ca="1"/>
        <v>6.2411861680311525E-3</v>
      </c>
    </row>
    <row r="29" spans="1:7">
      <c r="A29" s="189"/>
      <c r="B29" s="101">
        <f ca="1"/>
        <v>44432</v>
      </c>
      <c r="C29" s="102">
        <f ca="1"/>
        <v>3.7620689931826285E-3</v>
      </c>
      <c r="D29" s="102">
        <f ca="1"/>
        <v>4.2534326768621294E-3</v>
      </c>
      <c r="E29" s="102">
        <f ca="1"/>
        <v>5.0540199815185165E-3</v>
      </c>
      <c r="F29" s="102">
        <f ca="1"/>
        <v>5.8712310256208286E-3</v>
      </c>
      <c r="G29" s="103">
        <f ca="1"/>
        <v>6.3790437635840025E-3</v>
      </c>
    </row>
    <row r="30" spans="1:7">
      <c r="A30" s="189"/>
      <c r="B30" s="101">
        <f ca="1"/>
        <v>44463</v>
      </c>
      <c r="C30" s="102">
        <f ca="1"/>
        <v>3.7755055621975617E-3</v>
      </c>
      <c r="D30" s="102">
        <f ca="1"/>
        <v>4.2982786676868112E-3</v>
      </c>
      <c r="E30" s="102">
        <f ca="1"/>
        <v>5.0917523875078589E-3</v>
      </c>
      <c r="F30" s="102">
        <f ca="1"/>
        <v>5.9214992839373608E-3</v>
      </c>
      <c r="G30" s="103">
        <f ca="1"/>
        <v>6.5394133494025355E-3</v>
      </c>
    </row>
    <row r="31" spans="1:7">
      <c r="A31" s="189"/>
      <c r="B31" s="101">
        <f ca="1"/>
        <v>44494</v>
      </c>
      <c r="C31" s="102">
        <f ca="1"/>
        <v>3.7970423005849467E-3</v>
      </c>
      <c r="D31" s="102">
        <f ca="1"/>
        <v>4.3477254530893397E-3</v>
      </c>
      <c r="E31" s="102">
        <f ca="1"/>
        <v>5.1402164428109923E-3</v>
      </c>
      <c r="F31" s="102">
        <f ca="1"/>
        <v>5.9775661643735175E-3</v>
      </c>
      <c r="G31" s="103">
        <f ca="1"/>
        <v>6.69208986014036E-3</v>
      </c>
    </row>
    <row r="32" spans="1:7">
      <c r="A32" s="189"/>
      <c r="B32" s="101">
        <f ca="1"/>
        <v>44524</v>
      </c>
      <c r="C32" s="102">
        <f ca="1"/>
        <v>3.8273444294910359E-3</v>
      </c>
      <c r="D32" s="102">
        <f ca="1"/>
        <v>4.3990132834353258E-3</v>
      </c>
      <c r="E32" s="102">
        <f ca="1"/>
        <v>5.1968566948340745E-3</v>
      </c>
      <c r="F32" s="102">
        <f ca="1"/>
        <v>6.0312567333995239E-3</v>
      </c>
      <c r="G32" s="103">
        <f ca="1"/>
        <v>6.8410458182850426E-3</v>
      </c>
    </row>
    <row r="33" spans="1:7">
      <c r="A33" s="189"/>
      <c r="B33" s="101">
        <f ca="1"/>
        <v>44554</v>
      </c>
      <c r="C33" s="102">
        <f ca="1"/>
        <v>3.8693662096194025E-3</v>
      </c>
      <c r="D33" s="102">
        <f ca="1"/>
        <v>4.4564990244129223E-3</v>
      </c>
      <c r="E33" s="102">
        <f ca="1"/>
        <v>5.2596004610095054E-3</v>
      </c>
      <c r="F33" s="102">
        <f ca="1"/>
        <v>6.0876441385469488E-3</v>
      </c>
      <c r="G33" s="103">
        <f ca="1"/>
        <v>6.987301863900364E-3</v>
      </c>
    </row>
    <row r="34" spans="1:7">
      <c r="A34" s="189"/>
      <c r="B34" s="101">
        <f ca="1"/>
        <v>44585</v>
      </c>
      <c r="C34" s="102">
        <f ca="1"/>
        <v>3.9158496126621943E-3</v>
      </c>
      <c r="D34" s="102">
        <f ca="1"/>
        <v>4.5182388293882958E-3</v>
      </c>
      <c r="E34" s="102">
        <f ca="1"/>
        <v>5.326374031335443E-3</v>
      </c>
      <c r="F34" s="102">
        <f ca="1"/>
        <v>6.145080890032171E-3</v>
      </c>
      <c r="G34" s="103">
        <f ca="1"/>
        <v>7.1095520469839357E-3</v>
      </c>
    </row>
    <row r="35" spans="1:7">
      <c r="A35" s="189"/>
      <c r="B35" s="101">
        <f ca="1"/>
        <v>44616</v>
      </c>
      <c r="C35" s="102">
        <f ca="1"/>
        <v>3.9690042889094163E-3</v>
      </c>
      <c r="D35" s="102">
        <f ca="1"/>
        <v>4.5755947072626301E-3</v>
      </c>
      <c r="E35" s="102">
        <f ca="1"/>
        <v>5.3912938930576419E-3</v>
      </c>
      <c r="F35" s="102">
        <f ca="1"/>
        <v>6.2012312828909509E-3</v>
      </c>
      <c r="G35" s="103">
        <f ca="1"/>
        <v>7.217818725542724E-3</v>
      </c>
    </row>
    <row r="36" spans="1:7">
      <c r="A36" s="189"/>
      <c r="B36" s="101">
        <f ca="1"/>
        <v>44644</v>
      </c>
      <c r="C36" s="102">
        <f ca="1"/>
        <v>4.0156031359611152E-3</v>
      </c>
      <c r="D36" s="102">
        <f ca="1"/>
        <v>4.6315912614287354E-3</v>
      </c>
      <c r="E36" s="102">
        <f ca="1"/>
        <v>5.4476668607570077E-3</v>
      </c>
      <c r="F36" s="102">
        <f ca="1"/>
        <v>6.2572597575791056E-3</v>
      </c>
      <c r="G36" s="103">
        <f ca="1"/>
        <v>7.2986705571285171E-3</v>
      </c>
    </row>
    <row r="37" spans="1:7">
      <c r="A37" s="189"/>
      <c r="B37" s="101">
        <f ca="1"/>
        <v>44676</v>
      </c>
      <c r="C37" s="102">
        <f ca="1"/>
        <v>4.0672165454412506E-3</v>
      </c>
      <c r="D37" s="102">
        <f ca="1"/>
        <v>4.6866855582565941E-3</v>
      </c>
      <c r="E37" s="102">
        <f ca="1"/>
        <v>5.5094538886288806E-3</v>
      </c>
      <c r="F37" s="102">
        <f ca="1"/>
        <v>6.3125128908991125E-3</v>
      </c>
      <c r="G37" s="103">
        <f ca="1"/>
        <v>7.3734343946088021E-3</v>
      </c>
    </row>
    <row r="38" spans="1:7">
      <c r="A38" s="189"/>
      <c r="B38" s="101">
        <f ca="1"/>
        <v>44705</v>
      </c>
      <c r="C38" s="102">
        <f ca="1"/>
        <v>4.112479986764078E-3</v>
      </c>
      <c r="D38" s="102">
        <f ca="1"/>
        <v>4.7366945682057347E-3</v>
      </c>
      <c r="E38" s="102">
        <f ca="1"/>
        <v>5.5629984400031801E-3</v>
      </c>
      <c r="F38" s="102">
        <f ca="1"/>
        <v>6.3657570841010548E-3</v>
      </c>
      <c r="G38" s="103">
        <f ca="1"/>
        <v>7.4267871575204314E-3</v>
      </c>
    </row>
    <row r="39" spans="1:7">
      <c r="A39" s="189"/>
      <c r="B39" s="101">
        <f ca="1"/>
        <v>44736</v>
      </c>
      <c r="C39" s="102">
        <f ca="1"/>
        <v>4.1608074140435649E-3</v>
      </c>
      <c r="D39" s="102">
        <f ca="1"/>
        <v>4.7866104912674245E-3</v>
      </c>
      <c r="E39" s="102">
        <f ca="1"/>
        <v>5.6175865244157235E-3</v>
      </c>
      <c r="F39" s="102">
        <f ca="1"/>
        <v>6.4240771658634161E-3</v>
      </c>
      <c r="G39" s="103">
        <f ca="1"/>
        <v>7.4712657999459657E-3</v>
      </c>
    </row>
    <row r="40" spans="1:7">
      <c r="A40" s="189"/>
      <c r="B40" s="101">
        <f ca="1"/>
        <v>44767</v>
      </c>
      <c r="C40" s="102">
        <f ca="1"/>
        <v>4.2044350841517605E-3</v>
      </c>
      <c r="D40" s="102">
        <f ca="1"/>
        <v>4.833849884788282E-3</v>
      </c>
      <c r="E40" s="102">
        <f ca="1"/>
        <v>5.6693472506813914E-3</v>
      </c>
      <c r="F40" s="102">
        <f ca="1"/>
        <v>6.4763338192054525E-3</v>
      </c>
      <c r="G40" s="103">
        <f ca="1"/>
        <v>7.5030948359506855E-3</v>
      </c>
    </row>
    <row r="41" spans="1:7">
      <c r="A41" s="189"/>
      <c r="B41" s="101">
        <f ca="1"/>
        <v>44797</v>
      </c>
      <c r="C41" s="102">
        <f ca="1"/>
        <v>4.2465729208683422E-3</v>
      </c>
      <c r="D41" s="102">
        <f ca="1"/>
        <v>4.8784630548518717E-3</v>
      </c>
      <c r="E41" s="102">
        <f ca="1"/>
        <v>5.7166660862091566E-3</v>
      </c>
      <c r="F41" s="102">
        <f ca="1"/>
        <v>6.5291596520777734E-3</v>
      </c>
      <c r="G41" s="103">
        <f ca="1"/>
        <v>7.5254950041168112E-3</v>
      </c>
    </row>
    <row r="42" spans="1:7">
      <c r="A42" s="189"/>
      <c r="B42" s="101">
        <f ca="1"/>
        <v>44830</v>
      </c>
      <c r="C42" s="102">
        <f ca="1"/>
        <v>4.2911500579899224E-3</v>
      </c>
      <c r="D42" s="102">
        <f ca="1"/>
        <v>4.9209265188588994E-3</v>
      </c>
      <c r="E42" s="102">
        <f ca="1"/>
        <v>5.76550513827165E-3</v>
      </c>
      <c r="F42" s="102">
        <f ca="1"/>
        <v>6.5844806790279591E-3</v>
      </c>
      <c r="G42" s="103">
        <f ca="1"/>
        <v>7.5422771031457003E-3</v>
      </c>
    </row>
    <row r="43" spans="1:7">
      <c r="A43" s="189"/>
      <c r="B43" s="101">
        <f ca="1"/>
        <v>44858</v>
      </c>
      <c r="C43" s="102">
        <f ca="1"/>
        <v>4.3275135505447902E-3</v>
      </c>
      <c r="D43" s="102">
        <f ca="1"/>
        <v>4.9570596949068541E-3</v>
      </c>
      <c r="E43" s="102">
        <f ca="1"/>
        <v>5.8042623664347993E-3</v>
      </c>
      <c r="F43" s="102">
        <f ca="1"/>
        <v>6.6317609743958977E-3</v>
      </c>
      <c r="G43" s="103">
        <f ca="1"/>
        <v>7.5519094623190952E-3</v>
      </c>
    </row>
    <row r="44" spans="1:7">
      <c r="A44" s="189"/>
      <c r="B44" s="101">
        <f ca="1"/>
        <v>44889</v>
      </c>
      <c r="C44" s="102">
        <f ca="1"/>
        <v>4.3662116128260842E-3</v>
      </c>
      <c r="D44" s="102">
        <f ca="1"/>
        <v>4.9955534512916349E-3</v>
      </c>
      <c r="E44" s="102">
        <f ca="1"/>
        <v>5.8443462164741783E-3</v>
      </c>
      <c r="F44" s="102">
        <f ca="1"/>
        <v>6.6815090803915723E-3</v>
      </c>
      <c r="G44" s="103">
        <f ca="1"/>
        <v>7.559647069977915E-3</v>
      </c>
    </row>
    <row r="45" spans="1:7">
      <c r="A45" s="189"/>
      <c r="B45" s="101">
        <f ca="1"/>
        <v>44923</v>
      </c>
      <c r="C45" s="102">
        <f ca="1"/>
        <v>4.4067688493952322E-3</v>
      </c>
      <c r="D45" s="102">
        <f ca="1"/>
        <v>5.0320462827253762E-3</v>
      </c>
      <c r="E45" s="102">
        <f ca="1"/>
        <v>5.885387297770832E-3</v>
      </c>
      <c r="F45" s="102">
        <f ca="1"/>
        <v>6.7350687313310568E-3</v>
      </c>
      <c r="G45" s="103">
        <f ca="1"/>
        <v>7.5670543347547969E-3</v>
      </c>
    </row>
    <row r="46" spans="1:7">
      <c r="A46" s="189"/>
      <c r="B46" s="101">
        <f ca="1"/>
        <v>44950</v>
      </c>
      <c r="C46" s="102">
        <f ca="1"/>
        <v>4.4375689768992362E-3</v>
      </c>
      <c r="D46" s="102">
        <f ca="1"/>
        <v>5.0584072316767394E-3</v>
      </c>
      <c r="E46" s="102">
        <f ca="1"/>
        <v>5.9162321356809574E-3</v>
      </c>
      <c r="F46" s="102">
        <f ca="1"/>
        <v>6.7737827058760849E-3</v>
      </c>
      <c r="G46" s="103">
        <f ca="1"/>
        <v>7.5739484985759553E-3</v>
      </c>
    </row>
    <row r="47" spans="1:7">
      <c r="A47" s="189"/>
      <c r="B47" s="101">
        <f ca="1"/>
        <v>44981</v>
      </c>
      <c r="C47" s="102">
        <f ca="1"/>
        <v>4.4728381240826173E-3</v>
      </c>
      <c r="D47" s="102">
        <f ca="1"/>
        <v>5.0870251404709745E-3</v>
      </c>
      <c r="E47" s="102">
        <f ca="1"/>
        <v>5.9500935112357456E-3</v>
      </c>
      <c r="F47" s="102">
        <f ca="1"/>
        <v>6.81605918351648E-3</v>
      </c>
      <c r="G47" s="103">
        <f ca="1"/>
        <v>7.5853215994131102E-3</v>
      </c>
    </row>
    <row r="48" spans="1:7">
      <c r="A48" s="189"/>
      <c r="B48" s="101">
        <f ca="1"/>
        <v>45009</v>
      </c>
      <c r="C48" s="102">
        <f ca="1"/>
        <v>4.5027321012981137E-3</v>
      </c>
      <c r="D48" s="102">
        <f ca="1"/>
        <v>5.1146625361893584E-3</v>
      </c>
      <c r="E48" s="102">
        <f ca="1"/>
        <v>5.9791797227031398E-3</v>
      </c>
      <c r="F48" s="102">
        <f ca="1"/>
        <v>6.8538502445316101E-3</v>
      </c>
      <c r="G48" s="103">
        <f ca="1"/>
        <v>7.5976109116550209E-3</v>
      </c>
    </row>
    <row r="49" spans="1:7">
      <c r="A49" s="189"/>
      <c r="B49" s="101">
        <f ca="1"/>
        <v>45040</v>
      </c>
      <c r="C49" s="102">
        <f ca="1"/>
        <v>4.5337517443561218E-3</v>
      </c>
      <c r="D49" s="102">
        <f ca="1"/>
        <v>5.1418707111797815E-3</v>
      </c>
      <c r="E49" s="102">
        <f ca="1"/>
        <v>6.0095466535082659E-3</v>
      </c>
      <c r="F49" s="102">
        <f ca="1"/>
        <v>6.888460233707908E-3</v>
      </c>
      <c r="G49" s="103">
        <f ca="1"/>
        <v>7.6134872538771992E-3</v>
      </c>
    </row>
    <row r="50" spans="1:7">
      <c r="A50" s="189"/>
      <c r="B50" s="101">
        <f ca="1"/>
        <v>45070</v>
      </c>
      <c r="C50" s="102">
        <f ca="1"/>
        <v>4.5638407050905827E-3</v>
      </c>
      <c r="D50" s="102">
        <f ca="1"/>
        <v>5.1687870331918392E-3</v>
      </c>
      <c r="E50" s="102">
        <f ca="1"/>
        <v>6.0369560058037355E-3</v>
      </c>
      <c r="F50" s="102">
        <f ca="1"/>
        <v>6.9204904125304322E-3</v>
      </c>
      <c r="G50" s="103">
        <f ca="1"/>
        <v>7.6318289503016449E-3</v>
      </c>
    </row>
    <row r="51" spans="1:7">
      <c r="A51" s="189"/>
      <c r="B51" s="101">
        <f ca="1"/>
        <v>45103</v>
      </c>
      <c r="C51" s="102">
        <f ca="1"/>
        <v>4.5958004208166972E-3</v>
      </c>
      <c r="D51" s="102">
        <f ca="1"/>
        <v>5.1941672517810287E-3</v>
      </c>
      <c r="E51" s="102">
        <f ca="1"/>
        <v>6.0648520297322548E-3</v>
      </c>
      <c r="F51" s="102">
        <f ca="1"/>
        <v>6.9515089006559772E-3</v>
      </c>
      <c r="G51" s="103">
        <f ca="1"/>
        <v>7.6547377945424553E-3</v>
      </c>
    </row>
    <row r="52" spans="1:7">
      <c r="A52" s="189"/>
      <c r="B52" s="101">
        <f ca="1"/>
        <v>45131</v>
      </c>
      <c r="C52" s="102">
        <f ca="1"/>
        <v>4.6219814694535271E-3</v>
      </c>
      <c r="D52" s="102">
        <f ca="1"/>
        <v>5.2161011070673453E-3</v>
      </c>
      <c r="E52" s="102">
        <f ca="1"/>
        <v>6.0866962132899074E-3</v>
      </c>
      <c r="F52" s="102">
        <f ca="1"/>
        <v>6.9748742906433243E-3</v>
      </c>
      <c r="G52" s="103">
        <f ca="1"/>
        <v>7.6762683859158808E-3</v>
      </c>
    </row>
    <row r="53" spans="1:7">
      <c r="A53" s="189"/>
      <c r="B53" s="101">
        <f ca="1"/>
        <v>45162</v>
      </c>
      <c r="C53" s="102">
        <f ca="1"/>
        <v>4.6499658341468382E-3</v>
      </c>
      <c r="D53" s="102">
        <f ca="1"/>
        <v>5.2390666711851028E-3</v>
      </c>
      <c r="E53" s="102">
        <f ca="1"/>
        <v>6.1089490305131569E-3</v>
      </c>
      <c r="F53" s="102">
        <f ca="1"/>
        <v>6.9985019878433087E-3</v>
      </c>
      <c r="G53" s="103">
        <f ca="1"/>
        <v>7.7039139700275528E-3</v>
      </c>
    </row>
    <row r="54" spans="1:7">
      <c r="A54" s="189"/>
      <c r="B54" s="101">
        <f ca="1"/>
        <v>45194</v>
      </c>
      <c r="C54" s="102">
        <f ca="1"/>
        <v>4.6777492189762869E-3</v>
      </c>
      <c r="D54" s="102">
        <f ca="1"/>
        <v>5.2602595155807419E-3</v>
      </c>
      <c r="E54" s="102">
        <f ca="1"/>
        <v>6.1297884730537695E-3</v>
      </c>
      <c r="F54" s="102">
        <f ca="1"/>
        <v>7.0183340229670729E-3</v>
      </c>
      <c r="G54" s="103">
        <f ca="1"/>
        <v>7.731037217960415E-3</v>
      </c>
    </row>
    <row r="55" spans="1:7">
      <c r="A55" s="189"/>
      <c r="B55" s="101">
        <f ca="1"/>
        <v>45223</v>
      </c>
      <c r="C55" s="102">
        <f ca="1"/>
        <v>4.7019580626160252E-3</v>
      </c>
      <c r="D55" s="102">
        <f ca="1"/>
        <v>5.2793234051626559E-3</v>
      </c>
      <c r="E55" s="102">
        <f ca="1"/>
        <v>6.1467973700109254E-3</v>
      </c>
      <c r="F55" s="102">
        <f ca="1"/>
        <v>7.0369299344286568E-3</v>
      </c>
      <c r="G55" s="103">
        <f ca="1"/>
        <v>7.7588757743521919E-3</v>
      </c>
    </row>
    <row r="56" spans="1:7">
      <c r="A56" s="189"/>
      <c r="B56" s="101">
        <f ca="1"/>
        <v>45254</v>
      </c>
      <c r="C56" s="102">
        <f ca="1"/>
        <v>4.7276632007111387E-3</v>
      </c>
      <c r="D56" s="102">
        <f ca="1"/>
        <v>5.2987084808475251E-3</v>
      </c>
      <c r="E56" s="102">
        <f ca="1"/>
        <v>6.1632752447779446E-3</v>
      </c>
      <c r="F56" s="102">
        <f ca="1"/>
        <v>7.0559373946601544E-3</v>
      </c>
      <c r="G56" s="103">
        <f ca="1"/>
        <v>7.7908817818609826E-3</v>
      </c>
    </row>
    <row r="57" spans="1:7">
      <c r="A57" s="189"/>
      <c r="B57" s="101">
        <f ca="1"/>
        <v>45287</v>
      </c>
      <c r="C57" s="102">
        <f ca="1"/>
        <v>4.7521259316861061E-3</v>
      </c>
      <c r="D57" s="102">
        <f ca="1"/>
        <v>5.3171844668950434E-3</v>
      </c>
      <c r="E57" s="102">
        <f ca="1"/>
        <v>6.1804210939860457E-3</v>
      </c>
      <c r="F57" s="102">
        <f ca="1"/>
        <v>7.0781437108607681E-3</v>
      </c>
      <c r="G57" s="103">
        <f ca="1"/>
        <v>7.8252544733522118E-3</v>
      </c>
    </row>
    <row r="58" spans="1:7">
      <c r="A58" s="189"/>
      <c r="B58" s="101">
        <f ca="1"/>
        <v>45315</v>
      </c>
      <c r="C58" s="102">
        <f ca="1"/>
        <v>4.772663708015705E-3</v>
      </c>
      <c r="D58" s="102">
        <f ca="1"/>
        <v>5.332434534176549E-3</v>
      </c>
      <c r="E58" s="102">
        <f ca="1"/>
        <v>6.1961011935560721E-3</v>
      </c>
      <c r="F58" s="102">
        <f ca="1"/>
        <v>7.0980181675231622E-3</v>
      </c>
      <c r="G58" s="103">
        <f ca="1"/>
        <v>7.856124077679898E-3</v>
      </c>
    </row>
    <row r="59" spans="1:7">
      <c r="A59" s="189"/>
      <c r="B59" s="101">
        <f ca="1"/>
        <v>45348</v>
      </c>
      <c r="C59" s="102">
        <f ca="1"/>
        <v>4.7967265729585351E-3</v>
      </c>
      <c r="D59" s="102">
        <f ca="1"/>
        <v>5.3510839243914726E-3</v>
      </c>
      <c r="E59" s="102">
        <f ca="1"/>
        <v>6.2173370313895618E-3</v>
      </c>
      <c r="F59" s="102">
        <f ca="1"/>
        <v>7.1257078403342868E-3</v>
      </c>
      <c r="G59" s="103">
        <f ca="1"/>
        <v>7.8937021603873499E-3</v>
      </c>
    </row>
    <row r="60" spans="1:7">
      <c r="A60" s="189"/>
      <c r="B60" s="101">
        <f ca="1"/>
        <v>45376</v>
      </c>
      <c r="C60" s="102">
        <f ca="1"/>
        <v>4.8176719792568014E-3</v>
      </c>
      <c r="D60" s="102">
        <f ca="1"/>
        <v>5.3711183762316216E-3</v>
      </c>
      <c r="E60" s="102">
        <f ca="1"/>
        <v>6.2379158010869174E-3</v>
      </c>
      <c r="F60" s="102">
        <f ca="1"/>
        <v>7.1522053065899375E-3</v>
      </c>
      <c r="G60" s="103">
        <f ca="1"/>
        <v>7.9258014721306225E-3</v>
      </c>
    </row>
    <row r="61" spans="1:7">
      <c r="A61" s="189"/>
      <c r="B61" s="101">
        <f ca="1"/>
        <v>45406</v>
      </c>
      <c r="C61" s="102">
        <f ca="1"/>
        <v>4.8406527773124279E-3</v>
      </c>
      <c r="D61" s="102">
        <f ca="1"/>
        <v>5.3936635897163425E-3</v>
      </c>
      <c r="E61" s="102">
        <f ca="1"/>
        <v>6.2625966787189409E-3</v>
      </c>
      <c r="F61" s="102">
        <f ca="1"/>
        <v>7.1822144248358619E-3</v>
      </c>
      <c r="G61" s="103">
        <f ca="1"/>
        <v>7.9618090496844651E-3</v>
      </c>
    </row>
    <row r="62" spans="1:7">
      <c r="A62" s="189"/>
      <c r="B62" s="101">
        <f ca="1"/>
        <v>45436</v>
      </c>
      <c r="C62" s="102">
        <f ca="1"/>
        <v>4.8654797768411424E-3</v>
      </c>
      <c r="D62" s="102">
        <f ca="1"/>
        <v>5.4195125353287228E-3</v>
      </c>
      <c r="E62" s="102">
        <f ca="1"/>
        <v>6.2900140588105103E-3</v>
      </c>
      <c r="F62" s="102">
        <f ca="1"/>
        <v>7.2172173320324794E-3</v>
      </c>
      <c r="G62" s="103">
        <f ca="1"/>
        <v>8.0008380921801642E-3</v>
      </c>
    </row>
    <row r="63" spans="1:7">
      <c r="A63" s="189"/>
      <c r="B63" s="101">
        <f ca="1"/>
        <v>45467</v>
      </c>
      <c r="C63" s="102">
        <f ca="1"/>
        <v>4.8890975411817637E-3</v>
      </c>
      <c r="D63" s="102">
        <f ca="1"/>
        <v>5.4477527992161283E-3</v>
      </c>
      <c r="E63" s="102">
        <f ca="1"/>
        <v>6.3211916607970754E-3</v>
      </c>
      <c r="F63" s="102">
        <f ca="1"/>
        <v>7.2536326720563024E-3</v>
      </c>
      <c r="G63" s="103">
        <f ca="1"/>
        <v>8.0374534323688351E-3</v>
      </c>
    </row>
    <row r="64" spans="1:7">
      <c r="A64" s="189"/>
      <c r="B64" s="101">
        <f ca="1"/>
        <v>45497</v>
      </c>
      <c r="C64" s="102">
        <f ca="1"/>
        <v>4.9137676845288237E-3</v>
      </c>
      <c r="D64" s="102">
        <f ca="1"/>
        <v>5.4802960193626018E-3</v>
      </c>
      <c r="E64" s="102">
        <f ca="1"/>
        <v>6.3540800293959932E-3</v>
      </c>
      <c r="F64" s="102">
        <f ca="1"/>
        <v>7.2940705339904653E-3</v>
      </c>
      <c r="G64" s="103">
        <f ca="1"/>
        <v>8.0756815446305641E-3</v>
      </c>
    </row>
    <row r="65" spans="1:7">
      <c r="A65" s="189"/>
      <c r="B65" s="101">
        <f ca="1"/>
        <v>45531</v>
      </c>
      <c r="C65" s="102">
        <f ca="1"/>
        <v>4.9424003063279071E-3</v>
      </c>
      <c r="D65" s="102">
        <f ca="1"/>
        <v>5.5158074278673433E-3</v>
      </c>
      <c r="E65" s="102">
        <f ca="1"/>
        <v>6.3945160634859607E-3</v>
      </c>
      <c r="F65" s="102">
        <f ca="1"/>
        <v>7.3424547116945462E-3</v>
      </c>
      <c r="G65" s="103">
        <f ca="1"/>
        <v>8.1196851901728095E-3</v>
      </c>
    </row>
    <row r="66" spans="1:7">
      <c r="A66" s="189"/>
      <c r="B66" s="101">
        <f ca="1"/>
        <v>45559</v>
      </c>
      <c r="C66" s="102">
        <f ca="1"/>
        <v>4.9665168290145409E-3</v>
      </c>
      <c r="D66" s="102">
        <f ca="1"/>
        <v>5.5481336229781016E-3</v>
      </c>
      <c r="E66" s="102">
        <f ca="1"/>
        <v>6.4302327605587758E-3</v>
      </c>
      <c r="F66" s="102">
        <f ca="1"/>
        <v>7.3818169522400509E-3</v>
      </c>
      <c r="G66" s="103">
        <f ca="1"/>
        <v>8.1563826809414319E-3</v>
      </c>
    </row>
    <row r="67" spans="1:7">
      <c r="A67" s="189"/>
      <c r="B67" s="101">
        <f ca="1"/>
        <v>45589</v>
      </c>
      <c r="C67" s="102">
        <f ca="1"/>
        <v>4.9928949468700922E-3</v>
      </c>
      <c r="D67" s="102">
        <f ca="1"/>
        <v>5.5871506500376417E-3</v>
      </c>
      <c r="E67" s="102">
        <f ca="1"/>
        <v>6.4708030828018554E-3</v>
      </c>
      <c r="F67" s="102">
        <f ca="1"/>
        <v>7.4290545793375268E-3</v>
      </c>
      <c r="G67" s="103">
        <f ca="1"/>
        <v>8.196079192712924E-3</v>
      </c>
    </row>
    <row r="68" spans="1:7">
      <c r="A68" s="189"/>
      <c r="B68" s="101">
        <f ca="1"/>
        <v>45621</v>
      </c>
      <c r="C68" s="102">
        <f ca="1"/>
        <v>5.0216454340338296E-3</v>
      </c>
      <c r="D68" s="102">
        <f ca="1"/>
        <v>5.6300182834569E-3</v>
      </c>
      <c r="E68" s="102">
        <f ca="1"/>
        <v>6.516386452179051E-3</v>
      </c>
      <c r="F68" s="102">
        <f ca="1"/>
        <v>7.4802082542105314E-3</v>
      </c>
      <c r="G68" s="103">
        <f ca="1"/>
        <v>8.2387606278286896E-3</v>
      </c>
    </row>
    <row r="69" spans="1:7">
      <c r="A69" s="189"/>
      <c r="B69" s="101">
        <f ca="1"/>
        <v>45650</v>
      </c>
      <c r="C69" s="102">
        <f ca="1"/>
        <v>5.0492440885069332E-3</v>
      </c>
      <c r="D69" s="102">
        <f ca="1"/>
        <v>5.6704497600633067E-3</v>
      </c>
      <c r="E69" s="102">
        <f ca="1"/>
        <v>6.5588763794304462E-3</v>
      </c>
      <c r="F69" s="102">
        <f ca="1"/>
        <v>7.524942476747047E-3</v>
      </c>
      <c r="G69" s="103">
        <f ca="1"/>
        <v>8.2776590893791635E-3</v>
      </c>
    </row>
    <row r="70" spans="1:7">
      <c r="A70" s="189"/>
      <c r="B70" s="101">
        <f ca="1"/>
        <v>45681</v>
      </c>
      <c r="C70" s="102">
        <f ca="1"/>
        <v>5.0782771744062255E-3</v>
      </c>
      <c r="D70" s="102">
        <f ca="1"/>
        <v>5.7163214334567825E-3</v>
      </c>
      <c r="E70" s="102">
        <f ca="1"/>
        <v>6.6044508920641478E-3</v>
      </c>
      <c r="F70" s="102">
        <f ca="1"/>
        <v>7.5720972595435089E-3</v>
      </c>
      <c r="G70" s="103">
        <f ca="1"/>
        <v>8.3209207271642532E-3</v>
      </c>
    </row>
    <row r="71" spans="1:7">
      <c r="A71" s="189"/>
      <c r="B71" s="101">
        <f ca="1"/>
        <v>45712</v>
      </c>
      <c r="C71" s="102">
        <f ca="1"/>
        <v>5.1069631583997941E-3</v>
      </c>
      <c r="D71" s="102">
        <f ca="1"/>
        <v>5.7593411298925605E-3</v>
      </c>
      <c r="E71" s="102">
        <f ca="1"/>
        <v>6.6492158705860928E-3</v>
      </c>
      <c r="F71" s="102">
        <f ca="1"/>
        <v>7.6202241865439098E-3</v>
      </c>
      <c r="G71" s="103">
        <f ca="1"/>
        <v>8.361173815460976E-3</v>
      </c>
    </row>
    <row r="72" spans="1:7">
      <c r="A72" s="189"/>
      <c r="B72" s="101">
        <f ca="1"/>
        <v>45740</v>
      </c>
      <c r="C72" s="102">
        <f ca="1"/>
        <v>5.134461414957138E-3</v>
      </c>
      <c r="D72" s="102">
        <f ca="1"/>
        <v>5.8015421356849631E-3</v>
      </c>
      <c r="E72" s="102">
        <f ca="1"/>
        <v>6.6885937195939622E-3</v>
      </c>
      <c r="F72" s="102">
        <f ca="1"/>
        <v>7.6616228191950042E-3</v>
      </c>
      <c r="G72" s="103">
        <f ca="1"/>
        <v>8.3989752871600487E-3</v>
      </c>
    </row>
    <row r="73" spans="1:7">
      <c r="A73" s="189"/>
      <c r="B73" s="101">
        <f ca="1"/>
        <v>45771</v>
      </c>
      <c r="C73" s="102">
        <f ca="1"/>
        <v>5.1656489302296721E-3</v>
      </c>
      <c r="D73" s="102">
        <f ca="1"/>
        <v>5.8460551836939855E-3</v>
      </c>
      <c r="E73" s="102">
        <f ca="1"/>
        <v>6.7307595345621482E-3</v>
      </c>
      <c r="F73" s="102">
        <f ca="1"/>
        <v>7.7043273179023862E-3</v>
      </c>
      <c r="G73" s="103">
        <f ca="1"/>
        <v>8.4408932280748417E-3</v>
      </c>
    </row>
    <row r="74" spans="1:7">
      <c r="A74" s="189"/>
      <c r="B74" s="101">
        <f ca="1"/>
        <v>45804</v>
      </c>
      <c r="C74" s="102">
        <f ca="1"/>
        <v>5.1997055091288821E-3</v>
      </c>
      <c r="D74" s="102">
        <f ca="1"/>
        <v>5.8891314444972157E-3</v>
      </c>
      <c r="E74" s="102">
        <f ca="1"/>
        <v>6.7737775029726513E-3</v>
      </c>
      <c r="F74" s="102">
        <f ca="1"/>
        <v>7.7495812070085867E-3</v>
      </c>
      <c r="G74" s="103">
        <f ca="1"/>
        <v>8.4856010595852904E-3</v>
      </c>
    </row>
    <row r="75" spans="1:7">
      <c r="A75" s="189"/>
      <c r="B75" s="101">
        <f ca="1"/>
        <v>45832</v>
      </c>
      <c r="C75" s="102">
        <f ca="1"/>
        <v>5.2292944883068106E-3</v>
      </c>
      <c r="D75" s="102">
        <f ca="1"/>
        <v>5.9251711021636949E-3</v>
      </c>
      <c r="E75" s="102">
        <f ca="1"/>
        <v>6.8088623845213962E-3</v>
      </c>
      <c r="F75" s="102">
        <f ca="1"/>
        <v>7.7852434946098798E-3</v>
      </c>
      <c r="G75" s="103">
        <f ca="1"/>
        <v>8.5236113767301891E-3</v>
      </c>
    </row>
    <row r="76" spans="1:7">
      <c r="A76" s="189"/>
      <c r="B76" s="101">
        <f ca="1"/>
        <v>45862</v>
      </c>
      <c r="C76" s="102">
        <f ca="1"/>
        <v>5.2617038597400382E-3</v>
      </c>
      <c r="D76" s="102">
        <f ca="1"/>
        <v>5.9654943386351009E-3</v>
      </c>
      <c r="E76" s="102">
        <f ca="1"/>
        <v>6.8451761190198961E-3</v>
      </c>
      <c r="F76" s="102">
        <f ca="1"/>
        <v>7.8248027978545572E-3</v>
      </c>
      <c r="G76" s="103">
        <f ca="1"/>
        <v>8.5644218749965084E-3</v>
      </c>
    </row>
    <row r="77" spans="1:7">
      <c r="A77" s="189"/>
      <c r="B77" s="101">
        <f ca="1"/>
        <v>45895</v>
      </c>
      <c r="C77" s="102">
        <f ca="1"/>
        <v>5.298197705755155E-3</v>
      </c>
      <c r="D77" s="102">
        <f ca="1"/>
        <v>6.0049758311846273E-3</v>
      </c>
      <c r="E77" s="102">
        <f ca="1"/>
        <v>6.8836892964174636E-3</v>
      </c>
      <c r="F77" s="102">
        <f ca="1"/>
        <v>7.8631133190116727E-3</v>
      </c>
      <c r="G77" s="103">
        <f ca="1"/>
        <v>8.6094239567293673E-3</v>
      </c>
    </row>
    <row r="78" spans="1:7">
      <c r="A78" s="189"/>
      <c r="B78" s="101">
        <f ca="1"/>
        <v>45924</v>
      </c>
      <c r="C78" s="102">
        <f ca="1"/>
        <v>5.3309970348534297E-3</v>
      </c>
      <c r="D78" s="102">
        <f ca="1"/>
        <v>6.0391100367627312E-3</v>
      </c>
      <c r="E78" s="102">
        <f ca="1"/>
        <v>6.9160693257213158E-3</v>
      </c>
      <c r="F78" s="102">
        <f ca="1"/>
        <v>7.8950122325516618E-3</v>
      </c>
      <c r="G78" s="103">
        <f ca="1"/>
        <v>8.6490745392853174E-3</v>
      </c>
    </row>
    <row r="79" spans="1:7">
      <c r="A79" s="189"/>
      <c r="B79" s="101">
        <f ca="1"/>
        <v>45954</v>
      </c>
      <c r="C79" s="102">
        <f ca="1"/>
        <v>5.3668933037581586E-3</v>
      </c>
      <c r="D79" s="102">
        <f ca="1"/>
        <v>6.0746269958274835E-3</v>
      </c>
      <c r="E79" s="102">
        <f ca="1"/>
        <v>6.9478287798574812E-3</v>
      </c>
      <c r="F79" s="102">
        <f ca="1"/>
        <v>7.9301808869742373E-3</v>
      </c>
      <c r="G79" s="103">
        <f ca="1"/>
        <v>8.6917894364018713E-3</v>
      </c>
    </row>
    <row r="80" spans="1:7">
      <c r="A80" s="189"/>
      <c r="B80" s="101">
        <f ca="1"/>
        <v>45985</v>
      </c>
      <c r="C80" s="102">
        <f ca="1"/>
        <v>5.4022182720534747E-3</v>
      </c>
      <c r="D80" s="102">
        <f ca="1"/>
        <v>6.108901987159525E-3</v>
      </c>
      <c r="E80" s="102">
        <f ca="1"/>
        <v>6.9787696004698814E-3</v>
      </c>
      <c r="F80" s="102">
        <f ca="1"/>
        <v>7.9665108308123178E-3</v>
      </c>
      <c r="G80" s="103">
        <f ca="1"/>
        <v>8.732824483250079E-3</v>
      </c>
    </row>
    <row r="81" spans="1:7">
      <c r="A81" s="189"/>
      <c r="B81" s="101">
        <f ca="1"/>
        <v>46015</v>
      </c>
      <c r="C81" s="102">
        <f ca="1"/>
        <v>5.4409499587671183E-3</v>
      </c>
      <c r="D81" s="102">
        <f ca="1"/>
        <v>6.1432908611265581E-3</v>
      </c>
      <c r="E81" s="102">
        <f ca="1"/>
        <v>7.0079379368242576E-3</v>
      </c>
      <c r="F81" s="102">
        <f ca="1"/>
        <v>8.0008368587187722E-3</v>
      </c>
      <c r="G81" s="103">
        <f ca="1"/>
        <v>8.7742009158604528E-3</v>
      </c>
    </row>
    <row r="82" spans="1:7">
      <c r="A82" s="189"/>
      <c r="B82" s="101">
        <f ca="1"/>
        <v>46048</v>
      </c>
      <c r="C82" s="102">
        <f ca="1"/>
        <v>5.4789437857321269E-3</v>
      </c>
      <c r="D82" s="102">
        <f ca="1"/>
        <v>6.1770279767487347E-3</v>
      </c>
      <c r="E82" s="102">
        <f ca="1"/>
        <v>7.0406717572730933E-3</v>
      </c>
      <c r="F82" s="102">
        <f ca="1"/>
        <v>8.0405138250320921E-3</v>
      </c>
      <c r="G82" s="103">
        <f ca="1"/>
        <v>8.8198702728479184E-3</v>
      </c>
    </row>
    <row r="83" spans="1:7">
      <c r="A83" s="189"/>
      <c r="B83" s="101">
        <f ca="1"/>
        <v>46077</v>
      </c>
      <c r="C83" s="102">
        <f ca="1"/>
        <v>5.5153450392873213E-3</v>
      </c>
      <c r="D83" s="102">
        <f ca="1"/>
        <v>6.2061776254268858E-3</v>
      </c>
      <c r="E83" s="102">
        <f ca="1"/>
        <v>7.0711138740728119E-3</v>
      </c>
      <c r="F83" s="102">
        <f ca="1"/>
        <v>8.0760807415401377E-3</v>
      </c>
      <c r="G83" s="103">
        <f ca="1"/>
        <v>8.860168573012972E-3</v>
      </c>
    </row>
    <row r="84" spans="1:7">
      <c r="A84" s="189"/>
      <c r="B84" s="101">
        <f ca="1"/>
        <v>46105</v>
      </c>
      <c r="C84" s="102">
        <f ca="1"/>
        <v>5.5511380190296422E-3</v>
      </c>
      <c r="D84" s="102">
        <f ca="1"/>
        <v>6.2383187454954732E-3</v>
      </c>
      <c r="E84" s="102">
        <f ca="1"/>
        <v>7.1022705614138424E-3</v>
      </c>
      <c r="F84" s="102">
        <f ca="1"/>
        <v>8.1148386575810635E-3</v>
      </c>
      <c r="G84" s="103">
        <f ca="1"/>
        <v>8.8993198494895509E-3</v>
      </c>
    </row>
    <row r="85" spans="1:7">
      <c r="A85" s="189"/>
      <c r="B85" s="101">
        <f ca="1"/>
        <v>46136</v>
      </c>
      <c r="C85" s="102">
        <f ca="1"/>
        <v>5.5929102545693469E-3</v>
      </c>
      <c r="D85" s="102">
        <f ca="1"/>
        <v>6.2731304347873103E-3</v>
      </c>
      <c r="E85" s="102">
        <f ca="1"/>
        <v>7.1388671368476505E-3</v>
      </c>
      <c r="F85" s="102">
        <f ca="1"/>
        <v>8.1576279215756758E-3</v>
      </c>
      <c r="G85" s="103">
        <f ca="1"/>
        <v>8.9447352479238608E-3</v>
      </c>
    </row>
    <row r="86" spans="1:7">
      <c r="A86" s="189"/>
      <c r="B86" s="101">
        <f ca="1"/>
        <v>46168</v>
      </c>
      <c r="C86" s="102">
        <f ca="1"/>
        <v>5.6340002066666171E-3</v>
      </c>
      <c r="D86" s="102">
        <f ca="1"/>
        <v>6.3084609421261151E-3</v>
      </c>
      <c r="E86" s="102">
        <f ca="1"/>
        <v>7.1789484179190675E-3</v>
      </c>
      <c r="F86" s="102">
        <f ca="1"/>
        <v>8.2018918287497487E-3</v>
      </c>
      <c r="G86" s="103">
        <f ca="1"/>
        <v>8.9888240572908451E-3</v>
      </c>
    </row>
    <row r="87" spans="1:7">
      <c r="A87" s="189"/>
      <c r="B87" s="101">
        <f ca="1"/>
        <v>46197</v>
      </c>
      <c r="C87" s="102">
        <f ca="1"/>
        <v>5.6732250014510811E-3</v>
      </c>
      <c r="D87" s="102">
        <f ca="1"/>
        <v>6.3409630412248957E-3</v>
      </c>
      <c r="E87" s="102">
        <f ca="1"/>
        <v>7.2169464807939785E-3</v>
      </c>
      <c r="F87" s="102">
        <f ca="1"/>
        <v>8.2433997613750726E-3</v>
      </c>
      <c r="G87" s="103">
        <f ca="1"/>
        <v>9.0309358526121652E-3</v>
      </c>
    </row>
    <row r="88" spans="1:7">
      <c r="A88" s="189"/>
      <c r="B88" s="101">
        <f ca="1"/>
        <v>46227</v>
      </c>
      <c r="C88" s="102">
        <f ca="1"/>
        <v>5.7160005511252875E-3</v>
      </c>
      <c r="D88" s="102">
        <f ca="1"/>
        <v>6.3764345630997537E-3</v>
      </c>
      <c r="E88" s="102">
        <f ca="1"/>
        <v>7.2575020677951687E-3</v>
      </c>
      <c r="F88" s="102">
        <f ca="1"/>
        <v>8.2905058167100591E-3</v>
      </c>
      <c r="G88" s="103">
        <f ca="1"/>
        <v>9.0770564282955917E-3</v>
      </c>
    </row>
    <row r="89" spans="1:7">
      <c r="A89" s="189"/>
      <c r="B89" s="101">
        <f ca="1"/>
        <v>46258</v>
      </c>
      <c r="C89" s="102">
        <f ca="1"/>
        <v>5.7579620620405014E-3</v>
      </c>
      <c r="D89" s="102">
        <f ca="1"/>
        <v>6.4130351733440449E-3</v>
      </c>
      <c r="E89" s="102">
        <f ca="1"/>
        <v>7.300431873332066E-3</v>
      </c>
      <c r="F89" s="102">
        <f ca="1"/>
        <v>8.3380600567447803E-3</v>
      </c>
      <c r="G89" s="103">
        <f ca="1"/>
        <v>9.1220596888701433E-3</v>
      </c>
    </row>
    <row r="90" spans="1:7">
      <c r="A90" s="189"/>
      <c r="B90" s="101">
        <f ca="1"/>
        <v>46289</v>
      </c>
      <c r="C90" s="102">
        <f ca="1"/>
        <v>5.8021816181894718E-3</v>
      </c>
      <c r="D90" s="102">
        <f ca="1"/>
        <v>6.4509097440570594E-3</v>
      </c>
      <c r="E90" s="102">
        <f ca="1"/>
        <v>7.3446394885724369E-3</v>
      </c>
      <c r="F90" s="102">
        <f ca="1"/>
        <v>8.3850588313549562E-3</v>
      </c>
      <c r="G90" s="103">
        <f ca="1"/>
        <v>9.1699660345387901E-3</v>
      </c>
    </row>
    <row r="91" spans="1:7">
      <c r="A91" s="189"/>
      <c r="B91" s="101">
        <f ca="1"/>
        <v>46321</v>
      </c>
      <c r="C91" s="102">
        <f ca="1"/>
        <v>5.8486468999161632E-3</v>
      </c>
      <c r="D91" s="102">
        <f ca="1"/>
        <v>6.4892969656036728E-3</v>
      </c>
      <c r="E91" s="102">
        <f ca="1"/>
        <v>7.392014321099598E-3</v>
      </c>
      <c r="F91" s="102">
        <f ca="1"/>
        <v>8.4384009720005152E-3</v>
      </c>
      <c r="G91" s="103">
        <f ca="1"/>
        <v>9.2207477967469753E-3</v>
      </c>
    </row>
    <row r="92" spans="1:7">
      <c r="A92" s="189"/>
      <c r="B92" s="101">
        <f ca="1"/>
        <v>46350</v>
      </c>
      <c r="C92" s="102">
        <f ca="1"/>
        <v>5.8914738225044417E-3</v>
      </c>
      <c r="D92" s="102">
        <f ca="1"/>
        <v>6.5245642560994932E-3</v>
      </c>
      <c r="E92" s="102">
        <f ca="1"/>
        <v>7.4366408195584302E-3</v>
      </c>
      <c r="F92" s="102">
        <f ca="1"/>
        <v>8.4855940321703852E-3</v>
      </c>
      <c r="G92" s="103">
        <f ca="1"/>
        <v>9.2680671822225058E-3</v>
      </c>
    </row>
    <row r="93" spans="1:7">
      <c r="A93" s="189"/>
      <c r="B93" s="101">
        <f ca="1"/>
        <v>46380</v>
      </c>
      <c r="C93" s="102">
        <f ca="1"/>
        <v>5.9397159143608274E-3</v>
      </c>
      <c r="D93" s="102">
        <f ca="1"/>
        <v>6.5636964737912588E-3</v>
      </c>
      <c r="E93" s="102">
        <f ca="1"/>
        <v>7.4838765677471778E-3</v>
      </c>
      <c r="F93" s="102">
        <f ca="1"/>
        <v>8.5366395926189595E-3</v>
      </c>
      <c r="G93" s="103">
        <f ca="1"/>
        <v>9.3184478559142914E-3</v>
      </c>
    </row>
    <row r="94" spans="1:7">
      <c r="A94" s="189"/>
      <c r="B94" s="101">
        <f ca="1"/>
        <v>46412</v>
      </c>
      <c r="C94" s="102">
        <f ca="1"/>
        <v>5.9853218843195543E-3</v>
      </c>
      <c r="D94" s="102">
        <f ca="1"/>
        <v>6.6037770896502698E-3</v>
      </c>
      <c r="E94" s="102">
        <f ca="1"/>
        <v>7.5345176808143989E-3</v>
      </c>
      <c r="F94" s="102">
        <f ca="1"/>
        <v>8.5901107708188928E-3</v>
      </c>
      <c r="G94" s="103">
        <f ca="1"/>
        <v>9.3739364117906374E-3</v>
      </c>
    </row>
    <row r="95" spans="1:7">
      <c r="A95" s="189"/>
      <c r="B95" s="101">
        <f ca="1"/>
        <v>46442</v>
      </c>
      <c r="C95" s="102">
        <f ca="1"/>
        <v>6.0311877324357192E-3</v>
      </c>
      <c r="D95" s="102">
        <f ca="1"/>
        <v>6.6399114936225032E-3</v>
      </c>
      <c r="E95" s="102">
        <f ca="1"/>
        <v>7.5814880279310203E-3</v>
      </c>
      <c r="F95" s="102">
        <f ca="1"/>
        <v>8.6390597637678677E-3</v>
      </c>
      <c r="G95" s="103">
        <f ca="1"/>
        <v>9.4276013025988894E-3</v>
      </c>
    </row>
    <row r="96" spans="1:7">
      <c r="A96" s="189"/>
      <c r="B96" s="101">
        <f ca="1"/>
        <v>46470</v>
      </c>
      <c r="C96" s="102">
        <f ca="1"/>
        <v>6.0734918446745398E-3</v>
      </c>
      <c r="D96" s="102">
        <f ca="1"/>
        <v>6.6789475017494312E-3</v>
      </c>
      <c r="E96" s="102">
        <f ca="1"/>
        <v>7.6247769887426639E-3</v>
      </c>
      <c r="F96" s="102">
        <f ca="1"/>
        <v>8.6881064817926085E-3</v>
      </c>
      <c r="G96" s="103">
        <f ca="1"/>
        <v>9.4798260813442944E-3</v>
      </c>
    </row>
    <row r="97" spans="1:7">
      <c r="A97" s="189"/>
      <c r="B97" s="101">
        <f ca="1"/>
        <v>46503</v>
      </c>
      <c r="C97" s="102">
        <f ca="1"/>
        <v>6.122724762390507E-3</v>
      </c>
      <c r="D97" s="102">
        <f ca="1"/>
        <v>6.7186297007885247E-3</v>
      </c>
      <c r="E97" s="102">
        <f ca="1"/>
        <v>7.6751629597838263E-3</v>
      </c>
      <c r="F97" s="102">
        <f ca="1"/>
        <v>8.741383007296941E-3</v>
      </c>
      <c r="G97" s="103">
        <f ca="1"/>
        <v>9.540805777425056E-3</v>
      </c>
    </row>
    <row r="98" spans="1:7">
      <c r="A98" s="189"/>
      <c r="B98" s="101">
        <f ca="1"/>
        <v>46531</v>
      </c>
      <c r="C98" s="102">
        <f ca="1"/>
        <v>6.1639679566880519E-3</v>
      </c>
      <c r="D98" s="102">
        <f ca="1"/>
        <v>6.7546375415746584E-3</v>
      </c>
      <c r="E98" s="102">
        <f ca="1"/>
        <v>7.7173983137029676E-3</v>
      </c>
      <c r="F98" s="102">
        <f ca="1"/>
        <v>8.7879974820214667E-3</v>
      </c>
      <c r="G98" s="103">
        <f ca="1"/>
        <v>9.5926548420407296E-3</v>
      </c>
    </row>
    <row r="99" spans="1:7">
      <c r="A99" s="189"/>
      <c r="B99" s="101">
        <f ca="1"/>
        <v>46562</v>
      </c>
      <c r="C99" s="102">
        <f ca="1"/>
        <v>6.2090629799491604E-3</v>
      </c>
      <c r="D99" s="102">
        <f ca="1"/>
        <v>6.7942957188036751E-3</v>
      </c>
      <c r="E99" s="102">
        <f ca="1"/>
        <v>7.7635301367232771E-3</v>
      </c>
      <c r="F99" s="102">
        <f ca="1"/>
        <v>8.8373737292700375E-3</v>
      </c>
      <c r="G99" s="103">
        <f ca="1"/>
        <v>9.6516647008101919E-3</v>
      </c>
    </row>
    <row r="100" spans="1:7">
      <c r="A100" s="189"/>
      <c r="B100" s="101">
        <f ca="1"/>
        <v>46594</v>
      </c>
      <c r="C100" s="102">
        <f ca="1"/>
        <v>6.2549867858816494E-3</v>
      </c>
      <c r="D100" s="102">
        <f ca="1"/>
        <v>6.8336865743672485E-3</v>
      </c>
      <c r="E100" s="102">
        <f ca="1"/>
        <v>7.810342807271292E-3</v>
      </c>
      <c r="F100" s="102">
        <f ca="1"/>
        <v>8.8898552538290068E-3</v>
      </c>
      <c r="G100" s="103">
        <f ca="1"/>
        <v>9.7073922069993279E-3</v>
      </c>
    </row>
    <row r="101" spans="1:7">
      <c r="A101" s="189"/>
      <c r="B101" s="101">
        <f ca="1"/>
        <v>46623</v>
      </c>
      <c r="C101" s="102">
        <f ca="1"/>
        <v>6.2960563210165896E-3</v>
      </c>
      <c r="D101" s="102">
        <f ca="1"/>
        <v>6.8698838196223563E-3</v>
      </c>
      <c r="E101" s="102">
        <f ca="1"/>
        <v>7.8519737890514994E-3</v>
      </c>
      <c r="F101" s="102">
        <f ca="1"/>
        <v>8.9362498209552329E-3</v>
      </c>
      <c r="G101" s="103">
        <f ca="1"/>
        <v>9.7582779549734069E-3</v>
      </c>
    </row>
    <row r="102" spans="1:7">
      <c r="A102" s="189"/>
      <c r="B102" s="101">
        <f ca="1"/>
        <v>46654</v>
      </c>
      <c r="C102" s="102">
        <f ca="1"/>
        <v>6.3408790131593007E-3</v>
      </c>
      <c r="D102" s="102">
        <f ca="1"/>
        <v>6.9084446839358972E-3</v>
      </c>
      <c r="E102" s="102">
        <f ca="1"/>
        <v>7.8956314019283953E-3</v>
      </c>
      <c r="F102" s="102">
        <f ca="1"/>
        <v>8.9834965051764689E-3</v>
      </c>
      <c r="G102" s="103">
        <f ca="1"/>
        <v>9.8114359868716298E-3</v>
      </c>
    </row>
    <row r="103" spans="1:7">
      <c r="A103" s="189"/>
      <c r="B103" s="101">
        <f ca="1"/>
        <v>46685</v>
      </c>
      <c r="C103" s="102">
        <f ca="1"/>
        <v>6.3821096089475733E-3</v>
      </c>
      <c r="D103" s="102">
        <f ca="1"/>
        <v>6.9468683794898616E-3</v>
      </c>
      <c r="E103" s="102">
        <f ca="1"/>
        <v>7.9384273553354812E-3</v>
      </c>
      <c r="F103" s="102">
        <f ca="1"/>
        <v>9.0325476946669109E-3</v>
      </c>
      <c r="G103" s="103">
        <f ca="1"/>
        <v>9.8601636469199411E-3</v>
      </c>
    </row>
    <row r="104" spans="1:7">
      <c r="A104" s="189"/>
      <c r="B104" s="101">
        <f ca="1"/>
        <v>46715</v>
      </c>
      <c r="C104" s="102">
        <f ca="1"/>
        <v>6.4228915995776393E-3</v>
      </c>
      <c r="D104" s="102">
        <f ca="1"/>
        <v>6.9832390624459222E-3</v>
      </c>
      <c r="E104" s="102">
        <f ca="1"/>
        <v>7.9790610487146148E-3</v>
      </c>
      <c r="F104" s="102">
        <f ca="1"/>
        <v>9.077246328300469E-3</v>
      </c>
      <c r="G104" s="103">
        <f ca="1"/>
        <v>9.9049945310052678E-3</v>
      </c>
    </row>
    <row r="105" spans="1:7">
      <c r="A105" s="189"/>
      <c r="B105" s="101">
        <f ca="1"/>
        <v>46745</v>
      </c>
      <c r="C105" s="102">
        <f ca="1"/>
        <v>6.4660056131195945E-3</v>
      </c>
      <c r="D105" s="102">
        <f ca="1"/>
        <v>7.0208471497452477E-3</v>
      </c>
      <c r="E105" s="102">
        <f ca="1"/>
        <v>8.019077130528943E-3</v>
      </c>
      <c r="F105" s="102">
        <f ca="1"/>
        <v>9.1239261479929348E-3</v>
      </c>
      <c r="G105" s="103">
        <f ca="1"/>
        <v>9.9480841533834928E-3</v>
      </c>
    </row>
    <row r="106" spans="1:7">
      <c r="A106" s="189"/>
      <c r="B106" s="101">
        <f ca="1"/>
        <v>46776</v>
      </c>
      <c r="C106" s="102">
        <f ca="1"/>
        <v>6.5040927798384173E-3</v>
      </c>
      <c r="D106" s="102">
        <f ca="1"/>
        <v>7.0590630208233396E-3</v>
      </c>
      <c r="E106" s="102">
        <f ca="1"/>
        <v>8.0599682399070949E-3</v>
      </c>
      <c r="F106" s="102">
        <f ca="1"/>
        <v>9.165581941015518E-3</v>
      </c>
      <c r="G106" s="103">
        <f ca="1"/>
        <v>9.9843738986985925E-3</v>
      </c>
    </row>
    <row r="107" spans="1:7">
      <c r="A107" s="189"/>
      <c r="B107" s="101">
        <f ca="1"/>
        <v>46807</v>
      </c>
      <c r="C107" s="102">
        <f ca="1"/>
        <v>6.5444737325611691E-3</v>
      </c>
      <c r="D107" s="102">
        <f ca="1"/>
        <v>7.0966967196735798E-3</v>
      </c>
      <c r="E107" s="102">
        <f ca="1"/>
        <v>8.1005535770324825E-3</v>
      </c>
      <c r="F107" s="102">
        <f ca="1"/>
        <v>9.2077687355874172E-3</v>
      </c>
      <c r="G107" s="103">
        <f ca="1"/>
        <v>1.0018716126719843E-2</v>
      </c>
    </row>
    <row r="108" spans="1:7">
      <c r="A108" s="189"/>
      <c r="B108" s="101">
        <f ca="1"/>
        <v>46836</v>
      </c>
      <c r="C108" s="102">
        <f ca="1"/>
        <v>6.5831031335395933E-3</v>
      </c>
      <c r="D108" s="102">
        <f ca="1"/>
        <v>7.1355834489025081E-3</v>
      </c>
      <c r="E108" s="102">
        <f ca="1"/>
        <v>8.1382657632186831E-3</v>
      </c>
      <c r="F108" s="102">
        <f ca="1"/>
        <v>9.2476380521455664E-3</v>
      </c>
      <c r="G108" s="103">
        <f ca="1"/>
        <v>1.0045510100546559E-2</v>
      </c>
    </row>
    <row r="109" spans="1:7">
      <c r="A109" s="189"/>
      <c r="B109" s="101">
        <f ca="1"/>
        <v>46867</v>
      </c>
      <c r="C109" s="102">
        <f ca="1"/>
        <v>6.6209364165490938E-3</v>
      </c>
      <c r="D109" s="102">
        <f ca="1"/>
        <v>7.1758900059881777E-3</v>
      </c>
      <c r="E109" s="102">
        <f ca="1"/>
        <v>8.1782965562419846E-3</v>
      </c>
      <c r="F109" s="102">
        <f ca="1"/>
        <v>9.2845959011460723E-3</v>
      </c>
      <c r="G109" s="103">
        <f ca="1"/>
        <v>1.007038159619511E-2</v>
      </c>
    </row>
    <row r="110" spans="1:7">
      <c r="A110" s="189"/>
      <c r="B110" s="101">
        <f ca="1"/>
        <v>46897</v>
      </c>
      <c r="C110" s="102">
        <f ca="1"/>
        <v>6.6583296799102307E-3</v>
      </c>
      <c r="D110" s="102">
        <f ca="1"/>
        <v>7.2188640094143219E-3</v>
      </c>
      <c r="E110" s="102">
        <f ca="1"/>
        <v>8.2167411957559337E-3</v>
      </c>
      <c r="F110" s="102">
        <f ca="1"/>
        <v>9.3205691787659629E-3</v>
      </c>
      <c r="G110" s="103">
        <f ca="1"/>
        <v>1.0092522022818518E-2</v>
      </c>
    </row>
    <row r="111" spans="1:7">
      <c r="A111" s="189"/>
      <c r="B111" s="101">
        <f ca="1"/>
        <v>46930</v>
      </c>
      <c r="C111" s="102">
        <f ca="1"/>
        <v>6.6988176105584876E-3</v>
      </c>
      <c r="D111" s="102">
        <f ca="1"/>
        <v>7.2624583284507044E-3</v>
      </c>
      <c r="E111" s="102">
        <f ca="1"/>
        <v>8.2586386976828876E-3</v>
      </c>
      <c r="F111" s="102">
        <f ca="1"/>
        <v>9.3572814202027219E-3</v>
      </c>
      <c r="G111" s="103">
        <f ca="1"/>
        <v>1.0114514583441148E-2</v>
      </c>
    </row>
    <row r="112" spans="1:7">
      <c r="A112" s="189"/>
      <c r="B112" s="101">
        <f ca="1"/>
        <v>46958</v>
      </c>
      <c r="C112" s="102">
        <f ca="1"/>
        <v>6.7326404689269041E-3</v>
      </c>
      <c r="D112" s="102">
        <f ca="1"/>
        <v>7.3030960257421066E-3</v>
      </c>
      <c r="E112" s="102">
        <f ca="1"/>
        <v>8.2938140844009915E-3</v>
      </c>
      <c r="F112" s="102">
        <f ca="1"/>
        <v>9.3867072205623958E-3</v>
      </c>
      <c r="G112" s="103">
        <f ca="1"/>
        <v>1.0131869615710665E-2</v>
      </c>
    </row>
    <row r="113" spans="1:7">
      <c r="A113" s="189"/>
      <c r="B113" s="101">
        <f ca="1"/>
        <v>46989</v>
      </c>
      <c r="C113" s="102">
        <f ca="1"/>
        <v>6.7695197169912475E-3</v>
      </c>
      <c r="D113" s="102">
        <f ca="1"/>
        <v>7.3490200567480546E-3</v>
      </c>
      <c r="E113" s="102">
        <f ca="1"/>
        <v>8.3322964909838711E-3</v>
      </c>
      <c r="F113" s="102">
        <f ca="1"/>
        <v>9.4186748285018489E-3</v>
      </c>
      <c r="G113" s="103">
        <f ca="1"/>
        <v>1.0150376238531544E-2</v>
      </c>
    </row>
    <row r="114" spans="1:7">
      <c r="A114" s="189"/>
      <c r="B114" s="101">
        <f ca="1"/>
        <v>47021</v>
      </c>
      <c r="C114" s="102">
        <f ca="1"/>
        <v>6.8069635223530645E-3</v>
      </c>
      <c r="D114" s="102">
        <f ca="1"/>
        <v>7.3950254230833222E-3</v>
      </c>
      <c r="E114" s="102">
        <f ca="1"/>
        <v>8.3714250672361386E-3</v>
      </c>
      <c r="F114" s="102">
        <f ca="1"/>
        <v>9.446667457050504E-3</v>
      </c>
      <c r="G114" s="103">
        <f ca="1"/>
        <v>1.0169454411333323E-2</v>
      </c>
    </row>
    <row r="115" spans="1:7">
      <c r="A115" s="189"/>
      <c r="B115" s="101">
        <f ca="1"/>
        <v>47050</v>
      </c>
      <c r="C115" s="102">
        <f ca="1"/>
        <v>6.84034745067039E-3</v>
      </c>
      <c r="D115" s="102">
        <f ca="1"/>
        <v>7.4399875569108502E-3</v>
      </c>
      <c r="E115" s="102">
        <f ca="1"/>
        <v>8.4062828661449207E-3</v>
      </c>
      <c r="F115" s="102">
        <f ca="1"/>
        <v>9.4732113618924141E-3</v>
      </c>
      <c r="G115" s="103">
        <f ca="1"/>
        <v>1.0187393568322767E-2</v>
      </c>
    </row>
    <row r="116" spans="1:7">
      <c r="A116" s="189"/>
      <c r="B116" s="101">
        <f ca="1"/>
        <v>47081</v>
      </c>
      <c r="C116" s="102">
        <f ca="1"/>
        <v>6.87670858307799E-3</v>
      </c>
      <c r="D116" s="102">
        <f ca="1"/>
        <v>7.4898918876864992E-3</v>
      </c>
      <c r="E116" s="102">
        <f ca="1"/>
        <v>8.4428864947929411E-3</v>
      </c>
      <c r="F116" s="102">
        <f ca="1"/>
        <v>9.5005141242457836E-3</v>
      </c>
      <c r="G116" s="103">
        <f ca="1"/>
        <v>1.0209130988263392E-2</v>
      </c>
    </row>
    <row r="117" spans="1:7">
      <c r="A117" s="189"/>
      <c r="B117" s="101">
        <f ca="1"/>
        <v>47114</v>
      </c>
      <c r="C117" s="102">
        <f ca="1"/>
        <v>6.9121760162036321E-3</v>
      </c>
      <c r="D117" s="102">
        <f ca="1"/>
        <v>7.542343032267332E-3</v>
      </c>
      <c r="E117" s="102">
        <f ca="1"/>
        <v>8.4813414448536417E-3</v>
      </c>
      <c r="F117" s="102">
        <f ca="1"/>
        <v>9.5307375057153663E-3</v>
      </c>
      <c r="G117" s="103">
        <f ca="1"/>
        <v>1.0232254139137531E-2</v>
      </c>
    </row>
    <row r="118" spans="1:7">
      <c r="A118" s="189"/>
      <c r="B118" s="101">
        <f ca="1"/>
        <v>47142</v>
      </c>
      <c r="C118" s="102">
        <f ca="1"/>
        <v>6.9428012943759058E-3</v>
      </c>
      <c r="D118" s="102">
        <f ca="1"/>
        <v>7.5871329047333715E-3</v>
      </c>
      <c r="E118" s="102">
        <f ca="1"/>
        <v>8.5137943889984028E-3</v>
      </c>
      <c r="F118" s="102">
        <f ca="1"/>
        <v>9.5557041172825586E-3</v>
      </c>
      <c r="G118" s="103">
        <f ca="1"/>
        <v>1.0255460004567452E-2</v>
      </c>
    </row>
    <row r="119" spans="1:7">
      <c r="A119" s="189"/>
      <c r="B119" s="101">
        <f ca="1"/>
        <v>47175</v>
      </c>
      <c r="C119" s="102">
        <f ca="1"/>
        <v>6.9782708101493547E-3</v>
      </c>
      <c r="D119" s="102">
        <f ca="1"/>
        <v>7.6338115177126929E-3</v>
      </c>
      <c r="E119" s="102">
        <f ca="1"/>
        <v>8.552025998981248E-3</v>
      </c>
      <c r="F119" s="102">
        <f ca="1"/>
        <v>9.5879668130849499E-3</v>
      </c>
      <c r="G119" s="103">
        <f ca="1"/>
        <v>1.0286414101086105E-2</v>
      </c>
    </row>
    <row r="120" spans="1:7">
      <c r="A120" s="189"/>
      <c r="B120" s="101">
        <f ca="1"/>
        <v>47203</v>
      </c>
      <c r="C120" s="102">
        <f ca="1"/>
        <v>7.0078365783973464E-3</v>
      </c>
      <c r="D120" s="102">
        <f ca="1"/>
        <v>7.6773879712118409E-3</v>
      </c>
      <c r="E120" s="102">
        <f ca="1"/>
        <v>8.5843358111228583E-3</v>
      </c>
      <c r="F120" s="102">
        <f ca="1"/>
        <v>9.6157832826870432E-3</v>
      </c>
      <c r="G120" s="103">
        <f ca="1"/>
        <v>1.0315485546670056E-2</v>
      </c>
    </row>
    <row r="121" spans="1:7">
      <c r="A121" s="189"/>
      <c r="B121" s="101">
        <f ca="1"/>
        <v>47232</v>
      </c>
      <c r="C121" s="102">
        <f ca="1"/>
        <v>7.0379447343768154E-3</v>
      </c>
      <c r="D121" s="102">
        <f ca="1"/>
        <v>7.7171922261022284E-3</v>
      </c>
      <c r="E121" s="102">
        <f ca="1"/>
        <v>8.6175049950324885E-3</v>
      </c>
      <c r="F121" s="102">
        <f ca="1"/>
        <v>9.6441055455833077E-3</v>
      </c>
      <c r="G121" s="103">
        <f ca="1"/>
        <v>1.0347918921188137E-2</v>
      </c>
    </row>
    <row r="122" spans="1:7">
      <c r="A122" s="189"/>
      <c r="B122" s="101">
        <f ca="1"/>
        <v>47262</v>
      </c>
      <c r="C122" s="102">
        <f ca="1"/>
        <v>7.0685418956582336E-3</v>
      </c>
      <c r="D122" s="102">
        <f ca="1"/>
        <v>7.7584835913312835E-3</v>
      </c>
      <c r="E122" s="102">
        <f ca="1"/>
        <v>8.6513636513472214E-3</v>
      </c>
      <c r="F122" s="102">
        <f ca="1"/>
        <v>9.6769103019610607E-3</v>
      </c>
      <c r="G122" s="103">
        <f ca="1"/>
        <v>1.0383550335073766E-2</v>
      </c>
    </row>
    <row r="123" spans="1:7">
      <c r="A123" s="189"/>
      <c r="B123" s="101">
        <f ca="1"/>
        <v>47294</v>
      </c>
      <c r="C123" s="102">
        <f ca="1"/>
        <v>7.1005637624542046E-3</v>
      </c>
      <c r="D123" s="102">
        <f ca="1"/>
        <v>7.7971383033545423E-3</v>
      </c>
      <c r="E123" s="102">
        <f ca="1"/>
        <v>8.6869711332690676E-3</v>
      </c>
      <c r="F123" s="102">
        <f ca="1"/>
        <v>9.7101060056992428E-3</v>
      </c>
      <c r="G123" s="103">
        <f ca="1"/>
        <v>1.0423407700549614E-2</v>
      </c>
    </row>
    <row r="124" spans="1:7">
      <c r="A124" s="189"/>
      <c r="B124" s="101">
        <f ca="1"/>
        <v>47323</v>
      </c>
      <c r="C124" s="102">
        <f ca="1"/>
        <v>7.1290340002492765E-3</v>
      </c>
      <c r="D124" s="102">
        <f ca="1"/>
        <v>7.8319799598479522E-3</v>
      </c>
      <c r="E124" s="102">
        <f ca="1"/>
        <v>8.718822018475219E-3</v>
      </c>
      <c r="F124" s="102">
        <f ca="1"/>
        <v>9.7409522226128802E-3</v>
      </c>
      <c r="G124" s="103">
        <f ca="1"/>
        <v>1.0460748451641244E-2</v>
      </c>
    </row>
    <row r="125" spans="1:7">
      <c r="A125" s="189"/>
      <c r="B125" s="101">
        <f ca="1"/>
        <v>47354</v>
      </c>
      <c r="C125" s="102">
        <f ca="1"/>
        <v>7.1605304757746567E-3</v>
      </c>
      <c r="D125" s="102">
        <f ca="1"/>
        <v>7.8662365630856688E-3</v>
      </c>
      <c r="E125" s="102">
        <f ca="1"/>
        <v>8.7524437150066896E-3</v>
      </c>
      <c r="F125" s="102">
        <f ca="1"/>
        <v>9.7761909564597679E-3</v>
      </c>
      <c r="G125" s="103">
        <f ca="1"/>
        <v>1.0503937676621186E-2</v>
      </c>
    </row>
    <row r="126" spans="1:7">
      <c r="A126" s="189"/>
      <c r="B126" s="101">
        <f ca="1"/>
        <v>47385</v>
      </c>
      <c r="C126" s="102">
        <f ca="1"/>
        <v>7.1881513440060392E-3</v>
      </c>
      <c r="D126" s="102">
        <f ca="1"/>
        <v>7.8975854160799313E-3</v>
      </c>
      <c r="E126" s="102">
        <f ca="1"/>
        <v>8.7855490782476221E-3</v>
      </c>
      <c r="F126" s="102">
        <f ca="1"/>
        <v>9.8091420389780689E-3</v>
      </c>
      <c r="G126" s="103">
        <f ca="1"/>
        <v>1.054260957658637E-2</v>
      </c>
    </row>
    <row r="127" spans="1:7">
      <c r="A127" s="189"/>
      <c r="B127" s="101">
        <f ca="1"/>
        <v>47415</v>
      </c>
      <c r="C127" s="102">
        <f ca="1"/>
        <v>7.2158996648915077E-3</v>
      </c>
      <c r="D127" s="102">
        <f ca="1"/>
        <v>7.927912697186356E-3</v>
      </c>
      <c r="E127" s="102">
        <f ca="1"/>
        <v>8.8170013950938566E-3</v>
      </c>
      <c r="F127" s="102">
        <f ca="1"/>
        <v>9.8432239513553486E-3</v>
      </c>
      <c r="G127" s="103">
        <f ca="1"/>
        <v>1.0582312374505909E-2</v>
      </c>
    </row>
    <row r="128" spans="1:7">
      <c r="A128" s="189"/>
      <c r="B128" s="101">
        <f ca="1"/>
        <v>47448</v>
      </c>
      <c r="C128" s="102">
        <f ca="1"/>
        <v>7.2457777423935964E-3</v>
      </c>
      <c r="D128" s="102">
        <f ca="1"/>
        <v>7.9558543071627415E-3</v>
      </c>
      <c r="E128" s="102">
        <f ca="1"/>
        <v>8.850843406864501E-3</v>
      </c>
      <c r="F128" s="102">
        <f ca="1"/>
        <v>9.8811179834700745E-3</v>
      </c>
      <c r="G128" s="103">
        <f ca="1"/>
        <v>1.0625351562684182E-2</v>
      </c>
    </row>
    <row r="129" spans="1:7">
      <c r="A129" s="189"/>
      <c r="B129" s="101">
        <f ca="1"/>
        <v>47476</v>
      </c>
      <c r="C129" s="102">
        <f ca="1"/>
        <v>7.2716214450209548E-3</v>
      </c>
      <c r="D129" s="102">
        <f ca="1"/>
        <v>7.978404025230092E-3</v>
      </c>
      <c r="E129" s="102">
        <f ca="1"/>
        <v>8.8789155460042585E-3</v>
      </c>
      <c r="F129" s="102">
        <f ca="1"/>
        <v>9.9114363063570344E-3</v>
      </c>
      <c r="G129" s="103">
        <f ca="1"/>
        <v>1.0660926126168535E-2</v>
      </c>
    </row>
    <row r="130" spans="1:7">
      <c r="A130" s="189"/>
      <c r="B130" s="101">
        <f ca="1"/>
        <v>47507</v>
      </c>
      <c r="C130" s="102">
        <f ca="1"/>
        <v>7.2975120058189954E-3</v>
      </c>
      <c r="D130" s="102">
        <f ca="1"/>
        <v>8.0018912755864483E-3</v>
      </c>
      <c r="E130" s="102">
        <f ca="1"/>
        <v>8.9092973021547405E-3</v>
      </c>
      <c r="F130" s="102">
        <f ca="1"/>
        <v>9.9441124197028226E-3</v>
      </c>
      <c r="G130" s="103">
        <f ca="1"/>
        <v>1.0698842494251348E-2</v>
      </c>
    </row>
    <row r="131" spans="1:7">
      <c r="A131" s="189"/>
      <c r="B131" s="101">
        <f ca="1"/>
        <v>47539</v>
      </c>
      <c r="C131" s="102">
        <f ca="1"/>
        <v>7.3245968208267547E-3</v>
      </c>
      <c r="D131" s="102">
        <f ca="1"/>
        <v>8.0229994540420169E-3</v>
      </c>
      <c r="E131" s="102">
        <f ca="1"/>
        <v>8.9398462031018752E-3</v>
      </c>
      <c r="F131" s="102">
        <f ca="1"/>
        <v>9.9783079305393405E-3</v>
      </c>
      <c r="G131" s="103">
        <f ca="1"/>
        <v>1.0735949653535082E-2</v>
      </c>
    </row>
    <row r="132" spans="1:7">
      <c r="A132" s="189"/>
      <c r="B132" s="101">
        <f ca="1"/>
        <v>47567</v>
      </c>
      <c r="C132" s="102">
        <f ca="1"/>
        <v>7.3476629288459269E-3</v>
      </c>
      <c r="D132" s="102">
        <f ca="1"/>
        <v>8.0438293712988169E-3</v>
      </c>
      <c r="E132" s="102">
        <f ca="1"/>
        <v>8.9657647328576125E-3</v>
      </c>
      <c r="F132" s="102">
        <f ca="1"/>
        <v>1.0006439169126235E-2</v>
      </c>
      <c r="G132" s="103">
        <f ca="1"/>
        <v>1.0766656060007929E-2</v>
      </c>
    </row>
    <row r="133" spans="1:7">
      <c r="A133" s="189"/>
      <c r="B133" s="101">
        <f ca="1"/>
        <v>47597</v>
      </c>
      <c r="C133" s="102">
        <f ca="1"/>
        <v>7.3717194123619273E-3</v>
      </c>
      <c r="D133" s="102">
        <f ca="1"/>
        <v>8.0637892247017E-3</v>
      </c>
      <c r="E133" s="102">
        <f ca="1"/>
        <v>8.9925304582711297E-3</v>
      </c>
      <c r="F133" s="102">
        <f ca="1"/>
        <v>1.0034036649245029E-2</v>
      </c>
      <c r="G133" s="103">
        <f ca="1"/>
        <v>1.0797732334513199E-2</v>
      </c>
    </row>
    <row r="134" spans="1:7">
      <c r="A134" s="189"/>
      <c r="B134" s="101">
        <f ca="1"/>
        <v>47627</v>
      </c>
      <c r="C134" s="102">
        <f ca="1"/>
        <v>7.3964723904821755E-3</v>
      </c>
      <c r="D134" s="102">
        <f ca="1"/>
        <v>8.0840543577537262E-3</v>
      </c>
      <c r="E134" s="102">
        <f ca="1"/>
        <v>9.0181258498686669E-3</v>
      </c>
      <c r="F134" s="102">
        <f ca="1"/>
        <v>1.0061975165820088E-2</v>
      </c>
      <c r="G134" s="103">
        <f ca="1"/>
        <v>1.082862191338207E-2</v>
      </c>
    </row>
    <row r="135" spans="1:7">
      <c r="A135" s="189"/>
      <c r="B135" s="101">
        <f ca="1"/>
        <v>47658</v>
      </c>
      <c r="C135" s="102">
        <f ca="1"/>
        <v>7.4185412422884574E-3</v>
      </c>
      <c r="D135" s="102">
        <f ca="1"/>
        <v>8.1035850390189703E-3</v>
      </c>
      <c r="E135" s="102">
        <f ca="1"/>
        <v>9.0433446374662985E-3</v>
      </c>
      <c r="F135" s="102">
        <f ca="1"/>
        <v>1.0087180345141472E-2</v>
      </c>
      <c r="G135" s="103">
        <f ca="1"/>
        <v>1.085511124624583E-2</v>
      </c>
    </row>
    <row r="136" spans="1:7">
      <c r="A136" s="189"/>
      <c r="B136" s="101">
        <f ca="1"/>
        <v>47688</v>
      </c>
      <c r="C136" s="102">
        <f ca="1"/>
        <v>7.4405381117547452E-3</v>
      </c>
      <c r="D136" s="102">
        <f ca="1"/>
        <v>8.1239232966315283E-3</v>
      </c>
      <c r="E136" s="102">
        <f ca="1"/>
        <v>9.0665937648953324E-3</v>
      </c>
      <c r="F136" s="102">
        <f ca="1"/>
        <v>1.0111767982360444E-2</v>
      </c>
      <c r="G136" s="103">
        <f ca="1"/>
        <v>1.0880477049383774E-2</v>
      </c>
    </row>
    <row r="137" spans="1:7">
      <c r="A137" s="189"/>
      <c r="B137" s="101">
        <f ca="1"/>
        <v>47722</v>
      </c>
      <c r="C137" s="102">
        <f ca="1"/>
        <v>7.4646472478023087E-3</v>
      </c>
      <c r="D137" s="102">
        <f ca="1"/>
        <v>8.1433235539208094E-3</v>
      </c>
      <c r="E137" s="102">
        <f ca="1"/>
        <v>9.0915888752928914E-3</v>
      </c>
      <c r="F137" s="102">
        <f ca="1"/>
        <v>1.013739699044465E-2</v>
      </c>
      <c r="G137" s="103">
        <f ca="1"/>
        <v>1.0906953753111459E-2</v>
      </c>
    </row>
    <row r="138" spans="1:7">
      <c r="A138" s="189"/>
      <c r="B138" s="101">
        <f ca="1"/>
        <v>47750</v>
      </c>
      <c r="C138" s="102">
        <f ca="1"/>
        <v>7.4838476661560288E-3</v>
      </c>
      <c r="D138" s="102">
        <f ca="1"/>
        <v>8.159379482547394E-3</v>
      </c>
      <c r="E138" s="102">
        <f ca="1"/>
        <v>9.1110521509588233E-3</v>
      </c>
      <c r="F138" s="102">
        <f ca="1"/>
        <v>1.0155811311332086E-2</v>
      </c>
      <c r="G138" s="103">
        <f ca="1"/>
        <v>1.0926947947117238E-2</v>
      </c>
    </row>
    <row r="139" spans="1:7">
      <c r="A139" s="189"/>
      <c r="B139" s="101">
        <f ca="1"/>
        <v>47780</v>
      </c>
      <c r="C139" s="102">
        <f ca="1"/>
        <v>7.50376228257639E-3</v>
      </c>
      <c r="D139" s="102">
        <f ca="1"/>
        <v>8.1772151976762936E-3</v>
      </c>
      <c r="E139" s="102">
        <f ca="1"/>
        <v>9.1307279829906593E-3</v>
      </c>
      <c r="F139" s="102">
        <f ca="1"/>
        <v>1.0176221129166496E-2</v>
      </c>
      <c r="G139" s="103">
        <f ca="1"/>
        <v>1.0946557777522514E-2</v>
      </c>
    </row>
    <row r="140" spans="1:7">
      <c r="A140" s="189"/>
      <c r="B140" s="101">
        <f ca="1"/>
        <v>47812</v>
      </c>
      <c r="C140" s="102">
        <f ca="1"/>
        <v>7.5242562584209582E-3</v>
      </c>
      <c r="D140" s="102">
        <f ca="1"/>
        <v>8.1948359994272659E-3</v>
      </c>
      <c r="E140" s="102">
        <f ca="1"/>
        <v>9.1503526216700493E-3</v>
      </c>
      <c r="F140" s="102">
        <f ca="1"/>
        <v>1.0196420840044511E-2</v>
      </c>
      <c r="G140" s="103">
        <f ca="1"/>
        <v>1.0965410242697926E-2</v>
      </c>
    </row>
    <row r="141" spans="1:7">
      <c r="A141" s="189"/>
      <c r="B141" s="101">
        <f ca="1"/>
        <v>47841</v>
      </c>
      <c r="C141" s="102">
        <f ca="1"/>
        <v>7.5429241692409462E-3</v>
      </c>
      <c r="D141" s="102">
        <f ca="1"/>
        <v>8.2099211552698528E-3</v>
      </c>
      <c r="E141" s="102">
        <f ca="1"/>
        <v>9.1670342553881803E-3</v>
      </c>
      <c r="F141" s="102">
        <f ca="1"/>
        <v>1.0212601217924569E-2</v>
      </c>
      <c r="G141" s="103">
        <f ca="1"/>
        <v>1.0980656148857237E-2</v>
      </c>
    </row>
    <row r="142" spans="1:7">
      <c r="A142" s="189"/>
      <c r="B142" s="101">
        <f ca="1"/>
        <v>47872</v>
      </c>
      <c r="C142" s="102">
        <f ca="1"/>
        <v>7.5613400331246408E-3</v>
      </c>
      <c r="D142" s="102">
        <f ca="1"/>
        <v>8.2258741687888399E-3</v>
      </c>
      <c r="E142" s="102">
        <f ca="1"/>
        <v>9.1838590736597805E-3</v>
      </c>
      <c r="F142" s="102">
        <f ca="1"/>
        <v>1.0228568976163503E-2</v>
      </c>
      <c r="G142" s="103">
        <f ca="1"/>
        <v>1.0995655271956126E-2</v>
      </c>
    </row>
    <row r="143" spans="1:7">
      <c r="A143" s="189"/>
      <c r="B143" s="101">
        <f ca="1"/>
        <v>47903</v>
      </c>
      <c r="C143" s="102">
        <f ca="1"/>
        <v>7.5783145307512382E-3</v>
      </c>
      <c r="D143" s="102">
        <f ca="1"/>
        <v>8.2402449044939891E-3</v>
      </c>
      <c r="E143" s="102">
        <f ca="1"/>
        <v>9.199749779361872E-3</v>
      </c>
      <c r="F143" s="102">
        <f ca="1"/>
        <v>1.0244182513610397E-2</v>
      </c>
      <c r="G143" s="103">
        <f ca="1"/>
        <v>1.1007408967486532E-2</v>
      </c>
    </row>
    <row r="144" spans="1:7">
      <c r="A144" s="189"/>
      <c r="B144" s="101">
        <f ca="1"/>
        <v>47931</v>
      </c>
      <c r="C144" s="102">
        <f ca="1"/>
        <v>7.5936914648721742E-3</v>
      </c>
      <c r="D144" s="102">
        <f ca="1"/>
        <v>8.2546422659275382E-3</v>
      </c>
      <c r="E144" s="102">
        <f ca="1"/>
        <v>9.2132287235029489E-3</v>
      </c>
      <c r="F144" s="102">
        <f ca="1"/>
        <v>1.0256696368862414E-2</v>
      </c>
      <c r="G144" s="103">
        <f ca="1"/>
        <v>1.1017240299271548E-2</v>
      </c>
    </row>
    <row r="145" spans="1:7">
      <c r="A145" s="189"/>
      <c r="B145" s="101">
        <f ca="1"/>
        <v>47962</v>
      </c>
      <c r="C145" s="102">
        <f ca="1"/>
        <v>7.6100251281213983E-3</v>
      </c>
      <c r="D145" s="102">
        <f ca="1"/>
        <v>8.2695552053913754E-3</v>
      </c>
      <c r="E145" s="102">
        <f ca="1"/>
        <v>9.2270586515588032E-3</v>
      </c>
      <c r="F145" s="102">
        <f ca="1"/>
        <v>1.0268483299414181E-2</v>
      </c>
      <c r="G145" s="103">
        <f ca="1"/>
        <v>1.1026606715792409E-2</v>
      </c>
    </row>
    <row r="146" spans="1:7">
      <c r="A146" s="189"/>
      <c r="B146" s="101">
        <f ca="1"/>
        <v>47995</v>
      </c>
      <c r="C146" s="102">
        <f ca="1"/>
        <v>7.6266160196325223E-3</v>
      </c>
      <c r="D146" s="102">
        <f ca="1"/>
        <v>8.2834851067460618E-3</v>
      </c>
      <c r="E146" s="102">
        <f ca="1"/>
        <v>9.240412794574028E-3</v>
      </c>
      <c r="F146" s="102">
        <f ca="1"/>
        <v>1.0280069653450331E-2</v>
      </c>
      <c r="G146" s="103">
        <f ca="1"/>
        <v>1.1033788298911636E-2</v>
      </c>
    </row>
    <row r="147" spans="1:7">
      <c r="A147" s="189"/>
      <c r="B147" s="101">
        <f ca="1"/>
        <v>48023</v>
      </c>
      <c r="C147" s="102">
        <f ca="1"/>
        <v>7.6400495690470901E-3</v>
      </c>
      <c r="D147" s="102">
        <f ca="1"/>
        <v>8.295030404205787E-3</v>
      </c>
      <c r="E147" s="102">
        <f ca="1"/>
        <v>9.2506730409795315E-3</v>
      </c>
      <c r="F147" s="102">
        <f ca="1"/>
        <v>1.0288096812535317E-2</v>
      </c>
      <c r="G147" s="103">
        <f ca="1"/>
        <v>1.1038935409555261E-2</v>
      </c>
    </row>
    <row r="148" spans="1:7">
      <c r="A148" s="189"/>
      <c r="B148" s="101">
        <f ca="1"/>
        <v>48053</v>
      </c>
      <c r="C148" s="102">
        <f ca="1"/>
        <v>7.6537853837366039E-3</v>
      </c>
      <c r="D148" s="102">
        <f ca="1"/>
        <v>8.3080818371478737E-3</v>
      </c>
      <c r="E148" s="102">
        <f ca="1"/>
        <v>9.2606422481037974E-3</v>
      </c>
      <c r="F148" s="102">
        <f ca="1"/>
        <v>1.0296397514355583E-2</v>
      </c>
      <c r="G148" s="103">
        <f ca="1"/>
        <v>1.1043554346918331E-2</v>
      </c>
    </row>
    <row r="149" spans="1:7">
      <c r="A149" s="189"/>
      <c r="B149" s="101">
        <f ca="1"/>
        <v>48086</v>
      </c>
      <c r="C149" s="102">
        <f ca="1"/>
        <v>7.6681106850545848E-3</v>
      </c>
      <c r="D149" s="102">
        <f ca="1"/>
        <v>8.3202615649645689E-3</v>
      </c>
      <c r="E149" s="102">
        <f ca="1"/>
        <v>9.270426112543622E-3</v>
      </c>
      <c r="F149" s="102">
        <f ca="1"/>
        <v>1.0302713197547098E-2</v>
      </c>
      <c r="G149" s="103">
        <f ca="1"/>
        <v>1.1046472155420666E-2</v>
      </c>
    </row>
    <row r="150" spans="1:7">
      <c r="A150" s="189"/>
      <c r="B150" s="101">
        <f ca="1"/>
        <v>48115</v>
      </c>
      <c r="C150" s="102">
        <f ca="1"/>
        <v>7.6800221116496486E-3</v>
      </c>
      <c r="D150" s="102">
        <f ca="1"/>
        <v>8.3306635000734448E-3</v>
      </c>
      <c r="E150" s="102">
        <f ca="1"/>
        <v>9.2779214029934595E-3</v>
      </c>
      <c r="F150" s="102">
        <f ca="1"/>
        <v>1.0307072885758333E-2</v>
      </c>
      <c r="G150" s="103">
        <f ca="1"/>
        <v>1.1048281459909333E-2</v>
      </c>
    </row>
    <row r="151" spans="1:7">
      <c r="A151" s="189"/>
      <c r="B151" s="101">
        <f ca="1"/>
        <v>48145</v>
      </c>
      <c r="C151" s="102">
        <f ca="1"/>
        <v>7.6922142218864087E-3</v>
      </c>
      <c r="D151" s="102">
        <f ca="1"/>
        <v>8.3414487679814332E-3</v>
      </c>
      <c r="E151" s="102">
        <f ca="1"/>
        <v>9.2844836204517174E-3</v>
      </c>
      <c r="F151" s="102">
        <f ca="1"/>
        <v>1.0311542537500258E-2</v>
      </c>
      <c r="G151" s="103">
        <f ca="1"/>
        <v>1.1049352293813401E-2</v>
      </c>
    </row>
    <row r="152" spans="1:7">
      <c r="A152" s="189"/>
      <c r="B152" s="101">
        <f ca="1"/>
        <v>48176</v>
      </c>
      <c r="C152" s="102">
        <f ca="1"/>
        <v>7.7030044161124894E-3</v>
      </c>
      <c r="D152" s="102">
        <f ca="1"/>
        <v>8.3514879698029197E-3</v>
      </c>
      <c r="E152" s="102">
        <f ca="1"/>
        <v>9.2899546339982233E-3</v>
      </c>
      <c r="F152" s="102">
        <f ca="1"/>
        <v>1.0314064648376494E-2</v>
      </c>
      <c r="G152" s="103">
        <f ca="1"/>
        <v>1.1049257388876622E-2</v>
      </c>
    </row>
    <row r="153" spans="1:7">
      <c r="A153" s="189"/>
      <c r="B153" s="101">
        <f ca="1"/>
        <v>48206</v>
      </c>
      <c r="C153" s="102">
        <f ca="1"/>
        <v>7.7142644493730624E-3</v>
      </c>
      <c r="D153" s="102">
        <f ca="1"/>
        <v>8.3616493832735193E-3</v>
      </c>
      <c r="E153" s="102">
        <f ca="1"/>
        <v>9.2942190477366057E-3</v>
      </c>
      <c r="F153" s="102">
        <f ca="1"/>
        <v>1.0316444458368667E-2</v>
      </c>
      <c r="G153" s="103">
        <f ca="1"/>
        <v>1.1048559968838519E-2</v>
      </c>
    </row>
    <row r="154" spans="1:7">
      <c r="A154" s="189"/>
      <c r="B154" s="101">
        <f ca="1"/>
        <v>48239</v>
      </c>
      <c r="C154" s="102">
        <f ca="1"/>
        <v>7.7237944589597556E-3</v>
      </c>
      <c r="D154" s="102">
        <f ca="1"/>
        <v>8.3708598596292805E-3</v>
      </c>
      <c r="E154" s="102">
        <f ca="1"/>
        <v>9.2980969972545884E-3</v>
      </c>
      <c r="F154" s="102">
        <f ca="1"/>
        <v>1.0318016597660871E-2</v>
      </c>
      <c r="G154" s="103">
        <f ca="1"/>
        <v>1.1047077867925276E-2</v>
      </c>
    </row>
    <row r="155" spans="1:7">
      <c r="A155" s="189"/>
      <c r="B155" s="101">
        <f ca="1"/>
        <v>48268</v>
      </c>
      <c r="C155" s="102">
        <f ca="1"/>
        <v>7.7323575708748574E-3</v>
      </c>
      <c r="D155" s="102">
        <f ca="1"/>
        <v>8.3782748962325307E-3</v>
      </c>
      <c r="E155" s="102">
        <f ca="1"/>
        <v>9.3010514053789416E-3</v>
      </c>
      <c r="F155" s="102">
        <f ca="1"/>
        <v>1.0319079794339455E-2</v>
      </c>
      <c r="G155" s="103">
        <f ca="1"/>
        <v>1.1045256534049379E-2</v>
      </c>
    </row>
    <row r="156" spans="1:7">
      <c r="A156" s="189"/>
      <c r="B156" s="101">
        <f ca="1"/>
        <v>48297</v>
      </c>
      <c r="C156" s="102">
        <f ca="1"/>
        <v>7.7402870845300134E-3</v>
      </c>
      <c r="D156" s="102">
        <f ca="1"/>
        <v>8.3863660731744345E-3</v>
      </c>
      <c r="E156" s="102">
        <f ca="1"/>
        <v>9.3035933264246726E-3</v>
      </c>
      <c r="F156" s="102">
        <f ca="1"/>
        <v>1.0320026317590663E-2</v>
      </c>
      <c r="G156" s="103">
        <f ca="1"/>
        <v>1.104286402954302E-2</v>
      </c>
    </row>
    <row r="157" spans="1:7">
      <c r="A157" s="189"/>
      <c r="B157" s="101">
        <f ca="1"/>
        <v>48330</v>
      </c>
      <c r="C157" s="102">
        <f ca="1"/>
        <v>7.7485376238761823E-3</v>
      </c>
      <c r="D157" s="102">
        <f ca="1"/>
        <v>8.3931639707074228E-3</v>
      </c>
      <c r="E157" s="102">
        <f ca="1"/>
        <v>9.3059203684426935E-3</v>
      </c>
      <c r="F157" s="102">
        <f ca="1"/>
        <v>1.0320120564902266E-2</v>
      </c>
      <c r="G157" s="103">
        <f ca="1"/>
        <v>1.1039705648718812E-2</v>
      </c>
    </row>
    <row r="158" spans="1:7">
      <c r="A158" s="189"/>
      <c r="B158" s="101">
        <f ca="1"/>
        <v>48358</v>
      </c>
      <c r="C158" s="102">
        <f ca="1"/>
        <v>7.7548937436089484E-3</v>
      </c>
      <c r="D158" s="102">
        <f ca="1"/>
        <v>8.3990069596909991E-3</v>
      </c>
      <c r="E158" s="102">
        <f ca="1"/>
        <v>9.3073775618618855E-3</v>
      </c>
      <c r="F158" s="102">
        <f ca="1"/>
        <v>1.0320040003938208E-2</v>
      </c>
      <c r="G158" s="103">
        <f ca="1"/>
        <v>1.1036553106405833E-2</v>
      </c>
    </row>
    <row r="159" spans="1:7">
      <c r="A159" s="189"/>
      <c r="B159" s="101">
        <f ca="1"/>
        <v>48389</v>
      </c>
      <c r="C159" s="102">
        <f ca="1"/>
        <v>7.7612418802020097E-3</v>
      </c>
      <c r="D159" s="102">
        <f ca="1"/>
        <v>8.4047278652225887E-3</v>
      </c>
      <c r="E159" s="102">
        <f ca="1"/>
        <v>9.3084252422806664E-3</v>
      </c>
      <c r="F159" s="102">
        <f ca="1"/>
        <v>1.0319229977229545E-2</v>
      </c>
      <c r="G159" s="103">
        <f ca="1"/>
        <v>1.1032556322838616E-2</v>
      </c>
    </row>
    <row r="160" spans="1:7">
      <c r="A160" s="189"/>
      <c r="B160" s="101">
        <f ca="1"/>
        <v>48421</v>
      </c>
      <c r="C160" s="102">
        <f ca="1"/>
        <v>7.7670333910195991E-3</v>
      </c>
      <c r="D160" s="102">
        <f ca="1"/>
        <v>8.409495573691729E-3</v>
      </c>
      <c r="E160" s="102">
        <f ca="1"/>
        <v>9.3088824991301097E-3</v>
      </c>
      <c r="F160" s="102">
        <f ca="1"/>
        <v>1.0318153954413812E-2</v>
      </c>
      <c r="G160" s="103">
        <f ca="1"/>
        <v>1.1027872061933675E-2</v>
      </c>
    </row>
    <row r="161" spans="1:7">
      <c r="A161" s="189"/>
      <c r="B161" s="101">
        <f ca="1"/>
        <v>48450</v>
      </c>
      <c r="C161" s="102">
        <f ca="1"/>
        <v>7.7716146328632597E-3</v>
      </c>
      <c r="D161" s="102">
        <f ca="1"/>
        <v>8.4132968589814942E-3</v>
      </c>
      <c r="E161" s="102">
        <f ca="1"/>
        <v>9.308748940027178E-3</v>
      </c>
      <c r="F161" s="102">
        <f ca="1"/>
        <v>1.0316636322244416E-2</v>
      </c>
      <c r="G161" s="103">
        <f ca="1"/>
        <v>1.102313657469689E-2</v>
      </c>
    </row>
    <row r="162" spans="1:7">
      <c r="A162" s="189"/>
      <c r="B162" s="101">
        <f ca="1"/>
        <v>48481</v>
      </c>
      <c r="C162" s="102">
        <f ca="1"/>
        <v>7.7760998205713347E-3</v>
      </c>
      <c r="D162" s="102">
        <f ca="1"/>
        <v>8.4166444609772417E-3</v>
      </c>
      <c r="E162" s="102">
        <f ca="1"/>
        <v>9.3080319466142467E-3</v>
      </c>
      <c r="F162" s="102">
        <f ca="1"/>
        <v>1.0314258263728558E-2</v>
      </c>
      <c r="G162" s="103">
        <f ca="1"/>
        <v>1.1017667380397842E-2</v>
      </c>
    </row>
    <row r="163" spans="1:7">
      <c r="A163" s="189"/>
      <c r="B163" s="101">
        <f ca="1"/>
        <v>48512</v>
      </c>
      <c r="C163" s="102">
        <f ca="1"/>
        <v>7.7792816678351178E-3</v>
      </c>
      <c r="D163" s="102">
        <f ca="1"/>
        <v>8.4192523600985572E-3</v>
      </c>
      <c r="E163" s="102">
        <f ca="1"/>
        <v>9.3067241384884227E-3</v>
      </c>
      <c r="F163" s="102">
        <f ca="1"/>
        <v>1.031183187245145E-2</v>
      </c>
      <c r="G163" s="103">
        <f ca="1"/>
        <v>1.1011447351294112E-2</v>
      </c>
    </row>
    <row r="164" spans="1:7">
      <c r="A164" s="189"/>
      <c r="B164" s="101">
        <f ca="1"/>
        <v>48542</v>
      </c>
      <c r="C164" s="102">
        <f ca="1"/>
        <v>7.7819499884202083E-3</v>
      </c>
      <c r="D164" s="102">
        <f ca="1"/>
        <v>8.4209520271147382E-3</v>
      </c>
      <c r="E164" s="102">
        <f ca="1"/>
        <v>9.304899525271592E-3</v>
      </c>
      <c r="F164" s="102">
        <f ca="1"/>
        <v>1.0308854329551814E-2</v>
      </c>
      <c r="G164" s="103">
        <f ca="1"/>
        <v>1.100502514588575E-2</v>
      </c>
    </row>
    <row r="165" spans="1:7">
      <c r="A165" s="189"/>
      <c r="B165" s="101">
        <f ca="1"/>
        <v>48572</v>
      </c>
      <c r="C165" s="102">
        <f ca="1"/>
        <v>7.7843799743686484E-3</v>
      </c>
      <c r="D165" s="102">
        <f ca="1"/>
        <v>8.4221985639177828E-3</v>
      </c>
      <c r="E165" s="102">
        <f ca="1"/>
        <v>9.3025329278513397E-3</v>
      </c>
      <c r="F165" s="102">
        <f ca="1"/>
        <v>1.0305611262610504E-2</v>
      </c>
      <c r="G165" s="103">
        <f ca="1"/>
        <v>1.0998216235057156E-2</v>
      </c>
    </row>
    <row r="166" spans="1:7">
      <c r="A166" s="189"/>
      <c r="B166" s="101">
        <f ca="1"/>
        <v>48603</v>
      </c>
      <c r="C166" s="102">
        <f ca="1"/>
        <v>7.7852824790569852E-3</v>
      </c>
      <c r="D166" s="102">
        <f ca="1"/>
        <v>8.4226350748567193E-3</v>
      </c>
      <c r="E166" s="102">
        <f ca="1"/>
        <v>9.2995275006019784E-3</v>
      </c>
      <c r="F166" s="102">
        <f ca="1"/>
        <v>1.0301711005993752E-2</v>
      </c>
      <c r="G166" s="103">
        <f ca="1"/>
        <v>1.0990424533261933E-2</v>
      </c>
    </row>
    <row r="167" spans="1:7">
      <c r="A167" s="189"/>
      <c r="B167" s="101">
        <f ca="1"/>
        <v>48634</v>
      </c>
      <c r="C167" s="102">
        <f ca="1"/>
        <v>7.785899813845829E-3</v>
      </c>
      <c r="D167" s="102">
        <f ca="1"/>
        <v>8.4220778164060938E-3</v>
      </c>
      <c r="E167" s="102">
        <f ca="1"/>
        <v>9.2959599619697256E-3</v>
      </c>
      <c r="F167" s="102">
        <f ca="1"/>
        <v>1.0297279736642526E-2</v>
      </c>
      <c r="G167" s="103">
        <f ca="1"/>
        <v>1.0982212184962536E-2</v>
      </c>
    </row>
    <row r="168" spans="1:7">
      <c r="A168" s="189"/>
      <c r="B168" s="101">
        <f ca="1"/>
        <v>48662</v>
      </c>
      <c r="C168" s="102">
        <f ca="1"/>
        <v>7.785835041496123E-3</v>
      </c>
      <c r="D168" s="102">
        <f ca="1"/>
        <v>8.4214956184503614E-3</v>
      </c>
      <c r="E168" s="102">
        <f ca="1"/>
        <v>9.2922515656449021E-3</v>
      </c>
      <c r="F168" s="102">
        <f ca="1"/>
        <v>1.0293220739472283E-2</v>
      </c>
      <c r="G168" s="103">
        <f ca="1"/>
        <v>1.0974336105032068E-2</v>
      </c>
    </row>
    <row r="169" spans="1:7">
      <c r="A169" s="189"/>
      <c r="B169" s="101">
        <f ca="1"/>
        <v>48694</v>
      </c>
      <c r="C169" s="102">
        <f ca="1"/>
        <v>7.785035814534237E-3</v>
      </c>
      <c r="D169" s="102">
        <f ca="1"/>
        <v>8.4195824328153219E-3</v>
      </c>
      <c r="E169" s="102">
        <f ca="1"/>
        <v>9.2874422439025578E-3</v>
      </c>
      <c r="F169" s="102">
        <f ca="1"/>
        <v>1.0287609552807468E-2</v>
      </c>
      <c r="G169" s="103">
        <f ca="1"/>
        <v>1.0964802164782572E-2</v>
      </c>
    </row>
    <row r="170" spans="1:7">
      <c r="A170" s="189"/>
      <c r="B170" s="101">
        <f ca="1"/>
        <v>48723</v>
      </c>
      <c r="C170" s="102">
        <f ca="1"/>
        <v>7.7836442010270814E-3</v>
      </c>
      <c r="D170" s="102">
        <f ca="1"/>
        <v>8.4173511034470513E-3</v>
      </c>
      <c r="E170" s="102">
        <f ca="1"/>
        <v>9.282552280821121E-3</v>
      </c>
      <c r="F170" s="102">
        <f ca="1"/>
        <v>1.0282287522265551E-2</v>
      </c>
      <c r="G170" s="103">
        <f ca="1"/>
        <v>1.0955671358580776E-2</v>
      </c>
    </row>
    <row r="171" spans="1:7">
      <c r="A171" s="189"/>
      <c r="B171" s="101">
        <f ca="1"/>
        <v>48754</v>
      </c>
      <c r="C171" s="102">
        <f ca="1"/>
        <v>7.7815388815914268E-3</v>
      </c>
      <c r="D171" s="102">
        <f ca="1"/>
        <v>8.4141845418361366E-3</v>
      </c>
      <c r="E171" s="102">
        <f ca="1"/>
        <v>9.2767618769983573E-3</v>
      </c>
      <c r="F171" s="102">
        <f ca="1"/>
        <v>1.0276193444352932E-2</v>
      </c>
      <c r="G171" s="103">
        <f ca="1"/>
        <v>1.0945347849935999E-2</v>
      </c>
    </row>
    <row r="172" spans="1:7">
      <c r="A172" s="189"/>
      <c r="B172" s="101">
        <f ca="1"/>
        <v>48785</v>
      </c>
      <c r="C172" s="102">
        <f ca="1"/>
        <v>7.7785416878217899E-3</v>
      </c>
      <c r="D172" s="102">
        <f ca="1"/>
        <v>8.4102782778166796E-3</v>
      </c>
      <c r="E172" s="102">
        <f ca="1"/>
        <v>9.2703854493796142E-3</v>
      </c>
      <c r="F172" s="102">
        <f ca="1"/>
        <v>1.0269433460000504E-2</v>
      </c>
      <c r="G172" s="103">
        <f ca="1"/>
        <v>1.093458603394537E-2</v>
      </c>
    </row>
    <row r="173" spans="1:7">
      <c r="A173" s="189"/>
      <c r="B173" s="101">
        <f ca="1"/>
        <v>48815</v>
      </c>
      <c r="C173" s="102">
        <f ca="1"/>
        <v>7.775031191996646E-3</v>
      </c>
      <c r="D173" s="102">
        <f ca="1"/>
        <v>8.4058217380585665E-3</v>
      </c>
      <c r="E173" s="102">
        <f ca="1"/>
        <v>9.2636555294176685E-3</v>
      </c>
      <c r="F173" s="102">
        <f ca="1"/>
        <v>1.0262542296929609E-2</v>
      </c>
      <c r="G173" s="103">
        <f ca="1"/>
        <v>1.0923618556457626E-2</v>
      </c>
    </row>
    <row r="174" spans="1:7">
      <c r="A174" s="189"/>
      <c r="B174" s="101">
        <f ca="1"/>
        <v>48848</v>
      </c>
      <c r="C174" s="102">
        <f ca="1"/>
        <v>7.770386330443484E-3</v>
      </c>
      <c r="D174" s="102">
        <f ca="1"/>
        <v>8.4000590374688593E-3</v>
      </c>
      <c r="E174" s="102">
        <f ca="1"/>
        <v>9.2556290089719009E-3</v>
      </c>
      <c r="F174" s="102">
        <f ca="1"/>
        <v>1.0254436346101495E-2</v>
      </c>
      <c r="G174" s="103">
        <f ca="1"/>
        <v>1.0910978435231256E-2</v>
      </c>
    </row>
    <row r="175" spans="1:7">
      <c r="A175" s="189"/>
      <c r="B175" s="101">
        <f ca="1"/>
        <v>48876</v>
      </c>
      <c r="C175" s="102">
        <f ca="1"/>
        <v>7.7658000556257859E-3</v>
      </c>
      <c r="D175" s="102">
        <f ca="1"/>
        <v>8.3945387860705455E-3</v>
      </c>
      <c r="E175" s="102">
        <f ca="1"/>
        <v>9.2483181688879715E-3</v>
      </c>
      <c r="F175" s="102">
        <f ca="1"/>
        <v>1.0247173958752187E-2</v>
      </c>
      <c r="G175" s="103">
        <f ca="1"/>
        <v>1.0899780530970293E-2</v>
      </c>
    </row>
    <row r="176" spans="1:7">
      <c r="A176" s="189"/>
      <c r="B176" s="101">
        <f ca="1"/>
        <v>48907</v>
      </c>
      <c r="C176" s="102">
        <f ca="1"/>
        <v>7.7600326102855851E-3</v>
      </c>
      <c r="D176" s="102">
        <f ca="1"/>
        <v>8.3876555954146958E-3</v>
      </c>
      <c r="E176" s="102">
        <f ca="1"/>
        <v>9.2396955699426964E-3</v>
      </c>
      <c r="F176" s="102">
        <f ca="1"/>
        <v>1.0238693031848607E-2</v>
      </c>
      <c r="G176" s="103">
        <f ca="1"/>
        <v>1.0886876589785155E-2</v>
      </c>
    </row>
    <row r="177" spans="1:7">
      <c r="A177" s="189"/>
      <c r="B177" s="101">
        <f ca="1"/>
        <v>48941</v>
      </c>
      <c r="C177" s="102">
        <f ca="1"/>
        <v>7.7528743315846797E-3</v>
      </c>
      <c r="D177" s="102">
        <f ca="1"/>
        <v>8.3793236295954601E-3</v>
      </c>
      <c r="E177" s="102">
        <f ca="1"/>
        <v>9.2295838222912589E-3</v>
      </c>
      <c r="F177" s="102">
        <f ca="1"/>
        <v>1.0228844100907809E-2</v>
      </c>
      <c r="G177" s="103">
        <f ca="1"/>
        <v>1.0872112410908574E-2</v>
      </c>
    </row>
    <row r="178" spans="1:7">
      <c r="A178" s="189"/>
      <c r="B178" s="101">
        <f ca="1"/>
        <v>48968</v>
      </c>
      <c r="C178" s="102">
        <f ca="1"/>
        <v>7.7465676590793373E-3</v>
      </c>
      <c r="D178" s="102">
        <f ca="1"/>
        <v>8.3721468501551152E-3</v>
      </c>
      <c r="E178" s="102">
        <f ca="1"/>
        <v>9.2210501542422385E-3</v>
      </c>
      <c r="F178" s="102">
        <f ca="1"/>
        <v>1.0220645691408596E-2</v>
      </c>
      <c r="G178" s="103">
        <f ca="1"/>
        <v>1.0859932413096685E-2</v>
      </c>
    </row>
    <row r="179" spans="1:7">
      <c r="A179" s="189"/>
      <c r="B179" s="101">
        <f ca="1"/>
        <v>48999</v>
      </c>
      <c r="C179" s="102">
        <f ca="1"/>
        <v>7.738544871559264E-3</v>
      </c>
      <c r="D179" s="102">
        <f ca="1"/>
        <v>8.3633056896685043E-3</v>
      </c>
      <c r="E179" s="102">
        <f ca="1"/>
        <v>9.2106896479535599E-3</v>
      </c>
      <c r="F179" s="102">
        <f ca="1"/>
        <v>1.0210780181090461E-2</v>
      </c>
      <c r="G179" s="103">
        <f ca="1"/>
        <v>1.0845273025834866E-2</v>
      </c>
    </row>
    <row r="180" spans="1:7">
      <c r="A180" s="189"/>
      <c r="B180" s="101">
        <f ca="1"/>
        <v>49027</v>
      </c>
      <c r="C180" s="102">
        <f ca="1"/>
        <v>7.7307482759438502E-3</v>
      </c>
      <c r="D180" s="102">
        <f ca="1"/>
        <v>8.3543581139678864E-3</v>
      </c>
      <c r="E180" s="102">
        <f ca="1"/>
        <v>9.2008188697121438E-3</v>
      </c>
      <c r="F180" s="102">
        <f ca="1"/>
        <v>1.0201327220683544E-2</v>
      </c>
      <c r="G180" s="103">
        <f ca="1"/>
        <v>1.0831678273518051E-2</v>
      </c>
    </row>
    <row r="181" spans="1:7">
      <c r="A181" s="189"/>
      <c r="B181" s="101">
        <f ca="1"/>
        <v>49058</v>
      </c>
      <c r="C181" s="102">
        <f ca="1"/>
        <v>7.721574427408397E-3</v>
      </c>
      <c r="D181" s="102">
        <f ca="1"/>
        <v>8.3440182873259876E-3</v>
      </c>
      <c r="E181" s="102">
        <f ca="1"/>
        <v>9.1893310334956665E-3</v>
      </c>
      <c r="F181" s="102">
        <f ca="1"/>
        <v>1.0190626729942493E-2</v>
      </c>
      <c r="G181" s="103">
        <f ca="1"/>
        <v>1.0816643722457053E-2</v>
      </c>
    </row>
    <row r="182" spans="1:7">
      <c r="A182" s="189"/>
      <c r="B182" s="101">
        <f ca="1"/>
        <v>49088</v>
      </c>
      <c r="C182" s="102">
        <f ca="1"/>
        <v>7.711885136169049E-3</v>
      </c>
      <c r="D182" s="102">
        <f ca="1"/>
        <v>8.3329637706357519E-3</v>
      </c>
      <c r="E182" s="102">
        <f ca="1"/>
        <v>9.1776607392108425E-3</v>
      </c>
      <c r="F182" s="102">
        <f ca="1"/>
        <v>1.0179707665377393E-2</v>
      </c>
      <c r="G182" s="103">
        <f ca="1"/>
        <v>1.080145004797739E-2</v>
      </c>
    </row>
    <row r="183" spans="1:7">
      <c r="A183" s="189"/>
      <c r="B183" s="101">
        <f ca="1"/>
        <v>49121</v>
      </c>
      <c r="C183" s="102">
        <f ca="1"/>
        <v>7.7004435900562785E-3</v>
      </c>
      <c r="D183" s="102">
        <f ca="1"/>
        <v>8.3205870840526459E-3</v>
      </c>
      <c r="E183" s="102">
        <f ca="1"/>
        <v>9.1641957737841652E-3</v>
      </c>
      <c r="F183" s="102">
        <f ca="1"/>
        <v>1.0167238552631708E-2</v>
      </c>
      <c r="G183" s="103">
        <f ca="1"/>
        <v>1.0784393565370864E-2</v>
      </c>
    </row>
    <row r="184" spans="1:7">
      <c r="A184" s="189"/>
      <c r="B184" s="101">
        <f ca="1"/>
        <v>49149</v>
      </c>
      <c r="C184" s="102">
        <f ca="1"/>
        <v>7.6900904731208612E-3</v>
      </c>
      <c r="D184" s="102">
        <f ca="1"/>
        <v>8.3090762755131751E-3</v>
      </c>
      <c r="E184" s="102">
        <f ca="1"/>
        <v>9.1522543350605855E-3</v>
      </c>
      <c r="F184" s="102">
        <f ca="1"/>
        <v>1.0156243578450712E-2</v>
      </c>
      <c r="G184" s="103">
        <f ca="1"/>
        <v>1.0769687307401243E-2</v>
      </c>
    </row>
    <row r="185" spans="1:7">
      <c r="A185" s="189"/>
      <c r="B185" s="101">
        <f ca="1"/>
        <v>49180</v>
      </c>
      <c r="C185" s="102">
        <f ca="1"/>
        <v>7.6779382645142278E-3</v>
      </c>
      <c r="D185" s="102">
        <f ca="1"/>
        <v>8.2956160255135206E-3</v>
      </c>
      <c r="E185" s="102">
        <f ca="1"/>
        <v>9.1384838550642878E-3</v>
      </c>
      <c r="F185" s="102">
        <f ca="1"/>
        <v>1.0143493384859316E-2</v>
      </c>
      <c r="G185" s="103">
        <f ca="1"/>
        <v>1.0753206924721148E-2</v>
      </c>
    </row>
    <row r="186" spans="1:7">
      <c r="A186" s="189"/>
      <c r="B186" s="101">
        <f ca="1"/>
        <v>49212</v>
      </c>
      <c r="C186" s="102">
        <f ca="1"/>
        <v>7.6646343735781277E-3</v>
      </c>
      <c r="D186" s="102">
        <f ca="1"/>
        <v>8.2813488274134008E-3</v>
      </c>
      <c r="E186" s="102">
        <f ca="1"/>
        <v>9.1236868227237387E-3</v>
      </c>
      <c r="F186" s="102">
        <f ca="1"/>
        <v>1.0130299464461243E-2</v>
      </c>
      <c r="G186" s="103">
        <f ca="1"/>
        <v>1.0736033313675675E-2</v>
      </c>
    </row>
    <row r="187" spans="1:7">
      <c r="A187" s="189"/>
      <c r="B187" s="101">
        <f ca="1"/>
        <v>49241</v>
      </c>
      <c r="C187" s="102">
        <f ca="1"/>
        <v>7.6519094726623478E-3</v>
      </c>
      <c r="D187" s="102">
        <f ca="1"/>
        <v>8.2673523724848506E-3</v>
      </c>
      <c r="E187" s="102">
        <f ca="1"/>
        <v>9.1097905536117948E-3</v>
      </c>
      <c r="F187" s="102">
        <f ca="1"/>
        <v>1.0117938284681232E-2</v>
      </c>
      <c r="G187" s="103">
        <f ca="1"/>
        <v>1.0720378794407237E-2</v>
      </c>
    </row>
    <row r="188" spans="1:7">
      <c r="A188" s="189"/>
      <c r="B188" s="101">
        <f ca="1"/>
        <v>49272</v>
      </c>
      <c r="C188" s="102">
        <f ca="1"/>
        <v>7.6372916629642955E-3</v>
      </c>
      <c r="D188" s="102">
        <f ca="1"/>
        <v>8.251495022314384E-3</v>
      </c>
      <c r="E188" s="102">
        <f ca="1"/>
        <v>9.0944726637208744E-3</v>
      </c>
      <c r="F188" s="102">
        <f ca="1"/>
        <v>1.0104497765695372E-2</v>
      </c>
      <c r="G188" s="103">
        <f ca="1"/>
        <v>1.0703378853465022E-2</v>
      </c>
    </row>
    <row r="189" spans="1:7">
      <c r="A189" s="189"/>
      <c r="B189" s="101">
        <f ca="1"/>
        <v>49305</v>
      </c>
      <c r="C189" s="102">
        <f ca="1"/>
        <v>7.6215833512966171E-3</v>
      </c>
      <c r="D189" s="102">
        <f ca="1"/>
        <v>8.2341283184704656E-3</v>
      </c>
      <c r="E189" s="102">
        <f ca="1"/>
        <v>9.0777956920629066E-3</v>
      </c>
      <c r="F189" s="102">
        <f ca="1"/>
        <v>1.0089853047647127E-2</v>
      </c>
      <c r="G189" s="103">
        <f ca="1"/>
        <v>1.0685758534194401E-2</v>
      </c>
    </row>
    <row r="190" spans="1:7">
      <c r="A190" s="189"/>
      <c r="B190" s="101">
        <f ca="1"/>
        <v>49333</v>
      </c>
      <c r="C190" s="102">
        <f ca="1"/>
        <v>7.6073439673840192E-3</v>
      </c>
      <c r="D190" s="102">
        <f ca="1"/>
        <v>8.2188927429321466E-3</v>
      </c>
      <c r="E190" s="102">
        <f ca="1"/>
        <v>9.0634876226983619E-3</v>
      </c>
      <c r="F190" s="102">
        <f ca="1"/>
        <v>1.0077514619448705E-2</v>
      </c>
      <c r="G190" s="103">
        <f ca="1"/>
        <v>1.0670679154816343E-2</v>
      </c>
    </row>
    <row r="191" spans="1:7">
      <c r="A191" s="189"/>
      <c r="B191" s="101">
        <f ca="1"/>
        <v>49366</v>
      </c>
      <c r="C191" s="102">
        <f ca="1"/>
        <v>7.5902088063323596E-3</v>
      </c>
      <c r="D191" s="102">
        <f ca="1"/>
        <v>8.201641277181964E-3</v>
      </c>
      <c r="E191" s="102">
        <f ca="1"/>
        <v>9.0465854359296181E-3</v>
      </c>
      <c r="F191" s="102">
        <f ca="1"/>
        <v>1.0062701430966502E-2</v>
      </c>
      <c r="G191" s="103">
        <f ca="1"/>
        <v>1.0653027626264189E-2</v>
      </c>
    </row>
    <row r="192" spans="1:7">
      <c r="A192" s="189"/>
      <c r="B192" s="101">
        <f ca="1"/>
        <v>49395</v>
      </c>
      <c r="C192" s="102">
        <f ca="1"/>
        <v>7.5751251150041774E-3</v>
      </c>
      <c r="D192" s="102">
        <f ca="1"/>
        <v>8.1855825284426979E-3</v>
      </c>
      <c r="E192" s="102">
        <f ca="1"/>
        <v>9.0317507634941722E-3</v>
      </c>
      <c r="F192" s="102">
        <f ca="1"/>
        <v>1.0049749894924206E-2</v>
      </c>
      <c r="G192" s="103">
        <f ca="1"/>
        <v>1.0637524448552149E-2</v>
      </c>
    </row>
    <row r="193" spans="1:7">
      <c r="A193" s="189"/>
      <c r="B193" s="101">
        <f ca="1"/>
        <v>49423</v>
      </c>
      <c r="C193" s="102">
        <f ca="1"/>
        <v>7.5605389289500995E-3</v>
      </c>
      <c r="D193" s="102">
        <f ca="1"/>
        <v>8.1706813722431382E-3</v>
      </c>
      <c r="E193" s="102">
        <f ca="1"/>
        <v>9.0174782660720001E-3</v>
      </c>
      <c r="F193" s="102">
        <f ca="1"/>
        <v>1.0037412715884137E-2</v>
      </c>
      <c r="G193" s="103">
        <f ca="1"/>
        <v>1.0622761605776751E-2</v>
      </c>
    </row>
    <row r="194" spans="1:7">
      <c r="A194" s="189"/>
      <c r="B194" s="101">
        <f ca="1"/>
        <v>49453</v>
      </c>
      <c r="C194" s="102">
        <f ca="1"/>
        <v>7.5448860096360487E-3</v>
      </c>
      <c r="D194" s="102">
        <f ca="1"/>
        <v>8.1542623191907856E-3</v>
      </c>
      <c r="E194" s="102">
        <f ca="1"/>
        <v>9.0022703587582607E-3</v>
      </c>
      <c r="F194" s="102">
        <f ca="1"/>
        <v>1.0023855492891507E-2</v>
      </c>
      <c r="G194" s="103">
        <f ca="1"/>
        <v>1.0606745332286172E-2</v>
      </c>
    </row>
    <row r="195" spans="1:7">
      <c r="A195" s="189"/>
      <c r="B195" s="101">
        <f ca="1"/>
        <v>49485</v>
      </c>
      <c r="C195" s="102">
        <f ca="1"/>
        <v>7.5281610197592327E-3</v>
      </c>
      <c r="D195" s="102">
        <f ca="1"/>
        <v>8.1375757158562625E-3</v>
      </c>
      <c r="E195" s="102">
        <f ca="1"/>
        <v>8.9861475657220958E-3</v>
      </c>
      <c r="F195" s="102">
        <f ca="1"/>
        <v>1.0009751589424593E-2</v>
      </c>
      <c r="G195" s="103">
        <f ca="1"/>
        <v>1.0590428081457779E-2</v>
      </c>
    </row>
    <row r="196" spans="1:7">
      <c r="A196" s="189"/>
      <c r="B196" s="101">
        <f ca="1"/>
        <v>49514</v>
      </c>
      <c r="C196" s="102">
        <f ca="1"/>
        <v>7.5129785824529895E-3</v>
      </c>
      <c r="D196" s="102">
        <f ca="1"/>
        <v>8.1220517113369407E-3</v>
      </c>
      <c r="E196" s="102">
        <f ca="1"/>
        <v>8.9716211280336279E-3</v>
      </c>
      <c r="F196" s="102">
        <f ca="1"/>
        <v>9.9969818531454382E-3</v>
      </c>
      <c r="G196" s="103">
        <f ca="1"/>
        <v>1.0575472241051657E-2</v>
      </c>
    </row>
    <row r="197" spans="1:7">
      <c r="A197" s="189"/>
      <c r="B197" s="101">
        <f ca="1"/>
        <v>49545</v>
      </c>
      <c r="C197" s="102">
        <f ca="1"/>
        <v>7.4961659959194059E-3</v>
      </c>
      <c r="D197" s="102">
        <f ca="1"/>
        <v>8.1057381597696553E-3</v>
      </c>
      <c r="E197" s="102">
        <f ca="1"/>
        <v>8.9561799469871986E-3</v>
      </c>
      <c r="F197" s="102">
        <f ca="1"/>
        <v>9.9831593500012434E-3</v>
      </c>
      <c r="G197" s="103">
        <f ca="1"/>
        <v>1.0559405335364497E-2</v>
      </c>
    </row>
    <row r="198" spans="1:7">
      <c r="A198" s="189"/>
      <c r="B198" s="101">
        <f ca="1"/>
        <v>49576</v>
      </c>
      <c r="C198" s="102">
        <f ca="1"/>
        <v>7.480438636064889E-3</v>
      </c>
      <c r="D198" s="102">
        <f ca="1"/>
        <v>8.0896932401447273E-3</v>
      </c>
      <c r="E198" s="102">
        <f ca="1"/>
        <v>8.9408324594179647E-3</v>
      </c>
      <c r="F198" s="102">
        <f ca="1"/>
        <v>9.9696818331308466E-3</v>
      </c>
      <c r="G198" s="103">
        <f ca="1"/>
        <v>1.0543855849084845E-2</v>
      </c>
    </row>
    <row r="199" spans="1:7">
      <c r="A199" s="189"/>
      <c r="B199" s="101">
        <f ca="1"/>
        <v>49606</v>
      </c>
      <c r="C199" s="102">
        <f ca="1"/>
        <v>7.4646539700239769E-3</v>
      </c>
      <c r="D199" s="102">
        <f ca="1"/>
        <v>8.0735833846302014E-3</v>
      </c>
      <c r="E199" s="102">
        <f ca="1"/>
        <v>8.9260741317425743E-3</v>
      </c>
      <c r="F199" s="102">
        <f ca="1"/>
        <v>9.9563094685826675E-3</v>
      </c>
      <c r="G199" s="103">
        <f ca="1"/>
        <v>1.0528732484251416E-2</v>
      </c>
    </row>
    <row r="200" spans="1:7">
      <c r="A200" s="189"/>
      <c r="B200" s="101">
        <f ca="1"/>
        <v>49639</v>
      </c>
      <c r="C200" s="102">
        <f ca="1"/>
        <v>7.4472610342301354E-3</v>
      </c>
      <c r="D200" s="102">
        <f ca="1"/>
        <v>8.0568688453716685E-3</v>
      </c>
      <c r="E200" s="102">
        <f ca="1"/>
        <v>8.909947600122212E-3</v>
      </c>
      <c r="F200" s="102">
        <f ca="1"/>
        <v>9.9416978918147481E-3</v>
      </c>
      <c r="G200" s="103">
        <f ca="1"/>
        <v>1.0512228265825742E-2</v>
      </c>
    </row>
    <row r="201" spans="1:7">
      <c r="A201" s="189"/>
      <c r="B201" s="101">
        <f ca="1"/>
        <v>49667</v>
      </c>
      <c r="C201" s="102">
        <f ca="1"/>
        <v>7.4321018499647297E-3</v>
      </c>
      <c r="D201" s="102">
        <f ca="1"/>
        <v>8.0424857587719153E-3</v>
      </c>
      <c r="E201" s="102">
        <f ca="1"/>
        <v>8.8963395144772677E-3</v>
      </c>
      <c r="F201" s="102">
        <f ca="1"/>
        <v>9.9293034929963143E-3</v>
      </c>
      <c r="G201" s="103">
        <f ca="1"/>
        <v>1.0498332550799553E-2</v>
      </c>
    </row>
    <row r="202" spans="1:7">
      <c r="A202" s="189"/>
      <c r="B202" s="101">
        <f ca="1"/>
        <v>49698</v>
      </c>
      <c r="C202" s="102">
        <f ca="1"/>
        <v>7.4160867208294089E-3</v>
      </c>
      <c r="D202" s="102">
        <f ca="1"/>
        <v>8.0264886044147093E-3</v>
      </c>
      <c r="E202" s="102">
        <f ca="1"/>
        <v>8.8813356647451901E-3</v>
      </c>
      <c r="F202" s="102">
        <f ca="1"/>
        <v>9.9156714048595253E-3</v>
      </c>
      <c r="G202" s="103">
        <f ca="1"/>
        <v>1.0482880503992263E-2</v>
      </c>
    </row>
    <row r="203" spans="1:7">
      <c r="A203" s="189"/>
      <c r="B203" s="101">
        <f ca="1"/>
        <v>49730</v>
      </c>
      <c r="C203" s="102">
        <f ca="1"/>
        <v>7.3991368721847616E-3</v>
      </c>
      <c r="D203" s="102">
        <f ca="1"/>
        <v>8.0107449926190722E-3</v>
      </c>
      <c r="E203" s="102">
        <f ca="1"/>
        <v>8.8659020063732597E-3</v>
      </c>
      <c r="F203" s="102">
        <f ca="1"/>
        <v>9.9014272893876449E-3</v>
      </c>
      <c r="G203" s="103">
        <f ca="1"/>
        <v>1.0467428579403899E-2</v>
      </c>
    </row>
    <row r="204" spans="1:7">
      <c r="A204" s="189"/>
      <c r="B204" s="101">
        <f ca="1"/>
        <v>49758</v>
      </c>
      <c r="C204" s="102">
        <f ca="1"/>
        <v>7.3842816529156186E-3</v>
      </c>
      <c r="D204" s="102">
        <f ca="1"/>
        <v>7.9962914619648526E-3</v>
      </c>
      <c r="E204" s="102">
        <f ca="1"/>
        <v>8.8524468997772249E-3</v>
      </c>
      <c r="F204" s="102">
        <f ca="1"/>
        <v>9.8889555281703369E-3</v>
      </c>
      <c r="G204" s="103">
        <f ca="1"/>
        <v>1.0453942515409764E-2</v>
      </c>
    </row>
    <row r="205" spans="1:7">
      <c r="A205" s="189"/>
      <c r="B205" s="101">
        <f ca="1"/>
        <v>49789</v>
      </c>
      <c r="C205" s="102">
        <f ca="1"/>
        <v>7.3678086014860138E-3</v>
      </c>
      <c r="D205" s="102">
        <f ca="1"/>
        <v>7.9804224702072594E-3</v>
      </c>
      <c r="E205" s="102">
        <f ca="1"/>
        <v>8.8376129804005662E-3</v>
      </c>
      <c r="F205" s="102">
        <f ca="1"/>
        <v>9.875335086840643E-3</v>
      </c>
      <c r="G205" s="103">
        <f ca="1"/>
        <v>1.0439027295376713E-2</v>
      </c>
    </row>
    <row r="206" spans="1:7">
      <c r="A206" s="189"/>
      <c r="B206" s="101">
        <f ca="1"/>
        <v>49822</v>
      </c>
      <c r="C206" s="102">
        <f ca="1"/>
        <v>7.3502424902852862E-3</v>
      </c>
      <c r="D206" s="102">
        <f ca="1"/>
        <v>7.9643076666305376E-3</v>
      </c>
      <c r="E206" s="102">
        <f ca="1"/>
        <v>8.8218995370871502E-3</v>
      </c>
      <c r="F206" s="102">
        <f ca="1"/>
        <v>9.860659094864872E-3</v>
      </c>
      <c r="G206" s="103">
        <f ca="1"/>
        <v>1.0423282985728477E-2</v>
      </c>
    </row>
    <row r="207" spans="1:7">
      <c r="A207" s="189"/>
      <c r="B207" s="101">
        <f ca="1"/>
        <v>49850</v>
      </c>
      <c r="C207" s="102">
        <f ca="1"/>
        <v>7.3353134065800036E-3</v>
      </c>
      <c r="D207" s="102">
        <f ca="1"/>
        <v>7.9506057652759948E-3</v>
      </c>
      <c r="E207" s="102">
        <f ca="1"/>
        <v>8.8086175867681995E-3</v>
      </c>
      <c r="F207" s="102">
        <f ca="1"/>
        <v>9.8483726634827073E-3</v>
      </c>
      <c r="G207" s="103">
        <f ca="1"/>
        <v>1.0410031923336449E-2</v>
      </c>
    </row>
    <row r="208" spans="1:7">
      <c r="A208" s="189"/>
      <c r="B208" s="101">
        <f ca="1"/>
        <v>49880</v>
      </c>
      <c r="C208" s="102">
        <f ca="1"/>
        <v>7.3192930326680915E-3</v>
      </c>
      <c r="D208" s="102">
        <f ca="1"/>
        <v>7.9353646903127118E-3</v>
      </c>
      <c r="E208" s="102">
        <f ca="1"/>
        <v>8.7944223956371373E-3</v>
      </c>
      <c r="F208" s="102">
        <f ca="1"/>
        <v>9.8348520969284738E-3</v>
      </c>
      <c r="G208" s="103">
        <f ca="1"/>
        <v>1.0395944158805959E-2</v>
      </c>
    </row>
    <row r="209" spans="1:7">
      <c r="A209" s="189"/>
      <c r="B209" s="101">
        <f ca="1"/>
        <v>49913</v>
      </c>
      <c r="C209" s="102">
        <f ca="1"/>
        <v>7.3016408110192421E-3</v>
      </c>
      <c r="D209" s="102">
        <f ca="1"/>
        <v>7.9195480379726738E-3</v>
      </c>
      <c r="E209" s="102">
        <f ca="1"/>
        <v>8.7788474782709777E-3</v>
      </c>
      <c r="F209" s="102">
        <f ca="1"/>
        <v>9.8204525095457896E-3</v>
      </c>
      <c r="G209" s="103">
        <f ca="1"/>
        <v>1.0380578855713862E-2</v>
      </c>
    </row>
    <row r="210" spans="1:7">
      <c r="A210" s="189"/>
      <c r="B210" s="101">
        <f ca="1"/>
        <v>49942</v>
      </c>
      <c r="C210" s="102">
        <f ca="1"/>
        <v>7.286102457593078E-3</v>
      </c>
      <c r="D210" s="102">
        <f ca="1"/>
        <v>7.9056172602444807E-3</v>
      </c>
      <c r="E210" s="102">
        <f ca="1"/>
        <v>8.7652429313466451E-3</v>
      </c>
      <c r="F210" s="102">
        <f ca="1"/>
        <v>9.8079136196255155E-3</v>
      </c>
      <c r="G210" s="103">
        <f ca="1"/>
        <v>1.0367189549028488E-2</v>
      </c>
    </row>
    <row r="211" spans="1:7">
      <c r="A211" s="189"/>
      <c r="B211" s="101">
        <f ca="1"/>
        <v>49972</v>
      </c>
      <c r="C211" s="102">
        <f ca="1"/>
        <v>7.2696106219859273E-3</v>
      </c>
      <c r="D211" s="102">
        <f ca="1"/>
        <v>7.8909781345801403E-3</v>
      </c>
      <c r="E211" s="102">
        <f ca="1"/>
        <v>8.7513095719643497E-3</v>
      </c>
      <c r="F211" s="102">
        <f ca="1"/>
        <v>9.7945805755910026E-3</v>
      </c>
      <c r="G211" s="103">
        <f ca="1"/>
        <v>1.0353294642616697E-2</v>
      </c>
    </row>
    <row r="212" spans="1:7">
      <c r="A212" s="189"/>
      <c r="B212" s="101">
        <f ca="1"/>
        <v>50003</v>
      </c>
      <c r="C212" s="102">
        <f ca="1"/>
        <v>7.2533396648875922E-3</v>
      </c>
      <c r="D212" s="102">
        <f ca="1"/>
        <v>7.8762625494803E-3</v>
      </c>
      <c r="E212" s="102">
        <f ca="1"/>
        <v>8.7371006449337915E-3</v>
      </c>
      <c r="F212" s="102">
        <f ca="1"/>
        <v>9.7808091294543705E-3</v>
      </c>
      <c r="G212" s="103">
        <f ca="1"/>
        <v>1.0339372639754707E-2</v>
      </c>
    </row>
    <row r="213" spans="1:7">
      <c r="A213" s="189"/>
      <c r="B213" s="101">
        <f ca="1"/>
        <v>50033</v>
      </c>
      <c r="C213" s="102">
        <f ca="1"/>
        <v>7.2363968226920429E-3</v>
      </c>
      <c r="D213" s="102">
        <f ca="1"/>
        <v>7.8615068665427879E-3</v>
      </c>
      <c r="E213" s="102">
        <f ca="1"/>
        <v>8.7234865745329047E-3</v>
      </c>
      <c r="F213" s="102">
        <f ca="1"/>
        <v>9.7676620898580861E-3</v>
      </c>
      <c r="G213" s="103">
        <f ca="1"/>
        <v>1.0325864709032073E-2</v>
      </c>
    </row>
    <row r="214" spans="1:7">
      <c r="A214" s="189"/>
      <c r="B214" s="101">
        <f ca="1"/>
        <v>50066</v>
      </c>
      <c r="C214" s="102">
        <f ca="1"/>
        <v>7.2193906546645604E-3</v>
      </c>
      <c r="D214" s="102">
        <f ca="1"/>
        <v>7.8461913871151461E-3</v>
      </c>
      <c r="E214" s="102">
        <f ca="1"/>
        <v>8.708587630790016E-3</v>
      </c>
      <c r="F214" s="102">
        <f ca="1"/>
        <v>9.7531056579737898E-3</v>
      </c>
      <c r="G214" s="103">
        <f ca="1"/>
        <v>1.0311137408011595E-2</v>
      </c>
    </row>
    <row r="215" spans="1:7">
      <c r="A215" s="189"/>
      <c r="B215" s="101">
        <f ca="1"/>
        <v>50095</v>
      </c>
      <c r="C215" s="102">
        <f ca="1"/>
        <v>7.2037250922117515E-3</v>
      </c>
      <c r="D215" s="102">
        <f ca="1"/>
        <v>7.8330059481171426E-3</v>
      </c>
      <c r="E215" s="102">
        <f ca="1"/>
        <v>8.6955041834268394E-3</v>
      </c>
      <c r="F215" s="102">
        <f ca="1"/>
        <v>9.7404077812962651E-3</v>
      </c>
      <c r="G215" s="103">
        <f ca="1"/>
        <v>1.029830888421035E-2</v>
      </c>
    </row>
    <row r="216" spans="1:7">
      <c r="A216" s="189"/>
      <c r="B216" s="101">
        <f ca="1"/>
        <v>50123</v>
      </c>
      <c r="C216" s="102">
        <f ca="1"/>
        <v>7.1885768215050475E-3</v>
      </c>
      <c r="D216" s="102">
        <f ca="1"/>
        <v>7.8194711752923481E-3</v>
      </c>
      <c r="E216" s="102">
        <f ca="1"/>
        <v>8.6828693720538055E-3</v>
      </c>
      <c r="F216" s="102">
        <f ca="1"/>
        <v>9.7277908262580395E-3</v>
      </c>
      <c r="G216" s="103">
        <f ca="1"/>
        <v>1.0286023577173786E-2</v>
      </c>
    </row>
    <row r="217" spans="1:7">
      <c r="A217" s="189"/>
      <c r="B217" s="101">
        <f ca="1"/>
        <v>50154</v>
      </c>
      <c r="C217" s="102">
        <f ca="1"/>
        <v>7.1713778910262134E-3</v>
      </c>
      <c r="D217" s="102">
        <f ca="1"/>
        <v>7.8049302077803891E-3</v>
      </c>
      <c r="E217" s="102">
        <f ca="1"/>
        <v>8.6688783080859227E-3</v>
      </c>
      <c r="F217" s="102">
        <f ca="1"/>
        <v>9.7140354607314124E-3</v>
      </c>
      <c r="G217" s="103">
        <f ca="1"/>
        <v>1.0272331855734116E-2</v>
      </c>
    </row>
    <row r="218" spans="1:7">
      <c r="A218" s="189"/>
      <c r="B218" s="101">
        <f ca="1"/>
        <v>50186</v>
      </c>
      <c r="C218" s="102">
        <f ca="1"/>
        <v>7.1544110525987911E-3</v>
      </c>
      <c r="D218" s="102">
        <f ca="1"/>
        <v>7.7903227705753099E-3</v>
      </c>
      <c r="E218" s="102">
        <f ca="1"/>
        <v>8.6544472668375859E-3</v>
      </c>
      <c r="F218" s="102">
        <f ca="1"/>
        <v>9.7000257310723027E-3</v>
      </c>
      <c r="G218" s="103">
        <f ca="1"/>
        <v>1.0258743896319755E-2</v>
      </c>
    </row>
    <row r="219" spans="1:7">
      <c r="A219" s="189"/>
      <c r="B219" s="101">
        <f ca="1"/>
        <v>50215</v>
      </c>
      <c r="C219" s="102">
        <f ca="1"/>
        <v>7.1386456824616418E-3</v>
      </c>
      <c r="D219" s="102">
        <f ca="1"/>
        <v>7.7771861058198617E-3</v>
      </c>
      <c r="E219" s="102">
        <f ca="1"/>
        <v>8.6414362843102513E-3</v>
      </c>
      <c r="F219" s="102">
        <f ca="1"/>
        <v>9.6873419917281808E-3</v>
      </c>
      <c r="G219" s="103">
        <f ca="1"/>
        <v>1.0246355157252252E-2</v>
      </c>
    </row>
    <row r="220" spans="1:7">
      <c r="A220" s="189"/>
      <c r="B220" s="101">
        <f ca="1"/>
        <v>50245</v>
      </c>
      <c r="C220" s="102">
        <f ca="1"/>
        <v>7.1219053515522599E-3</v>
      </c>
      <c r="D220" s="102">
        <f ca="1"/>
        <v>7.7633911072598222E-3</v>
      </c>
      <c r="E220" s="102">
        <f ca="1"/>
        <v>8.6281116137361773E-3</v>
      </c>
      <c r="F220" s="102">
        <f ca="1"/>
        <v>9.6739453473506445E-3</v>
      </c>
      <c r="G220" s="103">
        <f ca="1"/>
        <v>1.0233523161146878E-2</v>
      </c>
    </row>
    <row r="221" spans="1:7">
      <c r="A221" s="189"/>
      <c r="B221" s="101">
        <f ca="1"/>
        <v>50276</v>
      </c>
      <c r="C221" s="102">
        <f ca="1"/>
        <v>7.105405374227926E-3</v>
      </c>
      <c r="D221" s="102">
        <f ca="1"/>
        <v>7.749382454874912E-3</v>
      </c>
      <c r="E221" s="102">
        <f ca="1"/>
        <v>8.614533380242026E-3</v>
      </c>
      <c r="F221" s="102">
        <f ca="1"/>
        <v>9.660388059362689E-3</v>
      </c>
      <c r="G221" s="103">
        <f ca="1"/>
        <v>1.0220642916899614E-2</v>
      </c>
    </row>
    <row r="222" spans="1:7">
      <c r="A222" s="189"/>
      <c r="B222" s="101">
        <f ca="1"/>
        <v>50307</v>
      </c>
      <c r="C222" s="102">
        <f ca="1"/>
        <v>7.0884718446571487E-3</v>
      </c>
      <c r="D222" s="102">
        <f ca="1"/>
        <v>7.7353301887986949E-3</v>
      </c>
      <c r="E222" s="102">
        <f ca="1"/>
        <v>8.6010975966278307E-3</v>
      </c>
      <c r="F222" s="102">
        <f ca="1"/>
        <v>9.6470205226420868E-3</v>
      </c>
      <c r="G222" s="103">
        <f ca="1"/>
        <v>1.0207756190742989E-2</v>
      </c>
    </row>
    <row r="223" spans="1:7">
      <c r="A223" s="189"/>
      <c r="B223" s="101">
        <f ca="1"/>
        <v>50339</v>
      </c>
      <c r="C223" s="102">
        <f ca="1"/>
        <v>7.0709631924424175E-3</v>
      </c>
      <c r="D223" s="102">
        <f ca="1"/>
        <v>7.721214413507837E-3</v>
      </c>
      <c r="E223" s="102">
        <f ca="1"/>
        <v>8.5872971478148166E-3</v>
      </c>
      <c r="F223" s="102">
        <f ca="1"/>
        <v>9.6327534476057675E-3</v>
      </c>
      <c r="G223" s="103">
        <f ca="1"/>
        <v>1.0194581084951304E-2</v>
      </c>
    </row>
    <row r="224" spans="1:7">
      <c r="A224" s="189"/>
      <c r="B224" s="101">
        <f ca="1"/>
        <v>50368</v>
      </c>
      <c r="C224" s="102">
        <f ca="1"/>
        <v>7.0550706148995489E-3</v>
      </c>
      <c r="D224" s="102">
        <f ca="1"/>
        <v>7.7085227002559754E-3</v>
      </c>
      <c r="E224" s="102">
        <f ca="1"/>
        <v>8.5747986419502011E-3</v>
      </c>
      <c r="F224" s="102">
        <f ca="1"/>
        <v>9.6201819983637079E-3</v>
      </c>
      <c r="G224" s="103">
        <f ca="1"/>
        <v>1.0182752850617094E-2</v>
      </c>
    </row>
    <row r="225" spans="1:7">
      <c r="A225" s="189"/>
      <c r="B225" s="101">
        <f ca="1"/>
        <v>50398</v>
      </c>
      <c r="C225" s="102">
        <f ca="1"/>
        <v>7.0377773231395718E-3</v>
      </c>
      <c r="D225" s="102">
        <f ca="1"/>
        <v>7.6950632840654433E-3</v>
      </c>
      <c r="E225" s="102">
        <f ca="1"/>
        <v>8.5619008769837589E-3</v>
      </c>
      <c r="F225" s="102">
        <f ca="1"/>
        <v>9.6068944368869879E-3</v>
      </c>
      <c r="G225" s="103">
        <f ca="1"/>
        <v>1.0170628496402712E-2</v>
      </c>
    </row>
    <row r="226" spans="1:7">
      <c r="A226" s="189"/>
      <c r="B226" s="101">
        <f ca="1"/>
        <v>50430</v>
      </c>
      <c r="C226" s="102">
        <f ca="1"/>
        <v>7.0210124671783664E-3</v>
      </c>
      <c r="D226" s="102">
        <f ca="1"/>
        <v>7.6812399009995921E-3</v>
      </c>
      <c r="E226" s="102">
        <f ca="1"/>
        <v>8.5482285985555885E-3</v>
      </c>
      <c r="F226" s="102">
        <f ca="1"/>
        <v>9.5928244098356617E-3</v>
      </c>
      <c r="G226" s="103">
        <f ca="1"/>
        <v>1.0157821090866825E-2</v>
      </c>
    </row>
    <row r="227" spans="1:7">
      <c r="A227" s="189"/>
      <c r="B227" s="101">
        <f ca="1"/>
        <v>50460</v>
      </c>
      <c r="C227" s="102">
        <f ca="1"/>
        <v>7.0044931567290365E-3</v>
      </c>
      <c r="D227" s="102">
        <f ca="1"/>
        <v>7.6686512180749776E-3</v>
      </c>
      <c r="E227" s="102">
        <f ca="1"/>
        <v>8.5355246899359444E-3</v>
      </c>
      <c r="F227" s="102">
        <f ca="1"/>
        <v>9.5797315508046304E-3</v>
      </c>
      <c r="G227" s="103">
        <f ca="1"/>
        <v>1.0145931613233738E-2</v>
      </c>
    </row>
    <row r="228" spans="1:7">
      <c r="A228" s="189"/>
      <c r="B228" s="101">
        <f ca="1"/>
        <v>50488</v>
      </c>
      <c r="C228" s="102">
        <f ca="1"/>
        <v>6.9890518295599021E-3</v>
      </c>
      <c r="D228" s="102">
        <f ca="1"/>
        <v>7.6557997270073333E-3</v>
      </c>
      <c r="E228" s="102">
        <f ca="1"/>
        <v>8.5237484897004809E-3</v>
      </c>
      <c r="F228" s="102">
        <f ca="1"/>
        <v>9.5671436987605721E-3</v>
      </c>
      <c r="G228" s="103">
        <f ca="1"/>
        <v>1.0134937375978925E-2</v>
      </c>
    </row>
    <row r="229" spans="1:7">
      <c r="A229" s="189"/>
      <c r="B229" s="101">
        <f ca="1"/>
        <v>50522</v>
      </c>
      <c r="C229" s="102">
        <f ca="1"/>
        <v>6.9702714475725703E-3</v>
      </c>
      <c r="D229" s="102">
        <f ca="1"/>
        <v>7.6418146887157149E-3</v>
      </c>
      <c r="E229" s="102">
        <f ca="1"/>
        <v>8.5095113880716573E-3</v>
      </c>
      <c r="F229" s="102">
        <f ca="1"/>
        <v>9.5523004473505434E-3</v>
      </c>
      <c r="G229" s="103">
        <f ca="1"/>
        <v>1.0121720387414879E-2</v>
      </c>
    </row>
    <row r="230" spans="1:7">
      <c r="A230" s="189"/>
      <c r="B230" s="101">
        <f ca="1"/>
        <v>50549</v>
      </c>
      <c r="C230" s="102">
        <f ca="1"/>
        <v>6.9553340044201696E-3</v>
      </c>
      <c r="D230" s="102">
        <f ca="1"/>
        <v>7.6302363499189639E-3</v>
      </c>
      <c r="E230" s="102">
        <f ca="1"/>
        <v>8.4982301017349077E-3</v>
      </c>
      <c r="F230" s="102">
        <f ca="1"/>
        <v>9.5403462944519332E-3</v>
      </c>
      <c r="G230" s="103">
        <f ca="1"/>
        <v>1.011132855418273E-2</v>
      </c>
    </row>
    <row r="231" spans="1:7">
      <c r="A231" s="189"/>
      <c r="B231" s="101">
        <f ca="1"/>
        <v>50580</v>
      </c>
      <c r="C231" s="102">
        <f ca="1"/>
        <v>6.9381578051839182E-3</v>
      </c>
      <c r="D231" s="102">
        <f ca="1"/>
        <v>7.6170562157299206E-3</v>
      </c>
      <c r="E231" s="102">
        <f ca="1"/>
        <v>8.4853198810710476E-3</v>
      </c>
      <c r="F231" s="102">
        <f ca="1"/>
        <v>9.5268288230481567E-3</v>
      </c>
      <c r="G231" s="103">
        <f ca="1"/>
        <v>1.0099510705615433E-2</v>
      </c>
    </row>
    <row r="232" spans="1:7">
      <c r="A232" s="189"/>
      <c r="B232" s="101">
        <f ca="1"/>
        <v>50612</v>
      </c>
      <c r="C232" s="102">
        <f ca="1"/>
        <v>6.9203986533414794E-3</v>
      </c>
      <c r="D232" s="102">
        <f ca="1"/>
        <v>7.6038175423206178E-3</v>
      </c>
      <c r="E232" s="102">
        <f ca="1"/>
        <v>8.4720723264962005E-3</v>
      </c>
      <c r="F232" s="102">
        <f ca="1"/>
        <v>9.5126854616760965E-3</v>
      </c>
      <c r="G232" s="103">
        <f ca="1"/>
        <v>1.0087438878945587E-2</v>
      </c>
    </row>
    <row r="233" spans="1:7">
      <c r="A233" s="189"/>
      <c r="B233" s="101">
        <f ca="1"/>
        <v>50641</v>
      </c>
      <c r="C233" s="102">
        <f ca="1"/>
        <v>6.9042790592497181E-3</v>
      </c>
      <c r="D233" s="102">
        <f ca="1"/>
        <v>7.591792176796004E-3</v>
      </c>
      <c r="E233" s="102">
        <f ca="1"/>
        <v>8.4601595156318741E-3</v>
      </c>
      <c r="F233" s="102">
        <f ca="1"/>
        <v>9.499957879083679E-3</v>
      </c>
      <c r="G233" s="103">
        <f ca="1"/>
        <v>1.0076610405111097E-2</v>
      </c>
    </row>
    <row r="234" spans="1:7">
      <c r="A234" s="189"/>
      <c r="B234" s="101">
        <f ca="1"/>
        <v>50672</v>
      </c>
      <c r="C234" s="102">
        <f ca="1"/>
        <v>6.8865938296900023E-3</v>
      </c>
      <c r="D234" s="102">
        <f ca="1"/>
        <v>7.5790320598518625E-3</v>
      </c>
      <c r="E234" s="102">
        <f ca="1"/>
        <v>8.4475237858889253E-3</v>
      </c>
      <c r="F234" s="102">
        <f ca="1"/>
        <v>9.4866447504819464E-3</v>
      </c>
      <c r="G234" s="103">
        <f ca="1"/>
        <v>1.0065069141244489E-2</v>
      </c>
    </row>
    <row r="235" spans="1:7">
      <c r="A235" s="189"/>
      <c r="B235" s="101">
        <f ca="1"/>
        <v>50703</v>
      </c>
      <c r="C235" s="102">
        <f ca="1"/>
        <v>6.8697355662903142E-3</v>
      </c>
      <c r="D235" s="102">
        <f ca="1"/>
        <v>7.566369679551088E-3</v>
      </c>
      <c r="E235" s="102">
        <f ca="1"/>
        <v>8.4349845657690232E-3</v>
      </c>
      <c r="F235" s="102">
        <f ca="1"/>
        <v>9.4729511372160253E-3</v>
      </c>
      <c r="G235" s="103">
        <f ca="1"/>
        <v>1.0053815715568071E-2</v>
      </c>
    </row>
    <row r="236" spans="1:7">
      <c r="A236" s="189"/>
      <c r="B236" s="101">
        <f ca="1"/>
        <v>50733</v>
      </c>
      <c r="C236" s="102">
        <f ca="1"/>
        <v>6.8529814128057438E-3</v>
      </c>
      <c r="D236" s="102">
        <f ca="1"/>
        <v>7.5543323339572217E-3</v>
      </c>
      <c r="E236" s="102">
        <f ca="1"/>
        <v>8.4229356949369217E-3</v>
      </c>
      <c r="F236" s="102">
        <f ca="1"/>
        <v>9.4598926692523195E-3</v>
      </c>
      <c r="G236" s="103">
        <f ca="1"/>
        <v>1.0042960021584113E-2</v>
      </c>
    </row>
    <row r="237" spans="1:7">
      <c r="A237" s="189"/>
      <c r="B237" s="101">
        <f ca="1"/>
        <v>50763</v>
      </c>
      <c r="C237" s="102">
        <f ca="1"/>
        <v>6.8353378152250233E-3</v>
      </c>
      <c r="D237" s="102">
        <f ca="1"/>
        <v>7.5421394948595915E-3</v>
      </c>
      <c r="E237" s="102">
        <f ca="1"/>
        <v>8.4109621645875945E-3</v>
      </c>
      <c r="F237" s="102">
        <f ca="1"/>
        <v>9.4466441554983682E-3</v>
      </c>
      <c r="G237" s="103">
        <f ca="1"/>
        <v>1.0032070556160422E-2</v>
      </c>
    </row>
    <row r="238" spans="1:7">
      <c r="A238" s="189"/>
      <c r="B238" s="101">
        <f ca="1"/>
        <v>50794</v>
      </c>
      <c r="C238" s="102">
        <f ca="1"/>
        <v>6.8188350287110202E-3</v>
      </c>
      <c r="D238" s="102">
        <f ca="1"/>
        <v>7.5297640170516548E-3</v>
      </c>
      <c r="E238" s="102">
        <f ca="1"/>
        <v>8.398658210362878E-3</v>
      </c>
      <c r="F238" s="102">
        <f ca="1"/>
        <v>9.4330576924962373E-3</v>
      </c>
      <c r="G238" s="103">
        <f ca="1"/>
        <v>1.0021236507290476E-2</v>
      </c>
    </row>
    <row r="239" spans="1:7">
      <c r="A239" s="189"/>
      <c r="B239" s="101">
        <f ca="1"/>
        <v>50825</v>
      </c>
      <c r="C239" s="102">
        <f ca="1"/>
        <v>6.8014410682490515E-3</v>
      </c>
      <c r="D239" s="102">
        <f ca="1"/>
        <v>7.5178451329863463E-3</v>
      </c>
      <c r="E239" s="102">
        <f ca="1"/>
        <v>8.3864151965929341E-3</v>
      </c>
      <c r="F239" s="102">
        <f ca="1"/>
        <v>9.4195725908236324E-3</v>
      </c>
      <c r="G239" s="103">
        <f ca="1"/>
        <v>1.0010374105292152E-2</v>
      </c>
    </row>
    <row r="240" spans="1:7">
      <c r="A240" s="189"/>
      <c r="B240" s="101">
        <f ca="1"/>
        <v>50853</v>
      </c>
      <c r="C240" s="102">
        <f ca="1"/>
        <v>6.7857066872109668E-3</v>
      </c>
      <c r="D240" s="102">
        <f ca="1"/>
        <v>7.5063623379629692E-3</v>
      </c>
      <c r="E240" s="102">
        <f ca="1"/>
        <v>8.3754080382471719E-3</v>
      </c>
      <c r="F240" s="102">
        <f ca="1"/>
        <v>9.4068182451232819E-3</v>
      </c>
      <c r="G240" s="103">
        <f ca="1"/>
        <v>1.0000558028064316E-2</v>
      </c>
    </row>
    <row r="241" spans="1:7">
      <c r="A241" s="189"/>
      <c r="B241" s="101">
        <f ca="1"/>
        <v>50885</v>
      </c>
      <c r="C241" s="102">
        <f ca="1"/>
        <v>6.7676970333006561E-3</v>
      </c>
      <c r="D241" s="102">
        <f ca="1"/>
        <v>7.4941175714191193E-3</v>
      </c>
      <c r="E241" s="102">
        <f ca="1"/>
        <v>8.3628880754385362E-3</v>
      </c>
      <c r="F241" s="102">
        <f ca="1"/>
        <v>9.3930981992171401E-3</v>
      </c>
      <c r="G241" s="103">
        <f ca="1"/>
        <v>9.9896140136660309E-3</v>
      </c>
    </row>
    <row r="242" spans="1:7">
      <c r="A242" s="189"/>
      <c r="B242" s="101">
        <f ca="1"/>
        <v>50914</v>
      </c>
      <c r="C242" s="102">
        <f ca="1"/>
        <v>6.7513504241276112E-3</v>
      </c>
      <c r="D242" s="102">
        <f ca="1"/>
        <v>7.4827803570279719E-3</v>
      </c>
      <c r="E242" s="102">
        <f ca="1"/>
        <v>8.3515986332887218E-3</v>
      </c>
      <c r="F242" s="102">
        <f ca="1"/>
        <v>9.3803031562962429E-3</v>
      </c>
      <c r="G242" s="103">
        <f ca="1"/>
        <v>9.979713497067156E-3</v>
      </c>
    </row>
    <row r="243" spans="1:7">
      <c r="A243" s="189"/>
      <c r="B243" s="101">
        <f ca="1"/>
        <v>50945</v>
      </c>
      <c r="C243" s="102">
        <f ca="1"/>
        <v>6.7334089839629577E-3</v>
      </c>
      <c r="D243" s="102">
        <f ca="1"/>
        <v>7.470880942380926E-3</v>
      </c>
      <c r="E243" s="102">
        <f ca="1"/>
        <v>8.3395994027505652E-3</v>
      </c>
      <c r="F243" s="102">
        <f ca="1"/>
        <v>9.3664379476315722E-3</v>
      </c>
      <c r="G243" s="103">
        <f ca="1"/>
        <v>9.9691672921997168E-3</v>
      </c>
    </row>
    <row r="244" spans="1:7">
      <c r="A244" s="189"/>
      <c r="B244" s="101">
        <f ca="1"/>
        <v>50976</v>
      </c>
      <c r="C244" s="102">
        <f ca="1"/>
        <v>6.7163216042286323E-3</v>
      </c>
      <c r="D244" s="102">
        <f ca="1"/>
        <v>7.4590792616785638E-3</v>
      </c>
      <c r="E244" s="102">
        <f ca="1"/>
        <v>8.3276825641455318E-3</v>
      </c>
      <c r="F244" s="102">
        <f ca="1"/>
        <v>9.3531691525602697E-3</v>
      </c>
      <c r="G244" s="103">
        <f ca="1"/>
        <v>9.9587419234992199E-3</v>
      </c>
    </row>
    <row r="245" spans="1:7">
      <c r="A245" s="189"/>
      <c r="B245" s="101">
        <f ca="1"/>
        <v>51006</v>
      </c>
      <c r="C245" s="102">
        <f ca="1"/>
        <v>6.6993326105632542E-3</v>
      </c>
      <c r="D245" s="102">
        <f ca="1"/>
        <v>7.447527781535259E-3</v>
      </c>
      <c r="E245" s="102">
        <f ca="1"/>
        <v>8.3162376430226548E-3</v>
      </c>
      <c r="F245" s="102">
        <f ca="1"/>
        <v>9.3400448336213877E-3</v>
      </c>
      <c r="G245" s="103">
        <f ca="1"/>
        <v>9.9486656923976364E-3</v>
      </c>
    </row>
    <row r="246" spans="1:7">
      <c r="A246" s="189"/>
      <c r="B246" s="101">
        <f ca="1"/>
        <v>51039</v>
      </c>
      <c r="C246" s="102">
        <f ca="1"/>
        <v>6.6806148617814297E-3</v>
      </c>
      <c r="D246" s="102">
        <f ca="1"/>
        <v>7.4355067259789251E-3</v>
      </c>
      <c r="E246" s="102">
        <f ca="1"/>
        <v>8.3037492639968617E-3</v>
      </c>
      <c r="F246" s="102">
        <f ca="1"/>
        <v>9.3258094781997376E-3</v>
      </c>
      <c r="G246" s="103">
        <f ca="1"/>
        <v>9.9376167079834928E-3</v>
      </c>
    </row>
    <row r="247" spans="1:7">
      <c r="A247" s="189"/>
      <c r="B247" s="101">
        <f ca="1"/>
        <v>51067</v>
      </c>
      <c r="C247" s="102">
        <f ca="1"/>
        <v>6.6647086522627933E-3</v>
      </c>
      <c r="D247" s="102">
        <f ca="1"/>
        <v>7.4250001536414071E-3</v>
      </c>
      <c r="E247" s="102">
        <f ca="1"/>
        <v>8.2932355977487996E-3</v>
      </c>
      <c r="F247" s="102">
        <f ca="1"/>
        <v>9.3134623091260527E-3</v>
      </c>
      <c r="G247" s="103">
        <f ca="1"/>
        <v>9.9282591438112754E-3</v>
      </c>
    </row>
    <row r="248" spans="1:7">
      <c r="A248" s="189"/>
      <c r="B248" s="101">
        <f ca="1"/>
        <v>51098</v>
      </c>
      <c r="C248" s="102">
        <f ca="1"/>
        <v>6.6470720115182876E-3</v>
      </c>
      <c r="D248" s="102">
        <f ca="1"/>
        <v>7.4132597592728765E-3</v>
      </c>
      <c r="E248" s="102">
        <f ca="1"/>
        <v>8.2816737006697217E-3</v>
      </c>
      <c r="F248" s="102">
        <f ca="1"/>
        <v>9.3000013634830132E-3</v>
      </c>
      <c r="G248" s="103">
        <f ca="1"/>
        <v>9.9178384931025224E-3</v>
      </c>
    </row>
    <row r="249" spans="1:7">
      <c r="A249" s="189"/>
      <c r="B249" s="101">
        <f ca="1"/>
        <v>51132</v>
      </c>
      <c r="C249" s="102">
        <f ca="1"/>
        <v>6.6276969819464493E-3</v>
      </c>
      <c r="D249" s="102">
        <f ca="1"/>
        <v>7.4009607226799548E-3</v>
      </c>
      <c r="E249" s="102">
        <f ca="1"/>
        <v>8.2690298235118861E-3</v>
      </c>
      <c r="F249" s="102">
        <f ca="1"/>
        <v>9.2850225544460988E-3</v>
      </c>
      <c r="G249" s="103">
        <f ca="1"/>
        <v>9.9065418820090071E-3</v>
      </c>
    </row>
    <row r="250" spans="1:7">
      <c r="A250" s="189"/>
      <c r="B250" s="101">
        <f ca="1"/>
        <v>51159</v>
      </c>
      <c r="C250" s="102">
        <f ca="1"/>
        <v>6.6122874522319842E-3</v>
      </c>
      <c r="D250" s="102">
        <f ca="1"/>
        <v>7.3913745052028666E-3</v>
      </c>
      <c r="E250" s="102">
        <f ca="1"/>
        <v>8.258967125084192E-3</v>
      </c>
      <c r="F250" s="102">
        <f ca="1"/>
        <v>9.2733039955646048E-3</v>
      </c>
      <c r="G250" s="103">
        <f ca="1"/>
        <v>9.8975013067880424E-3</v>
      </c>
    </row>
    <row r="251" spans="1:7">
      <c r="A251" s="189"/>
      <c r="B251" s="101">
        <f ca="1"/>
        <v>51190</v>
      </c>
      <c r="C251" s="102">
        <f ca="1"/>
        <v>6.5942476307406517E-3</v>
      </c>
      <c r="D251" s="102">
        <f ca="1"/>
        <v>7.3800786117587348E-3</v>
      </c>
      <c r="E251" s="102">
        <f ca="1"/>
        <v>8.2473453708326698E-3</v>
      </c>
      <c r="F251" s="102">
        <f ca="1"/>
        <v>9.259726560592622E-3</v>
      </c>
      <c r="G251" s="103">
        <f ca="1"/>
        <v>9.8870574473129864E-3</v>
      </c>
    </row>
    <row r="252" spans="1:7">
      <c r="A252" s="189"/>
      <c r="B252" s="101">
        <f ca="1"/>
        <v>51221</v>
      </c>
      <c r="C252" s="102">
        <f ca="1"/>
        <v>6.5773091045614514E-3</v>
      </c>
      <c r="D252" s="102">
        <f ca="1"/>
        <v>7.3687115661271643E-3</v>
      </c>
      <c r="E252" s="102">
        <f ca="1"/>
        <v>8.2356426891637309E-3</v>
      </c>
      <c r="F252" s="102">
        <f ca="1"/>
        <v>9.2459368680724782E-3</v>
      </c>
      <c r="G252" s="103">
        <f ca="1"/>
        <v>9.8766894780748515E-3</v>
      </c>
    </row>
    <row r="253" spans="1:7">
      <c r="A253" s="189"/>
      <c r="B253" s="101">
        <f ca="1"/>
        <v>51250</v>
      </c>
      <c r="C253" s="102">
        <f ca="1"/>
        <v>6.5612392973535688E-3</v>
      </c>
      <c r="D253" s="102">
        <f ca="1"/>
        <v>7.3581244770015725E-3</v>
      </c>
      <c r="E253" s="102">
        <f ca="1"/>
        <v>8.2246217082393557E-3</v>
      </c>
      <c r="F253" s="102">
        <f ca="1"/>
        <v>9.233323509770134E-3</v>
      </c>
      <c r="G253" s="103">
        <f ca="1"/>
        <v>9.866894749798405E-3</v>
      </c>
    </row>
    <row r="254" spans="1:7">
      <c r="A254" s="189"/>
      <c r="B254" s="101">
        <f ca="1"/>
        <v>51280</v>
      </c>
      <c r="C254" s="102">
        <f ca="1"/>
        <v>6.5448103822781612E-3</v>
      </c>
      <c r="D254" s="102">
        <f ca="1"/>
        <v>7.3467685577246989E-3</v>
      </c>
      <c r="E254" s="102">
        <f ca="1"/>
        <v>8.2131472605227237E-3</v>
      </c>
      <c r="F254" s="102">
        <f ca="1"/>
        <v>9.2198525562835216E-3</v>
      </c>
      <c r="G254" s="103">
        <f ca="1"/>
        <v>9.8567328994363379E-3</v>
      </c>
    </row>
    <row r="255" spans="1:7">
      <c r="A255" s="189"/>
      <c r="B255" s="101">
        <f ca="1"/>
        <v>51312</v>
      </c>
      <c r="C255" s="102">
        <f ca="1"/>
        <v>6.5275045063991535E-3</v>
      </c>
      <c r="D255" s="102">
        <f ca="1"/>
        <v>7.3350465670851336E-3</v>
      </c>
      <c r="E255" s="102">
        <f ca="1"/>
        <v>8.2008321907126105E-3</v>
      </c>
      <c r="F255" s="102">
        <f ca="1"/>
        <v>9.2059085909112839E-3</v>
      </c>
      <c r="G255" s="103">
        <f ca="1"/>
        <v>9.8458607010440957E-3</v>
      </c>
    </row>
    <row r="256" spans="1:7">
      <c r="A256" s="189"/>
      <c r="B256" s="101">
        <f ca="1"/>
        <v>51341</v>
      </c>
      <c r="C256" s="102">
        <f ca="1"/>
        <v>6.5120162167920737E-3</v>
      </c>
      <c r="D256" s="102">
        <f ca="1"/>
        <v>7.3240393029544246E-3</v>
      </c>
      <c r="E256" s="102">
        <f ca="1"/>
        <v>8.1896112407172962E-3</v>
      </c>
      <c r="F256" s="102">
        <f ca="1"/>
        <v>9.1932755421282545E-3</v>
      </c>
      <c r="G256" s="103">
        <f ca="1"/>
        <v>9.835978473833773E-3</v>
      </c>
    </row>
    <row r="257" spans="1:7">
      <c r="A257" s="189"/>
      <c r="B257" s="101">
        <f ca="1"/>
        <v>51372</v>
      </c>
      <c r="C257" s="102">
        <f ca="1"/>
        <v>6.4950523173018934E-3</v>
      </c>
      <c r="D257" s="102">
        <f ca="1"/>
        <v>7.3123256802678427E-3</v>
      </c>
      <c r="E257" s="102">
        <f ca="1"/>
        <v>8.1775617294805106E-3</v>
      </c>
      <c r="F257" s="102">
        <f ca="1"/>
        <v>9.1795484206205601E-3</v>
      </c>
      <c r="G257" s="103">
        <f ca="1"/>
        <v>9.8252628682041886E-3</v>
      </c>
    </row>
    <row r="258" spans="1:7">
      <c r="A258" s="189"/>
      <c r="B258" s="101">
        <f ca="1"/>
        <v>51403</v>
      </c>
      <c r="C258" s="102">
        <f ca="1"/>
        <v>6.4795246229428557E-3</v>
      </c>
      <c r="D258" s="102">
        <f ca="1"/>
        <v>7.3006587373210001E-3</v>
      </c>
      <c r="E258" s="102">
        <f ca="1"/>
        <v>8.1654699873039433E-3</v>
      </c>
      <c r="F258" s="102">
        <f ca="1"/>
        <v>9.1662332751835801E-3</v>
      </c>
      <c r="G258" s="103">
        <f ca="1"/>
        <v>9.8147576427081162E-3</v>
      </c>
    </row>
    <row r="259" spans="1:7">
      <c r="A259" s="189"/>
      <c r="B259" s="101">
        <f ca="1"/>
        <v>51433</v>
      </c>
      <c r="C259" s="102">
        <f ca="1"/>
        <v>6.4641071435607997E-3</v>
      </c>
      <c r="D259" s="102">
        <f ca="1"/>
        <v>7.2888301069540503E-3</v>
      </c>
      <c r="E259" s="102">
        <f ca="1"/>
        <v>8.1537430167163728E-3</v>
      </c>
      <c r="F259" s="102">
        <f ca="1"/>
        <v>9.1530367139334677E-3</v>
      </c>
      <c r="G259" s="103">
        <f ca="1"/>
        <v>9.8044439152886742E-3</v>
      </c>
    </row>
    <row r="260" spans="1:7">
      <c r="A260" s="189"/>
      <c r="B260" s="101">
        <f ca="1"/>
        <v>51466</v>
      </c>
      <c r="C260" s="102">
        <f ca="1"/>
        <v>6.4473769433045182E-3</v>
      </c>
      <c r="D260" s="102">
        <f ca="1"/>
        <v>7.2763719783650298E-3</v>
      </c>
      <c r="E260" s="102">
        <f ca="1"/>
        <v>8.1408200305091282E-3</v>
      </c>
      <c r="F260" s="102">
        <f ca="1"/>
        <v>9.1384063436369817E-3</v>
      </c>
      <c r="G260" s="103">
        <f ca="1"/>
        <v>9.7930645289563412E-3</v>
      </c>
    </row>
    <row r="261" spans="1:7">
      <c r="A261" s="189"/>
      <c r="B261" s="101">
        <f ca="1"/>
        <v>51494</v>
      </c>
      <c r="C261" s="102">
        <f ca="1"/>
        <v>6.4329859608031016E-3</v>
      </c>
      <c r="D261" s="102">
        <f ca="1"/>
        <v>7.2655359082238096E-3</v>
      </c>
      <c r="E261" s="102">
        <f ca="1"/>
        <v>8.1298062407227853E-3</v>
      </c>
      <c r="F261" s="102">
        <f ca="1"/>
        <v>9.1261820161349719E-3</v>
      </c>
      <c r="G261" s="103">
        <f ca="1"/>
        <v>9.7833811546286231E-3</v>
      </c>
    </row>
    <row r="262" spans="1:7">
      <c r="A262" s="189"/>
      <c r="B262" s="101">
        <f ca="1"/>
        <v>51525</v>
      </c>
      <c r="C262" s="102">
        <f ca="1"/>
        <v>6.41806321528012E-3</v>
      </c>
      <c r="D262" s="102">
        <f ca="1"/>
        <v>7.2533478066657362E-3</v>
      </c>
      <c r="E262" s="102">
        <f ca="1"/>
        <v>8.1175192247030393E-3</v>
      </c>
      <c r="F262" s="102">
        <f ca="1"/>
        <v>9.1126302989302816E-3</v>
      </c>
      <c r="G262" s="103">
        <f ca="1"/>
        <v>9.7726301783362945E-3</v>
      </c>
    </row>
    <row r="263" spans="1:7">
      <c r="A263" s="189"/>
      <c r="B263" s="101">
        <f ca="1"/>
        <v>51557</v>
      </c>
      <c r="C263" s="102">
        <f ca="1"/>
        <v>6.4024852059898288E-3</v>
      </c>
      <c r="D263" s="102">
        <f ca="1"/>
        <v>7.2413165823082132E-3</v>
      </c>
      <c r="E263" s="102">
        <f ca="1"/>
        <v>8.104702365583796E-3</v>
      </c>
      <c r="F263" s="102">
        <f ca="1"/>
        <v>9.0983089272354389E-3</v>
      </c>
      <c r="G263" s="103">
        <f ca="1"/>
        <v>9.7614992499017728E-3</v>
      </c>
    </row>
    <row r="264" spans="1:7">
      <c r="A264" s="189"/>
      <c r="B264" s="101">
        <f ca="1"/>
        <v>51585</v>
      </c>
      <c r="C264" s="102">
        <f ca="1"/>
        <v>6.3890393352746336E-3</v>
      </c>
      <c r="D264" s="102">
        <f ca="1"/>
        <v>7.2299178046324316E-3</v>
      </c>
      <c r="E264" s="102">
        <f ca="1"/>
        <v>8.0933927905552649E-3</v>
      </c>
      <c r="F264" s="102">
        <f ca="1"/>
        <v>9.085850426645883E-3</v>
      </c>
      <c r="G264" s="103">
        <f ca="1"/>
        <v>9.7517320641127281E-3</v>
      </c>
    </row>
    <row r="265" spans="1:7">
      <c r="A265" s="189"/>
      <c r="B265" s="101">
        <f ca="1"/>
        <v>51615</v>
      </c>
      <c r="C265" s="102">
        <f ca="1"/>
        <v>6.3748250120745434E-3</v>
      </c>
      <c r="D265" s="102">
        <f ca="1"/>
        <v>7.2181685142291511E-3</v>
      </c>
      <c r="E265" s="102">
        <f ca="1"/>
        <v>8.0812050441188901E-3</v>
      </c>
      <c r="F265" s="102">
        <f ca="1"/>
        <v>9.0727185558741805E-3</v>
      </c>
      <c r="G265" s="103">
        <f ca="1"/>
        <v>9.7412386044382071E-3</v>
      </c>
    </row>
    <row r="266" spans="1:7">
      <c r="A266" s="189"/>
      <c r="B266" s="101">
        <f ca="1"/>
        <v>51645</v>
      </c>
      <c r="C266" s="102">
        <f ca="1"/>
        <v>6.3602797681309069E-3</v>
      </c>
      <c r="D266" s="102">
        <f ca="1"/>
        <v>7.2060979531873839E-3</v>
      </c>
      <c r="E266" s="102">
        <f ca="1"/>
        <v>8.0689669310798854E-3</v>
      </c>
      <c r="F266" s="102">
        <f ca="1"/>
        <v>9.0592544183375426E-3</v>
      </c>
      <c r="G266" s="103">
        <f ca="1"/>
        <v>9.7305734094344926E-3</v>
      </c>
    </row>
    <row r="267" spans="1:7">
      <c r="A267" s="189"/>
      <c r="B267" s="101">
        <f ca="1"/>
        <v>51676</v>
      </c>
      <c r="C267" s="102">
        <f ca="1"/>
        <v>6.3465338846231904E-3</v>
      </c>
      <c r="D267" s="102">
        <f ca="1"/>
        <v>7.1938166589701393E-3</v>
      </c>
      <c r="E267" s="102">
        <f ca="1"/>
        <v>8.0562678123575933E-3</v>
      </c>
      <c r="F267" s="102">
        <f ca="1"/>
        <v>9.0457761720475326E-3</v>
      </c>
      <c r="G267" s="103">
        <f ca="1"/>
        <v>9.7198105741880259E-3</v>
      </c>
    </row>
    <row r="268" spans="1:7">
      <c r="A268" s="189"/>
      <c r="B268" s="101">
        <f ca="1"/>
        <v>51706</v>
      </c>
      <c r="C268" s="102">
        <f ca="1"/>
        <v>6.3329211494869636E-3</v>
      </c>
      <c r="D268" s="102">
        <f ca="1"/>
        <v>7.1812134648734233E-3</v>
      </c>
      <c r="E268" s="102">
        <f ca="1"/>
        <v>8.0439209571027456E-3</v>
      </c>
      <c r="F268" s="102">
        <f ca="1"/>
        <v>9.0324055410268191E-3</v>
      </c>
      <c r="G268" s="103">
        <f ca="1"/>
        <v>9.7092272675474156E-3</v>
      </c>
    </row>
    <row r="269" spans="1:7">
      <c r="A269" s="189"/>
      <c r="B269" s="101">
        <f ca="1"/>
        <v>51740</v>
      </c>
      <c r="C269" s="102">
        <f ca="1"/>
        <v>6.3177330891979605E-3</v>
      </c>
      <c r="D269" s="102">
        <f ca="1"/>
        <v>7.1678380956286336E-3</v>
      </c>
      <c r="E269" s="102">
        <f ca="1"/>
        <v>8.0298585372527605E-3</v>
      </c>
      <c r="F269" s="102">
        <f ca="1"/>
        <v>9.0173673761399977E-3</v>
      </c>
      <c r="G269" s="103">
        <f ca="1"/>
        <v>9.6971970280927966E-3</v>
      </c>
    </row>
    <row r="270" spans="1:7">
      <c r="A270" s="189"/>
      <c r="B270" s="101">
        <f ca="1"/>
        <v>51768</v>
      </c>
      <c r="C270" s="102">
        <f ca="1"/>
        <v>6.3054163409133439E-3</v>
      </c>
      <c r="D270" s="102">
        <f ca="1"/>
        <v>7.1565682114254495E-3</v>
      </c>
      <c r="E270" s="102">
        <f ca="1"/>
        <v>8.0182386763592798E-3</v>
      </c>
      <c r="F270" s="102">
        <f ca="1"/>
        <v>9.0053077663941258E-3</v>
      </c>
      <c r="G270" s="103">
        <f ca="1"/>
        <v>9.687261184117002E-3</v>
      </c>
    </row>
    <row r="271" spans="1:7">
      <c r="A271" s="189"/>
      <c r="B271" s="101">
        <f ca="1"/>
        <v>51798</v>
      </c>
      <c r="C271" s="102">
        <f ca="1"/>
        <v>6.292411802281829E-3</v>
      </c>
      <c r="D271" s="102">
        <f ca="1"/>
        <v>7.1440153706712629E-3</v>
      </c>
      <c r="E271" s="102">
        <f ca="1"/>
        <v>8.005769970283785E-3</v>
      </c>
      <c r="F271" s="102">
        <f ca="1"/>
        <v>8.9919151194495905E-3</v>
      </c>
      <c r="G271" s="103">
        <f ca="1"/>
        <v>9.6765869766290979E-3</v>
      </c>
    </row>
    <row r="272" spans="1:7">
      <c r="A272" s="189"/>
      <c r="B272" s="101">
        <f ca="1"/>
        <v>51830</v>
      </c>
      <c r="C272" s="102">
        <f ca="1"/>
        <v>6.2787588617958827E-3</v>
      </c>
      <c r="D272" s="102">
        <f ca="1"/>
        <v>7.1308385469281924E-3</v>
      </c>
      <c r="E272" s="102">
        <f ca="1"/>
        <v>7.9924572787767201E-3</v>
      </c>
      <c r="F272" s="102">
        <f ca="1"/>
        <v>8.9776283163751826E-3</v>
      </c>
      <c r="G272" s="103">
        <f ca="1"/>
        <v>9.6651684688688899E-3</v>
      </c>
    </row>
    <row r="273" spans="1:7">
      <c r="A273" s="189"/>
      <c r="B273" s="101">
        <f ca="1"/>
        <v>51859</v>
      </c>
      <c r="C273" s="102">
        <f ca="1"/>
        <v>6.2662715798417401E-3</v>
      </c>
      <c r="D273" s="102">
        <f ca="1"/>
        <v>7.1189698936037537E-3</v>
      </c>
      <c r="E273" s="102">
        <f ca="1"/>
        <v>7.9803444604279704E-3</v>
      </c>
      <c r="F273" s="102">
        <f ca="1"/>
        <v>8.9648864095412881E-3</v>
      </c>
      <c r="G273" s="103">
        <f ca="1"/>
        <v>9.6547912958038218E-3</v>
      </c>
    </row>
    <row r="274" spans="1:7">
      <c r="A274" s="189"/>
      <c r="B274" s="101">
        <f ca="1"/>
        <v>51890</v>
      </c>
      <c r="C274" s="102">
        <f ca="1"/>
        <v>6.2534649977506497E-3</v>
      </c>
      <c r="D274" s="102">
        <f ca="1"/>
        <v>7.106067390169165E-3</v>
      </c>
      <c r="E274" s="102">
        <f ca="1"/>
        <v>7.9672949049557473E-3</v>
      </c>
      <c r="F274" s="102">
        <f ca="1"/>
        <v>8.9512516739379266E-3</v>
      </c>
      <c r="G274" s="103">
        <f ca="1"/>
        <v>9.6435603962082145E-3</v>
      </c>
    </row>
    <row r="275" spans="1:7">
      <c r="A275" s="189"/>
      <c r="B275" s="101">
        <f ca="1"/>
        <v>51921</v>
      </c>
      <c r="C275" s="102">
        <f ca="1"/>
        <v>6.2411663453472354E-3</v>
      </c>
      <c r="D275" s="102">
        <f ca="1"/>
        <v>7.0935169281764457E-3</v>
      </c>
      <c r="E275" s="102">
        <f ca="1"/>
        <v>7.9541051432504874E-3</v>
      </c>
      <c r="F275" s="102">
        <f ca="1"/>
        <v>8.9372720405199429E-3</v>
      </c>
      <c r="G275" s="103">
        <f ca="1"/>
        <v>9.6325126195868638E-3</v>
      </c>
    </row>
    <row r="276" spans="1:7">
      <c r="A276" s="189"/>
      <c r="B276" s="101">
        <f ca="1"/>
        <v>51949</v>
      </c>
      <c r="C276" s="102">
        <f ca="1"/>
        <v>6.2299663981894441E-3</v>
      </c>
      <c r="D276" s="102">
        <f ca="1"/>
        <v>7.0813144510762892E-3</v>
      </c>
      <c r="E276" s="102">
        <f ca="1"/>
        <v>7.9420948495118777E-3</v>
      </c>
      <c r="F276" s="102">
        <f ca="1"/>
        <v>8.9247285060818585E-3</v>
      </c>
      <c r="G276" s="103">
        <f ca="1"/>
        <v>9.6224097403390108E-3</v>
      </c>
    </row>
    <row r="277" spans="1:7">
      <c r="A277" s="189"/>
      <c r="B277" s="101">
        <f ca="1"/>
        <v>51980</v>
      </c>
      <c r="C277" s="102">
        <f ca="1"/>
        <v>6.2177682151835492E-3</v>
      </c>
      <c r="D277" s="102">
        <f ca="1"/>
        <v>7.0679177728531113E-3</v>
      </c>
      <c r="E277" s="102">
        <f ca="1"/>
        <v>7.9287320337099749E-3</v>
      </c>
      <c r="F277" s="102">
        <f ca="1"/>
        <v>8.9110724022272696E-3</v>
      </c>
      <c r="G277" s="103">
        <f ca="1"/>
        <v>9.6111942610366263E-3</v>
      </c>
    </row>
    <row r="278" spans="1:7">
      <c r="A278" s="189"/>
      <c r="B278" s="101">
        <f ca="1"/>
        <v>52013</v>
      </c>
      <c r="C278" s="102">
        <f ca="1"/>
        <v>6.2050157218214259E-3</v>
      </c>
      <c r="D278" s="102">
        <f ca="1"/>
        <v>7.0541724070878479E-3</v>
      </c>
      <c r="E278" s="102">
        <f ca="1"/>
        <v>7.9144635167570834E-3</v>
      </c>
      <c r="F278" s="102">
        <f ca="1"/>
        <v>8.8962923586469646E-3</v>
      </c>
      <c r="G278" s="103">
        <f ca="1"/>
        <v>9.5992203915367114E-3</v>
      </c>
    </row>
    <row r="279" spans="1:7">
      <c r="A279" s="189"/>
      <c r="B279" s="101">
        <f ca="1"/>
        <v>52041</v>
      </c>
      <c r="C279" s="102">
        <f ca="1"/>
        <v>6.1943834165008099E-3</v>
      </c>
      <c r="D279" s="102">
        <f ca="1"/>
        <v>7.0423489293882056E-3</v>
      </c>
      <c r="E279" s="102">
        <f ca="1"/>
        <v>7.9022996804009888E-3</v>
      </c>
      <c r="F279" s="102">
        <f ca="1"/>
        <v>8.8839560335953853E-3</v>
      </c>
      <c r="G279" s="103">
        <f ca="1"/>
        <v>9.5890325951526467E-3</v>
      </c>
    </row>
    <row r="280" spans="1:7">
      <c r="A280" s="189"/>
      <c r="B280" s="101">
        <f ca="1"/>
        <v>52071</v>
      </c>
      <c r="C280" s="102">
        <f ca="1"/>
        <v>6.1831836190355599E-3</v>
      </c>
      <c r="D280" s="102">
        <f ca="1"/>
        <v>7.0290171408844632E-3</v>
      </c>
      <c r="E280" s="102">
        <f ca="1"/>
        <v>7.8891744423118925E-3</v>
      </c>
      <c r="F280" s="102">
        <f ca="1"/>
        <v>8.8702644212980963E-3</v>
      </c>
      <c r="G280" s="103">
        <f ca="1"/>
        <v>9.5780884248382048E-3</v>
      </c>
    </row>
    <row r="281" spans="1:7">
      <c r="A281" s="189"/>
      <c r="B281" s="101">
        <f ca="1"/>
        <v>52104</v>
      </c>
      <c r="C281" s="102">
        <f ca="1"/>
        <v>6.1710928728515571E-3</v>
      </c>
      <c r="D281" s="102">
        <f ca="1"/>
        <v>7.0150576918926975E-3</v>
      </c>
      <c r="E281" s="102">
        <f ca="1"/>
        <v>7.8746083878033918E-3</v>
      </c>
      <c r="F281" s="102">
        <f ca="1"/>
        <v>8.8558045960609542E-3</v>
      </c>
      <c r="G281" s="103">
        <f ca="1"/>
        <v>9.5660155803791724E-3</v>
      </c>
    </row>
    <row r="282" spans="1:7">
      <c r="A282" s="189"/>
      <c r="B282" s="101">
        <f ca="1"/>
        <v>52133</v>
      </c>
      <c r="C282" s="102">
        <f ca="1"/>
        <v>6.1606655742603121E-3</v>
      </c>
      <c r="D282" s="102">
        <f ca="1"/>
        <v>7.0026144371288773E-3</v>
      </c>
      <c r="E282" s="102">
        <f ca="1"/>
        <v>7.8617515291807046E-3</v>
      </c>
      <c r="F282" s="102">
        <f ca="1"/>
        <v>8.8432359939234744E-3</v>
      </c>
      <c r="G282" s="103">
        <f ca="1"/>
        <v>9.5553764875484504E-3</v>
      </c>
    </row>
    <row r="283" spans="1:7">
      <c r="A283" s="189"/>
      <c r="B283" s="101">
        <f ca="1"/>
        <v>52163</v>
      </c>
      <c r="C283" s="102">
        <f ca="1"/>
        <v>6.1498280428964325E-3</v>
      </c>
      <c r="D283" s="102">
        <f ca="1"/>
        <v>6.989370006048351E-3</v>
      </c>
      <c r="E283" s="102">
        <f ca="1"/>
        <v>7.8484658911030878E-3</v>
      </c>
      <c r="F283" s="102">
        <f ca="1"/>
        <v>8.829752405946396E-3</v>
      </c>
      <c r="G283" s="103">
        <f ca="1"/>
        <v>9.5442197755935404E-3</v>
      </c>
    </row>
    <row r="284" spans="1:7">
      <c r="A284" s="189"/>
      <c r="B284" s="101">
        <f ca="1"/>
        <v>52194</v>
      </c>
      <c r="C284" s="102">
        <f ca="1"/>
        <v>6.139337663880297E-3</v>
      </c>
      <c r="D284" s="102">
        <f ca="1"/>
        <v>6.9759232717653778E-3</v>
      </c>
      <c r="E284" s="102">
        <f ca="1"/>
        <v>7.8348001844219563E-3</v>
      </c>
      <c r="F284" s="102">
        <f ca="1"/>
        <v>8.8158149360030962E-3</v>
      </c>
      <c r="G284" s="103">
        <f ca="1"/>
        <v>9.5329072694565475E-3</v>
      </c>
    </row>
    <row r="285" spans="1:7">
      <c r="A285" s="189"/>
      <c r="B285" s="101">
        <f ca="1"/>
        <v>52224</v>
      </c>
      <c r="C285" s="102">
        <f ca="1"/>
        <v>6.1286828967580809E-3</v>
      </c>
      <c r="D285" s="102">
        <f ca="1"/>
        <v>6.9622308486262784E-3</v>
      </c>
      <c r="E285" s="102">
        <f ca="1"/>
        <v>7.8215859433401827E-3</v>
      </c>
      <c r="F285" s="102">
        <f ca="1"/>
        <v>8.8025497273860175E-3</v>
      </c>
      <c r="G285" s="103">
        <f ca="1"/>
        <v>9.5218118713069622E-3</v>
      </c>
    </row>
    <row r="286" spans="1:7">
      <c r="A286" s="189"/>
      <c r="B286" s="101">
        <f ca="1"/>
        <v>52257</v>
      </c>
      <c r="C286" s="102">
        <f ca="1"/>
        <v>6.1181709152453422E-3</v>
      </c>
      <c r="D286" s="102">
        <f ca="1"/>
        <v>6.9479114964077224E-3</v>
      </c>
      <c r="E286" s="102">
        <f ca="1"/>
        <v>7.8069758854958015E-3</v>
      </c>
      <c r="F286" s="102">
        <f ca="1"/>
        <v>8.7878214083007018E-3</v>
      </c>
      <c r="G286" s="103">
        <f ca="1"/>
        <v>9.5095726992786567E-3</v>
      </c>
    </row>
    <row r="287" spans="1:7">
      <c r="A287" s="189"/>
      <c r="B287" s="101">
        <f ca="1"/>
        <v>52286</v>
      </c>
      <c r="C287" s="102">
        <f ca="1"/>
        <v>6.1087215839701154E-3</v>
      </c>
      <c r="D287" s="102">
        <f ca="1"/>
        <v>6.935461901339683E-3</v>
      </c>
      <c r="E287" s="102">
        <f ca="1"/>
        <v>7.7940092468952267E-3</v>
      </c>
      <c r="F287" s="102">
        <f ca="1"/>
        <v>8.7749894396183074E-3</v>
      </c>
      <c r="G287" s="103">
        <f ca="1"/>
        <v>9.4987874605536593E-3</v>
      </c>
    </row>
    <row r="288" spans="1:7">
      <c r="A288" s="189"/>
      <c r="B288" s="101">
        <f ca="1"/>
        <v>52314</v>
      </c>
      <c r="C288" s="102">
        <f ca="1"/>
        <v>6.0997737400841426E-3</v>
      </c>
      <c r="D288" s="102">
        <f ca="1"/>
        <v>6.9224531664504171E-3</v>
      </c>
      <c r="E288" s="102">
        <f ca="1"/>
        <v>7.7813605793833713E-3</v>
      </c>
      <c r="F288" s="102">
        <f ca="1"/>
        <v>8.7621244408240383E-3</v>
      </c>
      <c r="G288" s="103">
        <f ca="1"/>
        <v>9.4882831209041393E-3</v>
      </c>
    </row>
    <row r="289" spans="1:7">
      <c r="A289" s="189"/>
      <c r="B289" s="101">
        <f ca="1"/>
        <v>52345</v>
      </c>
      <c r="C289" s="102">
        <f ca="1"/>
        <v>6.0898610741158075E-3</v>
      </c>
      <c r="D289" s="102">
        <f ca="1"/>
        <v>6.9083460682219039E-3</v>
      </c>
      <c r="E289" s="102">
        <f ca="1"/>
        <v>7.7672037081359408E-3</v>
      </c>
      <c r="F289" s="102">
        <f ca="1"/>
        <v>8.7481472611161768E-3</v>
      </c>
      <c r="G289" s="103">
        <f ca="1"/>
        <v>9.4766284985783721E-3</v>
      </c>
    </row>
    <row r="290" spans="1:7">
      <c r="A290" s="189"/>
      <c r="B290" s="101">
        <f ca="1"/>
        <v>52377</v>
      </c>
      <c r="C290" s="102">
        <f ca="1"/>
        <v>6.0802731419434533E-3</v>
      </c>
      <c r="D290" s="102">
        <f ca="1"/>
        <v>6.8940351747559534E-3</v>
      </c>
      <c r="E290" s="102">
        <f ca="1"/>
        <v>7.7524335804651824E-3</v>
      </c>
      <c r="F290" s="102">
        <f ca="1"/>
        <v>8.7339532123059324E-3</v>
      </c>
      <c r="G290" s="103">
        <f ca="1"/>
        <v>9.4646979564513237E-3</v>
      </c>
    </row>
    <row r="291" spans="1:7">
      <c r="A291" s="189"/>
      <c r="B291" s="101">
        <f ca="1"/>
        <v>52406</v>
      </c>
      <c r="C291" s="102">
        <f ca="1"/>
        <v>6.071590438225331E-3</v>
      </c>
      <c r="D291" s="102">
        <f ca="1"/>
        <v>6.8810182290508981E-3</v>
      </c>
      <c r="E291" s="102">
        <f ca="1"/>
        <v>7.738979152405112E-3</v>
      </c>
      <c r="F291" s="102">
        <f ca="1"/>
        <v>8.7210949838306788E-3</v>
      </c>
      <c r="G291" s="103">
        <f ca="1"/>
        <v>9.4537973628331228E-3</v>
      </c>
    </row>
    <row r="292" spans="1:7">
      <c r="A292" s="189"/>
      <c r="B292" s="101">
        <f ca="1"/>
        <v>52436</v>
      </c>
      <c r="C292" s="102">
        <f ca="1"/>
        <v>6.0626148896190972E-3</v>
      </c>
      <c r="D292" s="102">
        <f ca="1"/>
        <v>6.8671550639182368E-3</v>
      </c>
      <c r="E292" s="102">
        <f ca="1"/>
        <v>7.7250738784174723E-3</v>
      </c>
      <c r="F292" s="102">
        <f ca="1"/>
        <v>8.7074221723280384E-3</v>
      </c>
      <c r="G292" s="103">
        <f ca="1"/>
        <v>9.4424238036860501E-3</v>
      </c>
    </row>
    <row r="293" spans="1:7">
      <c r="A293" s="189"/>
      <c r="B293" s="101">
        <f ca="1"/>
        <v>52467</v>
      </c>
      <c r="C293" s="102">
        <f ca="1"/>
        <v>6.0539321746494439E-3</v>
      </c>
      <c r="D293" s="102">
        <f ca="1"/>
        <v>6.8529283437879602E-3</v>
      </c>
      <c r="E293" s="102">
        <f ca="1"/>
        <v>7.7107779868436817E-3</v>
      </c>
      <c r="F293" s="102">
        <f ca="1"/>
        <v>8.693654821793708E-3</v>
      </c>
      <c r="G293" s="103">
        <f ca="1"/>
        <v>9.4307781286886265E-3</v>
      </c>
    </row>
    <row r="294" spans="1:7">
      <c r="A294" s="189"/>
      <c r="B294" s="101">
        <f ca="1"/>
        <v>52498</v>
      </c>
      <c r="C294" s="102">
        <f ca="1"/>
        <v>6.0452722861887489E-3</v>
      </c>
      <c r="D294" s="102">
        <f ca="1"/>
        <v>6.8384631408485302E-3</v>
      </c>
      <c r="E294" s="102">
        <f ca="1"/>
        <v>7.6965073446932089E-3</v>
      </c>
      <c r="F294" s="102">
        <f ca="1"/>
        <v>8.6800020821042323E-3</v>
      </c>
      <c r="G294" s="103">
        <f ca="1"/>
        <v>9.4188937256320521E-3</v>
      </c>
    </row>
    <row r="295" spans="1:7">
      <c r="A295" s="189"/>
      <c r="B295" s="101">
        <f ca="1"/>
        <v>52530</v>
      </c>
      <c r="C295" s="102">
        <f ca="1"/>
        <v>6.036555417071059E-3</v>
      </c>
      <c r="D295" s="102">
        <f ca="1"/>
        <v>6.823796775123331E-3</v>
      </c>
      <c r="E295" s="102">
        <f ca="1"/>
        <v>7.6817220493438998E-3</v>
      </c>
      <c r="F295" s="102">
        <f ca="1"/>
        <v>8.6655300097396686E-3</v>
      </c>
      <c r="G295" s="103">
        <f ca="1"/>
        <v>9.4068755319649099E-3</v>
      </c>
    </row>
    <row r="296" spans="1:7">
      <c r="A296" s="189"/>
      <c r="B296" s="101">
        <f ca="1"/>
        <v>52559</v>
      </c>
      <c r="C296" s="102">
        <f ca="1"/>
        <v>6.0288506748335663E-3</v>
      </c>
      <c r="D296" s="102">
        <f ca="1"/>
        <v>6.8104583455331109E-3</v>
      </c>
      <c r="E296" s="102">
        <f ca="1"/>
        <v>7.6682191013650904E-3</v>
      </c>
      <c r="F296" s="102">
        <f ca="1"/>
        <v>8.6526397634027613E-3</v>
      </c>
      <c r="G296" s="103">
        <f ca="1"/>
        <v>9.3958288187098761E-3</v>
      </c>
    </row>
    <row r="297" spans="1:7">
      <c r="A297" s="189"/>
      <c r="B297" s="101">
        <f ca="1"/>
        <v>52589</v>
      </c>
      <c r="C297" s="102">
        <f ca="1"/>
        <v>6.020762565619839E-3</v>
      </c>
      <c r="D297" s="102">
        <f ca="1"/>
        <v>6.796076898623357E-3</v>
      </c>
      <c r="E297" s="102">
        <f ca="1"/>
        <v>7.6541494944236572E-3</v>
      </c>
      <c r="F297" s="102">
        <f ca="1"/>
        <v>8.6390496744099647E-3</v>
      </c>
      <c r="G297" s="103">
        <f ca="1"/>
        <v>9.3840841334145685E-3</v>
      </c>
    </row>
    <row r="298" spans="1:7">
      <c r="A298" s="189"/>
      <c r="B298" s="101">
        <f ca="1"/>
        <v>52621</v>
      </c>
      <c r="C298" s="102">
        <f ca="1"/>
        <v>6.0129998629516275E-3</v>
      </c>
      <c r="D298" s="102">
        <f ca="1"/>
        <v>6.7811991202257234E-3</v>
      </c>
      <c r="E298" s="102">
        <f ca="1"/>
        <v>7.6390499072823042E-3</v>
      </c>
      <c r="F298" s="102">
        <f ca="1"/>
        <v>8.6247991027129014E-3</v>
      </c>
      <c r="G298" s="103">
        <f ca="1"/>
        <v>9.3721188129932999E-3</v>
      </c>
    </row>
    <row r="299" spans="1:7">
      <c r="A299" s="189"/>
      <c r="B299" s="101">
        <f ca="1"/>
        <v>52651</v>
      </c>
      <c r="C299" s="102">
        <f ca="1"/>
        <v>6.005634308387583E-3</v>
      </c>
      <c r="D299" s="102">
        <f ca="1"/>
        <v>6.767370152691023E-3</v>
      </c>
      <c r="E299" s="102">
        <f ca="1"/>
        <v>7.6248232198304093E-3</v>
      </c>
      <c r="F299" s="102">
        <f ca="1"/>
        <v>8.6113170374591107E-3</v>
      </c>
      <c r="G299" s="103">
        <f ca="1"/>
        <v>9.3606063699105523E-3</v>
      </c>
    </row>
    <row r="300" spans="1:7">
      <c r="A300" s="189"/>
      <c r="B300" s="101">
        <f ca="1"/>
        <v>52680</v>
      </c>
      <c r="C300" s="102">
        <f ca="1"/>
        <v>5.998702588972454E-3</v>
      </c>
      <c r="D300" s="102">
        <f ca="1"/>
        <v>6.7530776181011776E-3</v>
      </c>
      <c r="E300" s="102">
        <f ca="1"/>
        <v>7.611001702815914E-3</v>
      </c>
      <c r="F300" s="102">
        <f ca="1"/>
        <v>8.5977821504364393E-3</v>
      </c>
      <c r="G300" s="103">
        <f ca="1"/>
        <v>9.3495497204640898E-3</v>
      </c>
    </row>
    <row r="301" spans="1:7">
      <c r="A301" s="189"/>
      <c r="B301" s="101">
        <f ca="1"/>
        <v>52712</v>
      </c>
      <c r="C301" s="102">
        <f ca="1"/>
        <v>5.9912690920144764E-3</v>
      </c>
      <c r="D301" s="102">
        <f ca="1"/>
        <v>6.7381655355695392E-3</v>
      </c>
      <c r="E301" s="102">
        <f ca="1"/>
        <v>7.5956615209124773E-3</v>
      </c>
      <c r="F301" s="102">
        <f ca="1"/>
        <v>8.5837574949083825E-3</v>
      </c>
      <c r="G301" s="103">
        <f ca="1"/>
        <v>9.3372974273746578E-3</v>
      </c>
    </row>
    <row r="302" spans="1:7">
      <c r="A302" s="189"/>
      <c r="B302" s="101">
        <f ca="1"/>
        <v>52741</v>
      </c>
      <c r="C302" s="102">
        <f ca="1"/>
        <v>5.9847273987485034E-3</v>
      </c>
      <c r="D302" s="102">
        <f ca="1"/>
        <v>6.7240891894557106E-3</v>
      </c>
      <c r="E302" s="102">
        <f ca="1"/>
        <v>7.5816735868157919E-3</v>
      </c>
      <c r="F302" s="102">
        <f ca="1"/>
        <v>8.5705791492395184E-3</v>
      </c>
      <c r="G302" s="103">
        <f ca="1"/>
        <v>9.3262470643884487E-3</v>
      </c>
    </row>
    <row r="303" spans="1:7">
      <c r="A303" s="189"/>
      <c r="B303" s="101">
        <f ca="1"/>
        <v>52772</v>
      </c>
      <c r="C303" s="102">
        <f ca="1"/>
        <v>5.9778217981427189E-3</v>
      </c>
      <c r="D303" s="102">
        <f ca="1"/>
        <v>6.7091625289880949E-3</v>
      </c>
      <c r="E303" s="102">
        <f ca="1"/>
        <v>7.5666419317572198E-3</v>
      </c>
      <c r="F303" s="102">
        <f ca="1"/>
        <v>8.5562419040492131E-3</v>
      </c>
      <c r="G303" s="103">
        <f ca="1"/>
        <v>9.3143870662092867E-3</v>
      </c>
    </row>
    <row r="304" spans="1:7">
      <c r="A304" s="189"/>
      <c r="B304" s="101">
        <f ca="1"/>
        <v>52803</v>
      </c>
      <c r="C304" s="102">
        <f ca="1"/>
        <v>5.9713631238806327E-3</v>
      </c>
      <c r="D304" s="102">
        <f ca="1"/>
        <v>6.6941647284899826E-3</v>
      </c>
      <c r="E304" s="102">
        <f ca="1"/>
        <v>7.5515449188901197E-3</v>
      </c>
      <c r="F304" s="102">
        <f ca="1"/>
        <v>8.542648560562081E-3</v>
      </c>
      <c r="G304" s="103">
        <f ca="1"/>
        <v>9.3029110935713977E-3</v>
      </c>
    </row>
    <row r="305" spans="1:7">
      <c r="A305" s="189"/>
      <c r="B305" s="101">
        <f ca="1"/>
        <v>52833</v>
      </c>
      <c r="C305" s="102">
        <f ca="1"/>
        <v>5.9652007348271431E-3</v>
      </c>
      <c r="D305" s="102">
        <f ca="1"/>
        <v>6.679217591741754E-3</v>
      </c>
      <c r="E305" s="102">
        <f ca="1"/>
        <v>7.5368890359277744E-3</v>
      </c>
      <c r="F305" s="102">
        <f ca="1"/>
        <v>8.5291347608794556E-3</v>
      </c>
      <c r="G305" s="103">
        <f ca="1"/>
        <v>9.2918183355117367E-3</v>
      </c>
    </row>
    <row r="306" spans="1:7">
      <c r="A306" s="189"/>
      <c r="B306" s="101">
        <f ca="1"/>
        <v>52866</v>
      </c>
      <c r="C306" s="102">
        <f ca="1"/>
        <v>5.9586509535475779E-3</v>
      </c>
      <c r="D306" s="102">
        <f ca="1"/>
        <v>6.663650301900797E-3</v>
      </c>
      <c r="E306" s="102">
        <f ca="1"/>
        <v>7.5207376343665536E-3</v>
      </c>
      <c r="F306" s="102">
        <f ca="1"/>
        <v>8.5145840957279173E-3</v>
      </c>
      <c r="G306" s="103">
        <f ca="1"/>
        <v>9.2798109887792801E-3</v>
      </c>
    </row>
    <row r="307" spans="1:7">
      <c r="A307" s="189"/>
      <c r="B307" s="101">
        <f ca="1"/>
        <v>52894</v>
      </c>
      <c r="C307" s="102">
        <f ca="1"/>
        <v>5.9532819619540411E-3</v>
      </c>
      <c r="D307" s="102">
        <f ca="1"/>
        <v>6.6497280052368185E-3</v>
      </c>
      <c r="E307" s="102">
        <f ca="1"/>
        <v>7.5070271006276498E-3</v>
      </c>
      <c r="F307" s="102">
        <f ca="1"/>
        <v>8.5021406396005635E-3</v>
      </c>
      <c r="G307" s="103">
        <f ca="1"/>
        <v>9.2698098415293639E-3</v>
      </c>
    </row>
    <row r="308" spans="1:7">
      <c r="A308" s="189"/>
      <c r="B308" s="101">
        <f ca="1"/>
        <v>52925</v>
      </c>
      <c r="C308" s="102">
        <f ca="1"/>
        <v>5.9475392057423597E-3</v>
      </c>
      <c r="D308" s="102">
        <f ca="1"/>
        <v>6.6338894003540733E-3</v>
      </c>
      <c r="E308" s="102">
        <f ca="1"/>
        <v>7.4918752719711438E-3</v>
      </c>
      <c r="F308" s="102">
        <f ca="1"/>
        <v>8.4886670204667898E-3</v>
      </c>
      <c r="G308" s="103">
        <f ca="1"/>
        <v>9.2589665616304995E-3</v>
      </c>
    </row>
    <row r="309" spans="1:7">
      <c r="A309" s="189"/>
      <c r="B309" s="101">
        <f ca="1"/>
        <v>52959</v>
      </c>
      <c r="C309" s="102">
        <f ca="1"/>
        <v>5.9414839708133325E-3</v>
      </c>
      <c r="D309" s="102">
        <f ca="1"/>
        <v>6.6172357833936416E-3</v>
      </c>
      <c r="E309" s="102">
        <f ca="1"/>
        <v>7.4754014969735556E-3</v>
      </c>
      <c r="F309" s="102">
        <f ca="1"/>
        <v>8.4739598849134234E-3</v>
      </c>
      <c r="G309" s="103">
        <f ca="1"/>
        <v>9.2473870065563624E-3</v>
      </c>
    </row>
    <row r="310" spans="1:7">
      <c r="A310" s="189"/>
      <c r="B310" s="101">
        <f ca="1"/>
        <v>52986</v>
      </c>
      <c r="C310" s="102">
        <f ca="1"/>
        <v>5.9368570767343466E-3</v>
      </c>
      <c r="D310" s="102">
        <f ca="1"/>
        <v>6.6042668816222606E-3</v>
      </c>
      <c r="E310" s="102">
        <f ca="1"/>
        <v>7.4625193847767607E-3</v>
      </c>
      <c r="F310" s="102">
        <f ca="1"/>
        <v>8.4627639084773523E-3</v>
      </c>
      <c r="G310" s="103">
        <f ca="1"/>
        <v>9.2384513139440738E-3</v>
      </c>
    </row>
    <row r="311" spans="1:7">
      <c r="A311" s="189"/>
      <c r="B311" s="101">
        <f ca="1"/>
        <v>53017</v>
      </c>
      <c r="C311" s="102">
        <f ca="1"/>
        <v>5.9316777984344295E-3</v>
      </c>
      <c r="D311" s="102">
        <f ca="1"/>
        <v>6.5898322845319053E-3</v>
      </c>
      <c r="E311" s="102">
        <f ca="1"/>
        <v>7.4480383704704682E-3</v>
      </c>
      <c r="F311" s="102">
        <f ca="1"/>
        <v>8.4501561521154421E-3</v>
      </c>
      <c r="G311" s="103">
        <f ca="1"/>
        <v>9.2284369149852191E-3</v>
      </c>
    </row>
    <row r="312" spans="1:7">
      <c r="A312" s="189"/>
      <c r="B312" s="101">
        <f ca="1"/>
        <v>53045</v>
      </c>
      <c r="C312" s="102">
        <f ca="1"/>
        <v>5.9272463045096221E-3</v>
      </c>
      <c r="D312" s="102">
        <f ca="1"/>
        <v>6.5761701260406069E-3</v>
      </c>
      <c r="E312" s="102">
        <f ca="1"/>
        <v>7.4352904310819893E-3</v>
      </c>
      <c r="F312" s="102">
        <f ca="1"/>
        <v>8.4387564339629354E-3</v>
      </c>
      <c r="G312" s="103">
        <f ca="1"/>
        <v>9.2197158034824662E-3</v>
      </c>
    </row>
    <row r="313" spans="1:7">
      <c r="A313" s="189"/>
      <c r="B313" s="101">
        <f ca="1"/>
        <v>53076</v>
      </c>
      <c r="C313" s="102">
        <f ca="1"/>
        <v>5.9225940238178234E-3</v>
      </c>
      <c r="D313" s="102">
        <f ca="1"/>
        <v>6.5622262584578168E-3</v>
      </c>
      <c r="E313" s="102">
        <f ca="1"/>
        <v>7.4215908153810331E-3</v>
      </c>
      <c r="F313" s="102">
        <f ca="1"/>
        <v>8.4271126057286171E-3</v>
      </c>
      <c r="G313" s="103">
        <f ca="1"/>
        <v>9.2104733843239028E-3</v>
      </c>
    </row>
    <row r="314" spans="1:7">
      <c r="A314" s="189"/>
      <c r="B314" s="101">
        <f ca="1"/>
        <v>53106</v>
      </c>
      <c r="C314" s="102">
        <f ca="1"/>
        <v>5.9182363757765248E-3</v>
      </c>
      <c r="D314" s="102">
        <f ca="1"/>
        <v>6.5485260319738245E-3</v>
      </c>
      <c r="E314" s="102">
        <f ca="1"/>
        <v>7.4087847937433756E-3</v>
      </c>
      <c r="F314" s="102">
        <f ca="1"/>
        <v>8.4159784222736546E-3</v>
      </c>
      <c r="G314" s="103">
        <f ca="1"/>
        <v>9.2017688860619451E-3</v>
      </c>
    </row>
    <row r="315" spans="1:7">
      <c r="A315" s="189"/>
      <c r="B315" s="101">
        <f ca="1"/>
        <v>53139</v>
      </c>
      <c r="C315" s="102">
        <f ca="1"/>
        <v>5.9136718162561639E-3</v>
      </c>
      <c r="D315" s="102">
        <f ca="1"/>
        <v>6.5349319363037974E-3</v>
      </c>
      <c r="E315" s="102">
        <f ca="1"/>
        <v>7.3952117066501235E-3</v>
      </c>
      <c r="F315" s="102">
        <f ca="1"/>
        <v>8.4042614429180422E-3</v>
      </c>
      <c r="G315" s="103">
        <f ca="1"/>
        <v>9.1925528437257764E-3</v>
      </c>
    </row>
    <row r="316" spans="1:7">
      <c r="A316" s="189"/>
      <c r="B316" s="101">
        <f ca="1"/>
        <v>53167</v>
      </c>
      <c r="C316" s="102">
        <f ca="1"/>
        <v>5.9099872511742335E-3</v>
      </c>
      <c r="D316" s="102">
        <f ca="1"/>
        <v>6.5232562169732318E-3</v>
      </c>
      <c r="E316" s="102">
        <f ca="1"/>
        <v>7.3841085083551283E-3</v>
      </c>
      <c r="F316" s="102">
        <f ca="1"/>
        <v>8.3946799637980331E-3</v>
      </c>
      <c r="G316" s="103">
        <f ca="1"/>
        <v>9.1850280267065099E-3</v>
      </c>
    </row>
    <row r="317" spans="1:7">
      <c r="A317" s="189"/>
      <c r="B317" s="101">
        <f ca="1"/>
        <v>53198</v>
      </c>
      <c r="C317" s="102">
        <f ca="1"/>
        <v>5.9061093986551363E-3</v>
      </c>
      <c r="D317" s="102">
        <f ca="1"/>
        <v>6.5107885323745151E-3</v>
      </c>
      <c r="E317" s="102">
        <f ca="1"/>
        <v>7.3722525626746032E-3</v>
      </c>
      <c r="F317" s="102">
        <f ca="1"/>
        <v>8.3843399470132762E-3</v>
      </c>
      <c r="G317" s="103">
        <f ca="1"/>
        <v>9.1770127163439685E-3</v>
      </c>
    </row>
    <row r="318" spans="1:7">
      <c r="A318" s="189"/>
      <c r="B318" s="101">
        <f ca="1"/>
        <v>53230</v>
      </c>
      <c r="C318" s="102">
        <f ca="1"/>
        <v>5.9023283693721337E-3</v>
      </c>
      <c r="D318" s="102">
        <f ca="1"/>
        <v>6.4987969541320609E-3</v>
      </c>
      <c r="E318" s="102">
        <f ca="1"/>
        <v>7.3605039261867393E-3</v>
      </c>
      <c r="F318" s="102">
        <f ca="1"/>
        <v>8.3743831788446309E-3</v>
      </c>
      <c r="G318" s="103">
        <f ca="1"/>
        <v>9.1690868555298621E-3</v>
      </c>
    </row>
    <row r="319" spans="1:7">
      <c r="A319" s="189"/>
      <c r="B319" s="101">
        <f ca="1"/>
        <v>53259</v>
      </c>
      <c r="C319" s="102">
        <f ca="1"/>
        <v>5.8990969334788189E-3</v>
      </c>
      <c r="D319" s="102">
        <f ca="1"/>
        <v>6.4879762764446739E-3</v>
      </c>
      <c r="E319" s="102">
        <f ca="1"/>
        <v>7.3502965356755804E-3</v>
      </c>
      <c r="F319" s="102">
        <f ca="1"/>
        <v>8.3656195504275433E-3</v>
      </c>
      <c r="G319" s="103">
        <f ca="1"/>
        <v>9.1622094020786804E-3</v>
      </c>
    </row>
    <row r="320" spans="1:7">
      <c r="A320" s="189"/>
      <c r="B320" s="101">
        <f ca="1"/>
        <v>53290</v>
      </c>
      <c r="C320" s="102">
        <f ca="1"/>
        <v>5.8958415561604074E-3</v>
      </c>
      <c r="D320" s="102">
        <f ca="1"/>
        <v>6.476754000158123E-3</v>
      </c>
      <c r="E320" s="102">
        <f ca="1"/>
        <v>7.33985099344572E-3</v>
      </c>
      <c r="F320" s="102">
        <f ca="1"/>
        <v>8.3566280679287456E-3</v>
      </c>
      <c r="G320" s="103">
        <f ca="1"/>
        <v>9.1552073308221651E-3</v>
      </c>
    </row>
    <row r="321" spans="1:7">
      <c r="A321" s="189"/>
      <c r="B321" s="101">
        <f ca="1"/>
        <v>53323</v>
      </c>
      <c r="C321" s="102">
        <f ca="1"/>
        <v>5.8926210099914883E-3</v>
      </c>
      <c r="D321" s="102">
        <f ca="1"/>
        <v>6.4655631515043244E-3</v>
      </c>
      <c r="E321" s="102">
        <f ca="1"/>
        <v>7.3292322580448023E-3</v>
      </c>
      <c r="F321" s="102">
        <f ca="1"/>
        <v>8.3474181443329576E-3</v>
      </c>
      <c r="G321" s="103">
        <f ca="1"/>
        <v>9.1480589134143031E-3</v>
      </c>
    </row>
    <row r="322" spans="1:7">
      <c r="A322" s="189"/>
      <c r="B322" s="101">
        <f ca="1"/>
        <v>53351</v>
      </c>
      <c r="C322" s="102">
        <f ca="1"/>
        <v>5.8900717325466607E-3</v>
      </c>
      <c r="D322" s="102">
        <f ca="1"/>
        <v>6.4564688988857652E-3</v>
      </c>
      <c r="E322" s="102">
        <f ca="1"/>
        <v>7.3205990644898845E-3</v>
      </c>
      <c r="F322" s="102">
        <f ca="1"/>
        <v>8.3400263292725194E-3</v>
      </c>
      <c r="G322" s="103">
        <f ca="1"/>
        <v>9.1423126665390875E-3</v>
      </c>
    </row>
    <row r="323" spans="1:7">
      <c r="A323" s="189"/>
      <c r="B323" s="101">
        <f ca="1"/>
        <v>53384</v>
      </c>
      <c r="C323" s="102">
        <f ca="1"/>
        <v>5.887288980210321E-3</v>
      </c>
      <c r="D323" s="102">
        <f ca="1"/>
        <v>6.4465971457580906E-3</v>
      </c>
      <c r="E323" s="102">
        <f ca="1"/>
        <v>7.3108458934175542E-3</v>
      </c>
      <c r="F323" s="102">
        <f ca="1"/>
        <v>8.331656708332141E-3</v>
      </c>
      <c r="G323" s="103">
        <f ca="1"/>
        <v>9.135887701223977E-3</v>
      </c>
    </row>
    <row r="324" spans="1:7">
      <c r="A324" s="189"/>
      <c r="B324" s="101">
        <f ca="1"/>
        <v>53413</v>
      </c>
      <c r="C324" s="102">
        <f ca="1"/>
        <v>5.8850414660956436E-3</v>
      </c>
      <c r="D324" s="102">
        <f ca="1"/>
        <v>6.4378150294518146E-3</v>
      </c>
      <c r="E324" s="102">
        <f ca="1"/>
        <v>7.3026680839699161E-3</v>
      </c>
      <c r="F324" s="102">
        <f ca="1"/>
        <v>8.3247148448188542E-3</v>
      </c>
      <c r="G324" s="103">
        <f ca="1"/>
        <v>9.1305518168198763E-3</v>
      </c>
    </row>
    <row r="325" spans="1:7">
      <c r="A325" s="189"/>
      <c r="B325" s="101">
        <f ca="1"/>
        <v>53441</v>
      </c>
      <c r="C325" s="102">
        <f ca="1"/>
        <v>5.883047494749688E-3</v>
      </c>
      <c r="D325" s="102">
        <f ca="1"/>
        <v>6.429971667237501E-3</v>
      </c>
      <c r="E325" s="102">
        <f ca="1"/>
        <v>7.295142683392996E-3</v>
      </c>
      <c r="F325" s="102">
        <f ca="1"/>
        <v>8.3183784814587179E-3</v>
      </c>
      <c r="G325" s="103">
        <f ca="1"/>
        <v>9.1256753708017779E-3</v>
      </c>
    </row>
    <row r="326" spans="1:7">
      <c r="A326" s="189"/>
      <c r="B326" s="101">
        <f ca="1"/>
        <v>53471</v>
      </c>
      <c r="C326" s="102">
        <f ca="1"/>
        <v>5.8811027840549859E-3</v>
      </c>
      <c r="D326" s="102">
        <f ca="1"/>
        <v>6.421736534259993E-3</v>
      </c>
      <c r="E326" s="102">
        <f ca="1"/>
        <v>7.2875013826774297E-3</v>
      </c>
      <c r="F326" s="102">
        <f ca="1"/>
        <v>8.3119312605595356E-3</v>
      </c>
      <c r="G326" s="103">
        <f ca="1"/>
        <v>9.1207509060027281E-3</v>
      </c>
    </row>
    <row r="327" spans="1:7">
      <c r="A327" s="189"/>
      <c r="B327" s="101">
        <f ca="1"/>
        <v>53503</v>
      </c>
      <c r="C327" s="102">
        <f ca="1"/>
        <v>5.8792468217857075E-3</v>
      </c>
      <c r="D327" s="102">
        <f ca="1"/>
        <v>6.4137218561401395E-3</v>
      </c>
      <c r="E327" s="102">
        <f ca="1"/>
        <v>7.2798311357922182E-3</v>
      </c>
      <c r="F327" s="102">
        <f ca="1"/>
        <v>8.305498222418101E-3</v>
      </c>
      <c r="G327" s="103">
        <f ca="1"/>
        <v>9.1158405562663525E-3</v>
      </c>
    </row>
    <row r="328" spans="1:7">
      <c r="A328" s="189"/>
      <c r="B328" s="101">
        <f ca="1"/>
        <v>53532</v>
      </c>
      <c r="C328" s="102">
        <f ca="1"/>
        <v>5.8777599696619148E-3</v>
      </c>
      <c r="D328" s="102">
        <f ca="1"/>
        <v>6.4066812018474615E-3</v>
      </c>
      <c r="E328" s="102">
        <f ca="1"/>
        <v>7.273303840455568E-3</v>
      </c>
      <c r="F328" s="102">
        <f ca="1"/>
        <v>8.3000291181012636E-3</v>
      </c>
      <c r="G328" s="103">
        <f ca="1"/>
        <v>9.1116958591443975E-3</v>
      </c>
    </row>
    <row r="329" spans="1:7">
      <c r="A329" s="189"/>
      <c r="B329" s="101">
        <f ca="1"/>
        <v>53563</v>
      </c>
      <c r="C329" s="102">
        <f ca="1"/>
        <v>5.8764559046317871E-3</v>
      </c>
      <c r="D329" s="102">
        <f ca="1"/>
        <v>6.3996624049934732E-3</v>
      </c>
      <c r="E329" s="102">
        <f ca="1"/>
        <v>7.2667675064922201E-3</v>
      </c>
      <c r="F329" s="102">
        <f ca="1"/>
        <v>8.2945949033287041E-3</v>
      </c>
      <c r="G329" s="103">
        <f ca="1"/>
        <v>9.1077673251990128E-3</v>
      </c>
    </row>
    <row r="330" spans="1:7">
      <c r="A330" s="189"/>
      <c r="B330" s="101">
        <f ca="1"/>
        <v>53594</v>
      </c>
      <c r="C330" s="102">
        <f ca="1"/>
        <v>5.8752025689331033E-3</v>
      </c>
      <c r="D330" s="102">
        <f ca="1"/>
        <v>6.3931400157365217E-3</v>
      </c>
      <c r="E330" s="102">
        <f ca="1"/>
        <v>7.2606834337914884E-3</v>
      </c>
      <c r="F330" s="102">
        <f ca="1"/>
        <v>8.2894894563281599E-3</v>
      </c>
      <c r="G330" s="103">
        <f ca="1"/>
        <v>9.1038085146888381E-3</v>
      </c>
    </row>
    <row r="331" spans="1:7">
      <c r="A331" s="189"/>
      <c r="B331" s="101">
        <f ca="1"/>
        <v>53624</v>
      </c>
      <c r="C331" s="102">
        <f ca="1"/>
        <v>5.8742693299324274E-3</v>
      </c>
      <c r="D331" s="102">
        <f ca="1"/>
        <v>6.3870927571146848E-3</v>
      </c>
      <c r="E331" s="102">
        <f ca="1"/>
        <v>7.2552230455611598E-3</v>
      </c>
      <c r="F331" s="102">
        <f ca="1"/>
        <v>8.2849807046902861E-3</v>
      </c>
      <c r="G331" s="103">
        <f ca="1"/>
        <v>9.1004683881250603E-3</v>
      </c>
    </row>
    <row r="332" spans="1:7">
      <c r="A332" s="189"/>
      <c r="B332" s="101">
        <f ca="1"/>
        <v>53657</v>
      </c>
      <c r="C332" s="102">
        <f ca="1"/>
        <v>5.87347179861826E-3</v>
      </c>
      <c r="D332" s="102">
        <f ca="1"/>
        <v>6.3811381753293168E-3</v>
      </c>
      <c r="E332" s="102">
        <f ca="1"/>
        <v>7.2496995042445776E-3</v>
      </c>
      <c r="F332" s="102">
        <f ca="1"/>
        <v>8.2804946971960502E-3</v>
      </c>
      <c r="G332" s="103">
        <f ca="1"/>
        <v>9.0971530403771705E-3</v>
      </c>
    </row>
    <row r="333" spans="1:7">
      <c r="A333" s="189"/>
      <c r="B333" s="101">
        <f ca="1"/>
        <v>53685</v>
      </c>
      <c r="C333" s="102">
        <f ca="1"/>
        <v>5.873063432675932E-3</v>
      </c>
      <c r="D333" s="102">
        <f ca="1"/>
        <v>6.3764222995634744E-3</v>
      </c>
      <c r="E333" s="102">
        <f ca="1"/>
        <v>7.2454102995974864E-3</v>
      </c>
      <c r="F333" s="102">
        <f ca="1"/>
        <v>8.276983417502189E-3</v>
      </c>
      <c r="G333" s="103">
        <f ca="1"/>
        <v>9.094634775062227E-3</v>
      </c>
    </row>
    <row r="334" spans="1:7">
      <c r="A334" s="189"/>
      <c r="B334" s="101">
        <f ca="1"/>
        <v>53716</v>
      </c>
      <c r="C334" s="102">
        <f ca="1"/>
        <v>5.872643806804103E-3</v>
      </c>
      <c r="D334" s="102">
        <f ca="1"/>
        <v>6.3716137938662609E-3</v>
      </c>
      <c r="E334" s="102">
        <f ca="1"/>
        <v>7.2410886504584594E-3</v>
      </c>
      <c r="F334" s="102">
        <f ca="1"/>
        <v>8.2734732094363467E-3</v>
      </c>
      <c r="G334" s="103">
        <f ca="1"/>
        <v>9.092162324203068E-3</v>
      </c>
    </row>
    <row r="335" spans="1:7">
      <c r="A335" s="189"/>
      <c r="B335" s="101">
        <f ca="1"/>
        <v>53748</v>
      </c>
      <c r="C335" s="102">
        <f ca="1"/>
        <v>5.8725156595857107E-3</v>
      </c>
      <c r="D335" s="102">
        <f ca="1"/>
        <v>6.3671864078065745E-3</v>
      </c>
      <c r="E335" s="102">
        <f ca="1"/>
        <v>7.2371002536562269E-3</v>
      </c>
      <c r="F335" s="102">
        <f ca="1"/>
        <v>8.2704253252398642E-3</v>
      </c>
      <c r="G335" s="103">
        <f ca="1"/>
        <v>9.089958006401222E-3</v>
      </c>
    </row>
    <row r="336" spans="1:7">
      <c r="A336" s="189"/>
      <c r="B336" s="101">
        <f ca="1"/>
        <v>53776</v>
      </c>
      <c r="C336" s="102">
        <f ca="1"/>
        <v>5.8725884660532322E-3</v>
      </c>
      <c r="D336" s="102">
        <f ca="1"/>
        <v>6.3636380375152804E-3</v>
      </c>
      <c r="E336" s="102">
        <f ca="1"/>
        <v>7.2340065268962483E-3</v>
      </c>
      <c r="F336" s="102">
        <f ca="1"/>
        <v>8.2680897754901367E-3</v>
      </c>
      <c r="G336" s="103">
        <f ca="1"/>
        <v>9.0884156838655396E-3</v>
      </c>
    </row>
    <row r="337" spans="1:7">
      <c r="A337" s="189"/>
      <c r="B337" s="101">
        <f ca="1"/>
        <v>53806</v>
      </c>
      <c r="C337" s="102">
        <f ca="1"/>
        <v>5.872858383559356E-3</v>
      </c>
      <c r="D337" s="102">
        <f ca="1"/>
        <v>6.3602716400268334E-3</v>
      </c>
      <c r="E337" s="102">
        <f ca="1"/>
        <v>7.231104554819354E-3</v>
      </c>
      <c r="F337" s="102">
        <f ca="1"/>
        <v>8.2658295640254155E-3</v>
      </c>
      <c r="G337" s="103">
        <f ca="1"/>
        <v>9.0869651567064072E-3</v>
      </c>
    </row>
    <row r="338" spans="1:7">
      <c r="A338" s="189"/>
      <c r="B338" s="101">
        <f ca="1"/>
        <v>53836</v>
      </c>
      <c r="C338" s="102">
        <f ca="1"/>
        <v>5.8734971240873646E-3</v>
      </c>
      <c r="D338" s="102">
        <f ca="1"/>
        <v>6.3573358737844766E-3</v>
      </c>
      <c r="E338" s="102">
        <f ca="1"/>
        <v>7.2286309642124319E-3</v>
      </c>
      <c r="F338" s="102">
        <f ca="1"/>
        <v>8.2641546674215166E-3</v>
      </c>
      <c r="G338" s="103">
        <f ca="1"/>
        <v>9.0860392567729733E-3</v>
      </c>
    </row>
    <row r="339" spans="1:7">
      <c r="A339" s="189"/>
      <c r="B339" s="101">
        <f ca="1"/>
        <v>53867</v>
      </c>
      <c r="C339" s="102">
        <f ca="1"/>
        <v>5.8740186010247915E-3</v>
      </c>
      <c r="D339" s="102">
        <f ca="1"/>
        <v>6.3547237952141962E-3</v>
      </c>
      <c r="E339" s="102">
        <f ca="1"/>
        <v>7.226521912019653E-3</v>
      </c>
      <c r="F339" s="102">
        <f ca="1"/>
        <v>8.26252654542926E-3</v>
      </c>
      <c r="G339" s="103">
        <f ca="1"/>
        <v>9.0849736623399638E-3</v>
      </c>
    </row>
    <row r="340" spans="1:7">
      <c r="A340" s="189"/>
      <c r="B340" s="101">
        <f ca="1"/>
        <v>53897</v>
      </c>
      <c r="C340" s="102">
        <f ca="1"/>
        <v>5.8748901048927523E-3</v>
      </c>
      <c r="D340" s="102">
        <f ca="1"/>
        <v>6.3527382086821169E-3</v>
      </c>
      <c r="E340" s="102">
        <f ca="1"/>
        <v>7.224909417416733E-3</v>
      </c>
      <c r="F340" s="102">
        <f ca="1"/>
        <v>8.2615632454921799E-3</v>
      </c>
      <c r="G340" s="103">
        <f ca="1"/>
        <v>9.084465345002209E-3</v>
      </c>
    </row>
    <row r="341" spans="1:7">
      <c r="A341" s="189"/>
      <c r="B341" s="101">
        <f ca="1"/>
        <v>53931</v>
      </c>
      <c r="C341" s="102">
        <f ca="1"/>
        <v>5.8761175218819111E-3</v>
      </c>
      <c r="D341" s="102">
        <f ca="1"/>
        <v>6.35081443481284E-3</v>
      </c>
      <c r="E341" s="102">
        <f ca="1"/>
        <v>7.2235868459138413E-3</v>
      </c>
      <c r="F341" s="102">
        <f ca="1"/>
        <v>8.2608405149589819E-3</v>
      </c>
      <c r="G341" s="103">
        <f ca="1"/>
        <v>9.0842647563421017E-3</v>
      </c>
    </row>
    <row r="342" spans="1:7">
      <c r="A342" s="189"/>
      <c r="B342" s="101">
        <f ca="1"/>
        <v>53959</v>
      </c>
      <c r="C342" s="102">
        <f ca="1"/>
        <v>5.8773194431623417E-3</v>
      </c>
      <c r="D342" s="102">
        <f ca="1"/>
        <v>6.3496611155670242E-3</v>
      </c>
      <c r="E342" s="102">
        <f ca="1"/>
        <v>7.222897998287312E-3</v>
      </c>
      <c r="F342" s="102">
        <f ca="1"/>
        <v>8.2604142924726735E-3</v>
      </c>
      <c r="G342" s="103">
        <f ca="1"/>
        <v>9.0843991397298682E-3</v>
      </c>
    </row>
    <row r="343" spans="1:7">
      <c r="A343" s="189"/>
      <c r="B343" s="101">
        <f ca="1"/>
        <v>53989</v>
      </c>
      <c r="C343" s="102">
        <f ca="1"/>
        <v>5.8787991408598955E-3</v>
      </c>
      <c r="D343" s="102">
        <f ca="1"/>
        <v>6.3489632140569571E-3</v>
      </c>
      <c r="E343" s="102">
        <f ca="1"/>
        <v>7.2225589486044307E-3</v>
      </c>
      <c r="F343" s="102">
        <f ca="1"/>
        <v>8.2606278247070088E-3</v>
      </c>
      <c r="G343" s="103">
        <f ca="1"/>
        <v>9.0851100244743292E-3</v>
      </c>
    </row>
    <row r="344" spans="1:7">
      <c r="A344" s="189"/>
      <c r="B344" s="101">
        <f ca="1"/>
        <v>54021</v>
      </c>
      <c r="C344" s="102">
        <f ca="1"/>
        <v>5.8805960570157681E-3</v>
      </c>
      <c r="D344" s="102">
        <f ca="1"/>
        <v>6.3485995932495692E-3</v>
      </c>
      <c r="E344" s="102">
        <f ca="1"/>
        <v>7.2226501392688583E-3</v>
      </c>
      <c r="F344" s="102">
        <f ca="1"/>
        <v>8.2611689027247363E-3</v>
      </c>
      <c r="G344" s="103">
        <f ca="1"/>
        <v>9.0856596107593314E-3</v>
      </c>
    </row>
    <row r="345" spans="1:7">
      <c r="A345" s="189"/>
      <c r="B345" s="101">
        <f ca="1"/>
        <v>54050</v>
      </c>
      <c r="C345" s="102">
        <f ca="1"/>
        <v>5.8825802909288714E-3</v>
      </c>
      <c r="D345" s="102">
        <f ca="1"/>
        <v>6.3486241163759659E-3</v>
      </c>
      <c r="E345" s="102">
        <f ca="1"/>
        <v>7.2231359406829529E-3</v>
      </c>
      <c r="F345" s="102">
        <f ca="1"/>
        <v>8.262032263035889E-3</v>
      </c>
      <c r="G345" s="103">
        <f ca="1"/>
        <v>9.086704577066217E-3</v>
      </c>
    </row>
    <row r="346" spans="1:7">
      <c r="A346" s="189"/>
      <c r="B346" s="101">
        <f ca="1"/>
        <v>54081</v>
      </c>
      <c r="C346" s="102">
        <f ca="1"/>
        <v>5.8847412668970407E-3</v>
      </c>
      <c r="D346" s="102">
        <f ca="1"/>
        <v>6.3491452071484482E-3</v>
      </c>
      <c r="E346" s="102">
        <f ca="1"/>
        <v>7.2240788290099953E-3</v>
      </c>
      <c r="F346" s="102">
        <f ca="1"/>
        <v>8.2632231130251137E-3</v>
      </c>
      <c r="G346" s="103">
        <f ca="1"/>
        <v>9.088291824839877E-3</v>
      </c>
    </row>
    <row r="347" spans="1:7">
      <c r="A347" s="189"/>
      <c r="B347" s="101">
        <f ca="1"/>
        <v>54112</v>
      </c>
      <c r="C347" s="102">
        <f ca="1"/>
        <v>5.8869391174294905E-3</v>
      </c>
      <c r="D347" s="102">
        <f ca="1"/>
        <v>6.3499663148409487E-3</v>
      </c>
      <c r="E347" s="102">
        <f ca="1"/>
        <v>7.2254663256675171E-3</v>
      </c>
      <c r="F347" s="102">
        <f ca="1"/>
        <v>8.2649368752025342E-3</v>
      </c>
      <c r="G347" s="103">
        <f ca="1"/>
        <v>9.0899122356547825E-3</v>
      </c>
    </row>
    <row r="348" spans="1:7">
      <c r="A348" s="189"/>
      <c r="B348" s="101">
        <f ca="1"/>
        <v>54141</v>
      </c>
      <c r="C348" s="102">
        <f ca="1"/>
        <v>5.8893438304502849E-3</v>
      </c>
      <c r="D348" s="102">
        <f ca="1"/>
        <v>6.3514356113418E-3</v>
      </c>
      <c r="E348" s="102">
        <f ca="1"/>
        <v>7.2271983954667468E-3</v>
      </c>
      <c r="F348" s="102">
        <f ca="1"/>
        <v>8.2671810543767498E-3</v>
      </c>
      <c r="G348" s="103">
        <f ca="1"/>
        <v>9.0917083937256393E-3</v>
      </c>
    </row>
    <row r="349" spans="1:7">
      <c r="A349" s="189"/>
      <c r="B349" s="101">
        <f ca="1"/>
        <v>54172</v>
      </c>
      <c r="C349" s="102">
        <f ca="1"/>
        <v>5.8923077868716948E-3</v>
      </c>
      <c r="D349" s="102">
        <f ca="1"/>
        <v>6.3533712550952522E-3</v>
      </c>
      <c r="E349" s="102">
        <f ca="1"/>
        <v>7.2295546996729472E-3</v>
      </c>
      <c r="F349" s="102">
        <f ca="1"/>
        <v>8.2698361619665504E-3</v>
      </c>
      <c r="G349" s="103">
        <f ca="1"/>
        <v>9.0944448134648859E-3</v>
      </c>
    </row>
    <row r="350" spans="1:7">
      <c r="A350" s="189"/>
      <c r="B350" s="101">
        <f ca="1"/>
        <v>54204</v>
      </c>
      <c r="C350" s="102">
        <f ca="1"/>
        <v>5.8952068612067345E-3</v>
      </c>
      <c r="D350" s="102">
        <f ca="1"/>
        <v>6.3556597655101887E-3</v>
      </c>
      <c r="E350" s="102">
        <f ca="1"/>
        <v>7.2325541882617425E-3</v>
      </c>
      <c r="F350" s="102">
        <f ca="1"/>
        <v>8.2727096106054426E-3</v>
      </c>
      <c r="G350" s="103">
        <f ca="1"/>
        <v>9.0969464216787976E-3</v>
      </c>
    </row>
    <row r="351" spans="1:7">
      <c r="A351" s="189"/>
      <c r="B351" s="101">
        <f ca="1"/>
        <v>54233</v>
      </c>
      <c r="C351" s="102">
        <f ca="1"/>
        <v>5.8981994987646223E-3</v>
      </c>
      <c r="D351" s="102">
        <f ca="1"/>
        <v>6.3581263515034734E-3</v>
      </c>
      <c r="E351" s="102">
        <f ca="1"/>
        <v>7.2357074161372046E-3</v>
      </c>
      <c r="F351" s="102">
        <f ca="1"/>
        <v>8.2756603231297875E-3</v>
      </c>
      <c r="G351" s="103">
        <f ca="1"/>
        <v>9.0998180235155601E-3</v>
      </c>
    </row>
    <row r="352" spans="1:7">
      <c r="A352" s="189"/>
      <c r="B352" s="101">
        <f ca="1"/>
        <v>54263</v>
      </c>
      <c r="C352" s="102">
        <f ca="1"/>
        <v>5.9016991792658607E-3</v>
      </c>
      <c r="D352" s="102">
        <f ca="1"/>
        <v>6.3613055928615535E-3</v>
      </c>
      <c r="E352" s="102">
        <f ca="1"/>
        <v>7.2393224163735479E-3</v>
      </c>
      <c r="F352" s="102">
        <f ca="1"/>
        <v>8.2795680705729912E-3</v>
      </c>
      <c r="G352" s="103">
        <f ca="1"/>
        <v>9.1034560808663425E-3</v>
      </c>
    </row>
    <row r="353" spans="1:7">
      <c r="A353" s="189"/>
      <c r="B353" s="101">
        <f ca="1"/>
        <v>54294</v>
      </c>
      <c r="C353" s="102">
        <f ca="1"/>
        <v>5.9050996458792976E-3</v>
      </c>
      <c r="D353" s="102">
        <f ca="1"/>
        <v>6.3649270532125084E-3</v>
      </c>
      <c r="E353" s="102">
        <f ca="1"/>
        <v>7.2433748707053927E-3</v>
      </c>
      <c r="F353" s="102">
        <f ca="1"/>
        <v>8.2835108967727073E-3</v>
      </c>
      <c r="G353" s="103">
        <f ca="1"/>
        <v>9.1068057642822442E-3</v>
      </c>
    </row>
    <row r="354" spans="1:7">
      <c r="A354" s="189"/>
      <c r="B354" s="101">
        <f ca="1"/>
        <v>54325</v>
      </c>
      <c r="C354" s="102">
        <f ca="1"/>
        <v>5.9089202863699467E-3</v>
      </c>
      <c r="D354" s="102">
        <f ca="1"/>
        <v>6.3691259198874178E-3</v>
      </c>
      <c r="E354" s="102">
        <f ca="1"/>
        <v>7.2477917450737683E-3</v>
      </c>
      <c r="F354" s="102">
        <f ca="1"/>
        <v>8.2874935147132581E-3</v>
      </c>
      <c r="G354" s="103">
        <f ca="1"/>
        <v>9.1108491171851824E-3</v>
      </c>
    </row>
    <row r="355" spans="1:7">
      <c r="A355" s="189"/>
      <c r="B355" s="101">
        <f ca="1"/>
        <v>54357</v>
      </c>
      <c r="C355" s="102">
        <f ca="1"/>
        <v>5.9130865226281557E-3</v>
      </c>
      <c r="D355" s="102">
        <f ca="1"/>
        <v>6.3736771061024284E-3</v>
      </c>
      <c r="E355" s="102">
        <f ca="1"/>
        <v>7.2528057558804062E-3</v>
      </c>
      <c r="F355" s="102">
        <f ca="1"/>
        <v>8.2927379460569772E-3</v>
      </c>
      <c r="G355" s="103">
        <f ca="1"/>
        <v>9.115370829578362E-3</v>
      </c>
    </row>
    <row r="356" spans="1:7">
      <c r="A356" s="189"/>
      <c r="B356" s="101">
        <f ca="1"/>
        <v>54386</v>
      </c>
      <c r="C356" s="102">
        <f ca="1"/>
        <v>5.9170570925787631E-3</v>
      </c>
      <c r="D356" s="102">
        <f ca="1"/>
        <v>6.3781907751741139E-3</v>
      </c>
      <c r="E356" s="102">
        <f ca="1"/>
        <v>7.2577991873676948E-3</v>
      </c>
      <c r="F356" s="102">
        <f ca="1"/>
        <v>8.2975149437295587E-3</v>
      </c>
      <c r="G356" s="103">
        <f ca="1"/>
        <v>9.1197739336148498E-3</v>
      </c>
    </row>
    <row r="357" spans="1:7">
      <c r="A357" s="189"/>
      <c r="B357" s="101">
        <f ca="1"/>
        <v>54416</v>
      </c>
      <c r="C357" s="102">
        <f ca="1"/>
        <v>5.9218456334956832E-3</v>
      </c>
      <c r="D357" s="102">
        <f ca="1"/>
        <v>6.3837092776996684E-3</v>
      </c>
      <c r="E357" s="102">
        <f ca="1"/>
        <v>7.2634133057365583E-3</v>
      </c>
      <c r="F357" s="102">
        <f ca="1"/>
        <v>8.3032147771180728E-3</v>
      </c>
      <c r="G357" s="103">
        <f ca="1"/>
        <v>9.1246343455304579E-3</v>
      </c>
    </row>
    <row r="358" spans="1:7">
      <c r="A358" s="189"/>
      <c r="B358" s="101">
        <f ca="1"/>
        <v>54448</v>
      </c>
      <c r="C358" s="102">
        <f ca="1"/>
        <v>5.9261673133287739E-3</v>
      </c>
      <c r="D358" s="102">
        <f ca="1"/>
        <v>6.3896061526860191E-3</v>
      </c>
      <c r="E358" s="102">
        <f ca="1"/>
        <v>7.2698871156920567E-3</v>
      </c>
      <c r="F358" s="102">
        <f ca="1"/>
        <v>8.3095111384279569E-3</v>
      </c>
      <c r="G358" s="103">
        <f ca="1"/>
        <v>9.1301611972083307E-3</v>
      </c>
    </row>
    <row r="359" spans="1:7">
      <c r="A359" s="189"/>
      <c r="B359" s="101">
        <f ca="1"/>
        <v>54478</v>
      </c>
      <c r="C359" s="102">
        <f ca="1"/>
        <v>5.9308796688467974E-3</v>
      </c>
      <c r="D359" s="102">
        <f ca="1"/>
        <v>6.3952229776946179E-3</v>
      </c>
      <c r="E359" s="102">
        <f ca="1"/>
        <v>7.2763998594215186E-3</v>
      </c>
      <c r="F359" s="102">
        <f ca="1"/>
        <v>8.3155971513210816E-3</v>
      </c>
      <c r="G359" s="103">
        <f ca="1"/>
        <v>9.1356572711400741E-3</v>
      </c>
    </row>
    <row r="360" spans="1:7">
      <c r="A360" s="189"/>
      <c r="B360" s="101">
        <f ca="1"/>
        <v>54506</v>
      </c>
      <c r="C360" s="102">
        <f ca="1"/>
        <v>5.9354566203434914E-3</v>
      </c>
      <c r="D360" s="102">
        <f ca="1"/>
        <v>6.4021262815244758E-3</v>
      </c>
      <c r="E360" s="102">
        <f ca="1"/>
        <v>7.2828732153965604E-3</v>
      </c>
      <c r="F360" s="102">
        <f ca="1"/>
        <v>8.3224544919035439E-3</v>
      </c>
      <c r="G360" s="103">
        <f ca="1"/>
        <v>9.1410376131519921E-3</v>
      </c>
    </row>
    <row r="361" spans="1:7">
      <c r="A361" s="189"/>
      <c r="B361" s="101">
        <f ca="1"/>
        <v>54539</v>
      </c>
      <c r="C361" s="102">
        <f ca="1"/>
        <v>5.9410728913528608E-3</v>
      </c>
      <c r="D361" s="102">
        <f ca="1"/>
        <v>6.4092465259436363E-3</v>
      </c>
      <c r="E361" s="102">
        <f ca="1"/>
        <v>7.2910073887790293E-3</v>
      </c>
      <c r="F361" s="102">
        <f ca="1"/>
        <v>8.3299988181279264E-3</v>
      </c>
      <c r="G361" s="103">
        <f ca="1"/>
        <v>9.1476539830068759E-3</v>
      </c>
    </row>
    <row r="362" spans="1:7">
      <c r="A362" s="189"/>
      <c r="B362" s="101">
        <f ca="1"/>
        <v>54567</v>
      </c>
      <c r="C362" s="102">
        <f ca="1"/>
        <v>5.9460264112560736E-3</v>
      </c>
      <c r="D362" s="102">
        <f ca="1"/>
        <v>6.41630339725265E-3</v>
      </c>
      <c r="E362" s="102">
        <f ca="1"/>
        <v>7.2983450594012534E-3</v>
      </c>
      <c r="F362" s="102">
        <f ca="1"/>
        <v>8.3371714691400853E-3</v>
      </c>
      <c r="G362" s="103">
        <f ca="1"/>
        <v>9.1534719022423605E-3</v>
      </c>
    </row>
    <row r="363" spans="1:7">
      <c r="A363" s="189"/>
      <c r="B363" s="101">
        <f ca="1"/>
        <v>54598</v>
      </c>
      <c r="C363" s="102">
        <f ca="1"/>
        <v>5.9517119677583346E-3</v>
      </c>
      <c r="D363" s="102">
        <f ca="1"/>
        <v>6.4245410776871386E-3</v>
      </c>
      <c r="E363" s="102">
        <f ca="1"/>
        <v>7.3069173507788968E-3</v>
      </c>
      <c r="F363" s="102">
        <f ca="1"/>
        <v>8.3450167505517339E-3</v>
      </c>
      <c r="G363" s="103">
        <f ca="1"/>
        <v>9.1600988806412875E-3</v>
      </c>
    </row>
    <row r="364" spans="1:7">
      <c r="A364" s="189"/>
      <c r="B364" s="101">
        <f ca="1"/>
        <v>54630</v>
      </c>
      <c r="C364" s="102">
        <f ca="1"/>
        <v>5.9578032522351453E-3</v>
      </c>
      <c r="D364" s="102">
        <f ca="1"/>
        <v>6.4331291424255636E-3</v>
      </c>
      <c r="E364" s="102">
        <f ca="1"/>
        <v>7.3162318443185147E-3</v>
      </c>
      <c r="F364" s="102">
        <f ca="1"/>
        <v>8.3540183417400733E-3</v>
      </c>
      <c r="G364" s="103">
        <f ca="1"/>
        <v>9.1671084878865994E-3</v>
      </c>
    </row>
    <row r="365" spans="1:7">
      <c r="A365" s="189"/>
      <c r="B365" s="101">
        <f ca="1"/>
        <v>54659</v>
      </c>
      <c r="C365" s="102">
        <f ca="1"/>
        <v>5.9635183980938878E-3</v>
      </c>
      <c r="D365" s="102">
        <f ca="1"/>
        <v>6.4415007045592922E-3</v>
      </c>
      <c r="E365" s="102">
        <f ca="1"/>
        <v>7.3250594497905617E-3</v>
      </c>
      <c r="F365" s="102">
        <f ca="1"/>
        <v>8.3623212652930122E-3</v>
      </c>
      <c r="G365" s="103">
        <f ca="1"/>
        <v>9.1735772187124809E-3</v>
      </c>
    </row>
    <row r="366" spans="1:7">
      <c r="A366" s="189"/>
      <c r="B366" s="101">
        <f ca="1"/>
        <v>54690</v>
      </c>
      <c r="C366" s="102">
        <f ca="1"/>
        <v>5.9701373727707608E-3</v>
      </c>
      <c r="D366" s="102">
        <f ca="1"/>
        <v>6.4508862973111682E-3</v>
      </c>
      <c r="E366" s="102">
        <f ca="1"/>
        <v>7.334893214563468E-3</v>
      </c>
      <c r="F366" s="102">
        <f ca="1"/>
        <v>8.3707524052429021E-3</v>
      </c>
      <c r="G366" s="103">
        <f ca="1"/>
        <v>9.1810395522574119E-3</v>
      </c>
    </row>
    <row r="367" spans="1:7">
      <c r="A367" s="189"/>
      <c r="B367" s="101">
        <f ca="1"/>
        <v>54721</v>
      </c>
      <c r="C367" s="102">
        <f ca="1"/>
        <v>5.9763584904177205E-3</v>
      </c>
      <c r="D367" s="102">
        <f ca="1"/>
        <v>6.4607231286748805E-3</v>
      </c>
      <c r="E367" s="102">
        <f ca="1"/>
        <v>7.3451325940654634E-3</v>
      </c>
      <c r="F367" s="102">
        <f ca="1"/>
        <v>8.3804149664837672E-3</v>
      </c>
      <c r="G367" s="103">
        <f ca="1"/>
        <v>9.1876412395091034E-3</v>
      </c>
    </row>
    <row r="368" spans="1:7">
      <c r="A368" s="189"/>
      <c r="B368" s="101">
        <f ca="1"/>
        <v>54751</v>
      </c>
      <c r="C368" s="102">
        <f ca="1"/>
        <v>5.9828756072095044E-3</v>
      </c>
      <c r="D368" s="102">
        <f ca="1"/>
        <v>6.4704444658548899E-3</v>
      </c>
      <c r="E368" s="102">
        <f ca="1"/>
        <v>7.355399348496992E-3</v>
      </c>
      <c r="F368" s="102">
        <f ca="1"/>
        <v>8.3894148257776576E-3</v>
      </c>
      <c r="G368" s="103">
        <f ca="1"/>
        <v>9.1944950851221563E-3</v>
      </c>
    </row>
    <row r="369" spans="1:7">
      <c r="A369" s="189"/>
      <c r="B369" s="101">
        <f ca="1"/>
        <v>54781</v>
      </c>
      <c r="C369" s="102">
        <f ca="1"/>
        <v>5.9902423240891269E-3</v>
      </c>
      <c r="D369" s="102">
        <f ca="1"/>
        <v>6.481044035901962E-3</v>
      </c>
      <c r="E369" s="102">
        <f ca="1"/>
        <v>7.3658942608028199E-3</v>
      </c>
      <c r="F369" s="102">
        <f ca="1"/>
        <v>8.3989782924722596E-3</v>
      </c>
      <c r="G369" s="103">
        <f ca="1"/>
        <v>9.2022452231258229E-3</v>
      </c>
    </row>
    <row r="370" spans="1:7">
      <c r="A370" s="189"/>
      <c r="B370" s="101">
        <f ca="1"/>
        <v>54812</v>
      </c>
      <c r="C370" s="102">
        <f ca="1"/>
        <v>5.9967381830589635E-3</v>
      </c>
      <c r="D370" s="102">
        <f ca="1"/>
        <v>6.4921099737714752E-3</v>
      </c>
      <c r="E370" s="102">
        <f ca="1"/>
        <v>7.3768226177683485E-3</v>
      </c>
      <c r="F370" s="102">
        <f ca="1"/>
        <v>8.4085794458331441E-3</v>
      </c>
      <c r="G370" s="103">
        <f ca="1"/>
        <v>9.2083606357145076E-3</v>
      </c>
    </row>
    <row r="371" spans="1:7">
      <c r="A371" s="189"/>
      <c r="B371" s="101" t="e">
        <f ca="1"/>
        <v>#N/A</v>
      </c>
      <c r="C371" s="102" t="e">
        <f ca="1"/>
        <v>#N/A</v>
      </c>
      <c r="D371" s="102" t="e">
        <f ca="1"/>
        <v>#N/A</v>
      </c>
      <c r="E371" s="102" t="e">
        <f ca="1"/>
        <v>#N/A</v>
      </c>
      <c r="F371" s="102" t="e">
        <f ca="1"/>
        <v>#N/A</v>
      </c>
      <c r="G371" s="103" t="e">
        <f ca="1"/>
        <v>#N/A</v>
      </c>
    </row>
    <row r="372" spans="1:7">
      <c r="A372" s="189"/>
      <c r="B372" s="101" t="e">
        <f ca="1"/>
        <v>#N/A</v>
      </c>
      <c r="C372" s="102" t="e">
        <f ca="1"/>
        <v>#N/A</v>
      </c>
      <c r="D372" s="102" t="e">
        <f ca="1"/>
        <v>#N/A</v>
      </c>
      <c r="E372" s="102" t="e">
        <f ca="1"/>
        <v>#N/A</v>
      </c>
      <c r="F372" s="102" t="e">
        <f ca="1"/>
        <v>#N/A</v>
      </c>
      <c r="G372" s="103" t="e">
        <f ca="1"/>
        <v>#N/A</v>
      </c>
    </row>
    <row r="373" spans="1:7">
      <c r="A373" s="189"/>
      <c r="B373" s="101" t="e">
        <f ca="1"/>
        <v>#N/A</v>
      </c>
      <c r="C373" s="102" t="e">
        <f ca="1"/>
        <v>#N/A</v>
      </c>
      <c r="D373" s="102" t="e">
        <f ca="1"/>
        <v>#N/A</v>
      </c>
      <c r="E373" s="102" t="e">
        <f ca="1"/>
        <v>#N/A</v>
      </c>
      <c r="F373" s="102" t="e">
        <f ca="1"/>
        <v>#N/A</v>
      </c>
      <c r="G373" s="103" t="e">
        <f ca="1"/>
        <v>#N/A</v>
      </c>
    </row>
    <row r="374" spans="1:7">
      <c r="A374" s="189"/>
      <c r="B374" s="101" t="e">
        <f ca="1"/>
        <v>#N/A</v>
      </c>
      <c r="C374" s="102" t="e">
        <f ca="1"/>
        <v>#N/A</v>
      </c>
      <c r="D374" s="102" t="e">
        <f ca="1"/>
        <v>#N/A</v>
      </c>
      <c r="E374" s="102" t="e">
        <f ca="1"/>
        <v>#N/A</v>
      </c>
      <c r="F374" s="102" t="e">
        <f ca="1"/>
        <v>#N/A</v>
      </c>
      <c r="G374" s="103" t="e">
        <f ca="1"/>
        <v>#N/A</v>
      </c>
    </row>
    <row r="375" spans="1:7">
      <c r="A375" s="189"/>
      <c r="B375" s="101" t="e">
        <f ca="1"/>
        <v>#N/A</v>
      </c>
      <c r="C375" s="102" t="e">
        <f ca="1"/>
        <v>#N/A</v>
      </c>
      <c r="D375" s="102" t="e">
        <f ca="1"/>
        <v>#N/A</v>
      </c>
      <c r="E375" s="102" t="e">
        <f ca="1"/>
        <v>#N/A</v>
      </c>
      <c r="F375" s="102" t="e">
        <f ca="1"/>
        <v>#N/A</v>
      </c>
      <c r="G375" s="103" t="e">
        <f ca="1"/>
        <v>#N/A</v>
      </c>
    </row>
    <row r="376" spans="1:7">
      <c r="A376" s="189"/>
      <c r="B376" s="101" t="e">
        <f ca="1"/>
        <v>#N/A</v>
      </c>
      <c r="C376" s="102" t="e">
        <f ca="1"/>
        <v>#N/A</v>
      </c>
      <c r="D376" s="102" t="e">
        <f ca="1"/>
        <v>#N/A</v>
      </c>
      <c r="E376" s="102" t="e">
        <f ca="1"/>
        <v>#N/A</v>
      </c>
      <c r="F376" s="102" t="e">
        <f ca="1"/>
        <v>#N/A</v>
      </c>
      <c r="G376" s="103" t="e">
        <f ca="1"/>
        <v>#N/A</v>
      </c>
    </row>
    <row r="377" spans="1:7">
      <c r="A377" s="189"/>
      <c r="B377" s="101" t="e">
        <f ca="1"/>
        <v>#N/A</v>
      </c>
      <c r="C377" s="102" t="e">
        <f ca="1"/>
        <v>#N/A</v>
      </c>
      <c r="D377" s="102" t="e">
        <f ca="1"/>
        <v>#N/A</v>
      </c>
      <c r="E377" s="102" t="e">
        <f ca="1"/>
        <v>#N/A</v>
      </c>
      <c r="F377" s="102" t="e">
        <f ca="1"/>
        <v>#N/A</v>
      </c>
      <c r="G377" s="103" t="e">
        <f ca="1"/>
        <v>#N/A</v>
      </c>
    </row>
    <row r="378" spans="1:7">
      <c r="A378" s="189"/>
      <c r="B378" s="101" t="e">
        <f ca="1"/>
        <v>#N/A</v>
      </c>
      <c r="C378" s="102" t="e">
        <f ca="1"/>
        <v>#N/A</v>
      </c>
      <c r="D378" s="102" t="e">
        <f ca="1"/>
        <v>#N/A</v>
      </c>
      <c r="E378" s="102" t="e">
        <f ca="1"/>
        <v>#N/A</v>
      </c>
      <c r="F378" s="102" t="e">
        <f ca="1"/>
        <v>#N/A</v>
      </c>
      <c r="G378" s="103" t="e">
        <f ca="1"/>
        <v>#N/A</v>
      </c>
    </row>
    <row r="379" spans="1:7">
      <c r="A379" s="189"/>
      <c r="B379" s="101" t="e">
        <f ca="1"/>
        <v>#N/A</v>
      </c>
      <c r="C379" s="102" t="e">
        <f ca="1"/>
        <v>#N/A</v>
      </c>
      <c r="D379" s="102" t="e">
        <f ca="1"/>
        <v>#N/A</v>
      </c>
      <c r="E379" s="102" t="e">
        <f ca="1"/>
        <v>#N/A</v>
      </c>
      <c r="F379" s="102" t="e">
        <f ca="1"/>
        <v>#N/A</v>
      </c>
      <c r="G379" s="103" t="e">
        <f ca="1"/>
        <v>#N/A</v>
      </c>
    </row>
    <row r="380" spans="1:7">
      <c r="A380" s="189"/>
      <c r="B380" s="101" t="e">
        <f ca="1"/>
        <v>#N/A</v>
      </c>
      <c r="C380" s="102" t="e">
        <f ca="1"/>
        <v>#N/A</v>
      </c>
      <c r="D380" s="102" t="e">
        <f ca="1"/>
        <v>#N/A</v>
      </c>
      <c r="E380" s="102" t="e">
        <f ca="1"/>
        <v>#N/A</v>
      </c>
      <c r="F380" s="102" t="e">
        <f ca="1"/>
        <v>#N/A</v>
      </c>
      <c r="G380" s="103" t="e">
        <f ca="1"/>
        <v>#N/A</v>
      </c>
    </row>
    <row r="381" spans="1:7">
      <c r="A381" s="189"/>
      <c r="B381" s="101" t="e">
        <f ca="1"/>
        <v>#N/A</v>
      </c>
      <c r="C381" s="102" t="e">
        <f ca="1"/>
        <v>#N/A</v>
      </c>
      <c r="D381" s="102" t="e">
        <f ca="1"/>
        <v>#N/A</v>
      </c>
      <c r="E381" s="102" t="e">
        <f ca="1"/>
        <v>#N/A</v>
      </c>
      <c r="F381" s="102" t="e">
        <f ca="1"/>
        <v>#N/A</v>
      </c>
      <c r="G381" s="103" t="e">
        <f ca="1"/>
        <v>#N/A</v>
      </c>
    </row>
    <row r="382" spans="1:7">
      <c r="A382" s="189"/>
      <c r="B382" s="101" t="e">
        <f ca="1"/>
        <v>#N/A</v>
      </c>
      <c r="C382" s="102" t="e">
        <f ca="1"/>
        <v>#N/A</v>
      </c>
      <c r="D382" s="102" t="e">
        <f ca="1"/>
        <v>#N/A</v>
      </c>
      <c r="E382" s="102" t="e">
        <f ca="1"/>
        <v>#N/A</v>
      </c>
      <c r="F382" s="102" t="e">
        <f ca="1"/>
        <v>#N/A</v>
      </c>
      <c r="G382" s="103" t="e">
        <f ca="1"/>
        <v>#N/A</v>
      </c>
    </row>
    <row r="383" spans="1:7">
      <c r="A383" s="189"/>
      <c r="B383" s="101" t="e">
        <f ca="1"/>
        <v>#N/A</v>
      </c>
      <c r="C383" s="102" t="e">
        <f ca="1"/>
        <v>#N/A</v>
      </c>
      <c r="D383" s="102" t="e">
        <f ca="1"/>
        <v>#N/A</v>
      </c>
      <c r="E383" s="102" t="e">
        <f ca="1"/>
        <v>#N/A</v>
      </c>
      <c r="F383" s="102" t="e">
        <f ca="1"/>
        <v>#N/A</v>
      </c>
      <c r="G383" s="103" t="e">
        <f ca="1"/>
        <v>#N/A</v>
      </c>
    </row>
    <row r="384" spans="1:7">
      <c r="A384" s="189"/>
      <c r="B384" s="101" t="e">
        <f ca="1"/>
        <v>#N/A</v>
      </c>
      <c r="C384" s="102" t="e">
        <f ca="1"/>
        <v>#N/A</v>
      </c>
      <c r="D384" s="102" t="e">
        <f ca="1"/>
        <v>#N/A</v>
      </c>
      <c r="E384" s="102" t="e">
        <f ca="1"/>
        <v>#N/A</v>
      </c>
      <c r="F384" s="102" t="e">
        <f ca="1"/>
        <v>#N/A</v>
      </c>
      <c r="G384" s="103" t="e">
        <f ca="1"/>
        <v>#N/A</v>
      </c>
    </row>
    <row r="385" spans="1:7">
      <c r="A385" s="189"/>
      <c r="B385" s="101" t="e">
        <f ca="1"/>
        <v>#N/A</v>
      </c>
      <c r="C385" s="102" t="e">
        <f ca="1"/>
        <v>#N/A</v>
      </c>
      <c r="D385" s="102" t="e">
        <f ca="1"/>
        <v>#N/A</v>
      </c>
      <c r="E385" s="102" t="e">
        <f ca="1"/>
        <v>#N/A</v>
      </c>
      <c r="F385" s="102" t="e">
        <f ca="1"/>
        <v>#N/A</v>
      </c>
      <c r="G385" s="103" t="e">
        <f ca="1"/>
        <v>#N/A</v>
      </c>
    </row>
    <row r="386" spans="1:7">
      <c r="A386" s="189"/>
      <c r="B386" s="101" t="e">
        <f ca="1"/>
        <v>#N/A</v>
      </c>
      <c r="C386" s="102" t="e">
        <f ca="1"/>
        <v>#N/A</v>
      </c>
      <c r="D386" s="102" t="e">
        <f ca="1"/>
        <v>#N/A</v>
      </c>
      <c r="E386" s="102" t="e">
        <f ca="1"/>
        <v>#N/A</v>
      </c>
      <c r="F386" s="102" t="e">
        <f ca="1"/>
        <v>#N/A</v>
      </c>
      <c r="G386" s="103" t="e">
        <f ca="1"/>
        <v>#N/A</v>
      </c>
    </row>
    <row r="387" spans="1:7">
      <c r="A387" s="189"/>
      <c r="B387" s="101" t="e">
        <f ca="1"/>
        <v>#N/A</v>
      </c>
      <c r="C387" s="102" t="e">
        <f ca="1"/>
        <v>#N/A</v>
      </c>
      <c r="D387" s="102" t="e">
        <f ca="1"/>
        <v>#N/A</v>
      </c>
      <c r="E387" s="102" t="e">
        <f ca="1"/>
        <v>#N/A</v>
      </c>
      <c r="F387" s="102" t="e">
        <f ca="1"/>
        <v>#N/A</v>
      </c>
      <c r="G387" s="103" t="e">
        <f ca="1"/>
        <v>#N/A</v>
      </c>
    </row>
    <row r="388" spans="1:7">
      <c r="A388" s="189"/>
      <c r="B388" s="101" t="e">
        <f ca="1"/>
        <v>#N/A</v>
      </c>
      <c r="C388" s="102" t="e">
        <f ca="1"/>
        <v>#N/A</v>
      </c>
      <c r="D388" s="102" t="e">
        <f ca="1"/>
        <v>#N/A</v>
      </c>
      <c r="E388" s="102" t="e">
        <f ca="1"/>
        <v>#N/A</v>
      </c>
      <c r="F388" s="102" t="e">
        <f ca="1"/>
        <v>#N/A</v>
      </c>
      <c r="G388" s="103" t="e">
        <f ca="1"/>
        <v>#N/A</v>
      </c>
    </row>
    <row r="389" spans="1:7">
      <c r="A389" s="189"/>
      <c r="B389" s="101" t="e">
        <f ca="1"/>
        <v>#N/A</v>
      </c>
      <c r="C389" s="102" t="e">
        <f ca="1"/>
        <v>#N/A</v>
      </c>
      <c r="D389" s="102" t="e">
        <f ca="1"/>
        <v>#N/A</v>
      </c>
      <c r="E389" s="102" t="e">
        <f ca="1"/>
        <v>#N/A</v>
      </c>
      <c r="F389" s="102" t="e">
        <f ca="1"/>
        <v>#N/A</v>
      </c>
      <c r="G389" s="103" t="e">
        <f ca="1"/>
        <v>#N/A</v>
      </c>
    </row>
    <row r="390" spans="1:7">
      <c r="A390" s="189"/>
      <c r="B390" s="101" t="e">
        <f ca="1"/>
        <v>#N/A</v>
      </c>
      <c r="C390" s="102" t="e">
        <f ca="1"/>
        <v>#N/A</v>
      </c>
      <c r="D390" s="102" t="e">
        <f ca="1"/>
        <v>#N/A</v>
      </c>
      <c r="E390" s="102" t="e">
        <f ca="1"/>
        <v>#N/A</v>
      </c>
      <c r="F390" s="102" t="e">
        <f ca="1"/>
        <v>#N/A</v>
      </c>
      <c r="G390" s="103" t="e">
        <f ca="1"/>
        <v>#N/A</v>
      </c>
    </row>
    <row r="391" spans="1:7">
      <c r="A391" s="189"/>
      <c r="B391" s="101" t="e">
        <f ca="1"/>
        <v>#N/A</v>
      </c>
      <c r="C391" s="102" t="e">
        <f ca="1"/>
        <v>#N/A</v>
      </c>
      <c r="D391" s="102" t="e">
        <f ca="1"/>
        <v>#N/A</v>
      </c>
      <c r="E391" s="102" t="e">
        <f ca="1"/>
        <v>#N/A</v>
      </c>
      <c r="F391" s="102" t="e">
        <f ca="1"/>
        <v>#N/A</v>
      </c>
      <c r="G391" s="103" t="e">
        <f ca="1"/>
        <v>#N/A</v>
      </c>
    </row>
    <row r="392" spans="1:7">
      <c r="A392" s="189"/>
      <c r="B392" s="101" t="e">
        <f ca="1"/>
        <v>#N/A</v>
      </c>
      <c r="C392" s="102" t="e">
        <f ca="1"/>
        <v>#N/A</v>
      </c>
      <c r="D392" s="102" t="e">
        <f ca="1"/>
        <v>#N/A</v>
      </c>
      <c r="E392" s="102" t="e">
        <f ca="1"/>
        <v>#N/A</v>
      </c>
      <c r="F392" s="102" t="e">
        <f ca="1"/>
        <v>#N/A</v>
      </c>
      <c r="G392" s="103" t="e">
        <f ca="1"/>
        <v>#N/A</v>
      </c>
    </row>
    <row r="393" spans="1:7">
      <c r="A393" s="189"/>
      <c r="B393" s="101" t="e">
        <f ca="1"/>
        <v>#N/A</v>
      </c>
      <c r="C393" s="102" t="e">
        <f ca="1"/>
        <v>#N/A</v>
      </c>
      <c r="D393" s="102" t="e">
        <f ca="1"/>
        <v>#N/A</v>
      </c>
      <c r="E393" s="102" t="e">
        <f ca="1"/>
        <v>#N/A</v>
      </c>
      <c r="F393" s="102" t="e">
        <f ca="1"/>
        <v>#N/A</v>
      </c>
      <c r="G393" s="103" t="e">
        <f ca="1"/>
        <v>#N/A</v>
      </c>
    </row>
    <row r="394" spans="1:7">
      <c r="A394" s="189"/>
      <c r="B394" s="101" t="e">
        <f ca="1"/>
        <v>#N/A</v>
      </c>
      <c r="C394" s="102" t="e">
        <f ca="1"/>
        <v>#N/A</v>
      </c>
      <c r="D394" s="102" t="e">
        <f ca="1"/>
        <v>#N/A</v>
      </c>
      <c r="E394" s="102" t="e">
        <f ca="1"/>
        <v>#N/A</v>
      </c>
      <c r="F394" s="102" t="e">
        <f ca="1"/>
        <v>#N/A</v>
      </c>
      <c r="G394" s="103" t="e">
        <f ca="1"/>
        <v>#N/A</v>
      </c>
    </row>
    <row r="395" spans="1:7">
      <c r="A395" s="189"/>
      <c r="B395" s="101" t="e">
        <f ca="1"/>
        <v>#N/A</v>
      </c>
      <c r="C395" s="102" t="e">
        <f ca="1"/>
        <v>#N/A</v>
      </c>
      <c r="D395" s="102" t="e">
        <f ca="1"/>
        <v>#N/A</v>
      </c>
      <c r="E395" s="102" t="e">
        <f ca="1"/>
        <v>#N/A</v>
      </c>
      <c r="F395" s="102" t="e">
        <f ca="1"/>
        <v>#N/A</v>
      </c>
      <c r="G395" s="103" t="e">
        <f ca="1"/>
        <v>#N/A</v>
      </c>
    </row>
    <row r="396" spans="1:7">
      <c r="A396" s="189"/>
      <c r="B396" s="101" t="e">
        <f ca="1"/>
        <v>#N/A</v>
      </c>
      <c r="C396" s="102" t="e">
        <f ca="1"/>
        <v>#N/A</v>
      </c>
      <c r="D396" s="102" t="e">
        <f ca="1"/>
        <v>#N/A</v>
      </c>
      <c r="E396" s="102" t="e">
        <f ca="1"/>
        <v>#N/A</v>
      </c>
      <c r="F396" s="102" t="e">
        <f ca="1"/>
        <v>#N/A</v>
      </c>
      <c r="G396" s="103" t="e">
        <f ca="1"/>
        <v>#N/A</v>
      </c>
    </row>
    <row r="397" spans="1:7">
      <c r="A397" s="189"/>
      <c r="B397" s="101" t="e">
        <f ca="1"/>
        <v>#N/A</v>
      </c>
      <c r="C397" s="102" t="e">
        <f ca="1"/>
        <v>#N/A</v>
      </c>
      <c r="D397" s="102" t="e">
        <f ca="1"/>
        <v>#N/A</v>
      </c>
      <c r="E397" s="102" t="e">
        <f ca="1"/>
        <v>#N/A</v>
      </c>
      <c r="F397" s="102" t="e">
        <f ca="1"/>
        <v>#N/A</v>
      </c>
      <c r="G397" s="103" t="e">
        <f ca="1"/>
        <v>#N/A</v>
      </c>
    </row>
    <row r="398" spans="1:7">
      <c r="A398" s="189"/>
      <c r="B398" s="101" t="e">
        <f ca="1"/>
        <v>#N/A</v>
      </c>
      <c r="C398" s="102" t="e">
        <f ca="1"/>
        <v>#N/A</v>
      </c>
      <c r="D398" s="102" t="e">
        <f ca="1"/>
        <v>#N/A</v>
      </c>
      <c r="E398" s="102" t="e">
        <f ca="1"/>
        <v>#N/A</v>
      </c>
      <c r="F398" s="102" t="e">
        <f ca="1"/>
        <v>#N/A</v>
      </c>
      <c r="G398" s="103" t="e">
        <f ca="1"/>
        <v>#N/A</v>
      </c>
    </row>
    <row r="399" spans="1:7">
      <c r="A399" s="189"/>
      <c r="B399" s="101" t="e">
        <f ca="1"/>
        <v>#N/A</v>
      </c>
      <c r="C399" s="102" t="e">
        <f ca="1"/>
        <v>#N/A</v>
      </c>
      <c r="D399" s="102" t="e">
        <f ca="1"/>
        <v>#N/A</v>
      </c>
      <c r="E399" s="102" t="e">
        <f ca="1"/>
        <v>#N/A</v>
      </c>
      <c r="F399" s="102" t="e">
        <f ca="1"/>
        <v>#N/A</v>
      </c>
      <c r="G399" s="103" t="e">
        <f ca="1"/>
        <v>#N/A</v>
      </c>
    </row>
    <row r="400" spans="1:7">
      <c r="A400" s="189"/>
      <c r="B400" s="101" t="e">
        <f ca="1"/>
        <v>#N/A</v>
      </c>
      <c r="C400" s="102" t="e">
        <f ca="1"/>
        <v>#N/A</v>
      </c>
      <c r="D400" s="102" t="e">
        <f ca="1"/>
        <v>#N/A</v>
      </c>
      <c r="E400" s="102" t="e">
        <f ca="1"/>
        <v>#N/A</v>
      </c>
      <c r="F400" s="102" t="e">
        <f ca="1"/>
        <v>#N/A</v>
      </c>
      <c r="G400" s="103" t="e">
        <f ca="1"/>
        <v>#N/A</v>
      </c>
    </row>
    <row r="401" spans="1:7">
      <c r="A401" s="189"/>
      <c r="B401" s="101" t="e">
        <f ca="1"/>
        <v>#N/A</v>
      </c>
      <c r="C401" s="102" t="e">
        <f ca="1"/>
        <v>#N/A</v>
      </c>
      <c r="D401" s="102" t="e">
        <f ca="1"/>
        <v>#N/A</v>
      </c>
      <c r="E401" s="102" t="e">
        <f ca="1"/>
        <v>#N/A</v>
      </c>
      <c r="F401" s="102" t="e">
        <f ca="1"/>
        <v>#N/A</v>
      </c>
      <c r="G401" s="103" t="e">
        <f ca="1"/>
        <v>#N/A</v>
      </c>
    </row>
    <row r="402" spans="1:7">
      <c r="A402" s="189"/>
      <c r="B402" s="101" t="e">
        <f ca="1"/>
        <v>#N/A</v>
      </c>
      <c r="C402" s="102" t="e">
        <f ca="1"/>
        <v>#N/A</v>
      </c>
      <c r="D402" s="102" t="e">
        <f ca="1"/>
        <v>#N/A</v>
      </c>
      <c r="E402" s="102" t="e">
        <f ca="1"/>
        <v>#N/A</v>
      </c>
      <c r="F402" s="102" t="e">
        <f ca="1"/>
        <v>#N/A</v>
      </c>
      <c r="G402" s="103" t="e">
        <f ca="1"/>
        <v>#N/A</v>
      </c>
    </row>
    <row r="403" spans="1:7">
      <c r="A403" s="189"/>
      <c r="B403" s="101" t="e">
        <f ca="1"/>
        <v>#N/A</v>
      </c>
      <c r="C403" s="102" t="e">
        <f ca="1"/>
        <v>#N/A</v>
      </c>
      <c r="D403" s="102" t="e">
        <f ca="1"/>
        <v>#N/A</v>
      </c>
      <c r="E403" s="102" t="e">
        <f ca="1"/>
        <v>#N/A</v>
      </c>
      <c r="F403" s="102" t="e">
        <f ca="1"/>
        <v>#N/A</v>
      </c>
      <c r="G403" s="103" t="e">
        <f ca="1"/>
        <v>#N/A</v>
      </c>
    </row>
    <row r="404" spans="1:7">
      <c r="A404" s="189"/>
      <c r="B404" s="101" t="e">
        <f ca="1"/>
        <v>#N/A</v>
      </c>
      <c r="C404" s="102" t="e">
        <f ca="1"/>
        <v>#N/A</v>
      </c>
      <c r="D404" s="102" t="e">
        <f ca="1"/>
        <v>#N/A</v>
      </c>
      <c r="E404" s="102" t="e">
        <f ca="1"/>
        <v>#N/A</v>
      </c>
      <c r="F404" s="102" t="e">
        <f ca="1"/>
        <v>#N/A</v>
      </c>
      <c r="G404" s="103" t="e">
        <f ca="1"/>
        <v>#N/A</v>
      </c>
    </row>
    <row r="405" spans="1:7">
      <c r="A405" s="189"/>
      <c r="B405" s="101" t="e">
        <f ca="1"/>
        <v>#N/A</v>
      </c>
      <c r="C405" s="102" t="e">
        <f ca="1"/>
        <v>#N/A</v>
      </c>
      <c r="D405" s="102" t="e">
        <f ca="1"/>
        <v>#N/A</v>
      </c>
      <c r="E405" s="102" t="e">
        <f ca="1"/>
        <v>#N/A</v>
      </c>
      <c r="F405" s="102" t="e">
        <f ca="1"/>
        <v>#N/A</v>
      </c>
      <c r="G405" s="103" t="e">
        <f ca="1"/>
        <v>#N/A</v>
      </c>
    </row>
    <row r="406" spans="1:7">
      <c r="A406" s="189"/>
      <c r="B406" s="101" t="e">
        <f ca="1"/>
        <v>#N/A</v>
      </c>
      <c r="C406" s="102" t="e">
        <f ca="1"/>
        <v>#N/A</v>
      </c>
      <c r="D406" s="102" t="e">
        <f ca="1"/>
        <v>#N/A</v>
      </c>
      <c r="E406" s="102" t="e">
        <f ca="1"/>
        <v>#N/A</v>
      </c>
      <c r="F406" s="102" t="e">
        <f ca="1"/>
        <v>#N/A</v>
      </c>
      <c r="G406" s="103" t="e">
        <f ca="1"/>
        <v>#N/A</v>
      </c>
    </row>
    <row r="407" spans="1:7">
      <c r="A407" s="189"/>
      <c r="B407" s="101" t="e">
        <f ca="1"/>
        <v>#N/A</v>
      </c>
      <c r="C407" s="102" t="e">
        <f ca="1"/>
        <v>#N/A</v>
      </c>
      <c r="D407" s="102" t="e">
        <f ca="1"/>
        <v>#N/A</v>
      </c>
      <c r="E407" s="102" t="e">
        <f ca="1"/>
        <v>#N/A</v>
      </c>
      <c r="F407" s="102" t="e">
        <f ca="1"/>
        <v>#N/A</v>
      </c>
      <c r="G407" s="103" t="e">
        <f ca="1"/>
        <v>#N/A</v>
      </c>
    </row>
    <row r="408" spans="1:7">
      <c r="A408" s="189"/>
      <c r="B408" s="101" t="e">
        <f ca="1"/>
        <v>#N/A</v>
      </c>
      <c r="C408" s="102" t="e">
        <f ca="1"/>
        <v>#N/A</v>
      </c>
      <c r="D408" s="102" t="e">
        <f ca="1"/>
        <v>#N/A</v>
      </c>
      <c r="E408" s="102" t="e">
        <f ca="1"/>
        <v>#N/A</v>
      </c>
      <c r="F408" s="102" t="e">
        <f ca="1"/>
        <v>#N/A</v>
      </c>
      <c r="G408" s="103" t="e">
        <f ca="1"/>
        <v>#N/A</v>
      </c>
    </row>
    <row r="409" spans="1:7">
      <c r="A409" s="189"/>
      <c r="B409" s="101" t="e">
        <f ca="1"/>
        <v>#N/A</v>
      </c>
      <c r="C409" s="102" t="e">
        <f ca="1"/>
        <v>#N/A</v>
      </c>
      <c r="D409" s="102" t="e">
        <f ca="1"/>
        <v>#N/A</v>
      </c>
      <c r="E409" s="102" t="e">
        <f ca="1"/>
        <v>#N/A</v>
      </c>
      <c r="F409" s="102" t="e">
        <f ca="1"/>
        <v>#N/A</v>
      </c>
      <c r="G409" s="103" t="e">
        <f ca="1"/>
        <v>#N/A</v>
      </c>
    </row>
    <row r="410" spans="1:7">
      <c r="A410" s="189"/>
      <c r="B410" s="101" t="e">
        <f ca="1"/>
        <v>#N/A</v>
      </c>
      <c r="C410" s="102" t="e">
        <f ca="1"/>
        <v>#N/A</v>
      </c>
      <c r="D410" s="102" t="e">
        <f ca="1"/>
        <v>#N/A</v>
      </c>
      <c r="E410" s="102" t="e">
        <f ca="1"/>
        <v>#N/A</v>
      </c>
      <c r="F410" s="102" t="e">
        <f ca="1"/>
        <v>#N/A</v>
      </c>
      <c r="G410" s="103" t="e">
        <f ca="1"/>
        <v>#N/A</v>
      </c>
    </row>
    <row r="411" spans="1:7">
      <c r="A411" s="189"/>
      <c r="B411" s="101" t="e">
        <f ca="1"/>
        <v>#N/A</v>
      </c>
      <c r="C411" s="102" t="e">
        <f ca="1"/>
        <v>#N/A</v>
      </c>
      <c r="D411" s="102" t="e">
        <f ca="1"/>
        <v>#N/A</v>
      </c>
      <c r="E411" s="102" t="e">
        <f ca="1"/>
        <v>#N/A</v>
      </c>
      <c r="F411" s="102" t="e">
        <f ca="1"/>
        <v>#N/A</v>
      </c>
      <c r="G411" s="103" t="e">
        <f ca="1"/>
        <v>#N/A</v>
      </c>
    </row>
    <row r="412" spans="1:7">
      <c r="A412" s="189"/>
      <c r="B412" s="101" t="e">
        <f ca="1"/>
        <v>#N/A</v>
      </c>
      <c r="C412" s="102" t="e">
        <f ca="1"/>
        <v>#N/A</v>
      </c>
      <c r="D412" s="102" t="e">
        <f ca="1"/>
        <v>#N/A</v>
      </c>
      <c r="E412" s="102" t="e">
        <f ca="1"/>
        <v>#N/A</v>
      </c>
      <c r="F412" s="102" t="e">
        <f ca="1"/>
        <v>#N/A</v>
      </c>
      <c r="G412" s="103" t="e">
        <f ca="1"/>
        <v>#N/A</v>
      </c>
    </row>
    <row r="413" spans="1:7">
      <c r="A413" s="189"/>
      <c r="B413" s="101" t="e">
        <f ca="1"/>
        <v>#N/A</v>
      </c>
      <c r="C413" s="102" t="e">
        <f ca="1"/>
        <v>#N/A</v>
      </c>
      <c r="D413" s="102" t="e">
        <f ca="1"/>
        <v>#N/A</v>
      </c>
      <c r="E413" s="102" t="e">
        <f ca="1"/>
        <v>#N/A</v>
      </c>
      <c r="F413" s="102" t="e">
        <f ca="1"/>
        <v>#N/A</v>
      </c>
      <c r="G413" s="103" t="e">
        <f ca="1"/>
        <v>#N/A</v>
      </c>
    </row>
    <row r="414" spans="1:7">
      <c r="A414" s="189"/>
      <c r="B414" s="101" t="e">
        <f ca="1"/>
        <v>#N/A</v>
      </c>
      <c r="C414" s="102" t="e">
        <f ca="1"/>
        <v>#N/A</v>
      </c>
      <c r="D414" s="102" t="e">
        <f ca="1"/>
        <v>#N/A</v>
      </c>
      <c r="E414" s="102" t="e">
        <f ca="1"/>
        <v>#N/A</v>
      </c>
      <c r="F414" s="102" t="e">
        <f ca="1"/>
        <v>#N/A</v>
      </c>
      <c r="G414" s="103" t="e">
        <f ca="1"/>
        <v>#N/A</v>
      </c>
    </row>
    <row r="415" spans="1:7">
      <c r="A415" s="189"/>
      <c r="B415" s="101" t="e">
        <f ca="1"/>
        <v>#N/A</v>
      </c>
      <c r="C415" s="102" t="e">
        <f ca="1"/>
        <v>#N/A</v>
      </c>
      <c r="D415" s="102" t="e">
        <f ca="1"/>
        <v>#N/A</v>
      </c>
      <c r="E415" s="102" t="e">
        <f ca="1"/>
        <v>#N/A</v>
      </c>
      <c r="F415" s="102" t="e">
        <f ca="1"/>
        <v>#N/A</v>
      </c>
      <c r="G415" s="103" t="e">
        <f ca="1"/>
        <v>#N/A</v>
      </c>
    </row>
    <row r="416" spans="1:7">
      <c r="A416" s="189"/>
      <c r="B416" s="101" t="e">
        <f ca="1"/>
        <v>#N/A</v>
      </c>
      <c r="C416" s="102" t="e">
        <f ca="1"/>
        <v>#N/A</v>
      </c>
      <c r="D416" s="102" t="e">
        <f ca="1"/>
        <v>#N/A</v>
      </c>
      <c r="E416" s="102" t="e">
        <f ca="1"/>
        <v>#N/A</v>
      </c>
      <c r="F416" s="102" t="e">
        <f ca="1"/>
        <v>#N/A</v>
      </c>
      <c r="G416" s="103" t="e">
        <f ca="1"/>
        <v>#N/A</v>
      </c>
    </row>
    <row r="417" spans="1:7">
      <c r="A417" s="189"/>
      <c r="B417" s="101" t="e">
        <f ca="1"/>
        <v>#N/A</v>
      </c>
      <c r="C417" s="102" t="e">
        <f ca="1"/>
        <v>#N/A</v>
      </c>
      <c r="D417" s="102" t="e">
        <f ca="1"/>
        <v>#N/A</v>
      </c>
      <c r="E417" s="102" t="e">
        <f ca="1"/>
        <v>#N/A</v>
      </c>
      <c r="F417" s="102" t="e">
        <f ca="1"/>
        <v>#N/A</v>
      </c>
      <c r="G417" s="103" t="e">
        <f ca="1"/>
        <v>#N/A</v>
      </c>
    </row>
    <row r="418" spans="1:7">
      <c r="A418" s="189"/>
      <c r="B418" s="101" t="e">
        <f ca="1"/>
        <v>#N/A</v>
      </c>
      <c r="C418" s="102" t="e">
        <f ca="1"/>
        <v>#N/A</v>
      </c>
      <c r="D418" s="102" t="e">
        <f ca="1"/>
        <v>#N/A</v>
      </c>
      <c r="E418" s="102" t="e">
        <f ca="1"/>
        <v>#N/A</v>
      </c>
      <c r="F418" s="102" t="e">
        <f ca="1"/>
        <v>#N/A</v>
      </c>
      <c r="G418" s="103" t="e">
        <f ca="1"/>
        <v>#N/A</v>
      </c>
    </row>
    <row r="419" spans="1:7">
      <c r="A419" s="189"/>
      <c r="B419" s="101" t="e">
        <f ca="1"/>
        <v>#N/A</v>
      </c>
      <c r="C419" s="102" t="e">
        <f ca="1"/>
        <v>#N/A</v>
      </c>
      <c r="D419" s="102" t="e">
        <f ca="1"/>
        <v>#N/A</v>
      </c>
      <c r="E419" s="102" t="e">
        <f ca="1"/>
        <v>#N/A</v>
      </c>
      <c r="F419" s="102" t="e">
        <f ca="1"/>
        <v>#N/A</v>
      </c>
      <c r="G419" s="103" t="e">
        <f ca="1"/>
        <v>#N/A</v>
      </c>
    </row>
    <row r="420" spans="1:7">
      <c r="A420" s="189"/>
      <c r="B420" s="101" t="e">
        <f ca="1"/>
        <v>#N/A</v>
      </c>
      <c r="C420" s="102" t="e">
        <f ca="1"/>
        <v>#N/A</v>
      </c>
      <c r="D420" s="102" t="e">
        <f ca="1"/>
        <v>#N/A</v>
      </c>
      <c r="E420" s="102" t="e">
        <f ca="1"/>
        <v>#N/A</v>
      </c>
      <c r="F420" s="102" t="e">
        <f ca="1"/>
        <v>#N/A</v>
      </c>
      <c r="G420" s="103" t="e">
        <f ca="1"/>
        <v>#N/A</v>
      </c>
    </row>
    <row r="421" spans="1:7">
      <c r="A421" s="189"/>
      <c r="B421" s="101" t="e">
        <f ca="1"/>
        <v>#N/A</v>
      </c>
      <c r="C421" s="102" t="e">
        <f ca="1"/>
        <v>#N/A</v>
      </c>
      <c r="D421" s="102" t="e">
        <f ca="1"/>
        <v>#N/A</v>
      </c>
      <c r="E421" s="102" t="e">
        <f ca="1"/>
        <v>#N/A</v>
      </c>
      <c r="F421" s="102" t="e">
        <f ca="1"/>
        <v>#N/A</v>
      </c>
      <c r="G421" s="103" t="e">
        <f ca="1"/>
        <v>#N/A</v>
      </c>
    </row>
    <row r="422" spans="1:7">
      <c r="A422" s="189"/>
      <c r="B422" s="101" t="e">
        <f ca="1"/>
        <v>#N/A</v>
      </c>
      <c r="C422" s="102" t="e">
        <f ca="1"/>
        <v>#N/A</v>
      </c>
      <c r="D422" s="102" t="e">
        <f ca="1"/>
        <v>#N/A</v>
      </c>
      <c r="E422" s="102" t="e">
        <f ca="1"/>
        <v>#N/A</v>
      </c>
      <c r="F422" s="102" t="e">
        <f ca="1"/>
        <v>#N/A</v>
      </c>
      <c r="G422" s="103" t="e">
        <f ca="1"/>
        <v>#N/A</v>
      </c>
    </row>
    <row r="423" spans="1:7">
      <c r="A423" s="189"/>
      <c r="B423" s="101" t="e">
        <f ca="1"/>
        <v>#N/A</v>
      </c>
      <c r="C423" s="102" t="e">
        <f ca="1"/>
        <v>#N/A</v>
      </c>
      <c r="D423" s="102" t="e">
        <f ca="1"/>
        <v>#N/A</v>
      </c>
      <c r="E423" s="102" t="e">
        <f ca="1"/>
        <v>#N/A</v>
      </c>
      <c r="F423" s="102" t="e">
        <f ca="1"/>
        <v>#N/A</v>
      </c>
      <c r="G423" s="103" t="e">
        <f ca="1"/>
        <v>#N/A</v>
      </c>
    </row>
    <row r="424" spans="1:7">
      <c r="A424" s="189"/>
      <c r="B424" s="101" t="e">
        <f ca="1"/>
        <v>#N/A</v>
      </c>
      <c r="C424" s="102" t="e">
        <f ca="1"/>
        <v>#N/A</v>
      </c>
      <c r="D424" s="102" t="e">
        <f ca="1"/>
        <v>#N/A</v>
      </c>
      <c r="E424" s="102" t="e">
        <f ca="1"/>
        <v>#N/A</v>
      </c>
      <c r="F424" s="102" t="e">
        <f ca="1"/>
        <v>#N/A</v>
      </c>
      <c r="G424" s="103" t="e">
        <f ca="1"/>
        <v>#N/A</v>
      </c>
    </row>
    <row r="425" spans="1:7">
      <c r="A425" s="189"/>
      <c r="B425" s="101" t="e">
        <f ca="1"/>
        <v>#N/A</v>
      </c>
      <c r="C425" s="102" t="e">
        <f ca="1"/>
        <v>#N/A</v>
      </c>
      <c r="D425" s="102" t="e">
        <f ca="1"/>
        <v>#N/A</v>
      </c>
      <c r="E425" s="102" t="e">
        <f ca="1"/>
        <v>#N/A</v>
      </c>
      <c r="F425" s="102" t="e">
        <f ca="1"/>
        <v>#N/A</v>
      </c>
      <c r="G425" s="103" t="e">
        <f ca="1"/>
        <v>#N/A</v>
      </c>
    </row>
    <row r="426" spans="1:7">
      <c r="A426" s="189"/>
      <c r="B426" s="101" t="e">
        <f ca="1"/>
        <v>#N/A</v>
      </c>
      <c r="C426" s="102" t="e">
        <f ca="1"/>
        <v>#N/A</v>
      </c>
      <c r="D426" s="102" t="e">
        <f ca="1"/>
        <v>#N/A</v>
      </c>
      <c r="E426" s="102" t="e">
        <f ca="1"/>
        <v>#N/A</v>
      </c>
      <c r="F426" s="102" t="e">
        <f ca="1"/>
        <v>#N/A</v>
      </c>
      <c r="G426" s="103" t="e">
        <f ca="1"/>
        <v>#N/A</v>
      </c>
    </row>
    <row r="427" spans="1:7">
      <c r="A427" s="189"/>
      <c r="B427" s="101" t="e">
        <f ca="1"/>
        <v>#N/A</v>
      </c>
      <c r="C427" s="102" t="e">
        <f ca="1"/>
        <v>#N/A</v>
      </c>
      <c r="D427" s="102" t="e">
        <f ca="1"/>
        <v>#N/A</v>
      </c>
      <c r="E427" s="102" t="e">
        <f ca="1"/>
        <v>#N/A</v>
      </c>
      <c r="F427" s="102" t="e">
        <f ca="1"/>
        <v>#N/A</v>
      </c>
      <c r="G427" s="103" t="e">
        <f ca="1"/>
        <v>#N/A</v>
      </c>
    </row>
    <row r="428" spans="1:7">
      <c r="A428" s="189"/>
      <c r="B428" s="101" t="e">
        <f ca="1"/>
        <v>#N/A</v>
      </c>
      <c r="C428" s="102" t="e">
        <f ca="1"/>
        <v>#N/A</v>
      </c>
      <c r="D428" s="102" t="e">
        <f ca="1"/>
        <v>#N/A</v>
      </c>
      <c r="E428" s="102" t="e">
        <f ca="1"/>
        <v>#N/A</v>
      </c>
      <c r="F428" s="102" t="e">
        <f ca="1"/>
        <v>#N/A</v>
      </c>
      <c r="G428" s="103" t="e">
        <f ca="1"/>
        <v>#N/A</v>
      </c>
    </row>
    <row r="429" spans="1:7">
      <c r="A429" s="189"/>
      <c r="B429" s="101" t="e">
        <f ca="1"/>
        <v>#N/A</v>
      </c>
      <c r="C429" s="102" t="e">
        <f ca="1"/>
        <v>#N/A</v>
      </c>
      <c r="D429" s="102" t="e">
        <f ca="1"/>
        <v>#N/A</v>
      </c>
      <c r="E429" s="102" t="e">
        <f ca="1"/>
        <v>#N/A</v>
      </c>
      <c r="F429" s="102" t="e">
        <f ca="1"/>
        <v>#N/A</v>
      </c>
      <c r="G429" s="103" t="e">
        <f ca="1"/>
        <v>#N/A</v>
      </c>
    </row>
    <row r="430" spans="1:7">
      <c r="A430" s="189"/>
      <c r="B430" s="101" t="e">
        <f ca="1"/>
        <v>#N/A</v>
      </c>
      <c r="C430" s="102" t="e">
        <f ca="1"/>
        <v>#N/A</v>
      </c>
      <c r="D430" s="102" t="e">
        <f ca="1"/>
        <v>#N/A</v>
      </c>
      <c r="E430" s="102" t="e">
        <f ca="1"/>
        <v>#N/A</v>
      </c>
      <c r="F430" s="102" t="e">
        <f ca="1"/>
        <v>#N/A</v>
      </c>
      <c r="G430" s="103" t="e">
        <f ca="1"/>
        <v>#N/A</v>
      </c>
    </row>
    <row r="431" spans="1:7">
      <c r="A431" s="189"/>
      <c r="B431" s="101" t="e">
        <f ca="1"/>
        <v>#N/A</v>
      </c>
      <c r="C431" s="102" t="e">
        <f ca="1"/>
        <v>#N/A</v>
      </c>
      <c r="D431" s="102" t="e">
        <f ca="1"/>
        <v>#N/A</v>
      </c>
      <c r="E431" s="102" t="e">
        <f ca="1"/>
        <v>#N/A</v>
      </c>
      <c r="F431" s="102" t="e">
        <f ca="1"/>
        <v>#N/A</v>
      </c>
      <c r="G431" s="103" t="e">
        <f ca="1"/>
        <v>#N/A</v>
      </c>
    </row>
    <row r="432" spans="1:7">
      <c r="A432" s="189"/>
      <c r="B432" s="101" t="e">
        <f ca="1"/>
        <v>#N/A</v>
      </c>
      <c r="C432" s="102" t="e">
        <f ca="1"/>
        <v>#N/A</v>
      </c>
      <c r="D432" s="102" t="e">
        <f ca="1"/>
        <v>#N/A</v>
      </c>
      <c r="E432" s="102" t="e">
        <f ca="1"/>
        <v>#N/A</v>
      </c>
      <c r="F432" s="102" t="e">
        <f ca="1"/>
        <v>#N/A</v>
      </c>
      <c r="G432" s="103" t="e">
        <f ca="1"/>
        <v>#N/A</v>
      </c>
    </row>
    <row r="433" spans="1:7">
      <c r="A433" s="189"/>
      <c r="B433" s="101" t="e">
        <f ca="1"/>
        <v>#N/A</v>
      </c>
      <c r="C433" s="102" t="e">
        <f ca="1"/>
        <v>#N/A</v>
      </c>
      <c r="D433" s="102" t="e">
        <f ca="1"/>
        <v>#N/A</v>
      </c>
      <c r="E433" s="102" t="e">
        <f ca="1"/>
        <v>#N/A</v>
      </c>
      <c r="F433" s="102" t="e">
        <f ca="1"/>
        <v>#N/A</v>
      </c>
      <c r="G433" s="103" t="e">
        <f ca="1"/>
        <v>#N/A</v>
      </c>
    </row>
    <row r="434" spans="1:7">
      <c r="A434" s="189"/>
      <c r="B434" s="101" t="e">
        <f ca="1"/>
        <v>#N/A</v>
      </c>
      <c r="C434" s="102" t="e">
        <f ca="1"/>
        <v>#N/A</v>
      </c>
      <c r="D434" s="102" t="e">
        <f ca="1"/>
        <v>#N/A</v>
      </c>
      <c r="E434" s="102" t="e">
        <f ca="1"/>
        <v>#N/A</v>
      </c>
      <c r="F434" s="102" t="e">
        <f ca="1"/>
        <v>#N/A</v>
      </c>
      <c r="G434" s="103" t="e">
        <f ca="1"/>
        <v>#N/A</v>
      </c>
    </row>
    <row r="435" spans="1:7">
      <c r="A435" s="189"/>
      <c r="B435" s="101" t="e">
        <f ca="1"/>
        <v>#N/A</v>
      </c>
      <c r="C435" s="102" t="e">
        <f ca="1"/>
        <v>#N/A</v>
      </c>
      <c r="D435" s="102" t="e">
        <f ca="1"/>
        <v>#N/A</v>
      </c>
      <c r="E435" s="102" t="e">
        <f ca="1"/>
        <v>#N/A</v>
      </c>
      <c r="F435" s="102" t="e">
        <f ca="1"/>
        <v>#N/A</v>
      </c>
      <c r="G435" s="103" t="e">
        <f ca="1"/>
        <v>#N/A</v>
      </c>
    </row>
    <row r="436" spans="1:7">
      <c r="A436" s="189"/>
      <c r="B436" s="101" t="e">
        <f ca="1"/>
        <v>#N/A</v>
      </c>
      <c r="C436" s="102" t="e">
        <f ca="1"/>
        <v>#N/A</v>
      </c>
      <c r="D436" s="102" t="e">
        <f ca="1"/>
        <v>#N/A</v>
      </c>
      <c r="E436" s="102" t="e">
        <f ca="1"/>
        <v>#N/A</v>
      </c>
      <c r="F436" s="102" t="e">
        <f ca="1"/>
        <v>#N/A</v>
      </c>
      <c r="G436" s="103" t="e">
        <f ca="1"/>
        <v>#N/A</v>
      </c>
    </row>
    <row r="437" spans="1:7">
      <c r="A437" s="189"/>
      <c r="B437" s="101" t="e">
        <f ca="1"/>
        <v>#N/A</v>
      </c>
      <c r="C437" s="102" t="e">
        <f ca="1"/>
        <v>#N/A</v>
      </c>
      <c r="D437" s="102" t="e">
        <f ca="1"/>
        <v>#N/A</v>
      </c>
      <c r="E437" s="102" t="e">
        <f ca="1"/>
        <v>#N/A</v>
      </c>
      <c r="F437" s="102" t="e">
        <f ca="1"/>
        <v>#N/A</v>
      </c>
      <c r="G437" s="103" t="e">
        <f ca="1"/>
        <v>#N/A</v>
      </c>
    </row>
    <row r="438" spans="1:7">
      <c r="A438" s="189"/>
      <c r="B438" s="101" t="e">
        <f ca="1"/>
        <v>#N/A</v>
      </c>
      <c r="C438" s="102" t="e">
        <f ca="1"/>
        <v>#N/A</v>
      </c>
      <c r="D438" s="102" t="e">
        <f ca="1"/>
        <v>#N/A</v>
      </c>
      <c r="E438" s="102" t="e">
        <f ca="1"/>
        <v>#N/A</v>
      </c>
      <c r="F438" s="102" t="e">
        <f ca="1"/>
        <v>#N/A</v>
      </c>
      <c r="G438" s="103" t="e">
        <f ca="1"/>
        <v>#N/A</v>
      </c>
    </row>
    <row r="439" spans="1:7">
      <c r="A439" s="189"/>
      <c r="B439" s="101" t="e">
        <f ca="1"/>
        <v>#N/A</v>
      </c>
      <c r="C439" s="102" t="e">
        <f ca="1"/>
        <v>#N/A</v>
      </c>
      <c r="D439" s="102" t="e">
        <f ca="1"/>
        <v>#N/A</v>
      </c>
      <c r="E439" s="102" t="e">
        <f ca="1"/>
        <v>#N/A</v>
      </c>
      <c r="F439" s="102" t="e">
        <f ca="1"/>
        <v>#N/A</v>
      </c>
      <c r="G439" s="103" t="e">
        <f ca="1"/>
        <v>#N/A</v>
      </c>
    </row>
    <row r="440" spans="1:7">
      <c r="A440" s="189"/>
      <c r="B440" s="101" t="e">
        <f ca="1"/>
        <v>#N/A</v>
      </c>
      <c r="C440" s="102" t="e">
        <f ca="1"/>
        <v>#N/A</v>
      </c>
      <c r="D440" s="102" t="e">
        <f ca="1"/>
        <v>#N/A</v>
      </c>
      <c r="E440" s="102" t="e">
        <f ca="1"/>
        <v>#N/A</v>
      </c>
      <c r="F440" s="102" t="e">
        <f ca="1"/>
        <v>#N/A</v>
      </c>
      <c r="G440" s="103" t="e">
        <f ca="1"/>
        <v>#N/A</v>
      </c>
    </row>
    <row r="441" spans="1:7">
      <c r="A441" s="189"/>
      <c r="B441" s="101" t="e">
        <f ca="1"/>
        <v>#N/A</v>
      </c>
      <c r="C441" s="102" t="e">
        <f ca="1"/>
        <v>#N/A</v>
      </c>
      <c r="D441" s="102" t="e">
        <f ca="1"/>
        <v>#N/A</v>
      </c>
      <c r="E441" s="102" t="e">
        <f ca="1"/>
        <v>#N/A</v>
      </c>
      <c r="F441" s="102" t="e">
        <f ca="1"/>
        <v>#N/A</v>
      </c>
      <c r="G441" s="103" t="e">
        <f ca="1"/>
        <v>#N/A</v>
      </c>
    </row>
    <row r="442" spans="1:7">
      <c r="A442" s="189"/>
      <c r="B442" s="101" t="e">
        <f ca="1"/>
        <v>#N/A</v>
      </c>
      <c r="C442" s="102" t="e">
        <f ca="1"/>
        <v>#N/A</v>
      </c>
      <c r="D442" s="102" t="e">
        <f ca="1"/>
        <v>#N/A</v>
      </c>
      <c r="E442" s="102" t="e">
        <f ca="1"/>
        <v>#N/A</v>
      </c>
      <c r="F442" s="102" t="e">
        <f ca="1"/>
        <v>#N/A</v>
      </c>
      <c r="G442" s="103" t="e">
        <f ca="1"/>
        <v>#N/A</v>
      </c>
    </row>
    <row r="443" spans="1:7">
      <c r="A443" s="189"/>
      <c r="B443" s="101" t="e">
        <f ca="1"/>
        <v>#N/A</v>
      </c>
      <c r="C443" s="102" t="e">
        <f ca="1"/>
        <v>#N/A</v>
      </c>
      <c r="D443" s="102" t="e">
        <f ca="1"/>
        <v>#N/A</v>
      </c>
      <c r="E443" s="102" t="e">
        <f ca="1"/>
        <v>#N/A</v>
      </c>
      <c r="F443" s="102" t="e">
        <f ca="1"/>
        <v>#N/A</v>
      </c>
      <c r="G443" s="103" t="e">
        <f ca="1"/>
        <v>#N/A</v>
      </c>
    </row>
    <row r="444" spans="1:7">
      <c r="A444" s="189"/>
      <c r="B444" s="101" t="e">
        <f ca="1"/>
        <v>#N/A</v>
      </c>
      <c r="C444" s="102" t="e">
        <f ca="1"/>
        <v>#N/A</v>
      </c>
      <c r="D444" s="102" t="e">
        <f ca="1"/>
        <v>#N/A</v>
      </c>
      <c r="E444" s="102" t="e">
        <f ca="1"/>
        <v>#N/A</v>
      </c>
      <c r="F444" s="102" t="e">
        <f ca="1"/>
        <v>#N/A</v>
      </c>
      <c r="G444" s="103" t="e">
        <f ca="1"/>
        <v>#N/A</v>
      </c>
    </row>
    <row r="445" spans="1:7">
      <c r="A445" s="189"/>
      <c r="B445" s="101" t="e">
        <f ca="1"/>
        <v>#N/A</v>
      </c>
      <c r="C445" s="102" t="e">
        <f ca="1"/>
        <v>#N/A</v>
      </c>
      <c r="D445" s="102" t="e">
        <f ca="1"/>
        <v>#N/A</v>
      </c>
      <c r="E445" s="102" t="e">
        <f ca="1"/>
        <v>#N/A</v>
      </c>
      <c r="F445" s="102" t="e">
        <f ca="1"/>
        <v>#N/A</v>
      </c>
      <c r="G445" s="103" t="e">
        <f ca="1"/>
        <v>#N/A</v>
      </c>
    </row>
    <row r="446" spans="1:7">
      <c r="A446" s="189"/>
      <c r="B446" s="101" t="e">
        <f ca="1"/>
        <v>#N/A</v>
      </c>
      <c r="C446" s="102" t="e">
        <f ca="1"/>
        <v>#N/A</v>
      </c>
      <c r="D446" s="102" t="e">
        <f ca="1"/>
        <v>#N/A</v>
      </c>
      <c r="E446" s="102" t="e">
        <f ca="1"/>
        <v>#N/A</v>
      </c>
      <c r="F446" s="102" t="e">
        <f ca="1"/>
        <v>#N/A</v>
      </c>
      <c r="G446" s="103" t="e">
        <f ca="1"/>
        <v>#N/A</v>
      </c>
    </row>
    <row r="447" spans="1:7">
      <c r="A447" s="189"/>
      <c r="B447" s="101" t="e">
        <f ca="1"/>
        <v>#N/A</v>
      </c>
      <c r="C447" s="102" t="e">
        <f ca="1"/>
        <v>#N/A</v>
      </c>
      <c r="D447" s="102" t="e">
        <f ca="1"/>
        <v>#N/A</v>
      </c>
      <c r="E447" s="102" t="e">
        <f ca="1"/>
        <v>#N/A</v>
      </c>
      <c r="F447" s="102" t="e">
        <f ca="1"/>
        <v>#N/A</v>
      </c>
      <c r="G447" s="103" t="e">
        <f ca="1"/>
        <v>#N/A</v>
      </c>
    </row>
    <row r="448" spans="1:7">
      <c r="A448" s="189"/>
      <c r="B448" s="101" t="e">
        <f ca="1"/>
        <v>#N/A</v>
      </c>
      <c r="C448" s="102" t="e">
        <f ca="1"/>
        <v>#N/A</v>
      </c>
      <c r="D448" s="102" t="e">
        <f ca="1"/>
        <v>#N/A</v>
      </c>
      <c r="E448" s="102" t="e">
        <f ca="1"/>
        <v>#N/A</v>
      </c>
      <c r="F448" s="102" t="e">
        <f ca="1"/>
        <v>#N/A</v>
      </c>
      <c r="G448" s="103" t="e">
        <f ca="1"/>
        <v>#N/A</v>
      </c>
    </row>
    <row r="449" spans="1:7">
      <c r="A449" s="189"/>
      <c r="B449" s="101" t="e">
        <f ca="1"/>
        <v>#N/A</v>
      </c>
      <c r="C449" s="102" t="e">
        <f ca="1"/>
        <v>#N/A</v>
      </c>
      <c r="D449" s="102" t="e">
        <f ca="1"/>
        <v>#N/A</v>
      </c>
      <c r="E449" s="102" t="e">
        <f ca="1"/>
        <v>#N/A</v>
      </c>
      <c r="F449" s="102" t="e">
        <f ca="1"/>
        <v>#N/A</v>
      </c>
      <c r="G449" s="103" t="e">
        <f ca="1"/>
        <v>#N/A</v>
      </c>
    </row>
    <row r="450" spans="1:7">
      <c r="A450" s="189"/>
      <c r="B450" s="101" t="e">
        <f ca="1"/>
        <v>#N/A</v>
      </c>
      <c r="C450" s="102" t="e">
        <f ca="1"/>
        <v>#N/A</v>
      </c>
      <c r="D450" s="102" t="e">
        <f ca="1"/>
        <v>#N/A</v>
      </c>
      <c r="E450" s="102" t="e">
        <f ca="1"/>
        <v>#N/A</v>
      </c>
      <c r="F450" s="102" t="e">
        <f ca="1"/>
        <v>#N/A</v>
      </c>
      <c r="G450" s="103" t="e">
        <f ca="1"/>
        <v>#N/A</v>
      </c>
    </row>
    <row r="451" spans="1:7">
      <c r="A451" s="189"/>
      <c r="B451" s="101" t="e">
        <f ca="1"/>
        <v>#N/A</v>
      </c>
      <c r="C451" s="102" t="e">
        <f ca="1"/>
        <v>#N/A</v>
      </c>
      <c r="D451" s="102" t="e">
        <f ca="1"/>
        <v>#N/A</v>
      </c>
      <c r="E451" s="102" t="e">
        <f ca="1"/>
        <v>#N/A</v>
      </c>
      <c r="F451" s="102" t="e">
        <f ca="1"/>
        <v>#N/A</v>
      </c>
      <c r="G451" s="103" t="e">
        <f ca="1"/>
        <v>#N/A</v>
      </c>
    </row>
    <row r="452" spans="1:7">
      <c r="A452" s="189"/>
      <c r="B452" s="101" t="e">
        <f ca="1"/>
        <v>#N/A</v>
      </c>
      <c r="C452" s="102" t="e">
        <f ca="1"/>
        <v>#N/A</v>
      </c>
      <c r="D452" s="102" t="e">
        <f ca="1"/>
        <v>#N/A</v>
      </c>
      <c r="E452" s="102" t="e">
        <f ca="1"/>
        <v>#N/A</v>
      </c>
      <c r="F452" s="102" t="e">
        <f ca="1"/>
        <v>#N/A</v>
      </c>
      <c r="G452" s="103" t="e">
        <f ca="1"/>
        <v>#N/A</v>
      </c>
    </row>
    <row r="453" spans="1:7">
      <c r="A453" s="189"/>
      <c r="B453" s="101" t="e">
        <f ca="1"/>
        <v>#N/A</v>
      </c>
      <c r="C453" s="102" t="e">
        <f ca="1"/>
        <v>#N/A</v>
      </c>
      <c r="D453" s="102" t="e">
        <f ca="1"/>
        <v>#N/A</v>
      </c>
      <c r="E453" s="102" t="e">
        <f ca="1"/>
        <v>#N/A</v>
      </c>
      <c r="F453" s="102" t="e">
        <f ca="1"/>
        <v>#N/A</v>
      </c>
      <c r="G453" s="103" t="e">
        <f ca="1"/>
        <v>#N/A</v>
      </c>
    </row>
    <row r="454" spans="1:7">
      <c r="A454" s="189"/>
      <c r="B454" s="101" t="e">
        <f ca="1"/>
        <v>#N/A</v>
      </c>
      <c r="C454" s="102" t="e">
        <f ca="1"/>
        <v>#N/A</v>
      </c>
      <c r="D454" s="102" t="e">
        <f ca="1"/>
        <v>#N/A</v>
      </c>
      <c r="E454" s="102" t="e">
        <f ca="1"/>
        <v>#N/A</v>
      </c>
      <c r="F454" s="102" t="e">
        <f ca="1"/>
        <v>#N/A</v>
      </c>
      <c r="G454" s="103" t="e">
        <f ca="1"/>
        <v>#N/A</v>
      </c>
    </row>
    <row r="455" spans="1:7">
      <c r="A455" s="189"/>
      <c r="B455" s="101" t="e">
        <f ca="1"/>
        <v>#N/A</v>
      </c>
      <c r="C455" s="102" t="e">
        <f ca="1"/>
        <v>#N/A</v>
      </c>
      <c r="D455" s="102" t="e">
        <f ca="1"/>
        <v>#N/A</v>
      </c>
      <c r="E455" s="102" t="e">
        <f ca="1"/>
        <v>#N/A</v>
      </c>
      <c r="F455" s="102" t="e">
        <f ca="1"/>
        <v>#N/A</v>
      </c>
      <c r="G455" s="103" t="e">
        <f ca="1"/>
        <v>#N/A</v>
      </c>
    </row>
    <row r="456" spans="1:7">
      <c r="A456" s="189"/>
      <c r="B456" s="101" t="e">
        <f ca="1"/>
        <v>#N/A</v>
      </c>
      <c r="C456" s="102" t="e">
        <f ca="1"/>
        <v>#N/A</v>
      </c>
      <c r="D456" s="102" t="e">
        <f ca="1"/>
        <v>#N/A</v>
      </c>
      <c r="E456" s="102" t="e">
        <f ca="1"/>
        <v>#N/A</v>
      </c>
      <c r="F456" s="102" t="e">
        <f ca="1"/>
        <v>#N/A</v>
      </c>
      <c r="G456" s="103" t="e">
        <f ca="1"/>
        <v>#N/A</v>
      </c>
    </row>
    <row r="457" spans="1:7">
      <c r="A457" s="189"/>
      <c r="B457" s="101" t="e">
        <f ca="1"/>
        <v>#N/A</v>
      </c>
      <c r="C457" s="102" t="e">
        <f ca="1"/>
        <v>#N/A</v>
      </c>
      <c r="D457" s="102" t="e">
        <f ca="1"/>
        <v>#N/A</v>
      </c>
      <c r="E457" s="102" t="e">
        <f ca="1"/>
        <v>#N/A</v>
      </c>
      <c r="F457" s="102" t="e">
        <f ca="1"/>
        <v>#N/A</v>
      </c>
      <c r="G457" s="103" t="e">
        <f ca="1"/>
        <v>#N/A</v>
      </c>
    </row>
    <row r="458" spans="1:7">
      <c r="A458" s="189"/>
      <c r="B458" s="101" t="e">
        <f ca="1"/>
        <v>#N/A</v>
      </c>
      <c r="C458" s="102" t="e">
        <f ca="1"/>
        <v>#N/A</v>
      </c>
      <c r="D458" s="102" t="e">
        <f ca="1"/>
        <v>#N/A</v>
      </c>
      <c r="E458" s="102" t="e">
        <f ca="1"/>
        <v>#N/A</v>
      </c>
      <c r="F458" s="102" t="e">
        <f ca="1"/>
        <v>#N/A</v>
      </c>
      <c r="G458" s="103" t="e">
        <f ca="1"/>
        <v>#N/A</v>
      </c>
    </row>
    <row r="459" spans="1:7">
      <c r="A459" s="189"/>
      <c r="B459" s="101" t="e">
        <f ca="1"/>
        <v>#N/A</v>
      </c>
      <c r="C459" s="102" t="e">
        <f ca="1"/>
        <v>#N/A</v>
      </c>
      <c r="D459" s="102" t="e">
        <f ca="1"/>
        <v>#N/A</v>
      </c>
      <c r="E459" s="102" t="e">
        <f ca="1"/>
        <v>#N/A</v>
      </c>
      <c r="F459" s="102" t="e">
        <f ca="1"/>
        <v>#N/A</v>
      </c>
      <c r="G459" s="103" t="e">
        <f ca="1"/>
        <v>#N/A</v>
      </c>
    </row>
    <row r="460" spans="1:7">
      <c r="A460" s="189"/>
      <c r="B460" s="101" t="e">
        <f ca="1"/>
        <v>#N/A</v>
      </c>
      <c r="C460" s="102" t="e">
        <f ca="1"/>
        <v>#N/A</v>
      </c>
      <c r="D460" s="102" t="e">
        <f ca="1"/>
        <v>#N/A</v>
      </c>
      <c r="E460" s="102" t="e">
        <f ca="1"/>
        <v>#N/A</v>
      </c>
      <c r="F460" s="102" t="e">
        <f ca="1"/>
        <v>#N/A</v>
      </c>
      <c r="G460" s="103" t="e">
        <f ca="1"/>
        <v>#N/A</v>
      </c>
    </row>
    <row r="461" spans="1:7">
      <c r="A461" s="189"/>
      <c r="B461" s="101" t="e">
        <f ca="1"/>
        <v>#N/A</v>
      </c>
      <c r="C461" s="102" t="e">
        <f ca="1"/>
        <v>#N/A</v>
      </c>
      <c r="D461" s="102" t="e">
        <f ca="1"/>
        <v>#N/A</v>
      </c>
      <c r="E461" s="102" t="e">
        <f ca="1"/>
        <v>#N/A</v>
      </c>
      <c r="F461" s="102" t="e">
        <f ca="1"/>
        <v>#N/A</v>
      </c>
      <c r="G461" s="103" t="e">
        <f ca="1"/>
        <v>#N/A</v>
      </c>
    </row>
    <row r="462" spans="1:7">
      <c r="A462" s="189"/>
      <c r="B462" s="101" t="e">
        <f ca="1"/>
        <v>#N/A</v>
      </c>
      <c r="C462" s="102" t="e">
        <f ca="1"/>
        <v>#N/A</v>
      </c>
      <c r="D462" s="102" t="e">
        <f ca="1"/>
        <v>#N/A</v>
      </c>
      <c r="E462" s="102" t="e">
        <f ca="1"/>
        <v>#N/A</v>
      </c>
      <c r="F462" s="102" t="e">
        <f ca="1"/>
        <v>#N/A</v>
      </c>
      <c r="G462" s="103" t="e">
        <f ca="1"/>
        <v>#N/A</v>
      </c>
    </row>
    <row r="463" spans="1:7">
      <c r="A463" s="189"/>
      <c r="B463" s="101" t="e">
        <f ca="1"/>
        <v>#N/A</v>
      </c>
      <c r="C463" s="102" t="e">
        <f ca="1"/>
        <v>#N/A</v>
      </c>
      <c r="D463" s="102" t="e">
        <f ca="1"/>
        <v>#N/A</v>
      </c>
      <c r="E463" s="102" t="e">
        <f ca="1"/>
        <v>#N/A</v>
      </c>
      <c r="F463" s="102" t="e">
        <f ca="1"/>
        <v>#N/A</v>
      </c>
      <c r="G463" s="103" t="e">
        <f ca="1"/>
        <v>#N/A</v>
      </c>
    </row>
    <row r="464" spans="1:7">
      <c r="A464" s="189"/>
      <c r="B464" s="101" t="e">
        <f ca="1"/>
        <v>#N/A</v>
      </c>
      <c r="C464" s="102" t="e">
        <f ca="1"/>
        <v>#N/A</v>
      </c>
      <c r="D464" s="102" t="e">
        <f ca="1"/>
        <v>#N/A</v>
      </c>
      <c r="E464" s="102" t="e">
        <f ca="1"/>
        <v>#N/A</v>
      </c>
      <c r="F464" s="102" t="e">
        <f ca="1"/>
        <v>#N/A</v>
      </c>
      <c r="G464" s="103" t="e">
        <f ca="1"/>
        <v>#N/A</v>
      </c>
    </row>
    <row r="465" spans="1:7">
      <c r="A465" s="189"/>
      <c r="B465" s="101" t="e">
        <f ca="1"/>
        <v>#N/A</v>
      </c>
      <c r="C465" s="102" t="e">
        <f ca="1"/>
        <v>#N/A</v>
      </c>
      <c r="D465" s="102" t="e">
        <f ca="1"/>
        <v>#N/A</v>
      </c>
      <c r="E465" s="102" t="e">
        <f ca="1"/>
        <v>#N/A</v>
      </c>
      <c r="F465" s="102" t="e">
        <f ca="1"/>
        <v>#N/A</v>
      </c>
      <c r="G465" s="103" t="e">
        <f ca="1"/>
        <v>#N/A</v>
      </c>
    </row>
    <row r="466" spans="1:7">
      <c r="A466" s="189"/>
      <c r="B466" s="101" t="e">
        <f ca="1"/>
        <v>#N/A</v>
      </c>
      <c r="C466" s="102" t="e">
        <f ca="1"/>
        <v>#N/A</v>
      </c>
      <c r="D466" s="102" t="e">
        <f ca="1"/>
        <v>#N/A</v>
      </c>
      <c r="E466" s="102" t="e">
        <f ca="1"/>
        <v>#N/A</v>
      </c>
      <c r="F466" s="102" t="e">
        <f ca="1"/>
        <v>#N/A</v>
      </c>
      <c r="G466" s="103" t="e">
        <f ca="1"/>
        <v>#N/A</v>
      </c>
    </row>
    <row r="467" spans="1:7">
      <c r="A467" s="189"/>
      <c r="B467" s="101" t="e">
        <f ca="1"/>
        <v>#N/A</v>
      </c>
      <c r="C467" s="102" t="e">
        <f ca="1"/>
        <v>#N/A</v>
      </c>
      <c r="D467" s="102" t="e">
        <f ca="1"/>
        <v>#N/A</v>
      </c>
      <c r="E467" s="102" t="e">
        <f ca="1"/>
        <v>#N/A</v>
      </c>
      <c r="F467" s="102" t="e">
        <f ca="1"/>
        <v>#N/A</v>
      </c>
      <c r="G467" s="103" t="e">
        <f ca="1"/>
        <v>#N/A</v>
      </c>
    </row>
    <row r="468" spans="1:7">
      <c r="A468" s="189"/>
      <c r="B468" s="101" t="e">
        <f ca="1"/>
        <v>#N/A</v>
      </c>
      <c r="C468" s="102" t="e">
        <f ca="1"/>
        <v>#N/A</v>
      </c>
      <c r="D468" s="102" t="e">
        <f ca="1"/>
        <v>#N/A</v>
      </c>
      <c r="E468" s="102" t="e">
        <f ca="1"/>
        <v>#N/A</v>
      </c>
      <c r="F468" s="102" t="e">
        <f ca="1"/>
        <v>#N/A</v>
      </c>
      <c r="G468" s="103" t="e">
        <f ca="1"/>
        <v>#N/A</v>
      </c>
    </row>
    <row r="469" spans="1:7">
      <c r="A469" s="189"/>
      <c r="B469" s="101" t="e">
        <f ca="1"/>
        <v>#N/A</v>
      </c>
      <c r="C469" s="102" t="e">
        <f ca="1"/>
        <v>#N/A</v>
      </c>
      <c r="D469" s="102" t="e">
        <f ca="1"/>
        <v>#N/A</v>
      </c>
      <c r="E469" s="102" t="e">
        <f ca="1"/>
        <v>#N/A</v>
      </c>
      <c r="F469" s="102" t="e">
        <f ca="1"/>
        <v>#N/A</v>
      </c>
      <c r="G469" s="103" t="e">
        <f ca="1"/>
        <v>#N/A</v>
      </c>
    </row>
    <row r="470" spans="1:7">
      <c r="A470" s="189"/>
      <c r="B470" s="101" t="e">
        <f ca="1"/>
        <v>#N/A</v>
      </c>
      <c r="C470" s="102" t="e">
        <f ca="1"/>
        <v>#N/A</v>
      </c>
      <c r="D470" s="102" t="e">
        <f ca="1"/>
        <v>#N/A</v>
      </c>
      <c r="E470" s="102" t="e">
        <f ca="1"/>
        <v>#N/A</v>
      </c>
      <c r="F470" s="102" t="e">
        <f ca="1"/>
        <v>#N/A</v>
      </c>
      <c r="G470" s="103" t="e">
        <f ca="1"/>
        <v>#N/A</v>
      </c>
    </row>
    <row r="471" spans="1:7">
      <c r="A471" s="189"/>
      <c r="B471" s="101" t="e">
        <f ca="1"/>
        <v>#N/A</v>
      </c>
      <c r="C471" s="102" t="e">
        <f ca="1"/>
        <v>#N/A</v>
      </c>
      <c r="D471" s="102" t="e">
        <f ca="1"/>
        <v>#N/A</v>
      </c>
      <c r="E471" s="102" t="e">
        <f ca="1"/>
        <v>#N/A</v>
      </c>
      <c r="F471" s="102" t="e">
        <f ca="1"/>
        <v>#N/A</v>
      </c>
      <c r="G471" s="103" t="e">
        <f ca="1"/>
        <v>#N/A</v>
      </c>
    </row>
    <row r="472" spans="1:7">
      <c r="A472" s="189"/>
      <c r="B472" s="101" t="e">
        <f ca="1"/>
        <v>#N/A</v>
      </c>
      <c r="C472" s="102" t="e">
        <f ca="1"/>
        <v>#N/A</v>
      </c>
      <c r="D472" s="102" t="e">
        <f ca="1"/>
        <v>#N/A</v>
      </c>
      <c r="E472" s="102" t="e">
        <f ca="1"/>
        <v>#N/A</v>
      </c>
      <c r="F472" s="102" t="e">
        <f ca="1"/>
        <v>#N/A</v>
      </c>
      <c r="G472" s="103" t="e">
        <f ca="1"/>
        <v>#N/A</v>
      </c>
    </row>
    <row r="473" spans="1:7">
      <c r="A473" s="189"/>
      <c r="B473" s="101" t="e">
        <f ca="1"/>
        <v>#N/A</v>
      </c>
      <c r="C473" s="102" t="e">
        <f ca="1"/>
        <v>#N/A</v>
      </c>
      <c r="D473" s="102" t="e">
        <f ca="1"/>
        <v>#N/A</v>
      </c>
      <c r="E473" s="102" t="e">
        <f ca="1"/>
        <v>#N/A</v>
      </c>
      <c r="F473" s="102" t="e">
        <f ca="1"/>
        <v>#N/A</v>
      </c>
      <c r="G473" s="103" t="e">
        <f ca="1"/>
        <v>#N/A</v>
      </c>
    </row>
    <row r="474" spans="1:7">
      <c r="A474" s="189"/>
      <c r="B474" s="101" t="e">
        <f ca="1"/>
        <v>#N/A</v>
      </c>
      <c r="C474" s="102" t="e">
        <f ca="1"/>
        <v>#N/A</v>
      </c>
      <c r="D474" s="102" t="e">
        <f ca="1"/>
        <v>#N/A</v>
      </c>
      <c r="E474" s="102" t="e">
        <f ca="1"/>
        <v>#N/A</v>
      </c>
      <c r="F474" s="102" t="e">
        <f ca="1"/>
        <v>#N/A</v>
      </c>
      <c r="G474" s="103" t="e">
        <f ca="1"/>
        <v>#N/A</v>
      </c>
    </row>
    <row r="475" spans="1:7">
      <c r="A475" s="189"/>
      <c r="B475" s="101" t="e">
        <f ca="1"/>
        <v>#N/A</v>
      </c>
      <c r="C475" s="102" t="e">
        <f ca="1"/>
        <v>#N/A</v>
      </c>
      <c r="D475" s="102" t="e">
        <f ca="1"/>
        <v>#N/A</v>
      </c>
      <c r="E475" s="102" t="e">
        <f ca="1"/>
        <v>#N/A</v>
      </c>
      <c r="F475" s="102" t="e">
        <f ca="1"/>
        <v>#N/A</v>
      </c>
      <c r="G475" s="103" t="e">
        <f ca="1"/>
        <v>#N/A</v>
      </c>
    </row>
    <row r="476" spans="1:7">
      <c r="A476" s="189"/>
      <c r="B476" s="101" t="e">
        <f ca="1"/>
        <v>#N/A</v>
      </c>
      <c r="C476" s="102" t="e">
        <f ca="1"/>
        <v>#N/A</v>
      </c>
      <c r="D476" s="102" t="e">
        <f ca="1"/>
        <v>#N/A</v>
      </c>
      <c r="E476" s="102" t="e">
        <f ca="1"/>
        <v>#N/A</v>
      </c>
      <c r="F476" s="102" t="e">
        <f ca="1"/>
        <v>#N/A</v>
      </c>
      <c r="G476" s="103" t="e">
        <f ca="1"/>
        <v>#N/A</v>
      </c>
    </row>
    <row r="477" spans="1:7">
      <c r="A477" s="189"/>
      <c r="B477" s="101" t="e">
        <f ca="1"/>
        <v>#N/A</v>
      </c>
      <c r="C477" s="102" t="e">
        <f ca="1"/>
        <v>#N/A</v>
      </c>
      <c r="D477" s="102" t="e">
        <f ca="1"/>
        <v>#N/A</v>
      </c>
      <c r="E477" s="102" t="e">
        <f ca="1"/>
        <v>#N/A</v>
      </c>
      <c r="F477" s="102" t="e">
        <f ca="1"/>
        <v>#N/A</v>
      </c>
      <c r="G477" s="103" t="e">
        <f ca="1"/>
        <v>#N/A</v>
      </c>
    </row>
    <row r="478" spans="1:7">
      <c r="A478" s="189"/>
      <c r="B478" s="101" t="e">
        <f ca="1"/>
        <v>#N/A</v>
      </c>
      <c r="C478" s="102" t="e">
        <f ca="1"/>
        <v>#N/A</v>
      </c>
      <c r="D478" s="102" t="e">
        <f ca="1"/>
        <v>#N/A</v>
      </c>
      <c r="E478" s="102" t="e">
        <f ca="1"/>
        <v>#N/A</v>
      </c>
      <c r="F478" s="102" t="e">
        <f ca="1"/>
        <v>#N/A</v>
      </c>
      <c r="G478" s="103" t="e">
        <f ca="1"/>
        <v>#N/A</v>
      </c>
    </row>
    <row r="479" spans="1:7">
      <c r="A479" s="189"/>
      <c r="B479" s="101" t="e">
        <f ca="1"/>
        <v>#N/A</v>
      </c>
      <c r="C479" s="102" t="e">
        <f ca="1"/>
        <v>#N/A</v>
      </c>
      <c r="D479" s="102" t="e">
        <f ca="1"/>
        <v>#N/A</v>
      </c>
      <c r="E479" s="102" t="e">
        <f ca="1"/>
        <v>#N/A</v>
      </c>
      <c r="F479" s="102" t="e">
        <f ca="1"/>
        <v>#N/A</v>
      </c>
      <c r="G479" s="103" t="e">
        <f ca="1"/>
        <v>#N/A</v>
      </c>
    </row>
    <row r="480" spans="1:7">
      <c r="A480" s="189"/>
      <c r="B480" s="101" t="e">
        <f ca="1"/>
        <v>#N/A</v>
      </c>
      <c r="C480" s="102" t="e">
        <f ca="1"/>
        <v>#N/A</v>
      </c>
      <c r="D480" s="102" t="e">
        <f ca="1"/>
        <v>#N/A</v>
      </c>
      <c r="E480" s="102" t="e">
        <f ca="1"/>
        <v>#N/A</v>
      </c>
      <c r="F480" s="102" t="e">
        <f ca="1"/>
        <v>#N/A</v>
      </c>
      <c r="G480" s="103" t="e">
        <f ca="1"/>
        <v>#N/A</v>
      </c>
    </row>
    <row r="481" spans="1:7">
      <c r="A481" s="189"/>
      <c r="B481" s="101" t="e">
        <f ca="1"/>
        <v>#N/A</v>
      </c>
      <c r="C481" s="102" t="e">
        <f ca="1"/>
        <v>#N/A</v>
      </c>
      <c r="D481" s="102" t="e">
        <f ca="1"/>
        <v>#N/A</v>
      </c>
      <c r="E481" s="102" t="e">
        <f ca="1"/>
        <v>#N/A</v>
      </c>
      <c r="F481" s="102" t="e">
        <f ca="1"/>
        <v>#N/A</v>
      </c>
      <c r="G481" s="103" t="e">
        <f ca="1"/>
        <v>#N/A</v>
      </c>
    </row>
    <row r="482" spans="1:7">
      <c r="A482" s="189"/>
      <c r="B482" s="101" t="e">
        <f ca="1"/>
        <v>#N/A</v>
      </c>
      <c r="C482" s="102" t="e">
        <f ca="1"/>
        <v>#N/A</v>
      </c>
      <c r="D482" s="102" t="e">
        <f ca="1"/>
        <v>#N/A</v>
      </c>
      <c r="E482" s="102" t="e">
        <f ca="1"/>
        <v>#N/A</v>
      </c>
      <c r="F482" s="102" t="e">
        <f ca="1"/>
        <v>#N/A</v>
      </c>
      <c r="G482" s="103" t="e">
        <f ca="1"/>
        <v>#N/A</v>
      </c>
    </row>
    <row r="483" spans="1:7">
      <c r="A483" s="189"/>
      <c r="B483" s="101" t="e">
        <f ca="1"/>
        <v>#N/A</v>
      </c>
      <c r="C483" s="102" t="e">
        <f ca="1"/>
        <v>#N/A</v>
      </c>
      <c r="D483" s="102" t="e">
        <f ca="1"/>
        <v>#N/A</v>
      </c>
      <c r="E483" s="102" t="e">
        <f ca="1"/>
        <v>#N/A</v>
      </c>
      <c r="F483" s="102" t="e">
        <f ca="1"/>
        <v>#N/A</v>
      </c>
      <c r="G483" s="103" t="e">
        <f ca="1"/>
        <v>#N/A</v>
      </c>
    </row>
    <row r="484" spans="1:7">
      <c r="A484" s="189"/>
      <c r="B484" s="101" t="e">
        <f ca="1"/>
        <v>#N/A</v>
      </c>
      <c r="C484" s="102" t="e">
        <f ca="1"/>
        <v>#N/A</v>
      </c>
      <c r="D484" s="102" t="e">
        <f ca="1"/>
        <v>#N/A</v>
      </c>
      <c r="E484" s="102" t="e">
        <f ca="1"/>
        <v>#N/A</v>
      </c>
      <c r="F484" s="102" t="e">
        <f ca="1"/>
        <v>#N/A</v>
      </c>
      <c r="G484" s="103" t="e">
        <f ca="1"/>
        <v>#N/A</v>
      </c>
    </row>
    <row r="485" spans="1:7">
      <c r="A485" s="189"/>
      <c r="B485" s="101" t="e">
        <f ca="1"/>
        <v>#N/A</v>
      </c>
      <c r="C485" s="102" t="e">
        <f ca="1"/>
        <v>#N/A</v>
      </c>
      <c r="D485" s="102" t="e">
        <f ca="1"/>
        <v>#N/A</v>
      </c>
      <c r="E485" s="102" t="e">
        <f ca="1"/>
        <v>#N/A</v>
      </c>
      <c r="F485" s="102" t="e">
        <f ca="1"/>
        <v>#N/A</v>
      </c>
      <c r="G485" s="103" t="e">
        <f ca="1"/>
        <v>#N/A</v>
      </c>
    </row>
    <row r="486" spans="1:7">
      <c r="A486" s="189"/>
      <c r="B486" s="101" t="e">
        <f ca="1"/>
        <v>#N/A</v>
      </c>
      <c r="C486" s="102" t="e">
        <f ca="1"/>
        <v>#N/A</v>
      </c>
      <c r="D486" s="102" t="e">
        <f ca="1"/>
        <v>#N/A</v>
      </c>
      <c r="E486" s="102" t="e">
        <f ca="1"/>
        <v>#N/A</v>
      </c>
      <c r="F486" s="102" t="e">
        <f ca="1"/>
        <v>#N/A</v>
      </c>
      <c r="G486" s="103" t="e">
        <f ca="1"/>
        <v>#N/A</v>
      </c>
    </row>
    <row r="487" spans="1:7">
      <c r="A487" s="189"/>
      <c r="B487" s="101" t="e">
        <f ca="1"/>
        <v>#N/A</v>
      </c>
      <c r="C487" s="102" t="e">
        <f ca="1"/>
        <v>#N/A</v>
      </c>
      <c r="D487" s="102" t="e">
        <f ca="1"/>
        <v>#N/A</v>
      </c>
      <c r="E487" s="102" t="e">
        <f ca="1"/>
        <v>#N/A</v>
      </c>
      <c r="F487" s="102" t="e">
        <f ca="1"/>
        <v>#N/A</v>
      </c>
      <c r="G487" s="103" t="e">
        <f ca="1"/>
        <v>#N/A</v>
      </c>
    </row>
    <row r="488" spans="1:7">
      <c r="A488" s="189"/>
      <c r="B488" s="101" t="e">
        <f ca="1"/>
        <v>#N/A</v>
      </c>
      <c r="C488" s="102" t="e">
        <f ca="1"/>
        <v>#N/A</v>
      </c>
      <c r="D488" s="102" t="e">
        <f ca="1"/>
        <v>#N/A</v>
      </c>
      <c r="E488" s="102" t="e">
        <f ca="1"/>
        <v>#N/A</v>
      </c>
      <c r="F488" s="102" t="e">
        <f ca="1"/>
        <v>#N/A</v>
      </c>
      <c r="G488" s="103" t="e">
        <f ca="1"/>
        <v>#N/A</v>
      </c>
    </row>
    <row r="489" spans="1:7">
      <c r="A489" s="189"/>
      <c r="B489" s="101" t="e">
        <f ca="1"/>
        <v>#N/A</v>
      </c>
      <c r="C489" s="102" t="e">
        <f ca="1"/>
        <v>#N/A</v>
      </c>
      <c r="D489" s="102" t="e">
        <f ca="1"/>
        <v>#N/A</v>
      </c>
      <c r="E489" s="102" t="e">
        <f ca="1"/>
        <v>#N/A</v>
      </c>
      <c r="F489" s="102" t="e">
        <f ca="1"/>
        <v>#N/A</v>
      </c>
      <c r="G489" s="103" t="e">
        <f ca="1"/>
        <v>#N/A</v>
      </c>
    </row>
    <row r="490" spans="1:7">
      <c r="A490" s="189"/>
      <c r="B490" s="101" t="e">
        <f ca="1"/>
        <v>#N/A</v>
      </c>
      <c r="C490" s="102" t="e">
        <f ca="1"/>
        <v>#N/A</v>
      </c>
      <c r="D490" s="102" t="e">
        <f ca="1"/>
        <v>#N/A</v>
      </c>
      <c r="E490" s="102" t="e">
        <f ca="1"/>
        <v>#N/A</v>
      </c>
      <c r="F490" s="102" t="e">
        <f ca="1"/>
        <v>#N/A</v>
      </c>
      <c r="G490" s="103" t="e">
        <f ca="1"/>
        <v>#N/A</v>
      </c>
    </row>
    <row r="491" spans="1:7">
      <c r="A491" s="189"/>
      <c r="B491" s="101" t="e">
        <f ca="1"/>
        <v>#N/A</v>
      </c>
      <c r="C491" s="102" t="e">
        <f ca="1"/>
        <v>#N/A</v>
      </c>
      <c r="D491" s="102" t="e">
        <f ca="1"/>
        <v>#N/A</v>
      </c>
      <c r="E491" s="102" t="e">
        <f ca="1"/>
        <v>#N/A</v>
      </c>
      <c r="F491" s="102" t="e">
        <f ca="1"/>
        <v>#N/A</v>
      </c>
      <c r="G491" s="103" t="e">
        <f ca="1"/>
        <v>#N/A</v>
      </c>
    </row>
    <row r="492" spans="1:7">
      <c r="A492" s="189"/>
      <c r="B492" s="101" t="e">
        <f ca="1"/>
        <v>#N/A</v>
      </c>
      <c r="C492" s="102" t="e">
        <f ca="1"/>
        <v>#N/A</v>
      </c>
      <c r="D492" s="102" t="e">
        <f ca="1"/>
        <v>#N/A</v>
      </c>
      <c r="E492" s="102" t="e">
        <f ca="1"/>
        <v>#N/A</v>
      </c>
      <c r="F492" s="102" t="e">
        <f ca="1"/>
        <v>#N/A</v>
      </c>
      <c r="G492" s="103" t="e">
        <f ca="1"/>
        <v>#N/A</v>
      </c>
    </row>
    <row r="493" spans="1:7">
      <c r="A493" s="189"/>
      <c r="B493" s="101" t="e">
        <f ca="1"/>
        <v>#N/A</v>
      </c>
      <c r="C493" s="102" t="e">
        <f ca="1"/>
        <v>#N/A</v>
      </c>
      <c r="D493" s="102" t="e">
        <f ca="1"/>
        <v>#N/A</v>
      </c>
      <c r="E493" s="102" t="e">
        <f ca="1"/>
        <v>#N/A</v>
      </c>
      <c r="F493" s="102" t="e">
        <f ca="1"/>
        <v>#N/A</v>
      </c>
      <c r="G493" s="103" t="e">
        <f ca="1"/>
        <v>#N/A</v>
      </c>
    </row>
    <row r="494" spans="1:7">
      <c r="A494" s="189"/>
      <c r="B494" s="101" t="e">
        <f ca="1"/>
        <v>#N/A</v>
      </c>
      <c r="C494" s="102" t="e">
        <f ca="1"/>
        <v>#N/A</v>
      </c>
      <c r="D494" s="102" t="e">
        <f ca="1"/>
        <v>#N/A</v>
      </c>
      <c r="E494" s="102" t="e">
        <f ca="1"/>
        <v>#N/A</v>
      </c>
      <c r="F494" s="102" t="e">
        <f ca="1"/>
        <v>#N/A</v>
      </c>
      <c r="G494" s="103" t="e">
        <f ca="1"/>
        <v>#N/A</v>
      </c>
    </row>
    <row r="495" spans="1:7">
      <c r="A495" s="189"/>
      <c r="B495" s="101" t="e">
        <f ca="1"/>
        <v>#N/A</v>
      </c>
      <c r="C495" s="102" t="e">
        <f ca="1"/>
        <v>#N/A</v>
      </c>
      <c r="D495" s="102" t="e">
        <f ca="1"/>
        <v>#N/A</v>
      </c>
      <c r="E495" s="102" t="e">
        <f ca="1"/>
        <v>#N/A</v>
      </c>
      <c r="F495" s="102" t="e">
        <f ca="1"/>
        <v>#N/A</v>
      </c>
      <c r="G495" s="103" t="e">
        <f ca="1"/>
        <v>#N/A</v>
      </c>
    </row>
    <row r="496" spans="1:7">
      <c r="A496" s="189"/>
      <c r="B496" s="101" t="e">
        <f ca="1"/>
        <v>#N/A</v>
      </c>
      <c r="C496" s="102" t="e">
        <f ca="1"/>
        <v>#N/A</v>
      </c>
      <c r="D496" s="102" t="e">
        <f ca="1"/>
        <v>#N/A</v>
      </c>
      <c r="E496" s="102" t="e">
        <f ca="1"/>
        <v>#N/A</v>
      </c>
      <c r="F496" s="102" t="e">
        <f ca="1"/>
        <v>#N/A</v>
      </c>
      <c r="G496" s="103" t="e">
        <f ca="1"/>
        <v>#N/A</v>
      </c>
    </row>
    <row r="497" spans="1:7">
      <c r="A497" s="189"/>
      <c r="B497" s="101" t="e">
        <f ca="1"/>
        <v>#N/A</v>
      </c>
      <c r="C497" s="102" t="e">
        <f ca="1"/>
        <v>#N/A</v>
      </c>
      <c r="D497" s="102" t="e">
        <f ca="1"/>
        <v>#N/A</v>
      </c>
      <c r="E497" s="102" t="e">
        <f ca="1"/>
        <v>#N/A</v>
      </c>
      <c r="F497" s="102" t="e">
        <f ca="1"/>
        <v>#N/A</v>
      </c>
      <c r="G497" s="103" t="e">
        <f ca="1"/>
        <v>#N/A</v>
      </c>
    </row>
    <row r="498" spans="1:7">
      <c r="A498" s="189"/>
      <c r="B498" s="101" t="e">
        <f ca="1"/>
        <v>#N/A</v>
      </c>
      <c r="C498" s="102" t="e">
        <f ca="1"/>
        <v>#N/A</v>
      </c>
      <c r="D498" s="102" t="e">
        <f ca="1"/>
        <v>#N/A</v>
      </c>
      <c r="E498" s="102" t="e">
        <f ca="1"/>
        <v>#N/A</v>
      </c>
      <c r="F498" s="102" t="e">
        <f ca="1"/>
        <v>#N/A</v>
      </c>
      <c r="G498" s="103" t="e">
        <f ca="1"/>
        <v>#N/A</v>
      </c>
    </row>
    <row r="499" spans="1:7">
      <c r="A499" s="189"/>
      <c r="B499" s="101" t="e">
        <f ca="1"/>
        <v>#N/A</v>
      </c>
      <c r="C499" s="102" t="e">
        <f ca="1"/>
        <v>#N/A</v>
      </c>
      <c r="D499" s="102" t="e">
        <f ca="1"/>
        <v>#N/A</v>
      </c>
      <c r="E499" s="102" t="e">
        <f ca="1"/>
        <v>#N/A</v>
      </c>
      <c r="F499" s="102" t="e">
        <f ca="1"/>
        <v>#N/A</v>
      </c>
      <c r="G499" s="103" t="e">
        <f ca="1"/>
        <v>#N/A</v>
      </c>
    </row>
    <row r="500" spans="1:7">
      <c r="A500" s="189"/>
      <c r="B500" s="101" t="e">
        <f ca="1"/>
        <v>#N/A</v>
      </c>
      <c r="C500" s="102" t="e">
        <f ca="1"/>
        <v>#N/A</v>
      </c>
      <c r="D500" s="102" t="e">
        <f ca="1"/>
        <v>#N/A</v>
      </c>
      <c r="E500" s="102" t="e">
        <f ca="1"/>
        <v>#N/A</v>
      </c>
      <c r="F500" s="102" t="e">
        <f ca="1"/>
        <v>#N/A</v>
      </c>
      <c r="G500" s="103" t="e">
        <f ca="1"/>
        <v>#N/A</v>
      </c>
    </row>
    <row r="501" spans="1:7">
      <c r="A501" s="189"/>
      <c r="B501" s="104" t="e">
        <f ca="1"/>
        <v>#N/A</v>
      </c>
      <c r="C501" s="105" t="e">
        <f ca="1"/>
        <v>#N/A</v>
      </c>
      <c r="D501" s="105" t="e">
        <f ca="1"/>
        <v>#N/A</v>
      </c>
      <c r="E501" s="105" t="e">
        <f ca="1"/>
        <v>#N/A</v>
      </c>
      <c r="F501" s="105" t="e">
        <f ca="1"/>
        <v>#N/A</v>
      </c>
      <c r="G501" s="106" t="e">
        <f ca="1"/>
        <v>#N/A</v>
      </c>
    </row>
  </sheetData>
  <dataValidations count="1">
    <dataValidation type="list" allowBlank="1" showInputMessage="1" showErrorMessage="1" sqref="C6">
      <formula1>"SEMI-ANNUAL,QUARTERLY,MONTHLY,WEEKLY,BUSINESS_DAYS"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U20"/>
  <sheetViews>
    <sheetView showGridLines="0" workbookViewId="0"/>
  </sheetViews>
  <sheetFormatPr defaultRowHeight="15"/>
  <cols>
    <col min="1" max="1" width="4.7109375" customWidth="1"/>
    <col min="2" max="2" width="15.42578125" bestFit="1" customWidth="1"/>
    <col min="3" max="3" width="14.28515625" customWidth="1"/>
    <col min="4" max="4" width="17" bestFit="1" customWidth="1"/>
    <col min="5" max="5" width="4.7109375" customWidth="1"/>
    <col min="6" max="12" width="12.7109375" customWidth="1"/>
    <col min="13" max="13" width="4.7109375" customWidth="1"/>
    <col min="14" max="14" width="22.42578125" bestFit="1" customWidth="1"/>
    <col min="15" max="15" width="15.28515625" bestFit="1" customWidth="1"/>
    <col min="16" max="16" width="15.28515625" customWidth="1"/>
    <col min="17" max="17" width="13.28515625" customWidth="1"/>
    <col min="20" max="20" width="11.140625" bestFit="1" customWidth="1"/>
  </cols>
  <sheetData>
    <row r="2" spans="1:21">
      <c r="B2" s="68" t="s">
        <v>70</v>
      </c>
      <c r="C2" s="68"/>
      <c r="F2" s="107" t="s">
        <v>132</v>
      </c>
      <c r="M2" s="108"/>
      <c r="N2" s="68" t="s">
        <v>71</v>
      </c>
      <c r="S2" s="2" t="s">
        <v>94</v>
      </c>
    </row>
    <row r="3" spans="1:21">
      <c r="D3" s="109" t="s">
        <v>72</v>
      </c>
      <c r="H3" s="109" t="s">
        <v>73</v>
      </c>
      <c r="M3" s="108"/>
    </row>
    <row r="4" spans="1:21">
      <c r="B4" s="1" t="s">
        <v>52</v>
      </c>
      <c r="C4" s="1" t="s">
        <v>91</v>
      </c>
      <c r="D4" s="4" t="s">
        <v>74</v>
      </c>
      <c r="E4" s="4"/>
      <c r="F4" s="4" t="s">
        <v>81</v>
      </c>
      <c r="G4" s="1" t="s">
        <v>75</v>
      </c>
      <c r="H4" s="1" t="s">
        <v>76</v>
      </c>
      <c r="I4" s="1" t="s">
        <v>77</v>
      </c>
      <c r="J4" s="1" t="s">
        <v>0</v>
      </c>
      <c r="K4" s="1" t="s">
        <v>78</v>
      </c>
      <c r="L4" s="1" t="s">
        <v>79</v>
      </c>
      <c r="M4" s="108"/>
      <c r="N4" s="1" t="s">
        <v>1</v>
      </c>
      <c r="O4" s="1" t="s">
        <v>7</v>
      </c>
      <c r="P4" s="1" t="s">
        <v>5</v>
      </c>
      <c r="Q4" s="1" t="s">
        <v>53</v>
      </c>
    </row>
    <row r="5" spans="1:21">
      <c r="B5" s="110">
        <f ca="1">_xll.meDateFromTenor('GBP GLOBAL CURVE'!$I$9,F5,"MOD_FOLLOWING",C5)</f>
        <v>43854</v>
      </c>
      <c r="C5" s="159" t="str">
        <f ca="1">VLOOKUP("PAYMENTCALENDAR",_xll.meLWOSwapGeneratorDisplay($H5),2,FALSE)</f>
        <v>LNB</v>
      </c>
      <c r="D5" s="111">
        <f ca="1">_xll.meDateFromTenor(B5,G5,)</f>
        <v>44036</v>
      </c>
      <c r="E5" s="162" t="s">
        <v>9</v>
      </c>
      <c r="F5" s="112" t="s">
        <v>130</v>
      </c>
      <c r="G5" s="113" t="s">
        <v>45</v>
      </c>
      <c r="H5" s="114" t="s">
        <v>118</v>
      </c>
      <c r="I5" s="115" t="s">
        <v>80</v>
      </c>
      <c r="J5" s="116">
        <v>1000000</v>
      </c>
      <c r="K5" s="117">
        <v>0.01</v>
      </c>
      <c r="L5" s="118">
        <v>0</v>
      </c>
      <c r="M5" s="163">
        <v>1</v>
      </c>
      <c r="N5" s="119" t="str">
        <f ca="1">_xll.meLWOSwapCreateFromGenerator("GBPSWAP"&amp;M5&amp;"_"&amp;G5,$H5,$I5,$J5,$B$8,$G5,$K5,$L5)</f>
        <v>GBPSWAP1_6M@18:11</v>
      </c>
      <c r="O5" s="120" t="s">
        <v>103</v>
      </c>
      <c r="P5" s="143">
        <f ca="1">_xll.meLWOSwapPV(N5,O5)</f>
        <v>-1784.3889846567067</v>
      </c>
      <c r="Q5" s="100">
        <f ca="1">_xll.meLWOSwapParRate(N5,O5)</f>
        <v>6.4120674973264574E-3</v>
      </c>
      <c r="S5" s="174" t="s">
        <v>131</v>
      </c>
      <c r="T5" s="172"/>
      <c r="U5" s="173"/>
    </row>
    <row r="6" spans="1:21">
      <c r="B6" s="121">
        <f ca="1">_xll.meDateFromTenor('GBP GLOBAL CURVE'!$I$9,F6,"MOD_FOLLOWING",C6)</f>
        <v>43854</v>
      </c>
      <c r="C6" s="160" t="str">
        <f ca="1">VLOOKUP("PAYMENTCALENDAR",_xll.meLWOSwapGeneratorDisplay($H6),2,FALSE)</f>
        <v>LNB</v>
      </c>
      <c r="D6" s="122">
        <f ca="1">_xll.meDateFromTenor(B6,G6,)</f>
        <v>44128</v>
      </c>
      <c r="E6" s="162" t="s">
        <v>9</v>
      </c>
      <c r="F6" s="123" t="s">
        <v>130</v>
      </c>
      <c r="G6" s="124" t="s">
        <v>47</v>
      </c>
      <c r="H6" s="125" t="s">
        <v>118</v>
      </c>
      <c r="I6" s="126" t="s">
        <v>80</v>
      </c>
      <c r="J6" s="127">
        <v>1000000</v>
      </c>
      <c r="K6" s="128">
        <v>0.01</v>
      </c>
      <c r="L6" s="129">
        <v>0</v>
      </c>
      <c r="M6" s="163">
        <v>2</v>
      </c>
      <c r="N6" s="130" t="str">
        <f ca="1">_xll.meLWOSwapCreateFromGenerator("GBPSWAP"&amp;M6&amp;"_"&amp;G6,$H6,$I6,$J6,$B$8,$G6,$K6,$L6)</f>
        <v>GBPSWAP2_9M@20:11</v>
      </c>
      <c r="O6" s="131" t="s">
        <v>103</v>
      </c>
      <c r="P6" s="144">
        <f ca="1">_xll.meLWOSwapPV(N6,O6)</f>
        <v>-2997.3257194382386</v>
      </c>
      <c r="Q6" s="103">
        <f ca="1">_xll.meLWOSwapParRate(N6,O6)</f>
        <v>6.0245083369652366E-3</v>
      </c>
      <c r="S6" s="172"/>
      <c r="T6" s="172"/>
      <c r="U6" s="173"/>
    </row>
    <row r="7" spans="1:21">
      <c r="B7" s="121">
        <f ca="1">_xll.meDateFromTenor('GBP GLOBAL CURVE'!$I$9,F7,"MOD_FOLLOWING",C7)</f>
        <v>43854</v>
      </c>
      <c r="C7" s="160" t="str">
        <f ca="1">VLOOKUP("PAYMENTCALENDAR",_xll.meLWOSwapGeneratorDisplay($H7),2,FALSE)</f>
        <v>LNB</v>
      </c>
      <c r="D7" s="122">
        <f ca="1">_xll.meDateFromTenor(B7,G7,)</f>
        <v>44220</v>
      </c>
      <c r="E7" s="162" t="s">
        <v>9</v>
      </c>
      <c r="F7" s="123" t="s">
        <v>130</v>
      </c>
      <c r="G7" s="124" t="s">
        <v>2</v>
      </c>
      <c r="H7" s="125" t="s">
        <v>118</v>
      </c>
      <c r="I7" s="126" t="s">
        <v>80</v>
      </c>
      <c r="J7" s="127">
        <v>1000000</v>
      </c>
      <c r="K7" s="128">
        <v>0.01</v>
      </c>
      <c r="L7" s="129">
        <v>0</v>
      </c>
      <c r="M7" s="163">
        <v>3</v>
      </c>
      <c r="N7" s="130" t="str">
        <f ca="1">_xll.meLWOSwapCreateFromGenerator("GBPSWAP"&amp;M7&amp;"_"&amp;G7,$H7,$I7,$J7,$B$8,$G7,$K7,$L7)</f>
        <v>GBPSWAP3_1Y@9:11</v>
      </c>
      <c r="O7" s="131" t="s">
        <v>103</v>
      </c>
      <c r="P7" s="144">
        <f ca="1">_xll.meLWOSwapPV(N7,O7)</f>
        <v>-4219.1335482568511</v>
      </c>
      <c r="Q7" s="103">
        <f ca="1">_xll.meLWOSwapParRate(N7,O7)</f>
        <v>5.7885524810251257E-3</v>
      </c>
      <c r="S7" s="172" t="s">
        <v>86</v>
      </c>
      <c r="T7" s="172" t="s">
        <v>53</v>
      </c>
      <c r="U7" s="173" t="s">
        <v>93</v>
      </c>
    </row>
    <row r="8" spans="1:21">
      <c r="A8" s="4" t="s">
        <v>9</v>
      </c>
      <c r="B8" s="121">
        <f ca="1">_xll.meDateFromTenor('GBP GLOBAL CURVE'!$I$9,F8,"MOD_FOLLOWING",C8)</f>
        <v>43854</v>
      </c>
      <c r="C8" s="160" t="str">
        <f ca="1">VLOOKUP("PAYMENTCALENDAR",_xll.meLWOSwapGeneratorDisplay($H8),2,FALSE)</f>
        <v>LNB</v>
      </c>
      <c r="D8" s="122">
        <f ca="1">_xll.meDateFromTenor(B8,G8,)</f>
        <v>44585</v>
      </c>
      <c r="E8" s="162" t="s">
        <v>9</v>
      </c>
      <c r="F8" s="123" t="s">
        <v>130</v>
      </c>
      <c r="G8" s="124" t="s">
        <v>34</v>
      </c>
      <c r="H8" s="125" t="s">
        <v>118</v>
      </c>
      <c r="I8" s="126" t="s">
        <v>80</v>
      </c>
      <c r="J8" s="127">
        <v>1000000</v>
      </c>
      <c r="K8" s="128">
        <v>0.01</v>
      </c>
      <c r="L8" s="129">
        <v>0</v>
      </c>
      <c r="M8" s="163">
        <v>4</v>
      </c>
      <c r="N8" s="130" t="str">
        <f ca="1">_xll.meLWOSwapCreateFromGenerator("GBPSWAP"&amp;M8&amp;"_"&amp;G8,$H8,$I8,$J8,$B$8,$G8,$K8,$L8)</f>
        <v>GBPSWAP4_2Y@21:11</v>
      </c>
      <c r="O8" s="131" t="s">
        <v>103</v>
      </c>
      <c r="P8" s="144">
        <f ca="1">_xll.meLWOSwapPV(N8,O8)</f>
        <v>-9101.7287439424599</v>
      </c>
      <c r="Q8" s="103">
        <f ca="1">_xll.meLWOSwapParRate(N8,O8)</f>
        <v>5.4299999999999748E-3</v>
      </c>
      <c r="R8" s="4" t="s">
        <v>9</v>
      </c>
      <c r="S8" s="164" t="str">
        <f ca="1">'GBP GLOBAL CURVE'!T27</f>
        <v>2Y</v>
      </c>
      <c r="T8" s="165">
        <f ca="1">'GBP GLOBAL CURVE'!U27</f>
        <v>5.4300000000000008E-3</v>
      </c>
      <c r="U8" s="166">
        <f ca="1">ABS(Q8-T8)*10000</f>
        <v>2.6020852139652106E-13</v>
      </c>
    </row>
    <row r="9" spans="1:21">
      <c r="A9" t="s">
        <v>9</v>
      </c>
      <c r="B9" s="121">
        <f ca="1">_xll.meDateFromTenor('GBP GLOBAL CURVE'!$I$9,F9,"MOD_FOLLOWING",C9)</f>
        <v>43854</v>
      </c>
      <c r="C9" s="160" t="str">
        <f ca="1">C8</f>
        <v>LNB</v>
      </c>
      <c r="D9" s="122">
        <f ca="1">_xll.meDateFromTenor(B9,G9,)</f>
        <v>44950</v>
      </c>
      <c r="E9" t="s">
        <v>9</v>
      </c>
      <c r="F9" s="123" t="s">
        <v>130</v>
      </c>
      <c r="G9" s="124" t="s">
        <v>27</v>
      </c>
      <c r="H9" s="125" t="s">
        <v>118</v>
      </c>
      <c r="I9" s="126" t="s">
        <v>80</v>
      </c>
      <c r="J9" s="127">
        <v>1000000</v>
      </c>
      <c r="K9" s="128">
        <v>0.01</v>
      </c>
      <c r="L9" s="129">
        <v>0</v>
      </c>
      <c r="M9" s="108">
        <v>5</v>
      </c>
      <c r="N9" s="130" t="str">
        <f ca="1">_xll.meLWOSwapCreateFromGenerator("GBPSWAP"&amp;M9&amp;"_"&amp;G9,$H9,$I9,$J9,$B$8,$G9,$K9,$L9)</f>
        <v>GBPSWAP5_3Y@14:11</v>
      </c>
      <c r="O9" s="131" t="s">
        <v>103</v>
      </c>
      <c r="P9" s="144">
        <f ca="1">_xll.meLWOSwapPV(N9,O9)</f>
        <v>-13470.144477795973</v>
      </c>
      <c r="Q9" s="103">
        <f ca="1">_xll.meLWOSwapParRate(N9,O9)</f>
        <v>5.4800000000000291E-3</v>
      </c>
      <c r="R9" t="s">
        <v>9</v>
      </c>
      <c r="S9" s="167" t="str">
        <f ca="1">'GBP GLOBAL CURVE'!T28</f>
        <v>3Y</v>
      </c>
      <c r="T9" s="102">
        <f ca="1">'GBP GLOBAL CURVE'!U28</f>
        <v>5.4800000000000005E-3</v>
      </c>
      <c r="U9" s="168">
        <f t="shared" ref="U9:U20" ca="1" si="0">ABS(Q9-T9)*10000</f>
        <v>2.8622937353617317E-13</v>
      </c>
    </row>
    <row r="10" spans="1:21">
      <c r="A10" t="s">
        <v>9</v>
      </c>
      <c r="B10" s="121">
        <f ca="1">_xll.meDateFromTenor('GBP GLOBAL CURVE'!$I$9,F10,"MOD_FOLLOWING",C10)</f>
        <v>43854</v>
      </c>
      <c r="C10" s="160" t="str">
        <f t="shared" ref="C10:C15" ca="1" si="1">C9</f>
        <v>LNB</v>
      </c>
      <c r="D10" s="122">
        <f ca="1">_xll.meDateFromTenor(B10,G10,)</f>
        <v>45315</v>
      </c>
      <c r="E10" t="s">
        <v>9</v>
      </c>
      <c r="F10" s="123" t="s">
        <v>130</v>
      </c>
      <c r="G10" s="124" t="s">
        <v>35</v>
      </c>
      <c r="H10" s="125" t="s">
        <v>118</v>
      </c>
      <c r="I10" s="126" t="s">
        <v>80</v>
      </c>
      <c r="J10" s="127">
        <v>1000000</v>
      </c>
      <c r="K10" s="128">
        <v>0.01</v>
      </c>
      <c r="L10" s="129">
        <v>0</v>
      </c>
      <c r="M10" s="108">
        <v>6</v>
      </c>
      <c r="N10" s="130" t="str">
        <f ca="1">_xll.meLWOSwapCreateFromGenerator("GBPSWAP"&amp;M10&amp;"_"&amp;G10,$H10,$I10,$J10,$B$8,$G10,$K10,$L10)</f>
        <v>GBPSWAP6_4Y@13:11</v>
      </c>
      <c r="O10" s="131" t="s">
        <v>103</v>
      </c>
      <c r="P10" s="144">
        <f ca="1">_xll.meLWOSwapPV(N10,O10)</f>
        <v>-17362.996609462054</v>
      </c>
      <c r="Q10" s="103">
        <f ca="1">_xll.meLWOSwapParRate(N10,O10)</f>
        <v>5.6200000000000069E-3</v>
      </c>
      <c r="R10" t="s">
        <v>9</v>
      </c>
      <c r="S10" s="167" t="str">
        <f ca="1">'GBP GLOBAL CURVE'!T29</f>
        <v>4Y</v>
      </c>
      <c r="T10" s="102">
        <f ca="1">'GBP GLOBAL CURVE'!U29</f>
        <v>5.6200000000000009E-3</v>
      </c>
      <c r="U10" s="168">
        <f t="shared" ca="1" si="0"/>
        <v>6.0715321659188248E-14</v>
      </c>
    </row>
    <row r="11" spans="1:21">
      <c r="A11" t="s">
        <v>9</v>
      </c>
      <c r="B11" s="121">
        <f ca="1">_xll.meDateFromTenor('GBP GLOBAL CURVE'!$I$9,F11,"MOD_FOLLOWING",C11)</f>
        <v>43854</v>
      </c>
      <c r="C11" s="160" t="str">
        <f t="shared" ca="1" si="1"/>
        <v>LNB</v>
      </c>
      <c r="D11" s="122">
        <f ca="1">_xll.meDateFromTenor(B11,G11,)</f>
        <v>45681</v>
      </c>
      <c r="E11" t="s">
        <v>9</v>
      </c>
      <c r="F11" s="123" t="s">
        <v>130</v>
      </c>
      <c r="G11" s="124" t="s">
        <v>3</v>
      </c>
      <c r="H11" s="125" t="s">
        <v>118</v>
      </c>
      <c r="I11" s="126" t="s">
        <v>80</v>
      </c>
      <c r="J11" s="127">
        <v>1000000</v>
      </c>
      <c r="K11" s="128">
        <v>0.01</v>
      </c>
      <c r="L11" s="129">
        <v>0</v>
      </c>
      <c r="M11" s="108">
        <v>7</v>
      </c>
      <c r="N11" s="130" t="str">
        <f ca="1">_xll.meLWOSwapCreateFromGenerator("GBPSWAP"&amp;M11&amp;"_"&amp;G11,$H11,$I11,$J11,$B$8,$G11,$K11,$L11)</f>
        <v>GBPSWAP7_5Y@11:29</v>
      </c>
      <c r="O11" s="131" t="s">
        <v>103</v>
      </c>
      <c r="P11" s="144">
        <f ca="1">_xll.meLWOSwapPV(N11,O11)</f>
        <v>-20971.490728895151</v>
      </c>
      <c r="Q11" s="103">
        <f ca="1">_xll.meLWOSwapParRate(N11,O11)</f>
        <v>5.7599999999999943E-3</v>
      </c>
      <c r="R11" t="s">
        <v>9</v>
      </c>
      <c r="S11" s="167" t="str">
        <f ca="1">'GBP GLOBAL CURVE'!T30</f>
        <v>5Y</v>
      </c>
      <c r="T11" s="102">
        <f ca="1">'GBP GLOBAL CURVE'!U30</f>
        <v>5.7599999999999995E-3</v>
      </c>
      <c r="U11" s="168">
        <f t="shared" ca="1" si="0"/>
        <v>5.2041704279304213E-14</v>
      </c>
    </row>
    <row r="12" spans="1:21">
      <c r="A12" t="s">
        <v>9</v>
      </c>
      <c r="B12" s="121">
        <f ca="1">_xll.meDateFromTenor('GBP GLOBAL CURVE'!$I$9,F12,"MOD_FOLLOWING",C12)</f>
        <v>43854</v>
      </c>
      <c r="C12" s="160" t="str">
        <f t="shared" ca="1" si="1"/>
        <v>LNB</v>
      </c>
      <c r="D12" s="122">
        <f ca="1">_xll.meDateFromTenor(B12,G12,)</f>
        <v>46046</v>
      </c>
      <c r="E12" t="s">
        <v>9</v>
      </c>
      <c r="F12" s="123" t="s">
        <v>130</v>
      </c>
      <c r="G12" s="124" t="s">
        <v>128</v>
      </c>
      <c r="H12" s="125" t="s">
        <v>118</v>
      </c>
      <c r="I12" s="126" t="s">
        <v>80</v>
      </c>
      <c r="J12" s="127">
        <v>1000000</v>
      </c>
      <c r="K12" s="128">
        <v>0.01</v>
      </c>
      <c r="L12" s="129">
        <v>0</v>
      </c>
      <c r="M12" s="108">
        <v>8</v>
      </c>
      <c r="N12" s="130" t="str">
        <f ca="1">_xll.meLWOSwapCreateFromGenerator("GBPSWAP"&amp;M12&amp;"_"&amp;G12,$H12,$I12,$J12,$B$8,$G12,$K12,$L12)</f>
        <v>GBPSWAP8_6Y@17:11</v>
      </c>
      <c r="O12" s="131" t="s">
        <v>103</v>
      </c>
      <c r="P12" s="144">
        <f ca="1">_xll.meLWOSwapPV(N12,O12)</f>
        <v>-24117.331807709517</v>
      </c>
      <c r="Q12" s="103">
        <f ca="1">_xll.meLWOSwapParRate(N12,O12)</f>
        <v>5.9300000000000134E-3</v>
      </c>
      <c r="R12" t="s">
        <v>9</v>
      </c>
      <c r="S12" s="167" t="str">
        <f ca="1">'GBP GLOBAL CURVE'!T31</f>
        <v>6Y</v>
      </c>
      <c r="T12" s="102">
        <f ca="1">'GBP GLOBAL CURVE'!U31</f>
        <v>5.9299999999999995E-3</v>
      </c>
      <c r="U12" s="168">
        <f t="shared" ca="1" si="0"/>
        <v>1.3877787807814457E-13</v>
      </c>
    </row>
    <row r="13" spans="1:21">
      <c r="A13" t="s">
        <v>9</v>
      </c>
      <c r="B13" s="121">
        <f ca="1">_xll.meDateFromTenor('GBP GLOBAL CURVE'!$I$9,F13,"MOD_FOLLOWING",C13)</f>
        <v>43854</v>
      </c>
      <c r="C13" s="160" t="str">
        <f t="shared" ca="1" si="1"/>
        <v>LNB</v>
      </c>
      <c r="D13" s="122">
        <f ca="1">_xll.meDateFromTenor(B13,G13,)</f>
        <v>46411</v>
      </c>
      <c r="E13" t="s">
        <v>9</v>
      </c>
      <c r="F13" s="123" t="s">
        <v>130</v>
      </c>
      <c r="G13" s="124" t="s">
        <v>38</v>
      </c>
      <c r="H13" s="125" t="s">
        <v>118</v>
      </c>
      <c r="I13" s="126" t="s">
        <v>80</v>
      </c>
      <c r="J13" s="127">
        <v>1000000</v>
      </c>
      <c r="K13" s="128">
        <v>0.01</v>
      </c>
      <c r="L13" s="129">
        <v>0</v>
      </c>
      <c r="M13" s="108">
        <v>9</v>
      </c>
      <c r="N13" s="130" t="str">
        <f ca="1">_xll.meLWOSwapCreateFromGenerator("GBPSWAP"&amp;M13&amp;"_"&amp;G13,$H13,$I13,$J13,$B$8,$G13,$K13,$L13)</f>
        <v>GBPSWAP9_7Y@8:11</v>
      </c>
      <c r="O13" s="131" t="s">
        <v>103</v>
      </c>
      <c r="P13" s="144">
        <f ca="1">_xll.meLWOSwapPV(N13,O13)</f>
        <v>-26808.836533113063</v>
      </c>
      <c r="Q13" s="103">
        <f ca="1">_xll.meLWOSwapParRate(N13,O13)</f>
        <v>6.1100000000000121E-3</v>
      </c>
      <c r="R13" t="s">
        <v>9</v>
      </c>
      <c r="S13" s="167" t="str">
        <f ca="1">'GBP GLOBAL CURVE'!T32</f>
        <v>7Y</v>
      </c>
      <c r="T13" s="102">
        <f ca="1">'GBP GLOBAL CURVE'!U32</f>
        <v>6.11E-3</v>
      </c>
      <c r="U13" s="168">
        <f t="shared" ca="1" si="0"/>
        <v>1.214306433183765E-13</v>
      </c>
    </row>
    <row r="14" spans="1:21">
      <c r="A14" t="s">
        <v>9</v>
      </c>
      <c r="B14" s="121">
        <f ca="1">_xll.meDateFromTenor('GBP GLOBAL CURVE'!$I$9,F14,"MOD_FOLLOWING",C14)</f>
        <v>43854</v>
      </c>
      <c r="C14" s="160" t="str">
        <f t="shared" ca="1" si="1"/>
        <v>LNB</v>
      </c>
      <c r="D14" s="122">
        <f ca="1">_xll.meDateFromTenor(B14,G14,)</f>
        <v>46776</v>
      </c>
      <c r="E14" t="s">
        <v>9</v>
      </c>
      <c r="F14" s="123" t="s">
        <v>130</v>
      </c>
      <c r="G14" s="124" t="s">
        <v>50</v>
      </c>
      <c r="H14" s="125" t="s">
        <v>118</v>
      </c>
      <c r="I14" s="126" t="s">
        <v>80</v>
      </c>
      <c r="J14" s="127">
        <v>1000000</v>
      </c>
      <c r="K14" s="128">
        <v>0.01</v>
      </c>
      <c r="L14" s="129">
        <v>0</v>
      </c>
      <c r="M14" s="108">
        <v>10</v>
      </c>
      <c r="N14" s="130" t="str">
        <f ca="1">_xll.meLWOSwapCreateFromGenerator("GBPSWAP"&amp;M14&amp;"_"&amp;G14,$H14,$I14,$J14,$B$8,$G14,$K14,$L14)</f>
        <v>GBPSWAP10_8Y@12:11</v>
      </c>
      <c r="O14" s="131" t="s">
        <v>103</v>
      </c>
      <c r="P14" s="144">
        <f ca="1">_xll.meLWOSwapPV(N14,O14)</f>
        <v>-28973.709737516896</v>
      </c>
      <c r="Q14" s="103">
        <f ca="1">_xll.meLWOSwapParRate(N14,O14)</f>
        <v>6.3100000000000083E-3</v>
      </c>
      <c r="R14" t="s">
        <v>9</v>
      </c>
      <c r="S14" s="167" t="str">
        <f ca="1">'GBP GLOBAL CURVE'!T33</f>
        <v>8Y</v>
      </c>
      <c r="T14" s="102">
        <f ca="1">'GBP GLOBAL CURVE'!U33</f>
        <v>6.3099999999999996E-3</v>
      </c>
      <c r="U14" s="168">
        <f t="shared" ca="1" si="0"/>
        <v>8.6736173798840355E-14</v>
      </c>
    </row>
    <row r="15" spans="1:21">
      <c r="A15" t="s">
        <v>9</v>
      </c>
      <c r="B15" s="121">
        <f ca="1">_xll.meDateFromTenor('GBP GLOBAL CURVE'!$I$9,F15,"MOD_FOLLOWING",C15)</f>
        <v>43854</v>
      </c>
      <c r="C15" s="160" t="str">
        <f t="shared" ca="1" si="1"/>
        <v>LNB</v>
      </c>
      <c r="D15" s="122">
        <f ca="1">_xll.meDateFromTenor(B15,G15,)</f>
        <v>47507</v>
      </c>
      <c r="E15" t="s">
        <v>9</v>
      </c>
      <c r="F15" s="123" t="s">
        <v>130</v>
      </c>
      <c r="G15" s="124" t="s">
        <v>40</v>
      </c>
      <c r="H15" s="125" t="s">
        <v>118</v>
      </c>
      <c r="I15" s="126" t="s">
        <v>80</v>
      </c>
      <c r="J15" s="127">
        <v>1000000</v>
      </c>
      <c r="K15" s="128">
        <v>0.01</v>
      </c>
      <c r="L15" s="129">
        <v>0</v>
      </c>
      <c r="M15" s="108">
        <v>11</v>
      </c>
      <c r="N15" s="130" t="str">
        <f ca="1">_xll.meLWOSwapCreateFromGenerator("GBPSWAP"&amp;M15&amp;"_"&amp;G15,$H15,$I15,$J15,$B$8,$G15,$K15,$L15)</f>
        <v>GBPSWAP11_10Y@7:11</v>
      </c>
      <c r="O15" s="131" t="s">
        <v>103</v>
      </c>
      <c r="P15" s="144">
        <f ca="1">_xll.meLWOSwapPV(N15,O15)</f>
        <v>-31918.05354869063</v>
      </c>
      <c r="Q15" s="103">
        <f ca="1">_xll.meLWOSwapParRate(N15,O15)</f>
        <v>6.7300000000000216E-3</v>
      </c>
      <c r="R15" t="s">
        <v>9</v>
      </c>
      <c r="S15" s="167" t="str">
        <f ca="1">'GBP GLOBAL CURVE'!T34</f>
        <v>10Y</v>
      </c>
      <c r="T15" s="102">
        <f ca="1">'GBP GLOBAL CURVE'!U34</f>
        <v>6.7300000000000007E-3</v>
      </c>
      <c r="U15" s="168">
        <f t="shared" ca="1" si="0"/>
        <v>2.0816681711721685E-13</v>
      </c>
    </row>
    <row r="16" spans="1:21">
      <c r="A16" t="s">
        <v>9</v>
      </c>
      <c r="B16" s="121">
        <f ca="1">_xll.meDateFromTenor('GBP GLOBAL CURVE'!$I$9,F16,"MOD_FOLLOWING",C16)</f>
        <v>43854</v>
      </c>
      <c r="C16" s="160" t="str">
        <f t="shared" ref="C16:C19" ca="1" si="2">C15</f>
        <v>LNB</v>
      </c>
      <c r="D16" s="122">
        <f ca="1">_xll.meDateFromTenor(B16,G16,)</f>
        <v>48237</v>
      </c>
      <c r="E16" t="s">
        <v>9</v>
      </c>
      <c r="F16" s="123" t="s">
        <v>130</v>
      </c>
      <c r="G16" s="124" t="s">
        <v>42</v>
      </c>
      <c r="H16" s="125" t="s">
        <v>118</v>
      </c>
      <c r="I16" s="126" t="s">
        <v>80</v>
      </c>
      <c r="J16" s="127">
        <v>1000000</v>
      </c>
      <c r="K16" s="128">
        <v>0.01</v>
      </c>
      <c r="L16" s="129">
        <v>0</v>
      </c>
      <c r="M16" s="108">
        <v>12</v>
      </c>
      <c r="N16" s="130" t="str">
        <f ca="1">_xll.meLWOSwapCreateFromGenerator("GBPSWAP"&amp;M16&amp;"_"&amp;G16,$H16,$I16,$J16,$B$8,$G16,$K16,$L16)</f>
        <v>GBPSWAP12_12Y@10:11</v>
      </c>
      <c r="O16" s="131" t="s">
        <v>103</v>
      </c>
      <c r="P16" s="144">
        <f ca="1">_xll.meLWOSwapPV(N16,O16)</f>
        <v>-33536.103981810476</v>
      </c>
      <c r="Q16" s="103">
        <f ca="1">_xll.meLWOSwapParRate(N16,O16)</f>
        <v>7.1200000000000221E-3</v>
      </c>
      <c r="R16" t="s">
        <v>9</v>
      </c>
      <c r="S16" s="167" t="str">
        <f ca="1">'GBP GLOBAL CURVE'!T35</f>
        <v>12Y</v>
      </c>
      <c r="T16" s="102">
        <f ca="1">'GBP GLOBAL CURVE'!U35</f>
        <v>7.1199999999999996E-3</v>
      </c>
      <c r="U16" s="168">
        <f t="shared" ca="1" si="0"/>
        <v>2.2551405187698492E-13</v>
      </c>
    </row>
    <row r="17" spans="2:21">
      <c r="B17" s="121">
        <f ca="1">_xll.meDateFromTenor('GBP GLOBAL CURVE'!$I$9,F17,"MOD_FOLLOWING",C17)</f>
        <v>43854</v>
      </c>
      <c r="C17" s="160" t="str">
        <f t="shared" ca="1" si="2"/>
        <v>LNB</v>
      </c>
      <c r="D17" s="122">
        <f ca="1">_xll.meDateFromTenor(B17,G17,)</f>
        <v>49333</v>
      </c>
      <c r="E17" t="s">
        <v>9</v>
      </c>
      <c r="F17" s="123" t="s">
        <v>130</v>
      </c>
      <c r="G17" s="124" t="s">
        <v>44</v>
      </c>
      <c r="H17" s="125" t="s">
        <v>118</v>
      </c>
      <c r="I17" s="126" t="s">
        <v>80</v>
      </c>
      <c r="J17" s="127">
        <v>1000000</v>
      </c>
      <c r="K17" s="128">
        <v>0.01</v>
      </c>
      <c r="L17" s="129">
        <v>0</v>
      </c>
      <c r="M17" s="108">
        <v>13</v>
      </c>
      <c r="N17" s="130" t="str">
        <f ca="1">_xll.meLWOSwapCreateFromGenerator("GBPSWAP"&amp;M17&amp;"_"&amp;G17,$H17,$I17,$J17,$B$8,$G17,$K17,$L17)</f>
        <v>GBPSWAP13_15Y@19:11</v>
      </c>
      <c r="O17" s="131" t="s">
        <v>103</v>
      </c>
      <c r="P17" s="144">
        <f ca="1">_xll.meLWOSwapPV(N17,O17)</f>
        <v>-35582.370609099409</v>
      </c>
      <c r="Q17" s="103">
        <f ca="1">_xll.meLWOSwapParRate(N17,O17)</f>
        <v>7.5299999999999976E-3</v>
      </c>
      <c r="S17" s="167" t="str">
        <f ca="1">'GBP GLOBAL CURVE'!T36</f>
        <v>15Y</v>
      </c>
      <c r="T17" s="102">
        <f ca="1">'GBP GLOBAL CURVE'!U36</f>
        <v>7.5300000000000002E-3</v>
      </c>
      <c r="U17" s="168">
        <f t="shared" ca="1" si="0"/>
        <v>2.6020852139652106E-14</v>
      </c>
    </row>
    <row r="18" spans="2:21">
      <c r="B18" s="121">
        <f ca="1">_xll.meDateFromTenor('GBP GLOBAL CURVE'!$I$9,F18,"MOD_FOLLOWING",C18)</f>
        <v>43854</v>
      </c>
      <c r="C18" s="160" t="str">
        <f t="shared" ca="1" si="2"/>
        <v>LNB</v>
      </c>
      <c r="D18" s="122">
        <f ca="1">_xll.meDateFromTenor(B18,G18,)</f>
        <v>51159</v>
      </c>
      <c r="E18" t="s">
        <v>9</v>
      </c>
      <c r="F18" s="123" t="s">
        <v>130</v>
      </c>
      <c r="G18" s="124" t="s">
        <v>46</v>
      </c>
      <c r="H18" s="125" t="s">
        <v>118</v>
      </c>
      <c r="I18" s="126" t="s">
        <v>80</v>
      </c>
      <c r="J18" s="127">
        <v>1000000</v>
      </c>
      <c r="K18" s="128">
        <v>0.01</v>
      </c>
      <c r="L18" s="129">
        <v>0</v>
      </c>
      <c r="M18" s="108">
        <v>14</v>
      </c>
      <c r="N18" s="130" t="str">
        <f ca="1">_xll.meLWOSwapCreateFromGenerator("GBPSWAP"&amp;M18&amp;"_"&amp;G18,$H18,$I18,$J18,$B$8,$G18,$K18,$L18)</f>
        <v>GBPSWAP14_20Y@15:11</v>
      </c>
      <c r="O18" s="131" t="s">
        <v>103</v>
      </c>
      <c r="P18" s="144">
        <f ca="1">_xll.meLWOSwapPV(N18,O18)</f>
        <v>-41536.723176285421</v>
      </c>
      <c r="Q18" s="103">
        <f ca="1">_xll.meLWOSwapParRate(N18,O18)</f>
        <v>7.7999999999999762E-3</v>
      </c>
      <c r="S18" s="167" t="str">
        <f ca="1">'GBP GLOBAL CURVE'!T37</f>
        <v>20Y</v>
      </c>
      <c r="T18" s="102">
        <f ca="1">'GBP GLOBAL CURVE'!U37</f>
        <v>7.8000000000000005E-3</v>
      </c>
      <c r="U18" s="168">
        <f t="shared" ca="1" si="0"/>
        <v>2.4286128663675299E-13</v>
      </c>
    </row>
    <row r="19" spans="2:21">
      <c r="B19" s="121">
        <f ca="1">_xll.meDateFromTenor('GBP GLOBAL CURVE'!$I$9,F19,"MOD_FOLLOWING",C19)</f>
        <v>43854</v>
      </c>
      <c r="C19" s="160" t="str">
        <f t="shared" ca="1" si="2"/>
        <v>LNB</v>
      </c>
      <c r="D19" s="122">
        <f ca="1">_xll.meDateFromTenor(B19,G19,)</f>
        <v>52986</v>
      </c>
      <c r="E19" t="s">
        <v>9</v>
      </c>
      <c r="F19" s="123" t="s">
        <v>130</v>
      </c>
      <c r="G19" s="124" t="s">
        <v>48</v>
      </c>
      <c r="H19" s="125" t="s">
        <v>118</v>
      </c>
      <c r="I19" s="126" t="s">
        <v>80</v>
      </c>
      <c r="J19" s="127">
        <v>1000000</v>
      </c>
      <c r="K19" s="128">
        <v>0.01</v>
      </c>
      <c r="L19" s="129">
        <v>0</v>
      </c>
      <c r="M19" s="108">
        <v>15</v>
      </c>
      <c r="N19" s="130" t="str">
        <f ca="1">_xll.meLWOSwapCreateFromGenerator("GBPSWAP"&amp;M19&amp;"_"&amp;G19,$H19,$I19,$J19,$B$8,$G19,$K19,$L19)</f>
        <v>GBPSWAP15_25Y@6:11</v>
      </c>
      <c r="O19" s="131" t="s">
        <v>103</v>
      </c>
      <c r="P19" s="144">
        <f ca="1">_xll.meLWOSwapPV(N19,O19)</f>
        <v>-50601.977131192805</v>
      </c>
      <c r="Q19" s="103">
        <f ca="1">_xll.meLWOSwapParRate(N19,O19)</f>
        <v>7.8199999999999971E-3</v>
      </c>
      <c r="S19" s="167" t="str">
        <f ca="1">'GBP GLOBAL CURVE'!T38</f>
        <v>25Y</v>
      </c>
      <c r="T19" s="102">
        <f ca="1">'GBP GLOBAL CURVE'!U38</f>
        <v>7.8200000000000006E-3</v>
      </c>
      <c r="U19" s="168">
        <f t="shared" ca="1" si="0"/>
        <v>3.4694469519536142E-14</v>
      </c>
    </row>
    <row r="20" spans="2:21">
      <c r="B20" s="132">
        <f ca="1">_xll.meDateFromTenor('GBP GLOBAL CURVE'!$I$9,F20,"MOD_FOLLOWING",C20)</f>
        <v>43854</v>
      </c>
      <c r="C20" s="161" t="str">
        <f t="shared" ref="C20" ca="1" si="3">C19</f>
        <v>LNB</v>
      </c>
      <c r="D20" s="133">
        <f ca="1">_xll.meDateFromTenor(B20,G20,)</f>
        <v>54812</v>
      </c>
      <c r="E20" t="s">
        <v>9</v>
      </c>
      <c r="F20" s="134" t="s">
        <v>130</v>
      </c>
      <c r="G20" s="135" t="s">
        <v>49</v>
      </c>
      <c r="H20" s="136" t="s">
        <v>118</v>
      </c>
      <c r="I20" s="137" t="s">
        <v>80</v>
      </c>
      <c r="J20" s="138">
        <v>1000000</v>
      </c>
      <c r="K20" s="139">
        <v>0.01</v>
      </c>
      <c r="L20" s="140">
        <v>0</v>
      </c>
      <c r="M20" s="108">
        <v>16</v>
      </c>
      <c r="N20" s="141" t="str">
        <f ca="1">_xll.meLWOSwapCreateFromGenerator("GBPSWAP"&amp;M20&amp;"_"&amp;G20,$H20,$I20,$J20,$B$8,$G20,$K20,$L20)</f>
        <v>GBPSWAP16_30Y@16:11</v>
      </c>
      <c r="O20" s="142" t="s">
        <v>103</v>
      </c>
      <c r="P20" s="145">
        <f ca="1">_xll.meLWOSwapPV(N20,O20)</f>
        <v>-61954.327404051874</v>
      </c>
      <c r="Q20" s="106">
        <f ca="1">_xll.meLWOSwapParRate(N20,O20)</f>
        <v>7.7399999999999882E-3</v>
      </c>
      <c r="S20" s="169" t="str">
        <f ca="1">'GBP GLOBAL CURVE'!T39</f>
        <v>30Y</v>
      </c>
      <c r="T20" s="170">
        <f ca="1">'GBP GLOBAL CURVE'!U39</f>
        <v>7.7400000000000004E-3</v>
      </c>
      <c r="U20" s="171">
        <f t="shared" ca="1" si="0"/>
        <v>1.214306433183765E-13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L45"/>
  <sheetViews>
    <sheetView showGridLines="0" workbookViewId="0"/>
  </sheetViews>
  <sheetFormatPr defaultRowHeight="15"/>
  <cols>
    <col min="2" max="2" width="22.42578125" customWidth="1"/>
    <col min="7" max="7" width="32.28515625" bestFit="1" customWidth="1"/>
    <col min="8" max="8" width="12.7109375" bestFit="1" customWidth="1"/>
    <col min="9" max="9" width="49.140625" bestFit="1" customWidth="1"/>
    <col min="10" max="10" width="12.7109375" bestFit="1" customWidth="1"/>
  </cols>
  <sheetData>
    <row r="2" spans="1:12">
      <c r="B2" s="82" t="s">
        <v>82</v>
      </c>
      <c r="C2" s="82" t="s">
        <v>83</v>
      </c>
      <c r="D2" s="1" t="s">
        <v>86</v>
      </c>
      <c r="E2" s="1" t="s">
        <v>85</v>
      </c>
      <c r="F2" s="1"/>
      <c r="G2" s="146" t="s">
        <v>84</v>
      </c>
      <c r="H2" s="146"/>
      <c r="I2" s="146"/>
      <c r="J2" s="146"/>
      <c r="K2" s="146"/>
      <c r="L2" s="146"/>
    </row>
    <row r="3" spans="1:12">
      <c r="A3" s="156">
        <v>1</v>
      </c>
      <c r="B3" s="175" t="str">
        <f ca="1">IF($E3,PRICING!$N5,"")</f>
        <v/>
      </c>
      <c r="C3" s="178" t="str">
        <f t="shared" ref="C3:C18" ca="1" si="0">IF($E3,"GBPYC","")</f>
        <v/>
      </c>
      <c r="D3" s="157" t="str">
        <f ca="1">PRICING!$G5</f>
        <v>6M</v>
      </c>
      <c r="E3" s="158" t="b">
        <v>0</v>
      </c>
      <c r="F3" s="1"/>
      <c r="G3" s="147" t="str">
        <f t="array" aca="1" ref="G3:L38" ca="1">_xll.meUtilityResize(_xll.meLWOSwapDeltaLadder(_xll.meUtilityClean(B3:B18),_xll.meUtilityClean(C3:C18)),100,10)</f>
        <v>GBP : Pillars</v>
      </c>
      <c r="H3" s="120" t="str">
        <f ca="1"/>
        <v>GBP : Total</v>
      </c>
      <c r="I3" s="148" t="str">
        <f ca="1"/>
        <v>GBP : Pillars</v>
      </c>
      <c r="J3" s="120" t="str">
        <f ca="1"/>
        <v>GBP : Total</v>
      </c>
      <c r="K3" s="148" t="str">
        <f ca="1"/>
        <v/>
      </c>
      <c r="L3" s="153" t="str">
        <f ca="1"/>
        <v/>
      </c>
    </row>
    <row r="4" spans="1:12">
      <c r="A4" s="156">
        <f t="shared" ref="A4:A18" ca="1" si="1">A3+1</f>
        <v>2</v>
      </c>
      <c r="B4" s="176" t="str">
        <f ca="1">IF($E4,PRICING!$N6,"")</f>
        <v/>
      </c>
      <c r="C4" s="179" t="str">
        <f t="shared" ca="1" si="0"/>
        <v/>
      </c>
      <c r="D4" s="157" t="str">
        <f ca="1">PRICING!$G6</f>
        <v>9M</v>
      </c>
      <c r="E4" s="158" t="b">
        <v>0</v>
      </c>
      <c r="F4" s="1"/>
      <c r="G4" s="149" t="str">
        <f ca="1"/>
        <v>GBPYC.OIS.OUTRIGHTOISSWAP.ON</v>
      </c>
      <c r="H4" s="144">
        <f ca="1"/>
        <v>6.1918399296700997E-7</v>
      </c>
      <c r="I4" s="150" t="str">
        <f ca="1"/>
        <v>GBPYC.STD.O_N</v>
      </c>
      <c r="J4" s="144">
        <f ca="1"/>
        <v>1.81898940354586E-9</v>
      </c>
      <c r="K4" s="150" t="str">
        <f ca="1"/>
        <v/>
      </c>
      <c r="L4" s="154" t="str">
        <f ca="1"/>
        <v/>
      </c>
    </row>
    <row r="5" spans="1:12">
      <c r="A5" s="156">
        <f t="shared" ca="1" si="1"/>
        <v>3</v>
      </c>
      <c r="B5" s="176" t="str">
        <f ca="1">IF($E5,PRICING!$N7,"")</f>
        <v/>
      </c>
      <c r="C5" s="179" t="str">
        <f t="shared" ca="1" si="0"/>
        <v/>
      </c>
      <c r="D5" s="157" t="str">
        <f ca="1">PRICING!$G7</f>
        <v>1Y</v>
      </c>
      <c r="E5" s="158" t="b">
        <v>0</v>
      </c>
      <c r="F5" s="1"/>
      <c r="G5" s="149" t="str">
        <f ca="1"/>
        <v>GBPYC.OIS.OUTRIGHTOISSWAP.1W</v>
      </c>
      <c r="H5" s="144">
        <f ca="1"/>
        <v>-7.4578565545380102E-8</v>
      </c>
      <c r="I5" s="150" t="str">
        <f ca="1"/>
        <v>GBPYC.STD.T_N</v>
      </c>
      <c r="J5" s="144">
        <f ca="1"/>
        <v>2.4010660126805299E-8</v>
      </c>
      <c r="K5" s="150" t="str">
        <f ca="1"/>
        <v/>
      </c>
      <c r="L5" s="154" t="str">
        <f ca="1"/>
        <v/>
      </c>
    </row>
    <row r="6" spans="1:12">
      <c r="A6" s="156">
        <f t="shared" ca="1" si="1"/>
        <v>4</v>
      </c>
      <c r="B6" s="176" t="str">
        <f ca="1">IF($E6,PRICING!$N8,"")</f>
        <v/>
      </c>
      <c r="C6" s="179" t="str">
        <f t="shared" ca="1" si="0"/>
        <v/>
      </c>
      <c r="D6" s="157" t="str">
        <f ca="1">PRICING!$G8</f>
        <v>2Y</v>
      </c>
      <c r="E6" s="158" t="b">
        <v>0</v>
      </c>
      <c r="F6" s="1"/>
      <c r="G6" s="149" t="str">
        <f ca="1"/>
        <v>GBPYC.OIS.OUTRIGHTOISSWAP.1M</v>
      </c>
      <c r="H6" s="144">
        <f ca="1"/>
        <v>5.9226294979453097E-7</v>
      </c>
      <c r="I6" s="150" t="str">
        <f ca="1"/>
        <v>GBPYC.STD.LIBOR.1M</v>
      </c>
      <c r="J6" s="144">
        <f ca="1"/>
        <v>-4.1836756281554699E-8</v>
      </c>
      <c r="K6" s="150" t="str">
        <f ca="1"/>
        <v/>
      </c>
      <c r="L6" s="154" t="str">
        <f ca="1"/>
        <v/>
      </c>
    </row>
    <row r="7" spans="1:12">
      <c r="A7" s="156">
        <f t="shared" ca="1" si="1"/>
        <v>5</v>
      </c>
      <c r="B7" s="176" t="str">
        <f ca="1">IF($E7,PRICING!$N9,"")</f>
        <v/>
      </c>
      <c r="C7" s="179" t="str">
        <f t="shared" ca="1" si="0"/>
        <v/>
      </c>
      <c r="D7" s="157" t="str">
        <f ca="1">PRICING!$G9</f>
        <v>3Y</v>
      </c>
      <c r="E7" s="158" t="b">
        <v>0</v>
      </c>
      <c r="F7" s="1"/>
      <c r="G7" s="149" t="str">
        <f ca="1"/>
        <v>GBPYC.OIS.OUTRIGHTOISSWAP.2M</v>
      </c>
      <c r="H7" s="144">
        <f ca="1"/>
        <v>-1.08993845060468E-6</v>
      </c>
      <c r="I7" s="150" t="str">
        <f ca="1"/>
        <v>GBPYC.STD.LIBOR.3M</v>
      </c>
      <c r="J7" s="144">
        <f ca="1"/>
        <v>0.16497423966939101</v>
      </c>
      <c r="K7" s="150" t="str">
        <f ca="1"/>
        <v/>
      </c>
      <c r="L7" s="154" t="str">
        <f ca="1"/>
        <v/>
      </c>
    </row>
    <row r="8" spans="1:12">
      <c r="A8" s="156">
        <f t="shared" ca="1" si="1"/>
        <v>6</v>
      </c>
      <c r="B8" s="176" t="str">
        <f ca="1">IF($E8,PRICING!$N10,"")</f>
        <v/>
      </c>
      <c r="C8" s="179" t="str">
        <f t="shared" ca="1" si="0"/>
        <v/>
      </c>
      <c r="D8" s="157" t="str">
        <f ca="1">PRICING!$G10</f>
        <v>4Y</v>
      </c>
      <c r="E8" s="158" t="b">
        <v>0</v>
      </c>
      <c r="F8" s="1"/>
      <c r="G8" s="149" t="str">
        <f ca="1"/>
        <v>GBPYC.OIS.OUTRIGHTOISSWAP.3M</v>
      </c>
      <c r="H8" s="144">
        <f ca="1"/>
        <v>-1.15700822789222E-4</v>
      </c>
      <c r="I8" s="150" t="str">
        <f ca="1"/>
        <v>GBPYC.STD.LIBOR.6M</v>
      </c>
      <c r="J8" s="144">
        <f ca="1"/>
        <v>-2.9667717171832898E-6</v>
      </c>
      <c r="K8" s="150" t="str">
        <f ca="1"/>
        <v/>
      </c>
      <c r="L8" s="154" t="str">
        <f ca="1"/>
        <v/>
      </c>
    </row>
    <row r="9" spans="1:12">
      <c r="A9" s="156">
        <f t="shared" ca="1" si="1"/>
        <v>7</v>
      </c>
      <c r="B9" s="176" t="str">
        <f ca="1">IF($E9,PRICING!$N11,"")</f>
        <v>GBPSWAP7_5Y@11:29</v>
      </c>
      <c r="C9" s="179" t="str">
        <f t="shared" ca="1" si="0"/>
        <v>GBPYC</v>
      </c>
      <c r="D9" s="157" t="str">
        <f ca="1">PRICING!$G11</f>
        <v>5Y</v>
      </c>
      <c r="E9" s="158" t="b">
        <v>1</v>
      </c>
      <c r="F9" s="1"/>
      <c r="G9" s="149" t="str">
        <f ca="1"/>
        <v>GBPYC.OIS.OUTRIGHTOISSWAP.4M</v>
      </c>
      <c r="H9" s="144">
        <f ca="1"/>
        <v>1.8117862055078101E-5</v>
      </c>
      <c r="I9" s="150" t="str">
        <f ca="1"/>
        <v>GBPYC.STD.LIBOR.12M</v>
      </c>
      <c r="J9" s="144">
        <f ca="1"/>
        <v>2.1827872842550298E-9</v>
      </c>
      <c r="K9" s="150" t="str">
        <f ca="1"/>
        <v/>
      </c>
      <c r="L9" s="154" t="str">
        <f ca="1"/>
        <v/>
      </c>
    </row>
    <row r="10" spans="1:12">
      <c r="A10" s="156">
        <f t="shared" ca="1" si="1"/>
        <v>8</v>
      </c>
      <c r="B10" s="176" t="str">
        <f ca="1">IF($E10,PRICING!$N12,"")</f>
        <v/>
      </c>
      <c r="C10" s="179" t="str">
        <f t="shared" ca="1" si="0"/>
        <v/>
      </c>
      <c r="D10" s="157" t="str">
        <f ca="1">PRICING!$G12</f>
        <v>6Y</v>
      </c>
      <c r="E10" s="158" t="b">
        <v>0</v>
      </c>
      <c r="F10" s="1"/>
      <c r="G10" s="149" t="str">
        <f ca="1"/>
        <v>GBPYC.OIS.OUTRIGHTOISSWAP.5M</v>
      </c>
      <c r="H10" s="144">
        <f ca="1"/>
        <v>-7.0809255703352405E-5</v>
      </c>
      <c r="I10" s="150" t="str">
        <f ca="1"/>
        <v>GBPYC.STD.FUTURE.L 1 COMDTY.20200318.20200617</v>
      </c>
      <c r="J10" s="144">
        <f ca="1"/>
        <v>9.9128287911298699E-2</v>
      </c>
      <c r="K10" s="150" t="str">
        <f ca="1"/>
        <v/>
      </c>
      <c r="L10" s="154" t="str">
        <f ca="1"/>
        <v/>
      </c>
    </row>
    <row r="11" spans="1:12">
      <c r="A11" s="156">
        <f t="shared" ca="1" si="1"/>
        <v>9</v>
      </c>
      <c r="B11" s="176" t="str">
        <f ca="1">IF($E11,PRICING!$N13,"")</f>
        <v/>
      </c>
      <c r="C11" s="179" t="str">
        <f t="shared" ca="1" si="0"/>
        <v/>
      </c>
      <c r="D11" s="157" t="str">
        <f ca="1">PRICING!$G13</f>
        <v>7Y</v>
      </c>
      <c r="E11" s="158" t="b">
        <v>0</v>
      </c>
      <c r="F11" s="1"/>
      <c r="G11" s="149" t="str">
        <f ca="1"/>
        <v>GBPYC.OIS.OUTRIGHTOISSWAP.6M</v>
      </c>
      <c r="H11" s="144">
        <f ca="1"/>
        <v>0.102891979986452</v>
      </c>
      <c r="I11" s="150" t="str">
        <f ca="1"/>
        <v>GBPYC.STD.FUTURE.L 2 COMDTY.20200617.20200916</v>
      </c>
      <c r="J11" s="144">
        <f ca="1"/>
        <v>0.16696184320608201</v>
      </c>
      <c r="K11" s="150" t="str">
        <f ca="1"/>
        <v/>
      </c>
      <c r="L11" s="154" t="str">
        <f ca="1"/>
        <v/>
      </c>
    </row>
    <row r="12" spans="1:12">
      <c r="A12" s="156">
        <f t="shared" ca="1" si="1"/>
        <v>10</v>
      </c>
      <c r="B12" s="176" t="str">
        <f ca="1">IF($E12,PRICING!$N14,"")</f>
        <v/>
      </c>
      <c r="C12" s="179" t="str">
        <f t="shared" ca="1" si="0"/>
        <v/>
      </c>
      <c r="D12" s="157" t="str">
        <f ca="1">PRICING!$G14</f>
        <v>8Y</v>
      </c>
      <c r="E12" s="158" t="b">
        <v>0</v>
      </c>
      <c r="F12" s="1"/>
      <c r="G12" s="149" t="str">
        <f ca="1"/>
        <v>GBPYC.OIS.OUTRIGHTOISSWAP.7M</v>
      </c>
      <c r="H12" s="144">
        <f ca="1"/>
        <v>-1.37139541038778E-3</v>
      </c>
      <c r="I12" s="150" t="str">
        <f ca="1"/>
        <v>GBPYC.STD.FUTURE.L 3 COMDTY.20200916.20201216</v>
      </c>
      <c r="J12" s="144">
        <f ca="1"/>
        <v>0.191578838348505</v>
      </c>
      <c r="K12" s="150" t="str">
        <f ca="1"/>
        <v/>
      </c>
      <c r="L12" s="154" t="str">
        <f ca="1"/>
        <v/>
      </c>
    </row>
    <row r="13" spans="1:12">
      <c r="A13" s="156">
        <f t="shared" ca="1" si="1"/>
        <v>11</v>
      </c>
      <c r="B13" s="176" t="str">
        <f ca="1">IF($E13,PRICING!$N15,"")</f>
        <v/>
      </c>
      <c r="C13" s="179" t="str">
        <f t="shared" ca="1" si="0"/>
        <v/>
      </c>
      <c r="D13" s="157" t="str">
        <f ca="1">PRICING!$G15</f>
        <v>10Y</v>
      </c>
      <c r="E13" s="158" t="b">
        <v>0</v>
      </c>
      <c r="F13" s="1"/>
      <c r="G13" s="149" t="str">
        <f ca="1"/>
        <v>GBPYC.OIS.OUTRIGHTOISSWAP.8M</v>
      </c>
      <c r="H13" s="144">
        <f ca="1"/>
        <v>5.6248820328619296E-3</v>
      </c>
      <c r="I13" s="150" t="str">
        <f ca="1"/>
        <v>GBPYC.STD.FUTURE.L 4 COMDTY.20201216.20210317</v>
      </c>
      <c r="J13" s="144">
        <f ca="1"/>
        <v>6.76658131851582E-2</v>
      </c>
      <c r="K13" s="150" t="str">
        <f ca="1"/>
        <v/>
      </c>
      <c r="L13" s="154" t="str">
        <f ca="1"/>
        <v/>
      </c>
    </row>
    <row r="14" spans="1:12">
      <c r="A14" s="156">
        <f t="shared" ca="1" si="1"/>
        <v>12</v>
      </c>
      <c r="B14" s="176" t="str">
        <f ca="1">IF($E14,PRICING!$N16,"")</f>
        <v/>
      </c>
      <c r="C14" s="179" t="str">
        <f t="shared" ca="1" si="0"/>
        <v/>
      </c>
      <c r="D14" s="157" t="str">
        <f ca="1">PRICING!$G16</f>
        <v>12Y</v>
      </c>
      <c r="E14" s="158" t="b">
        <v>0</v>
      </c>
      <c r="F14" s="1"/>
      <c r="G14" s="149" t="str">
        <f ca="1"/>
        <v>GBPYC.OIS.OUTRIGHTOISSWAP.9M</v>
      </c>
      <c r="H14" s="144">
        <f ca="1"/>
        <v>-2.62916317296913E-2</v>
      </c>
      <c r="I14" s="150" t="str">
        <f ca="1"/>
        <v>GBPYC.STD.3MLIBORSWAP.2Y</v>
      </c>
      <c r="J14" s="144">
        <f ca="1"/>
        <v>0.83428495963744398</v>
      </c>
      <c r="K14" s="150" t="str">
        <f ca="1"/>
        <v/>
      </c>
      <c r="L14" s="154" t="str">
        <f ca="1"/>
        <v/>
      </c>
    </row>
    <row r="15" spans="1:12">
      <c r="A15" s="156">
        <f t="shared" ca="1" si="1"/>
        <v>13</v>
      </c>
      <c r="B15" s="176" t="str">
        <f ca="1">IF($E15,PRICING!$N17,"")</f>
        <v/>
      </c>
      <c r="C15" s="179" t="str">
        <f t="shared" ca="1" si="0"/>
        <v/>
      </c>
      <c r="D15" s="157" t="str">
        <f ca="1">PRICING!$G17</f>
        <v>15Y</v>
      </c>
      <c r="E15" s="158" t="b">
        <v>0</v>
      </c>
      <c r="F15" s="1"/>
      <c r="G15" s="149" t="str">
        <f ca="1"/>
        <v>GBPYC.OIS.OUTRIGHTOISSWAP.10M</v>
      </c>
      <c r="H15" s="144">
        <f ca="1"/>
        <v>0.10776270319183801</v>
      </c>
      <c r="I15" s="150" t="str">
        <f ca="1"/>
        <v>GBPYC.STD.3MLIBORSWAP.3Y</v>
      </c>
      <c r="J15" s="144">
        <f ca="1"/>
        <v>1.2218857398693199</v>
      </c>
      <c r="K15" s="150" t="str">
        <f ca="1"/>
        <v/>
      </c>
      <c r="L15" s="154" t="str">
        <f ca="1"/>
        <v/>
      </c>
    </row>
    <row r="16" spans="1:12">
      <c r="A16" s="156">
        <f t="shared" ca="1" si="1"/>
        <v>14</v>
      </c>
      <c r="B16" s="176" t="str">
        <f ca="1">IF($E16,PRICING!$N18,"")</f>
        <v/>
      </c>
      <c r="C16" s="179" t="str">
        <f t="shared" ca="1" si="0"/>
        <v/>
      </c>
      <c r="D16" s="157" t="str">
        <f ca="1">PRICING!$G18</f>
        <v>20Y</v>
      </c>
      <c r="E16" s="158" t="b">
        <v>0</v>
      </c>
      <c r="F16" s="1"/>
      <c r="G16" s="149" t="str">
        <f ca="1"/>
        <v>GBPYC.OIS.OUTRIGHTOISSWAP.11M</v>
      </c>
      <c r="H16" s="144">
        <f ca="1"/>
        <v>-0.408308794067125</v>
      </c>
      <c r="I16" s="150" t="str">
        <f ca="1"/>
        <v>GBPYC.STD.3MLIBORSWAP.4Y</v>
      </c>
      <c r="J16" s="144">
        <f ca="1"/>
        <v>1.7832320823799801</v>
      </c>
      <c r="K16" s="150" t="str">
        <f ca="1"/>
        <v/>
      </c>
      <c r="L16" s="154" t="str">
        <f ca="1"/>
        <v/>
      </c>
    </row>
    <row r="17" spans="1:12">
      <c r="A17" s="156">
        <f t="shared" ca="1" si="1"/>
        <v>15</v>
      </c>
      <c r="B17" s="176" t="str">
        <f ca="1">IF($E17,PRICING!$N19,"")</f>
        <v/>
      </c>
      <c r="C17" s="179" t="str">
        <f t="shared" ca="1" si="0"/>
        <v/>
      </c>
      <c r="D17" s="157" t="str">
        <f ca="1">PRICING!$G19</f>
        <v>25Y</v>
      </c>
      <c r="E17" s="158" t="b">
        <v>0</v>
      </c>
      <c r="F17" s="1"/>
      <c r="G17" s="149" t="str">
        <f ca="1"/>
        <v>GBPYC.OIS.BASISRATE.1Y</v>
      </c>
      <c r="H17" s="144">
        <f ca="1"/>
        <v>-0.65932280413107902</v>
      </c>
      <c r="I17" s="150" t="str">
        <f ca="1"/>
        <v>GBPYC.STD.3MLIBORSWAP.5Y</v>
      </c>
      <c r="J17" s="144">
        <f ca="1"/>
        <v>496.09870410968102</v>
      </c>
      <c r="K17" s="150" t="str">
        <f ca="1"/>
        <v/>
      </c>
      <c r="L17" s="154" t="str">
        <f ca="1"/>
        <v/>
      </c>
    </row>
    <row r="18" spans="1:12">
      <c r="A18" s="156">
        <f t="shared" ca="1" si="1"/>
        <v>16</v>
      </c>
      <c r="B18" s="177" t="str">
        <f ca="1">IF($E18,PRICING!$N20,"")</f>
        <v/>
      </c>
      <c r="C18" s="180" t="str">
        <f t="shared" ca="1" si="0"/>
        <v/>
      </c>
      <c r="D18" s="157" t="str">
        <f ca="1">PRICING!$G20</f>
        <v>30Y</v>
      </c>
      <c r="E18" s="158" t="b">
        <v>0</v>
      </c>
      <c r="F18" s="1"/>
      <c r="G18" s="149" t="str">
        <f ca="1"/>
        <v>GBPYC.OIS.BASISRATE.2Y</v>
      </c>
      <c r="H18" s="144">
        <f ca="1"/>
        <v>-0.84333572267496504</v>
      </c>
      <c r="I18" s="150" t="str">
        <f ca="1"/>
        <v>GBPYC.STD.3MLIBORSWAP.6Y</v>
      </c>
      <c r="J18" s="144">
        <f ca="1"/>
        <v>-3.45279186149128E-3</v>
      </c>
      <c r="K18" s="150" t="str">
        <f ca="1"/>
        <v/>
      </c>
      <c r="L18" s="154" t="str">
        <f ca="1"/>
        <v/>
      </c>
    </row>
    <row r="19" spans="1:12">
      <c r="F19" s="1"/>
      <c r="G19" s="149" t="str">
        <f ca="1"/>
        <v>GBPYC.OIS.BASISRATE.3Y</v>
      </c>
      <c r="H19" s="144">
        <f ca="1"/>
        <v>-1.22469250709401</v>
      </c>
      <c r="I19" s="150" t="str">
        <f ca="1"/>
        <v>GBPYC.STD.3MLIBORSWAP.7Y</v>
      </c>
      <c r="J19" s="144">
        <f ca="1"/>
        <v>-3.7963742215651998E-2</v>
      </c>
      <c r="K19" s="150" t="str">
        <f ca="1"/>
        <v/>
      </c>
      <c r="L19" s="154" t="str">
        <f ca="1"/>
        <v/>
      </c>
    </row>
    <row r="20" spans="1:12">
      <c r="F20" s="1"/>
      <c r="G20" s="149" t="str">
        <f ca="1"/>
        <v>GBPYC.OIS.BASISRATE.4Y</v>
      </c>
      <c r="H20" s="144">
        <f ca="1"/>
        <v>-1.7831317178206501</v>
      </c>
      <c r="I20" s="150" t="str">
        <f ca="1"/>
        <v>GBPYC.STD.3MLIBORSWAP.8Y</v>
      </c>
      <c r="J20" s="144">
        <f ca="1"/>
        <v>-1.5248198906192599E-3</v>
      </c>
      <c r="K20" s="150" t="str">
        <f ca="1"/>
        <v/>
      </c>
      <c r="L20" s="154" t="str">
        <f ca="1"/>
        <v/>
      </c>
    </row>
    <row r="21" spans="1:12">
      <c r="F21" s="1"/>
      <c r="G21" s="149" t="str">
        <f ca="1"/>
        <v>GBPYC.OIS.BASISRATE.5Y</v>
      </c>
      <c r="H21" s="144">
        <f ca="1"/>
        <v>-1.4895832235197299</v>
      </c>
      <c r="I21" s="150" t="str">
        <f ca="1"/>
        <v>GBPYC.STD.3MLIBORSWAP.10Y</v>
      </c>
      <c r="J21" s="144">
        <f ca="1"/>
        <v>5.0878141337307196E-3</v>
      </c>
      <c r="K21" s="150" t="str">
        <f ca="1"/>
        <v/>
      </c>
      <c r="L21" s="154" t="str">
        <f ca="1"/>
        <v/>
      </c>
    </row>
    <row r="22" spans="1:12">
      <c r="F22" s="1"/>
      <c r="G22" s="149" t="str">
        <f ca="1"/>
        <v>GBPYC.OIS.BASISRATE.7Y</v>
      </c>
      <c r="H22" s="144">
        <f ca="1"/>
        <v>4.1557603981345899E-2</v>
      </c>
      <c r="I22" s="150" t="str">
        <f ca="1"/>
        <v>GBPYC.STD.3MLIBORSWAP.12Y</v>
      </c>
      <c r="J22" s="144">
        <f ca="1"/>
        <v>7.4419262091396403E-3</v>
      </c>
      <c r="K22" s="150" t="str">
        <f ca="1"/>
        <v/>
      </c>
      <c r="L22" s="154" t="str">
        <f ca="1"/>
        <v/>
      </c>
    </row>
    <row r="23" spans="1:12">
      <c r="F23" s="1"/>
      <c r="G23" s="149" t="str">
        <f ca="1"/>
        <v>GBPYC.OIS.BASISRATE.10Y</v>
      </c>
      <c r="H23" s="144">
        <f ca="1"/>
        <v>-8.3742226706817694E-3</v>
      </c>
      <c r="I23" s="150" t="str">
        <f ca="1"/>
        <v>GBPYC.STD.3MLIBORSWAP.15Y</v>
      </c>
      <c r="J23" s="144">
        <f ca="1"/>
        <v>-8.0294325016438996E-3</v>
      </c>
      <c r="K23" s="150" t="str">
        <f ca="1"/>
        <v/>
      </c>
      <c r="L23" s="154" t="str">
        <f ca="1"/>
        <v/>
      </c>
    </row>
    <row r="24" spans="1:12">
      <c r="F24" s="1"/>
      <c r="G24" s="149" t="str">
        <f ca="1"/>
        <v>GBPYC.OIS.BASISRATE.15Y</v>
      </c>
      <c r="H24" s="144">
        <f ca="1"/>
        <v>1.9591923773987201E-3</v>
      </c>
      <c r="I24" s="150" t="str">
        <f ca="1"/>
        <v>GBPYC.STD.3MLIBORSWAP.20Y</v>
      </c>
      <c r="J24" s="144">
        <f ca="1"/>
        <v>-5.4982047004159497E-4</v>
      </c>
      <c r="K24" s="150" t="str">
        <f ca="1"/>
        <v/>
      </c>
      <c r="L24" s="154" t="str">
        <f ca="1"/>
        <v/>
      </c>
    </row>
    <row r="25" spans="1:12">
      <c r="F25" s="1"/>
      <c r="G25" s="149" t="str">
        <f ca="1"/>
        <v>GBPYC.OIS.BASISRATE.20Y</v>
      </c>
      <c r="H25" s="144">
        <f ca="1"/>
        <v>-7.9909732448868497E-4</v>
      </c>
      <c r="I25" s="150" t="str">
        <f ca="1"/>
        <v>GBPYC.STD.3MLIBORSWAP.25Y</v>
      </c>
      <c r="J25" s="144">
        <f ca="1"/>
        <v>4.6456621930701701E-3</v>
      </c>
      <c r="K25" s="150" t="str">
        <f ca="1"/>
        <v/>
      </c>
      <c r="L25" s="154" t="str">
        <f ca="1"/>
        <v/>
      </c>
    </row>
    <row r="26" spans="1:12">
      <c r="F26" s="1"/>
      <c r="G26" s="149" t="str">
        <f ca="1"/>
        <v>GBPYC.OIS.BASISRATE.30Y</v>
      </c>
      <c r="H26" s="144">
        <f ca="1"/>
        <v>1.21993434731849E-4</v>
      </c>
      <c r="I26" s="150" t="str">
        <f ca="1"/>
        <v>GBPYC.STD.3MLIBORSWAP.30Y</v>
      </c>
      <c r="J26" s="144">
        <f ca="1"/>
        <v>-7.2261671448359301E-3</v>
      </c>
      <c r="K26" s="150" t="str">
        <f ca="1"/>
        <v/>
      </c>
      <c r="L26" s="154" t="str">
        <f ca="1"/>
        <v/>
      </c>
    </row>
    <row r="27" spans="1:12">
      <c r="F27" s="1"/>
      <c r="G27" s="149" t="str">
        <f ca="1"/>
        <v>GBPYC.OIS.BASISRATE.40Y</v>
      </c>
      <c r="H27" s="144">
        <f ca="1"/>
        <v>-3.4738695831038098E-5</v>
      </c>
      <c r="I27" s="150" t="str">
        <f ca="1"/>
        <v>GBPYC.STD.3MLIBORSWAP.40Y</v>
      </c>
      <c r="J27" s="144">
        <f ca="1"/>
        <v>6.9806363171664998E-3</v>
      </c>
      <c r="K27" s="150" t="str">
        <f ca="1"/>
        <v/>
      </c>
      <c r="L27" s="154" t="str">
        <f ca="1"/>
        <v/>
      </c>
    </row>
    <row r="28" spans="1:12">
      <c r="F28" s="1"/>
      <c r="G28" s="149" t="str">
        <f ca="1"/>
        <v>GBPYC.OIS.BASISRATE.50Y</v>
      </c>
      <c r="H28" s="144">
        <f ca="1"/>
        <v>4.3975887820124599E-5</v>
      </c>
      <c r="I28" s="150" t="str">
        <f ca="1"/>
        <v>GBPYC.STD.3MLIBORSWAP.50Y</v>
      </c>
      <c r="J28" s="144">
        <f ca="1"/>
        <v>-4.3670297600328902E-5</v>
      </c>
      <c r="K28" s="150" t="str">
        <f ca="1"/>
        <v/>
      </c>
      <c r="L28" s="154" t="str">
        <f ca="1"/>
        <v/>
      </c>
    </row>
    <row r="29" spans="1:12">
      <c r="F29" s="1"/>
      <c r="G29" s="149" t="str">
        <f ca="1"/>
        <v>GBPYC.OIS.BASISRATE.51Y</v>
      </c>
      <c r="H29" s="144">
        <f ca="1"/>
        <v>-3.3962714951485402E-5</v>
      </c>
      <c r="I29" s="150" t="str">
        <f ca="1"/>
        <v>GBPYC.STD.3MLIBORSWAP.51Y</v>
      </c>
      <c r="J29" s="144">
        <f ca="1"/>
        <v>3.3485048334114301E-5</v>
      </c>
      <c r="K29" s="150" t="str">
        <f ca="1"/>
        <v/>
      </c>
      <c r="L29" s="154" t="str">
        <f ca="1"/>
        <v/>
      </c>
    </row>
    <row r="30" spans="1:12">
      <c r="F30" s="1"/>
      <c r="G30" s="149" t="str">
        <f ca="1"/>
        <v/>
      </c>
      <c r="H30" s="144" t="str">
        <f ca="1"/>
        <v/>
      </c>
      <c r="I30" s="150" t="str">
        <f ca="1"/>
        <v/>
      </c>
      <c r="J30" s="144" t="str">
        <f ca="1"/>
        <v/>
      </c>
      <c r="K30" s="150" t="str">
        <f ca="1"/>
        <v/>
      </c>
      <c r="L30" s="154" t="str">
        <f ca="1"/>
        <v/>
      </c>
    </row>
    <row r="31" spans="1:12">
      <c r="F31" s="1"/>
      <c r="G31" s="149" t="str">
        <f ca="1"/>
        <v/>
      </c>
      <c r="H31" s="144" t="str">
        <f ca="1"/>
        <v/>
      </c>
      <c r="I31" s="150" t="str">
        <f ca="1"/>
        <v/>
      </c>
      <c r="J31" s="144" t="str">
        <f ca="1"/>
        <v/>
      </c>
      <c r="K31" s="150" t="str">
        <f ca="1"/>
        <v/>
      </c>
      <c r="L31" s="154" t="str">
        <f ca="1"/>
        <v/>
      </c>
    </row>
    <row r="32" spans="1:12">
      <c r="F32" s="1"/>
      <c r="G32" s="149" t="str">
        <f ca="1"/>
        <v/>
      </c>
      <c r="H32" s="144" t="str">
        <f ca="1"/>
        <v/>
      </c>
      <c r="I32" s="150" t="str">
        <f ca="1"/>
        <v/>
      </c>
      <c r="J32" s="144" t="str">
        <f ca="1"/>
        <v/>
      </c>
      <c r="K32" s="150" t="str">
        <f ca="1"/>
        <v/>
      </c>
      <c r="L32" s="154" t="str">
        <f ca="1"/>
        <v/>
      </c>
    </row>
    <row r="33" spans="6:12">
      <c r="F33" s="1"/>
      <c r="G33" s="149" t="str">
        <f ca="1"/>
        <v/>
      </c>
      <c r="H33" s="144" t="str">
        <f ca="1"/>
        <v/>
      </c>
      <c r="I33" s="150" t="str">
        <f ca="1"/>
        <v/>
      </c>
      <c r="J33" s="144" t="str">
        <f ca="1"/>
        <v/>
      </c>
      <c r="K33" s="150" t="str">
        <f ca="1"/>
        <v/>
      </c>
      <c r="L33" s="154" t="str">
        <f ca="1"/>
        <v/>
      </c>
    </row>
    <row r="34" spans="6:12">
      <c r="F34" s="1"/>
      <c r="G34" s="149" t="str">
        <f ca="1"/>
        <v/>
      </c>
      <c r="H34" s="144" t="str">
        <f ca="1"/>
        <v/>
      </c>
      <c r="I34" s="150" t="str">
        <f ca="1"/>
        <v/>
      </c>
      <c r="J34" s="144" t="str">
        <f ca="1"/>
        <v/>
      </c>
      <c r="K34" s="150" t="str">
        <f ca="1"/>
        <v/>
      </c>
      <c r="L34" s="154" t="str">
        <f ca="1"/>
        <v/>
      </c>
    </row>
    <row r="35" spans="6:12">
      <c r="F35" s="1"/>
      <c r="G35" s="149" t="str">
        <f ca="1"/>
        <v/>
      </c>
      <c r="H35" s="144" t="str">
        <f ca="1"/>
        <v/>
      </c>
      <c r="I35" s="150" t="str">
        <f ca="1"/>
        <v/>
      </c>
      <c r="J35" s="144" t="str">
        <f ca="1"/>
        <v/>
      </c>
      <c r="K35" s="150" t="str">
        <f ca="1"/>
        <v/>
      </c>
      <c r="L35" s="154" t="str">
        <f ca="1"/>
        <v/>
      </c>
    </row>
    <row r="36" spans="6:12">
      <c r="F36" s="1"/>
      <c r="G36" s="149" t="str">
        <f ca="1"/>
        <v/>
      </c>
      <c r="H36" s="144" t="str">
        <f ca="1"/>
        <v/>
      </c>
      <c r="I36" s="150" t="str">
        <f ca="1"/>
        <v/>
      </c>
      <c r="J36" s="144" t="str">
        <f ca="1"/>
        <v/>
      </c>
      <c r="K36" s="150" t="str">
        <f ca="1"/>
        <v/>
      </c>
      <c r="L36" s="154" t="str">
        <f ca="1"/>
        <v/>
      </c>
    </row>
    <row r="37" spans="6:12">
      <c r="F37" s="1"/>
      <c r="G37" s="149" t="str">
        <f ca="1"/>
        <v/>
      </c>
      <c r="H37" s="144" t="str">
        <f ca="1"/>
        <v/>
      </c>
      <c r="I37" s="150" t="str">
        <f ca="1"/>
        <v/>
      </c>
      <c r="J37" s="144" t="str">
        <f ca="1"/>
        <v/>
      </c>
      <c r="K37" s="150" t="str">
        <f ca="1"/>
        <v/>
      </c>
      <c r="L37" s="154" t="str">
        <f ca="1"/>
        <v/>
      </c>
    </row>
    <row r="38" spans="6:12">
      <c r="F38" s="1"/>
      <c r="G38" s="151" t="str">
        <f ca="1"/>
        <v/>
      </c>
      <c r="H38" s="145" t="str">
        <f ca="1"/>
        <v/>
      </c>
      <c r="I38" s="152" t="str">
        <f ca="1"/>
        <v/>
      </c>
      <c r="J38" s="145" t="str">
        <f ca="1"/>
        <v/>
      </c>
      <c r="K38" s="152" t="str">
        <f ca="1"/>
        <v/>
      </c>
      <c r="L38" s="155" t="str">
        <f ca="1"/>
        <v/>
      </c>
    </row>
    <row r="39" spans="6:12">
      <c r="F39" s="1"/>
    </row>
    <row r="40" spans="6:12">
      <c r="F40" s="1"/>
    </row>
    <row r="41" spans="6:12">
      <c r="F41" s="1"/>
    </row>
    <row r="42" spans="6:12">
      <c r="F42" s="1"/>
    </row>
    <row r="43" spans="6:12">
      <c r="F43" s="1"/>
    </row>
    <row r="44" spans="6:12">
      <c r="F44" s="1"/>
    </row>
    <row r="45" spans="6:12">
      <c r="F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GBP GLOBAL CURVE</vt:lpstr>
      <vt:lpstr>DISPLAY_CURVE</vt:lpstr>
      <vt:lpstr>PRICING</vt:lpstr>
      <vt:lpstr>RISK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2017-08-10T11:56:55Z</dcterms:created>
  <dcterms:modified xsi:type="dcterms:W3CDTF">2020-01-27T11:11:59Z</dcterms:modified>
</cp:coreProperties>
</file>