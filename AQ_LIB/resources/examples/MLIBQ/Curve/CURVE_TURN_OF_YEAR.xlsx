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0" yWindow="0" windowWidth="28800" windowHeight="14160"/>
  </bookViews>
  <sheets>
    <sheet name="USD_SOFR_CURVE" sheetId="3" r:id="rId1"/>
    <sheet name="TURN_OF_YEAR" sheetId="2" r:id="rId2"/>
    <sheet name="CURVE_OVERRIDES" sheetId="7" r:id="rId3"/>
    <sheet name="SPREAD_CURVES" sheetId="5" r:id="rId4"/>
    <sheet name="STATE_VARIABLES" sheetId="4" r:id="rId5"/>
  </sheets>
  <externalReferences>
    <externalReference r:id="rId6"/>
    <externalReference r:id="rId7"/>
    <externalReference r:id="rId8"/>
  </externalReferences>
  <definedNames>
    <definedName name="calibrationTerms">[1]CURVE_SMOOTHING!$A$9:OFFSET([1]CURVE_SMOOTHING!$A$9,[1]CURVE_SMOOTHING!$B$7-1,0)</definedName>
    <definedName name="CurveCollection" localSheetId="0">USD_SOFR_CURVE!#REF!</definedName>
    <definedName name="enableGlobalCalibration">[2]Settings!$E$4</definedName>
    <definedName name="PaymentDates">[1]CURVE_SMOOTHING!$B$9:OFFSET([1]CURVE_SMOOTHING!$B$9,[1]CURVE_SMOOTHING!$B$7-1,0)</definedName>
    <definedName name="PolynomialOrder">[1]CURVE_SMOOTHING!$C$5</definedName>
    <definedName name="Settings.COB">[2]Settings!$C$4</definedName>
    <definedName name="Settings.PulseFrequency">[2]Settings!$O$2</definedName>
    <definedName name="SmoothedForwards">[1]CURVE_SMOOTHING!$E$9:OFFSET([1]CURVE_SMOOTHING!$E$9,[1]CURVE_SMOOTHING!$B$7-1,0)</definedName>
    <definedName name="USD_SOFR_CURVE_GENERATOR" localSheetId="2">[3]SWAP_GENERATORS!#REF!</definedName>
    <definedName name="USD_SOFR_CURVE_GENERATOR" localSheetId="4">[3]SWAP_GENERATORS!#REF!</definedName>
    <definedName name="USD_SOFR_CURVE_GENERATOR">[3]SWAP_GENERATORS!#REF!</definedName>
    <definedName name="USD_SOFR_SWAP_GENERATOR">[3]SWAP_GENERATORS!$D$5</definedName>
    <definedName name="USD_SOFR_SWAP_GENERATOR_UNDER_1Y">[3]SWAP_GENERATORS!$J$5</definedName>
    <definedName name="xValues">[1]CURVE_SMOOTHING!$H$9:$H$28</definedName>
    <definedName name="yValues">[1]CURVE_SMOOTHING!$K$9:$K$28</definedName>
  </definedName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7" l="1"/>
  <c r="G7" i="7"/>
  <c r="F5" i="7"/>
  <c r="G4" i="7"/>
  <c r="F6" i="7"/>
  <c r="G5" i="7"/>
  <c r="G6" i="7"/>
  <c r="F4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6" i="7"/>
  <c r="F4" i="4"/>
  <c r="G4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C3" i="5"/>
  <c r="J5" i="5"/>
  <c r="K5" i="5"/>
  <c r="E11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E12" i="5"/>
  <c r="E13" i="5"/>
  <c r="E14" i="5"/>
  <c r="E15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C6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G11" i="5" a="1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F11" i="5" a="1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6" i="4"/>
  <c r="K7" i="3"/>
  <c r="L7" i="3"/>
  <c r="K8" i="3"/>
  <c r="L8" i="3"/>
  <c r="K9" i="3"/>
  <c r="L9" i="3"/>
  <c r="K10" i="3"/>
  <c r="L10" i="3"/>
  <c r="G13" i="3"/>
  <c r="C13" i="3"/>
  <c r="C3" i="3"/>
  <c r="G20" i="3"/>
  <c r="G27" i="3" a="1"/>
  <c r="G27" i="3"/>
  <c r="G31" i="3"/>
  <c r="G30" i="3"/>
  <c r="G29" i="3"/>
  <c r="G28" i="3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6" i="2"/>
  <c r="F4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G4" i="2"/>
  <c r="F5" i="2"/>
  <c r="G5" i="2"/>
  <c r="F6" i="2"/>
  <c r="G6" i="2"/>
  <c r="F7" i="2"/>
  <c r="G7" i="2"/>
  <c r="G36" i="2" a="1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F36" i="2" a="1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G11" i="2" a="1"/>
  <c r="G30" i="2"/>
  <c r="H30" i="2"/>
  <c r="G29" i="2"/>
  <c r="H29" i="2"/>
  <c r="G28" i="2"/>
  <c r="H28" i="2"/>
  <c r="G27" i="2"/>
  <c r="H27" i="2"/>
  <c r="G26" i="2"/>
  <c r="H26" i="2"/>
  <c r="G25" i="2"/>
  <c r="H25" i="2"/>
  <c r="G24" i="2"/>
  <c r="H24" i="2"/>
  <c r="G23" i="2"/>
  <c r="H23" i="2"/>
  <c r="G22" i="2"/>
  <c r="H22" i="2"/>
  <c r="G21" i="2"/>
  <c r="H21" i="2"/>
  <c r="G20" i="2"/>
  <c r="H20" i="2"/>
  <c r="G19" i="2"/>
  <c r="H19" i="2"/>
  <c r="G18" i="2"/>
  <c r="H18" i="2"/>
  <c r="G17" i="2"/>
  <c r="H17" i="2"/>
  <c r="G16" i="2"/>
  <c r="H16" i="2"/>
  <c r="G15" i="2"/>
  <c r="H15" i="2"/>
  <c r="G14" i="2"/>
  <c r="H14" i="2"/>
  <c r="G13" i="2"/>
  <c r="H13" i="2"/>
  <c r="G12" i="2"/>
  <c r="H12" i="2"/>
  <c r="G11" i="2"/>
  <c r="H11" i="2"/>
  <c r="E11" i="2" a="1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F19" i="2"/>
  <c r="G11" i="4" a="1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F36" i="4" a="1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G36" i="4" a="1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E11" i="4" a="1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11" i="7" a="1"/>
  <c r="E11" i="7"/>
  <c r="F11" i="7"/>
  <c r="G11" i="7" a="1"/>
  <c r="G11" i="7"/>
  <c r="H11" i="7"/>
  <c r="E12" i="7"/>
  <c r="F12" i="7"/>
  <c r="G12" i="7"/>
  <c r="H12" i="7"/>
  <c r="E13" i="7"/>
  <c r="F13" i="7"/>
  <c r="G13" i="7"/>
  <c r="H13" i="7"/>
  <c r="E14" i="7"/>
  <c r="F14" i="7"/>
  <c r="G14" i="7"/>
  <c r="H14" i="7"/>
  <c r="E15" i="7"/>
  <c r="F15" i="7"/>
  <c r="G15" i="7"/>
  <c r="H15" i="7"/>
  <c r="E16" i="7"/>
  <c r="F16" i="7"/>
  <c r="G16" i="7"/>
  <c r="H16" i="7"/>
  <c r="E17" i="7"/>
  <c r="F17" i="7"/>
  <c r="G17" i="7"/>
  <c r="H17" i="7"/>
  <c r="E18" i="7"/>
  <c r="F18" i="7"/>
  <c r="G18" i="7"/>
  <c r="H18" i="7"/>
  <c r="E19" i="7"/>
  <c r="F19" i="7"/>
  <c r="G19" i="7"/>
  <c r="H19" i="7"/>
  <c r="E20" i="7"/>
  <c r="F20" i="7"/>
  <c r="G20" i="7"/>
  <c r="H20" i="7"/>
  <c r="E21" i="7"/>
  <c r="F21" i="7"/>
  <c r="G21" i="7"/>
  <c r="H21" i="7"/>
  <c r="E22" i="7"/>
  <c r="F22" i="7"/>
  <c r="G22" i="7"/>
  <c r="H22" i="7"/>
  <c r="E23" i="7"/>
  <c r="F23" i="7"/>
  <c r="G23" i="7"/>
  <c r="H23" i="7"/>
  <c r="E24" i="7"/>
  <c r="F24" i="7"/>
  <c r="G24" i="7"/>
  <c r="H24" i="7"/>
  <c r="E25" i="7"/>
  <c r="F25" i="7"/>
  <c r="G25" i="7"/>
  <c r="H25" i="7"/>
  <c r="E26" i="7"/>
  <c r="F26" i="7"/>
  <c r="G26" i="7"/>
  <c r="H26" i="7"/>
  <c r="E27" i="7"/>
  <c r="F27" i="7"/>
  <c r="G27" i="7"/>
  <c r="H27" i="7"/>
  <c r="E28" i="7"/>
  <c r="F28" i="7"/>
  <c r="G28" i="7"/>
  <c r="H28" i="7"/>
  <c r="E29" i="7"/>
  <c r="F29" i="7"/>
  <c r="G29" i="7"/>
  <c r="H29" i="7"/>
  <c r="E30" i="7"/>
  <c r="F30" i="7"/>
  <c r="G30" i="7"/>
  <c r="H30" i="7"/>
  <c r="F36" i="7" a="1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G36" i="7" a="1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</calcChain>
</file>

<file path=xl/sharedStrings.xml><?xml version="1.0" encoding="utf-8"?>
<sst xmlns="http://schemas.openxmlformats.org/spreadsheetml/2006/main" count="250" uniqueCount="120">
  <si>
    <t>CurveModule</t>
  </si>
  <si>
    <t>ForwardAdjustments</t>
  </si>
  <si>
    <t>AsOfDate</t>
  </si>
  <si>
    <t>AdjustmentType</t>
  </si>
  <si>
    <t>StartDate</t>
  </si>
  <si>
    <t>EndDate</t>
  </si>
  <si>
    <t>RateOrSpread</t>
  </si>
  <si>
    <t>ChartInterval</t>
  </si>
  <si>
    <t>days</t>
  </si>
  <si>
    <t>Interpolation</t>
  </si>
  <si>
    <t>LINEAR</t>
  </si>
  <si>
    <t>RELATIVE</t>
  </si>
  <si>
    <t>JumpInterval</t>
  </si>
  <si>
    <t>StateVariable</t>
  </si>
  <si>
    <t>FORWARDRATE</t>
  </si>
  <si>
    <t>JoinDate</t>
  </si>
  <si>
    <t>PolynomialOrder</t>
  </si>
  <si>
    <t>ForwardAdjustedResults</t>
  </si>
  <si>
    <t>Adjustment</t>
  </si>
  <si>
    <t>xValues</t>
  </si>
  <si>
    <t>yValues</t>
  </si>
  <si>
    <t>DiscountFactor</t>
  </si>
  <si>
    <t>+/-</t>
  </si>
  <si>
    <t>ForwardRate</t>
  </si>
  <si>
    <t>FixingDate</t>
  </si>
  <si>
    <t>Unadjusted</t>
  </si>
  <si>
    <t>Adjusted</t>
  </si>
  <si>
    <t>DFs</t>
  </si>
  <si>
    <t>Forwards</t>
  </si>
  <si>
    <t>Curve Generator Handle</t>
  </si>
  <si>
    <t>MARKETDATAPROPERTIES</t>
  </si>
  <si>
    <t xml:space="preserve"> </t>
  </si>
  <si>
    <t>OIS</t>
  </si>
  <si>
    <t>Term</t>
  </si>
  <si>
    <t>Rate</t>
  </si>
  <si>
    <t>Volatility</t>
  </si>
  <si>
    <t>CURVEPROPERTIES</t>
  </si>
  <si>
    <t>Currency</t>
  </si>
  <si>
    <t>USD</t>
  </si>
  <si>
    <t>ON</t>
  </si>
  <si>
    <t>CurveType</t>
  </si>
  <si>
    <t>ARR</t>
  </si>
  <si>
    <t>1W</t>
  </si>
  <si>
    <t>CurveIndexFrequency</t>
  </si>
  <si>
    <t>DAILY</t>
  </si>
  <si>
    <t>FUTURE1</t>
  </si>
  <si>
    <t>StaticDataTable</t>
  </si>
  <si>
    <t>SOFR</t>
  </si>
  <si>
    <t>FUTURE2</t>
  </si>
  <si>
    <t>IndexName</t>
  </si>
  <si>
    <t>USDSOFR</t>
  </si>
  <si>
    <t>FUTURE3</t>
  </si>
  <si>
    <t>FUTURE4</t>
  </si>
  <si>
    <t>interpolation</t>
  </si>
  <si>
    <t>FN_LINEARSPLINEINTERPOLATION</t>
  </si>
  <si>
    <t>Create Market Data Handle</t>
  </si>
  <si>
    <t>2Y</t>
  </si>
  <si>
    <t>yieldgen.interpolation</t>
  </si>
  <si>
    <t>Handle Name</t>
  </si>
  <si>
    <t>USD_OIS_CURVE_MARKETDATA</t>
  </si>
  <si>
    <t>5Y</t>
  </si>
  <si>
    <t>InterpolationJoinDate</t>
  </si>
  <si>
    <t>Market Data Handle</t>
  </si>
  <si>
    <t>7Y</t>
  </si>
  <si>
    <t>10Y</t>
  </si>
  <si>
    <t>12Y</t>
  </si>
  <si>
    <t>calendar</t>
  </si>
  <si>
    <t>NYB</t>
  </si>
  <si>
    <t>15Y</t>
  </si>
  <si>
    <t>daycount</t>
  </si>
  <si>
    <t>ACT/360</t>
  </si>
  <si>
    <t>20Y</t>
  </si>
  <si>
    <t>frequency</t>
  </si>
  <si>
    <t>ANNUAL</t>
  </si>
  <si>
    <t>Curve Dictionary</t>
  </si>
  <si>
    <t>25Y</t>
  </si>
  <si>
    <t>generatemethod</t>
  </si>
  <si>
    <t>DAILYCOMPOUNDING</t>
  </si>
  <si>
    <t>CURVE_USDSOFR</t>
  </si>
  <si>
    <t>30Y</t>
  </si>
  <si>
    <t>resetlag</t>
  </si>
  <si>
    <t>2D</t>
  </si>
  <si>
    <t>Curve Generator</t>
  </si>
  <si>
    <t>40Y</t>
  </si>
  <si>
    <t>firstrate</t>
  </si>
  <si>
    <t>SHORTMARKET</t>
  </si>
  <si>
    <t>Domestic Curve Collection</t>
  </si>
  <si>
    <t>USDYC</t>
  </si>
  <si>
    <t>50Y</t>
  </si>
  <si>
    <t>slidingrule</t>
  </si>
  <si>
    <t>MOD_FOLLOWING</t>
  </si>
  <si>
    <t>Foreign Curve Collection</t>
  </si>
  <si>
    <t>eomday</t>
  </si>
  <si>
    <t>31</t>
  </si>
  <si>
    <t>iseomroll</t>
  </si>
  <si>
    <t>TRUE</t>
  </si>
  <si>
    <t>shorttermconvention</t>
  </si>
  <si>
    <t>ARITHMETICAVERAGE</t>
  </si>
  <si>
    <t>longterm.generatemethod</t>
  </si>
  <si>
    <t>NONE</t>
  </si>
  <si>
    <t>Curve Build</t>
  </si>
  <si>
    <t>Epsilon</t>
  </si>
  <si>
    <t>MaxLoop</t>
  </si>
  <si>
    <t>1000</t>
  </si>
  <si>
    <t>Curve Collection</t>
  </si>
  <si>
    <t>CompoundingMethod</t>
  </si>
  <si>
    <t>ARITHMETIC</t>
  </si>
  <si>
    <t>Curve Index</t>
  </si>
  <si>
    <t>SmoothShortEnd</t>
  </si>
  <si>
    <t>FALSE</t>
  </si>
  <si>
    <t>Calibration Time Taken</t>
  </si>
  <si>
    <t>Curve Loaded</t>
  </si>
  <si>
    <t>FORWARDADJUSTMENTS</t>
  </si>
  <si>
    <t>Spread (%)</t>
  </si>
  <si>
    <t>POLYNOMIAL</t>
  </si>
  <si>
    <t>DISCOUNTFACTOR</t>
  </si>
  <si>
    <t>FixingDates</t>
  </si>
  <si>
    <t>ForwardRates</t>
  </si>
  <si>
    <t>AdjustedForwards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</si>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</sst>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000"/>
    <numFmt numFmtId="165" formatCode="0.00000%"/>
    <numFmt numFmtId="166" formatCode="ddd\,\ d\-mmm\-yy"/>
    <numFmt numFmtId="167" formatCode="ddd\,\ dd\-mmm\-yy"/>
    <numFmt numFmtId="168" formatCode="0.0000000%"/>
    <numFmt numFmtId="169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164" fontId="3" fillId="0" borderId="0" xfId="0" applyNumberFormat="1" applyFont="1" applyAlignment="1">
      <alignment horizontal="left" vertical="center"/>
    </xf>
    <xf numFmtId="0" fontId="2" fillId="0" borderId="0" xfId="0" applyFont="1"/>
    <xf numFmtId="165" fontId="3" fillId="0" borderId="0" xfId="0" applyNumberFormat="1" applyFont="1" applyAlignment="1">
      <alignment horizontal="left" vertical="center"/>
    </xf>
    <xf numFmtId="166" fontId="4" fillId="3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/>
    </xf>
    <xf numFmtId="167" fontId="5" fillId="5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166" fontId="5" fillId="6" borderId="0" xfId="0" applyNumberFormat="1" applyFont="1" applyFill="1" applyAlignment="1">
      <alignment horizontal="center"/>
    </xf>
    <xf numFmtId="167" fontId="5" fillId="6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6" fontId="5" fillId="7" borderId="0" xfId="0" applyNumberFormat="1" applyFont="1" applyFill="1" applyAlignment="1">
      <alignment horizontal="center"/>
    </xf>
    <xf numFmtId="167" fontId="5" fillId="7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166" fontId="5" fillId="8" borderId="0" xfId="0" applyNumberFormat="1" applyFont="1" applyFill="1" applyAlignment="1">
      <alignment horizontal="center"/>
    </xf>
    <xf numFmtId="167" fontId="5" fillId="8" borderId="0" xfId="0" applyNumberFormat="1" applyFont="1" applyFill="1" applyAlignment="1">
      <alignment horizontal="center"/>
    </xf>
    <xf numFmtId="165" fontId="5" fillId="8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6" fontId="0" fillId="0" borderId="0" xfId="0" applyNumberFormat="1" applyFont="1" applyAlignment="1">
      <alignment horizontal="center"/>
    </xf>
    <xf numFmtId="166" fontId="0" fillId="6" borderId="0" xfId="0" applyNumberFormat="1" applyFill="1" applyAlignment="1">
      <alignment horizontal="center" vertical="center"/>
    </xf>
    <xf numFmtId="166" fontId="0" fillId="8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10" borderId="0" xfId="0" applyNumberFormat="1" applyFill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8" fontId="4" fillId="3" borderId="0" xfId="0" applyNumberFormat="1" applyFont="1" applyFill="1" applyAlignment="1">
      <alignment horizontal="center" vertical="center"/>
    </xf>
    <xf numFmtId="166" fontId="0" fillId="9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3" borderId="1" xfId="0" applyFill="1" applyBorder="1"/>
    <xf numFmtId="0" fontId="7" fillId="3" borderId="2" xfId="0" applyFont="1" applyFill="1" applyBorder="1"/>
    <xf numFmtId="0" fontId="8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4" fillId="0" borderId="0" xfId="0" applyFont="1"/>
    <xf numFmtId="0" fontId="0" fillId="3" borderId="4" xfId="0" applyFill="1" applyBorder="1"/>
    <xf numFmtId="0" fontId="7" fillId="3" borderId="0" xfId="0" applyFont="1" applyFill="1" applyBorder="1"/>
    <xf numFmtId="0" fontId="0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5" xfId="0" applyFill="1" applyBorder="1"/>
    <xf numFmtId="0" fontId="5" fillId="3" borderId="6" xfId="0" applyFont="1" applyFill="1" applyBorder="1" applyAlignment="1">
      <alignment horizontal="center" vertical="center"/>
    </xf>
    <xf numFmtId="0" fontId="9" fillId="0" borderId="6" xfId="0" applyFont="1" applyFill="1" applyBorder="1"/>
    <xf numFmtId="0" fontId="6" fillId="0" borderId="6" xfId="0" applyFont="1" applyFill="1" applyBorder="1" applyAlignment="1">
      <alignment horizontal="center" vertical="center"/>
    </xf>
    <xf numFmtId="0" fontId="0" fillId="10" borderId="7" xfId="0" applyFont="1" applyFill="1" applyBorder="1"/>
    <xf numFmtId="0" fontId="0" fillId="10" borderId="7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 vertical="center"/>
    </xf>
    <xf numFmtId="15" fontId="5" fillId="0" borderId="3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15" fontId="5" fillId="0" borderId="7" xfId="0" applyNumberFormat="1" applyFont="1" applyFill="1" applyBorder="1" applyAlignment="1">
      <alignment horizontal="left" vertical="center"/>
    </xf>
    <xf numFmtId="0" fontId="0" fillId="10" borderId="8" xfId="0" applyFont="1" applyFill="1" applyBorder="1"/>
    <xf numFmtId="0" fontId="0" fillId="10" borderId="8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15" fontId="4" fillId="0" borderId="0" xfId="0" applyNumberFormat="1" applyFont="1" applyFill="1" applyBorder="1" applyAlignment="1">
      <alignment horizontal="center" vertical="center"/>
    </xf>
    <xf numFmtId="15" fontId="5" fillId="0" borderId="5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left" vertical="center"/>
    </xf>
    <xf numFmtId="169" fontId="4" fillId="0" borderId="0" xfId="0" applyNumberFormat="1" applyFont="1" applyFill="1" applyBorder="1" applyAlignment="1">
      <alignment horizontal="center" vertical="center"/>
    </xf>
    <xf numFmtId="10" fontId="5" fillId="0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/>
    <xf numFmtId="0" fontId="0" fillId="10" borderId="9" xfId="0" applyFont="1" applyFill="1" applyBorder="1"/>
    <xf numFmtId="166" fontId="4" fillId="10" borderId="9" xfId="0" applyNumberFormat="1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2" fillId="3" borderId="0" xfId="0" applyFont="1" applyFill="1" applyBorder="1"/>
    <xf numFmtId="0" fontId="0" fillId="10" borderId="7" xfId="0" applyFill="1" applyBorder="1"/>
    <xf numFmtId="0" fontId="0" fillId="10" borderId="7" xfId="0" applyFill="1" applyBorder="1" applyAlignment="1">
      <alignment horizontal="left" vertical="center"/>
    </xf>
    <xf numFmtId="0" fontId="5" fillId="0" borderId="9" xfId="0" applyFont="1" applyFill="1" applyBorder="1" applyAlignment="1">
      <alignment vertical="center"/>
    </xf>
    <xf numFmtId="15" fontId="4" fillId="0" borderId="9" xfId="0" applyNumberFormat="1" applyFont="1" applyBorder="1" applyAlignment="1">
      <alignment horizontal="left"/>
    </xf>
    <xf numFmtId="0" fontId="0" fillId="10" borderId="9" xfId="0" applyFill="1" applyBorder="1"/>
    <xf numFmtId="0" fontId="4" fillId="10" borderId="9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11" fontId="0" fillId="0" borderId="8" xfId="0" applyNumberFormat="1" applyBorder="1" applyAlignment="1">
      <alignment horizontal="left"/>
    </xf>
    <xf numFmtId="0" fontId="11" fillId="0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5" fontId="4" fillId="0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4" fillId="0" borderId="10" xfId="0" applyFont="1" applyFill="1" applyBorder="1" applyAlignment="1">
      <alignment horizontal="center" vertical="center"/>
    </xf>
    <xf numFmtId="165" fontId="4" fillId="0" borderId="6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15" fontId="4" fillId="0" borderId="11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0" fillId="3" borderId="10" xfId="0" applyFill="1" applyBorder="1"/>
    <xf numFmtId="0" fontId="0" fillId="3" borderId="6" xfId="0" applyFill="1" applyBorder="1"/>
    <xf numFmtId="0" fontId="0" fillId="3" borderId="11" xfId="0" applyFill="1" applyBorder="1"/>
    <xf numFmtId="0" fontId="10" fillId="3" borderId="0" xfId="0" applyFont="1" applyFill="1" applyBorder="1"/>
    <xf numFmtId="0" fontId="5" fillId="3" borderId="5" xfId="0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/>
    </xf>
    <xf numFmtId="15" fontId="4" fillId="10" borderId="2" xfId="0" applyNumberFormat="1" applyFont="1" applyFill="1" applyBorder="1" applyAlignment="1">
      <alignment horizontal="center"/>
    </xf>
    <xf numFmtId="165" fontId="4" fillId="10" borderId="3" xfId="0" applyNumberFormat="1" applyFont="1" applyFill="1" applyBorder="1" applyAlignment="1">
      <alignment horizontal="center"/>
    </xf>
    <xf numFmtId="166" fontId="4" fillId="10" borderId="4" xfId="0" applyNumberFormat="1" applyFont="1" applyFill="1" applyBorder="1" applyAlignment="1">
      <alignment horizontal="center"/>
    </xf>
    <xf numFmtId="15" fontId="4" fillId="10" borderId="0" xfId="0" applyNumberFormat="1" applyFont="1" applyFill="1" applyBorder="1" applyAlignment="1">
      <alignment horizontal="center"/>
    </xf>
    <xf numFmtId="165" fontId="4" fillId="10" borderId="5" xfId="0" applyNumberFormat="1" applyFont="1" applyFill="1" applyBorder="1" applyAlignment="1">
      <alignment horizontal="center"/>
    </xf>
    <xf numFmtId="166" fontId="4" fillId="10" borderId="10" xfId="0" applyNumberFormat="1" applyFont="1" applyFill="1" applyBorder="1" applyAlignment="1">
      <alignment horizontal="center"/>
    </xf>
    <xf numFmtId="15" fontId="4" fillId="10" borderId="6" xfId="0" applyNumberFormat="1" applyFont="1" applyFill="1" applyBorder="1" applyAlignment="1">
      <alignment horizontal="center"/>
    </xf>
    <xf numFmtId="165" fontId="4" fillId="10" borderId="1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67" fontId="4" fillId="3" borderId="2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166" fontId="4" fillId="3" borderId="4" xfId="0" applyNumberFormat="1" applyFont="1" applyFill="1" applyBorder="1" applyAlignment="1">
      <alignment horizontal="center"/>
    </xf>
    <xf numFmtId="166" fontId="4" fillId="3" borderId="0" xfId="0" applyNumberFormat="1" applyFont="1" applyFill="1" applyBorder="1" applyAlignment="1">
      <alignment horizontal="center"/>
    </xf>
    <xf numFmtId="167" fontId="4" fillId="3" borderId="0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6" fontId="4" fillId="3" borderId="10" xfId="0" applyNumberFormat="1" applyFont="1" applyFill="1" applyBorder="1" applyAlignment="1">
      <alignment horizontal="center"/>
    </xf>
    <xf numFmtId="166" fontId="4" fillId="3" borderId="6" xfId="0" applyNumberFormat="1" applyFont="1" applyFill="1" applyBorder="1" applyAlignment="1">
      <alignment horizontal="center"/>
    </xf>
    <xf numFmtId="167" fontId="4" fillId="3" borderId="6" xfId="0" applyNumberFormat="1" applyFont="1" applyFill="1" applyBorder="1" applyAlignment="1">
      <alignment horizontal="center"/>
    </xf>
    <xf numFmtId="165" fontId="4" fillId="3" borderId="11" xfId="0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4" fillId="3" borderId="13" xfId="0" applyNumberFormat="1" applyFont="1" applyFill="1" applyBorder="1" applyAlignment="1">
      <alignment horizontal="center"/>
    </xf>
    <xf numFmtId="166" fontId="4" fillId="3" borderId="14" xfId="0" applyNumberFormat="1" applyFont="1" applyFill="1" applyBorder="1" applyAlignment="1">
      <alignment horizontal="center"/>
    </xf>
    <xf numFmtId="167" fontId="4" fillId="3" borderId="14" xfId="0" applyNumberFormat="1" applyFont="1" applyFill="1" applyBorder="1" applyAlignment="1">
      <alignment horizontal="center"/>
    </xf>
    <xf numFmtId="165" fontId="4" fillId="3" borderId="12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0510124819175"/>
          <c:y val="0.10060253495245203"/>
          <c:w val="0.81981264235413309"/>
          <c:h val="0.86956117805706612"/>
        </c:manualLayout>
      </c:layout>
      <c:scatterChart>
        <c:scatterStyle val="lineMarker"/>
        <c:varyColors val="0"/>
        <c:ser>
          <c:idx val="1"/>
          <c:order val="0"/>
          <c:tx>
            <c:strRef>
              <c:f>TURN_OF_YEAR!$G$35</c:f>
              <c:strCache>
                <c:ptCount val="1"/>
                <c:pt idx="0">
                  <c:v>Adjusted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TURN_OF_YEAR!$E$36:$E$121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TURN_OF_YEAR!$G$36:$G$121</c:f>
              <c:numCache>
                <c:formatCode>0.00000%</c:formatCode>
                <c:ptCount val="8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3.5000000000000003E-2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5.000000000000001E-3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0.03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0.01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0-46F7-BB1A-4316BDAF9BC7}"/>
            </c:ext>
          </c:extLst>
        </c:ser>
        <c:ser>
          <c:idx val="0"/>
          <c:order val="1"/>
          <c:tx>
            <c:strRef>
              <c:f>TURN_OF_YEAR!$F$35</c:f>
              <c:strCache>
                <c:ptCount val="1"/>
                <c:pt idx="0">
                  <c:v>Unadjusted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TURN_OF_YEAR!$E$36:$E$121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TURN_OF_YEAR!$F$36:$F$121</c:f>
              <c:numCache>
                <c:formatCode>0.00000%</c:formatCode>
                <c:ptCount val="8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0-46F7-BB1A-4316BDAF9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243359"/>
        <c:axId val="1133425279"/>
      </c:scatterChart>
      <c:valAx>
        <c:axId val="11352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25279"/>
        <c:crosses val="autoZero"/>
        <c:crossBetween val="midCat"/>
      </c:valAx>
      <c:valAx>
        <c:axId val="11334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39321282584724"/>
          <c:y val="0.69032795995402174"/>
          <c:w val="0.20287242967324201"/>
          <c:h val="0.12951725015793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Forwards</a:t>
            </a:r>
            <a:r>
              <a:rPr lang="en-GB" baseline="0"/>
              <a:t> on Pillar Points Only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TURN_OF_YEAR!$G$10</c:f>
              <c:strCache>
                <c:ptCount val="1"/>
                <c:pt idx="0">
                  <c:v>ForwardRate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CurveModule!#REF!</c:f>
            </c:numRef>
          </c:xVal>
          <c:yVal>
            <c:numRef>
              <c:f>TURN_OF_YEAR!$G$11:$G$30</c:f>
              <c:numCache>
                <c:formatCode>0.00000%</c:formatCode>
                <c:ptCount val="20"/>
                <c:pt idx="0">
                  <c:v>0.02</c:v>
                </c:pt>
                <c:pt idx="1">
                  <c:v>3.5000000000000003E-2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5.000000000000001E-3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0.01</c:v>
                </c:pt>
                <c:pt idx="18">
                  <c:v>0.02</c:v>
                </c:pt>
                <c:pt idx="1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6-4852-9E0C-BF4DA3E05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57727"/>
        <c:axId val="1159254815"/>
      </c:scatterChart>
      <c:valAx>
        <c:axId val="11592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4815"/>
        <c:crosses val="autoZero"/>
        <c:crossBetween val="midCat"/>
      </c:valAx>
      <c:valAx>
        <c:axId val="11592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0510124819175"/>
          <c:y val="0.10060253495245203"/>
          <c:w val="0.81981264235413309"/>
          <c:h val="0.86956117805706612"/>
        </c:manualLayout>
      </c:layout>
      <c:scatterChart>
        <c:scatterStyle val="lineMarker"/>
        <c:varyColors val="0"/>
        <c:ser>
          <c:idx val="1"/>
          <c:order val="0"/>
          <c:tx>
            <c:strRef>
              <c:f>CURVE_OVERRIDES!$G$35</c:f>
              <c:strCache>
                <c:ptCount val="1"/>
                <c:pt idx="0">
                  <c:v>Adjusted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CURVE_OVERRIDES!$E$36:$E$121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CURVE_OVERRIDES!$G$36:$G$121</c:f>
              <c:numCache>
                <c:formatCode>0.00000%</c:formatCode>
                <c:ptCount val="86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2.5000000000000001E-2</c:v>
                </c:pt>
                <c:pt idx="32">
                  <c:v>2.5000000000000001E-2</c:v>
                </c:pt>
                <c:pt idx="33">
                  <c:v>2.5000000000000001E-2</c:v>
                </c:pt>
                <c:pt idx="34">
                  <c:v>2.5000000000000001E-2</c:v>
                </c:pt>
                <c:pt idx="35">
                  <c:v>2.5000000000000001E-2</c:v>
                </c:pt>
                <c:pt idx="36">
                  <c:v>2.5000000000000001E-2</c:v>
                </c:pt>
                <c:pt idx="37">
                  <c:v>2.5000000000000001E-2</c:v>
                </c:pt>
                <c:pt idx="38">
                  <c:v>2.5000000000000001E-2</c:v>
                </c:pt>
                <c:pt idx="39">
                  <c:v>2.5000000000000001E-2</c:v>
                </c:pt>
                <c:pt idx="40">
                  <c:v>2.5000000000000001E-2</c:v>
                </c:pt>
                <c:pt idx="41">
                  <c:v>2.5000000000000001E-2</c:v>
                </c:pt>
                <c:pt idx="42">
                  <c:v>2.5000000000000001E-2</c:v>
                </c:pt>
                <c:pt idx="43">
                  <c:v>2.5000000000000001E-2</c:v>
                </c:pt>
                <c:pt idx="44">
                  <c:v>2.5000000000000001E-2</c:v>
                </c:pt>
                <c:pt idx="45">
                  <c:v>2.5000000000000001E-2</c:v>
                </c:pt>
                <c:pt idx="46">
                  <c:v>2.5000000000000001E-2</c:v>
                </c:pt>
                <c:pt idx="47">
                  <c:v>2.5000000000000001E-2</c:v>
                </c:pt>
                <c:pt idx="48">
                  <c:v>2.1250000000000002E-2</c:v>
                </c:pt>
                <c:pt idx="49">
                  <c:v>2.1250000000000002E-2</c:v>
                </c:pt>
                <c:pt idx="50">
                  <c:v>2.1250000000000002E-2</c:v>
                </c:pt>
                <c:pt idx="51">
                  <c:v>2.1250000000000002E-2</c:v>
                </c:pt>
                <c:pt idx="52">
                  <c:v>2.1250000000000002E-2</c:v>
                </c:pt>
                <c:pt idx="53">
                  <c:v>2.1250000000000002E-2</c:v>
                </c:pt>
                <c:pt idx="54">
                  <c:v>2.1250000000000002E-2</c:v>
                </c:pt>
                <c:pt idx="55">
                  <c:v>2.1250000000000002E-2</c:v>
                </c:pt>
                <c:pt idx="56">
                  <c:v>2.1250000000000002E-2</c:v>
                </c:pt>
                <c:pt idx="57">
                  <c:v>2.1250000000000002E-2</c:v>
                </c:pt>
                <c:pt idx="58">
                  <c:v>2.1250000000000002E-2</c:v>
                </c:pt>
                <c:pt idx="59">
                  <c:v>2.1250000000000002E-2</c:v>
                </c:pt>
                <c:pt idx="60">
                  <c:v>2.1250000000000002E-2</c:v>
                </c:pt>
                <c:pt idx="61">
                  <c:v>2.1250000000000002E-2</c:v>
                </c:pt>
                <c:pt idx="62">
                  <c:v>2.1250000000000002E-2</c:v>
                </c:pt>
                <c:pt idx="63">
                  <c:v>2.1250000000000002E-2</c:v>
                </c:pt>
                <c:pt idx="64">
                  <c:v>1.7500000000000002E-2</c:v>
                </c:pt>
                <c:pt idx="65">
                  <c:v>1.7500000000000002E-2</c:v>
                </c:pt>
                <c:pt idx="66">
                  <c:v>1.7500000000000002E-2</c:v>
                </c:pt>
                <c:pt idx="67">
                  <c:v>1.7500000000000002E-2</c:v>
                </c:pt>
                <c:pt idx="68">
                  <c:v>1.7500000000000002E-2</c:v>
                </c:pt>
                <c:pt idx="69">
                  <c:v>1.7500000000000002E-2</c:v>
                </c:pt>
                <c:pt idx="70">
                  <c:v>1.7500000000000002E-2</c:v>
                </c:pt>
                <c:pt idx="71">
                  <c:v>1.7500000000000002E-2</c:v>
                </c:pt>
                <c:pt idx="72">
                  <c:v>1.7500000000000002E-2</c:v>
                </c:pt>
                <c:pt idx="73">
                  <c:v>1.7500000000000002E-2</c:v>
                </c:pt>
                <c:pt idx="74">
                  <c:v>1.7500000000000002E-2</c:v>
                </c:pt>
                <c:pt idx="75">
                  <c:v>1.7500000000000002E-2</c:v>
                </c:pt>
                <c:pt idx="76">
                  <c:v>1.7500000000000002E-2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7-4CF8-9550-5187DEF71A56}"/>
            </c:ext>
          </c:extLst>
        </c:ser>
        <c:ser>
          <c:idx val="0"/>
          <c:order val="1"/>
          <c:tx>
            <c:strRef>
              <c:f>CURVE_OVERRIDES!$F$35</c:f>
              <c:strCache>
                <c:ptCount val="1"/>
                <c:pt idx="0">
                  <c:v>Unadjusted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CURVE_OVERRIDES!$E$36:$E$121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CURVE_OVERRIDES!$F$36:$F$121</c:f>
              <c:numCache>
                <c:formatCode>0.00000%</c:formatCode>
                <c:ptCount val="8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D7-4CF8-9550-5187DEF71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243359"/>
        <c:axId val="1133425279"/>
      </c:scatterChart>
      <c:valAx>
        <c:axId val="11352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25279"/>
        <c:crosses val="autoZero"/>
        <c:crossBetween val="midCat"/>
      </c:valAx>
      <c:valAx>
        <c:axId val="11334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39321282584724"/>
          <c:y val="0.69032795995402174"/>
          <c:w val="0.20287242967324201"/>
          <c:h val="0.12951725015793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Forwards</a:t>
            </a:r>
            <a:r>
              <a:rPr lang="en-GB" baseline="0"/>
              <a:t> on Pillar Points Only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CURVE_OVERRIDES!$G$10</c:f>
              <c:strCache>
                <c:ptCount val="1"/>
                <c:pt idx="0">
                  <c:v>ForwardRate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CurveModule!#REF!</c:f>
            </c:numRef>
          </c:xVal>
          <c:yVal>
            <c:numRef>
              <c:f>CURVE_OVERRIDES!$G$11:$G$30</c:f>
              <c:numCache>
                <c:formatCode>0.00000%</c:formatCode>
                <c:ptCount val="20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2.1250000000000002E-2</c:v>
                </c:pt>
                <c:pt idx="13">
                  <c:v>2.1250000000000002E-2</c:v>
                </c:pt>
                <c:pt idx="14">
                  <c:v>2.1250000000000002E-2</c:v>
                </c:pt>
                <c:pt idx="15">
                  <c:v>2.1250000000000002E-2</c:v>
                </c:pt>
                <c:pt idx="16">
                  <c:v>1.7500000000000002E-2</c:v>
                </c:pt>
                <c:pt idx="17">
                  <c:v>1.7500000000000002E-2</c:v>
                </c:pt>
                <c:pt idx="18">
                  <c:v>1.7500000000000002E-2</c:v>
                </c:pt>
                <c:pt idx="19">
                  <c:v>1.7500000000000002E-2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1-4317-B6BF-443EEE90A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57727"/>
        <c:axId val="1159254815"/>
      </c:scatterChart>
      <c:valAx>
        <c:axId val="11592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4815"/>
        <c:crosses val="autoZero"/>
        <c:crossBetween val="midCat"/>
      </c:valAx>
      <c:valAx>
        <c:axId val="11592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831748671872094E-2"/>
          <c:y val="0.10060253495245203"/>
          <c:w val="0.86677764569336468"/>
          <c:h val="0.869561178057066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SPREAD_CURVES!$F$10</c:f>
              <c:strCache>
                <c:ptCount val="1"/>
                <c:pt idx="0">
                  <c:v>ForwardRates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SPREAD_CURVES!$E$11:$E$30</c:f>
              <c:numCache>
                <c:formatCode>ddd\,\ d\-mmm\-yy</c:formatCode>
                <c:ptCount val="20"/>
                <c:pt idx="0">
                  <c:v>43895</c:v>
                </c:pt>
                <c:pt idx="1">
                  <c:v>43995</c:v>
                </c:pt>
                <c:pt idx="2">
                  <c:v>44095</c:v>
                </c:pt>
                <c:pt idx="3">
                  <c:v>44195</c:v>
                </c:pt>
                <c:pt idx="4">
                  <c:v>44295</c:v>
                </c:pt>
                <c:pt idx="5">
                  <c:v>44395</c:v>
                </c:pt>
                <c:pt idx="6">
                  <c:v>44495</c:v>
                </c:pt>
                <c:pt idx="7">
                  <c:v>44595</c:v>
                </c:pt>
                <c:pt idx="8">
                  <c:v>44695</c:v>
                </c:pt>
                <c:pt idx="9">
                  <c:v>44795</c:v>
                </c:pt>
                <c:pt idx="10">
                  <c:v>44895</c:v>
                </c:pt>
                <c:pt idx="11">
                  <c:v>44995</c:v>
                </c:pt>
                <c:pt idx="12">
                  <c:v>45095</c:v>
                </c:pt>
                <c:pt idx="13">
                  <c:v>45195</c:v>
                </c:pt>
                <c:pt idx="14">
                  <c:v>45295</c:v>
                </c:pt>
                <c:pt idx="15">
                  <c:v>45395</c:v>
                </c:pt>
                <c:pt idx="16">
                  <c:v>45495</c:v>
                </c:pt>
                <c:pt idx="17">
                  <c:v>45595</c:v>
                </c:pt>
                <c:pt idx="18">
                  <c:v>45695</c:v>
                </c:pt>
                <c:pt idx="19">
                  <c:v>45795</c:v>
                </c:pt>
              </c:numCache>
            </c:numRef>
          </c:xVal>
          <c:yVal>
            <c:numRef>
              <c:f>SPREAD_CURVES!$F$11:$F$30</c:f>
              <c:numCache>
                <c:formatCode>0.00000%</c:formatCode>
                <c:ptCount val="20"/>
                <c:pt idx="0">
                  <c:v>1.8086082261900296E-2</c:v>
                </c:pt>
                <c:pt idx="1">
                  <c:v>2.7654690221092335E-2</c:v>
                </c:pt>
                <c:pt idx="2">
                  <c:v>3.3473306941423031E-2</c:v>
                </c:pt>
                <c:pt idx="3">
                  <c:v>3.6874731218280277E-2</c:v>
                </c:pt>
                <c:pt idx="4">
                  <c:v>3.882666290794691E-2</c:v>
                </c:pt>
                <c:pt idx="5">
                  <c:v>3.9981799934535781E-2</c:v>
                </c:pt>
                <c:pt idx="6">
                  <c:v>4.0727935296924783E-2</c:v>
                </c:pt>
                <c:pt idx="7">
                  <c:v>4.1238054075691893E-2</c:v>
                </c:pt>
                <c:pt idx="8">
                  <c:v>4.1520430440050091E-2</c:v>
                </c:pt>
                <c:pt idx="9">
                  <c:v>4.1468724654782588E-2</c:v>
                </c:pt>
                <c:pt idx="10">
                  <c:v>4.091208008717763E-2</c:v>
                </c:pt>
                <c:pt idx="11">
                  <c:v>3.9665220213963667E-2</c:v>
                </c:pt>
                <c:pt idx="12">
                  <c:v>3.7578545628244323E-2</c:v>
                </c:pt>
                <c:pt idx="13">
                  <c:v>3.4588231046433507E-2</c:v>
                </c:pt>
                <c:pt idx="14">
                  <c:v>3.0766322315190359E-2</c:v>
                </c:pt>
                <c:pt idx="15">
                  <c:v>2.6370833418354053E-2</c:v>
                </c:pt>
                <c:pt idx="16">
                  <c:v>2.189584348387939E-2</c:v>
                </c:pt>
                <c:pt idx="17">
                  <c:v>1.8121593790771308E-2</c:v>
                </c:pt>
                <c:pt idx="18">
                  <c:v>1.6164584776020521E-2</c:v>
                </c:pt>
                <c:pt idx="19">
                  <c:v>1.7527673041537149E-2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CB-43F3-9B60-1E47374937E8}"/>
            </c:ext>
          </c:extLst>
        </c:ser>
        <c:ser>
          <c:idx val="1"/>
          <c:order val="1"/>
          <c:tx>
            <c:strRef>
              <c:f>SPREAD_CURVES!$G$10</c:f>
              <c:strCache>
                <c:ptCount val="1"/>
                <c:pt idx="0">
                  <c:v>AdjustedForwards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SPREAD_CURVES!$E$11:$E$30</c:f>
              <c:numCache>
                <c:formatCode>ddd\,\ d\-mmm\-yy</c:formatCode>
                <c:ptCount val="20"/>
                <c:pt idx="0">
                  <c:v>43895</c:v>
                </c:pt>
                <c:pt idx="1">
                  <c:v>43995</c:v>
                </c:pt>
                <c:pt idx="2">
                  <c:v>44095</c:v>
                </c:pt>
                <c:pt idx="3">
                  <c:v>44195</c:v>
                </c:pt>
                <c:pt idx="4">
                  <c:v>44295</c:v>
                </c:pt>
                <c:pt idx="5">
                  <c:v>44395</c:v>
                </c:pt>
                <c:pt idx="6">
                  <c:v>44495</c:v>
                </c:pt>
                <c:pt idx="7">
                  <c:v>44595</c:v>
                </c:pt>
                <c:pt idx="8">
                  <c:v>44695</c:v>
                </c:pt>
                <c:pt idx="9">
                  <c:v>44795</c:v>
                </c:pt>
                <c:pt idx="10">
                  <c:v>44895</c:v>
                </c:pt>
                <c:pt idx="11">
                  <c:v>44995</c:v>
                </c:pt>
                <c:pt idx="12">
                  <c:v>45095</c:v>
                </c:pt>
                <c:pt idx="13">
                  <c:v>45195</c:v>
                </c:pt>
                <c:pt idx="14">
                  <c:v>45295</c:v>
                </c:pt>
                <c:pt idx="15">
                  <c:v>45395</c:v>
                </c:pt>
                <c:pt idx="16">
                  <c:v>45495</c:v>
                </c:pt>
                <c:pt idx="17">
                  <c:v>45595</c:v>
                </c:pt>
                <c:pt idx="18">
                  <c:v>45695</c:v>
                </c:pt>
                <c:pt idx="19">
                  <c:v>45795</c:v>
                </c:pt>
              </c:numCache>
            </c:numRef>
          </c:xVal>
          <c:yVal>
            <c:numRef>
              <c:f>SPREAD_CURVES!$G$11:$G$30</c:f>
              <c:numCache>
                <c:formatCode>0.00000%</c:formatCode>
                <c:ptCount val="20"/>
                <c:pt idx="0">
                  <c:v>1.8936082261900297E-2</c:v>
                </c:pt>
                <c:pt idx="1">
                  <c:v>2.8504690221092335E-2</c:v>
                </c:pt>
                <c:pt idx="2">
                  <c:v>3.4323306941423028E-2</c:v>
                </c:pt>
                <c:pt idx="3">
                  <c:v>3.7724731218280273E-2</c:v>
                </c:pt>
                <c:pt idx="4">
                  <c:v>3.9676662907946907E-2</c:v>
                </c:pt>
                <c:pt idx="5">
                  <c:v>4.0831799934535777E-2</c:v>
                </c:pt>
                <c:pt idx="6">
                  <c:v>4.157793529692478E-2</c:v>
                </c:pt>
                <c:pt idx="7">
                  <c:v>4.208805407569189E-2</c:v>
                </c:pt>
                <c:pt idx="8">
                  <c:v>4.2370430440050087E-2</c:v>
                </c:pt>
                <c:pt idx="9">
                  <c:v>4.2318724654782584E-2</c:v>
                </c:pt>
                <c:pt idx="10">
                  <c:v>4.1762080087177626E-2</c:v>
                </c:pt>
                <c:pt idx="11">
                  <c:v>4.0515220213963664E-2</c:v>
                </c:pt>
                <c:pt idx="12">
                  <c:v>3.8428545628244319E-2</c:v>
                </c:pt>
                <c:pt idx="13">
                  <c:v>3.5438231046433503E-2</c:v>
                </c:pt>
                <c:pt idx="14">
                  <c:v>3.1616322315190355E-2</c:v>
                </c:pt>
                <c:pt idx="15">
                  <c:v>2.7220833418354053E-2</c:v>
                </c:pt>
                <c:pt idx="16">
                  <c:v>2.274584348387939E-2</c:v>
                </c:pt>
                <c:pt idx="17">
                  <c:v>1.8971593790771308E-2</c:v>
                </c:pt>
                <c:pt idx="18">
                  <c:v>1.7014584776020521E-2</c:v>
                </c:pt>
                <c:pt idx="19">
                  <c:v>1.8377673041537149E-2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CB-43F3-9B60-1E4737493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243359"/>
        <c:axId val="1133425279"/>
      </c:scatterChart>
      <c:valAx>
        <c:axId val="11352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25279"/>
        <c:crosses val="autoZero"/>
        <c:crossBetween val="midCat"/>
      </c:valAx>
      <c:valAx>
        <c:axId val="11334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721571524881346"/>
          <c:y val="0.83408461545361623"/>
          <c:w val="0.17271251628305556"/>
          <c:h val="9.1543793988233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0510124819175"/>
          <c:y val="0.10060253495245203"/>
          <c:w val="0.81981264235413309"/>
          <c:h val="0.86956117805706612"/>
        </c:manualLayout>
      </c:layout>
      <c:scatterChart>
        <c:scatterStyle val="lineMarker"/>
        <c:varyColors val="0"/>
        <c:ser>
          <c:idx val="1"/>
          <c:order val="0"/>
          <c:tx>
            <c:strRef>
              <c:f>STATE_VARIABLES!$G$35</c:f>
              <c:strCache>
                <c:ptCount val="1"/>
                <c:pt idx="0">
                  <c:v>Adjusted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STATE_VARIABLES!$E$36:$E$121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STATE_VARIABLES!$G$36:$G$121</c:f>
              <c:numCache>
                <c:formatCode>0.00000%</c:formatCode>
                <c:ptCount val="86"/>
                <c:pt idx="0">
                  <c:v>2.0045305423820842E-2</c:v>
                </c:pt>
                <c:pt idx="1">
                  <c:v>2.007259031518668E-2</c:v>
                </c:pt>
                <c:pt idx="2">
                  <c:v>2.0099949959492519E-2</c:v>
                </c:pt>
                <c:pt idx="3">
                  <c:v>2.0127384664362841E-2</c:v>
                </c:pt>
                <c:pt idx="4">
                  <c:v>2.0154894739112396E-2</c:v>
                </c:pt>
                <c:pt idx="5">
                  <c:v>2.0072590315184949E-2</c:v>
                </c:pt>
                <c:pt idx="6">
                  <c:v>2.0099949959490774E-2</c:v>
                </c:pt>
                <c:pt idx="7">
                  <c:v>2.0127384664361102E-2</c:v>
                </c:pt>
                <c:pt idx="8">
                  <c:v>2.0154894739110647E-2</c:v>
                </c:pt>
                <c:pt idx="9">
                  <c:v>2.0072590315188248E-2</c:v>
                </c:pt>
                <c:pt idx="10">
                  <c:v>2.0099949959494084E-2</c:v>
                </c:pt>
                <c:pt idx="11">
                  <c:v>2.0127384664364416E-2</c:v>
                </c:pt>
                <c:pt idx="12">
                  <c:v>2.0154894739113974E-2</c:v>
                </c:pt>
                <c:pt idx="13">
                  <c:v>2.0072590315184203E-2</c:v>
                </c:pt>
                <c:pt idx="14">
                  <c:v>2.0099949959490031E-2</c:v>
                </c:pt>
                <c:pt idx="15">
                  <c:v>2.012738466436035E-2</c:v>
                </c:pt>
                <c:pt idx="16">
                  <c:v>2.0154894739109894E-2</c:v>
                </c:pt>
                <c:pt idx="17">
                  <c:v>2.0072590315187787E-2</c:v>
                </c:pt>
                <c:pt idx="18">
                  <c:v>2.0099949959493629E-2</c:v>
                </c:pt>
                <c:pt idx="19">
                  <c:v>2.0127384664363954E-2</c:v>
                </c:pt>
                <c:pt idx="20">
                  <c:v>2.0154894739113513E-2</c:v>
                </c:pt>
                <c:pt idx="21">
                  <c:v>2.0072590315187887E-2</c:v>
                </c:pt>
                <c:pt idx="22">
                  <c:v>2.009994995949373E-2</c:v>
                </c:pt>
                <c:pt idx="23">
                  <c:v>2.0127384664364058E-2</c:v>
                </c:pt>
                <c:pt idx="24">
                  <c:v>2.0154894739113617E-2</c:v>
                </c:pt>
                <c:pt idx="25">
                  <c:v>2.0072590315183592E-2</c:v>
                </c:pt>
                <c:pt idx="26">
                  <c:v>2.0099949959489414E-2</c:v>
                </c:pt>
                <c:pt idx="27">
                  <c:v>2.0127384664359736E-2</c:v>
                </c:pt>
                <c:pt idx="28">
                  <c:v>2.015489473910928E-2</c:v>
                </c:pt>
                <c:pt idx="29">
                  <c:v>2.0072590315188831E-2</c:v>
                </c:pt>
                <c:pt idx="30">
                  <c:v>2.009994995949467E-2</c:v>
                </c:pt>
                <c:pt idx="31">
                  <c:v>2.0127384664365006E-2</c:v>
                </c:pt>
                <c:pt idx="32">
                  <c:v>2.0154894739114564E-2</c:v>
                </c:pt>
                <c:pt idx="33">
                  <c:v>2.0072590315186545E-2</c:v>
                </c:pt>
                <c:pt idx="34">
                  <c:v>2.0099949959492384E-2</c:v>
                </c:pt>
                <c:pt idx="35">
                  <c:v>2.0127384664362705E-2</c:v>
                </c:pt>
                <c:pt idx="36">
                  <c:v>2.0154894739112264E-2</c:v>
                </c:pt>
                <c:pt idx="37">
                  <c:v>2.007259031518438E-2</c:v>
                </c:pt>
                <c:pt idx="38">
                  <c:v>2.0099949959490208E-2</c:v>
                </c:pt>
                <c:pt idx="39">
                  <c:v>2.012738466436053E-2</c:v>
                </c:pt>
                <c:pt idx="40">
                  <c:v>2.0154894739110078E-2</c:v>
                </c:pt>
                <c:pt idx="41">
                  <c:v>2.0072590315186163E-2</c:v>
                </c:pt>
                <c:pt idx="42">
                  <c:v>2.0099949959491992E-2</c:v>
                </c:pt>
                <c:pt idx="43">
                  <c:v>2.0127384664362317E-2</c:v>
                </c:pt>
                <c:pt idx="44">
                  <c:v>2.0154894739111875E-2</c:v>
                </c:pt>
                <c:pt idx="45">
                  <c:v>2.0072590315186215E-2</c:v>
                </c:pt>
                <c:pt idx="46">
                  <c:v>2.0099949959492047E-2</c:v>
                </c:pt>
                <c:pt idx="47">
                  <c:v>2.0127384664362372E-2</c:v>
                </c:pt>
                <c:pt idx="48">
                  <c:v>2.0154894739111931E-2</c:v>
                </c:pt>
                <c:pt idx="49">
                  <c:v>2.0072590315185795E-2</c:v>
                </c:pt>
                <c:pt idx="50">
                  <c:v>2.0099949959491627E-2</c:v>
                </c:pt>
                <c:pt idx="51">
                  <c:v>2.0127384664361953E-2</c:v>
                </c:pt>
                <c:pt idx="52">
                  <c:v>2.0154894739111504E-2</c:v>
                </c:pt>
                <c:pt idx="53">
                  <c:v>2.0072590315186215E-2</c:v>
                </c:pt>
                <c:pt idx="54">
                  <c:v>2.0099949959492047E-2</c:v>
                </c:pt>
                <c:pt idx="55">
                  <c:v>2.0127384664362372E-2</c:v>
                </c:pt>
                <c:pt idx="56">
                  <c:v>2.0154894739111927E-2</c:v>
                </c:pt>
                <c:pt idx="57">
                  <c:v>2.0072590315187103E-2</c:v>
                </c:pt>
                <c:pt idx="58">
                  <c:v>2.0099949959492939E-2</c:v>
                </c:pt>
                <c:pt idx="59">
                  <c:v>2.0127384664363267E-2</c:v>
                </c:pt>
                <c:pt idx="60">
                  <c:v>2.0154894739112823E-2</c:v>
                </c:pt>
                <c:pt idx="61">
                  <c:v>2.0072590315185754E-2</c:v>
                </c:pt>
                <c:pt idx="62">
                  <c:v>2.0099949959491586E-2</c:v>
                </c:pt>
                <c:pt idx="63">
                  <c:v>2.0127384664361907E-2</c:v>
                </c:pt>
                <c:pt idx="64">
                  <c:v>2.0154894739111463E-2</c:v>
                </c:pt>
                <c:pt idx="65">
                  <c:v>2.0072590315187017E-2</c:v>
                </c:pt>
                <c:pt idx="66">
                  <c:v>2.0099949959492852E-2</c:v>
                </c:pt>
                <c:pt idx="67">
                  <c:v>2.0127384664363181E-2</c:v>
                </c:pt>
                <c:pt idx="68">
                  <c:v>2.0154894739112736E-2</c:v>
                </c:pt>
                <c:pt idx="69">
                  <c:v>2.0072590315185795E-2</c:v>
                </c:pt>
                <c:pt idx="70">
                  <c:v>2.0099949959491624E-2</c:v>
                </c:pt>
                <c:pt idx="71">
                  <c:v>2.0127384664361949E-2</c:v>
                </c:pt>
                <c:pt idx="72">
                  <c:v>2.0154894739111501E-2</c:v>
                </c:pt>
                <c:pt idx="73">
                  <c:v>2.0072590315188842E-2</c:v>
                </c:pt>
                <c:pt idx="74">
                  <c:v>2.0099949959494681E-2</c:v>
                </c:pt>
                <c:pt idx="75">
                  <c:v>2.0127384664365016E-2</c:v>
                </c:pt>
                <c:pt idx="76">
                  <c:v>2.0154894739114575E-2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F-46B9-B0F0-10AA0FCCA216}"/>
            </c:ext>
          </c:extLst>
        </c:ser>
        <c:ser>
          <c:idx val="0"/>
          <c:order val="1"/>
          <c:tx>
            <c:strRef>
              <c:f>STATE_VARIABLES!$F$35</c:f>
              <c:strCache>
                <c:ptCount val="1"/>
                <c:pt idx="0">
                  <c:v>Unadjusted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STATE_VARIABLES!$E$36:$E$121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STATE_VARIABLES!$F$36:$F$121</c:f>
              <c:numCache>
                <c:formatCode>0.00000%</c:formatCode>
                <c:ptCount val="86"/>
                <c:pt idx="0">
                  <c:v>1.9945305423820843E-2</c:v>
                </c:pt>
                <c:pt idx="1">
                  <c:v>1.9972590315186681E-2</c:v>
                </c:pt>
                <c:pt idx="2">
                  <c:v>1.999994995949252E-2</c:v>
                </c:pt>
                <c:pt idx="3">
                  <c:v>2.0027384664362841E-2</c:v>
                </c:pt>
                <c:pt idx="4">
                  <c:v>2.0054894739112396E-2</c:v>
                </c:pt>
                <c:pt idx="5">
                  <c:v>1.9972590315184949E-2</c:v>
                </c:pt>
                <c:pt idx="6">
                  <c:v>1.9999949959490775E-2</c:v>
                </c:pt>
                <c:pt idx="7">
                  <c:v>2.0027384664361103E-2</c:v>
                </c:pt>
                <c:pt idx="8">
                  <c:v>2.0054894739110648E-2</c:v>
                </c:pt>
                <c:pt idx="9">
                  <c:v>1.9972590315188249E-2</c:v>
                </c:pt>
                <c:pt idx="10">
                  <c:v>1.9999949959494084E-2</c:v>
                </c:pt>
                <c:pt idx="11">
                  <c:v>2.0027384664364416E-2</c:v>
                </c:pt>
                <c:pt idx="12">
                  <c:v>2.0054894739113975E-2</c:v>
                </c:pt>
                <c:pt idx="13">
                  <c:v>1.9972590315184204E-2</c:v>
                </c:pt>
                <c:pt idx="14">
                  <c:v>1.9999949959490032E-2</c:v>
                </c:pt>
                <c:pt idx="15">
                  <c:v>2.002738466436035E-2</c:v>
                </c:pt>
                <c:pt idx="16">
                  <c:v>2.0054894739109895E-2</c:v>
                </c:pt>
                <c:pt idx="17">
                  <c:v>1.9972590315187787E-2</c:v>
                </c:pt>
                <c:pt idx="18">
                  <c:v>1.999994995949363E-2</c:v>
                </c:pt>
                <c:pt idx="19">
                  <c:v>2.0027384664363955E-2</c:v>
                </c:pt>
                <c:pt idx="20">
                  <c:v>2.0054894739113514E-2</c:v>
                </c:pt>
                <c:pt idx="21">
                  <c:v>1.9972590315187888E-2</c:v>
                </c:pt>
                <c:pt idx="22">
                  <c:v>1.9999949959493731E-2</c:v>
                </c:pt>
                <c:pt idx="23">
                  <c:v>2.0027384664364059E-2</c:v>
                </c:pt>
                <c:pt idx="24">
                  <c:v>2.0054894739113618E-2</c:v>
                </c:pt>
                <c:pt idx="25">
                  <c:v>1.9972590315183593E-2</c:v>
                </c:pt>
                <c:pt idx="26">
                  <c:v>1.9999949959489415E-2</c:v>
                </c:pt>
                <c:pt idx="27">
                  <c:v>2.0027384664359736E-2</c:v>
                </c:pt>
                <c:pt idx="28">
                  <c:v>2.0054894739109281E-2</c:v>
                </c:pt>
                <c:pt idx="29">
                  <c:v>1.9972590315188832E-2</c:v>
                </c:pt>
                <c:pt idx="30">
                  <c:v>1.9999949959494671E-2</c:v>
                </c:pt>
                <c:pt idx="31">
                  <c:v>2.0027384664365006E-2</c:v>
                </c:pt>
                <c:pt idx="32">
                  <c:v>2.0054894739114565E-2</c:v>
                </c:pt>
                <c:pt idx="33">
                  <c:v>1.9972590315186545E-2</c:v>
                </c:pt>
                <c:pt idx="34">
                  <c:v>1.9999949959492384E-2</c:v>
                </c:pt>
                <c:pt idx="35">
                  <c:v>2.0027384664362706E-2</c:v>
                </c:pt>
                <c:pt idx="36">
                  <c:v>2.0054894739112265E-2</c:v>
                </c:pt>
                <c:pt idx="37">
                  <c:v>1.997259031518438E-2</c:v>
                </c:pt>
                <c:pt idx="38">
                  <c:v>1.9999949959490209E-2</c:v>
                </c:pt>
                <c:pt idx="39">
                  <c:v>2.0027384664360531E-2</c:v>
                </c:pt>
                <c:pt idx="40">
                  <c:v>2.0054894739110079E-2</c:v>
                </c:pt>
                <c:pt idx="41">
                  <c:v>1.9972590315186164E-2</c:v>
                </c:pt>
                <c:pt idx="42">
                  <c:v>1.9999949959491992E-2</c:v>
                </c:pt>
                <c:pt idx="43">
                  <c:v>2.0027384664362317E-2</c:v>
                </c:pt>
                <c:pt idx="44">
                  <c:v>2.0054894739111876E-2</c:v>
                </c:pt>
                <c:pt idx="45">
                  <c:v>1.9972590315186216E-2</c:v>
                </c:pt>
                <c:pt idx="46">
                  <c:v>1.9999949959492048E-2</c:v>
                </c:pt>
                <c:pt idx="47">
                  <c:v>2.0027384664362373E-2</c:v>
                </c:pt>
                <c:pt idx="48">
                  <c:v>2.0054894739111932E-2</c:v>
                </c:pt>
                <c:pt idx="49">
                  <c:v>1.9972590315185796E-2</c:v>
                </c:pt>
                <c:pt idx="50">
                  <c:v>1.9999949959491628E-2</c:v>
                </c:pt>
                <c:pt idx="51">
                  <c:v>2.0027384664361953E-2</c:v>
                </c:pt>
                <c:pt idx="52">
                  <c:v>2.0054894739111505E-2</c:v>
                </c:pt>
                <c:pt idx="53">
                  <c:v>1.9972590315186216E-2</c:v>
                </c:pt>
                <c:pt idx="54">
                  <c:v>1.9999949959492048E-2</c:v>
                </c:pt>
                <c:pt idx="55">
                  <c:v>2.0027384664362373E-2</c:v>
                </c:pt>
                <c:pt idx="56">
                  <c:v>2.0054894739111928E-2</c:v>
                </c:pt>
                <c:pt idx="57">
                  <c:v>1.9972590315187104E-2</c:v>
                </c:pt>
                <c:pt idx="58">
                  <c:v>1.9999949959492939E-2</c:v>
                </c:pt>
                <c:pt idx="59">
                  <c:v>2.0027384664363268E-2</c:v>
                </c:pt>
                <c:pt idx="60">
                  <c:v>2.0054894739112823E-2</c:v>
                </c:pt>
                <c:pt idx="61">
                  <c:v>1.9972590315185754E-2</c:v>
                </c:pt>
                <c:pt idx="62">
                  <c:v>1.9999949959491586E-2</c:v>
                </c:pt>
                <c:pt idx="63">
                  <c:v>2.0027384664361908E-2</c:v>
                </c:pt>
                <c:pt idx="64">
                  <c:v>2.0054894739111463E-2</c:v>
                </c:pt>
                <c:pt idx="65">
                  <c:v>1.9972590315187017E-2</c:v>
                </c:pt>
                <c:pt idx="66">
                  <c:v>1.9999949959492853E-2</c:v>
                </c:pt>
                <c:pt idx="67">
                  <c:v>2.0027384664363181E-2</c:v>
                </c:pt>
                <c:pt idx="68">
                  <c:v>2.0054894739112736E-2</c:v>
                </c:pt>
                <c:pt idx="69">
                  <c:v>1.9972590315185796E-2</c:v>
                </c:pt>
                <c:pt idx="70">
                  <c:v>1.9999949959491625E-2</c:v>
                </c:pt>
                <c:pt idx="71">
                  <c:v>2.002738466436195E-2</c:v>
                </c:pt>
                <c:pt idx="72">
                  <c:v>2.0054894739111501E-2</c:v>
                </c:pt>
                <c:pt idx="73">
                  <c:v>1.9972590315188842E-2</c:v>
                </c:pt>
                <c:pt idx="74">
                  <c:v>1.9999949959494681E-2</c:v>
                </c:pt>
                <c:pt idx="75">
                  <c:v>2.0027384664365017E-2</c:v>
                </c:pt>
                <c:pt idx="76">
                  <c:v>2.0054894739114575E-2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DF-46B9-B0F0-10AA0FCCA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243359"/>
        <c:axId val="1133425279"/>
      </c:scatterChart>
      <c:valAx>
        <c:axId val="11352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25279"/>
        <c:crosses val="autoZero"/>
        <c:crossBetween val="midCat"/>
      </c:valAx>
      <c:valAx>
        <c:axId val="1133425279"/>
        <c:scaling>
          <c:orientation val="minMax"/>
          <c:max val="2.0500000000000004E-2"/>
          <c:min val="1.95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39321282584724"/>
          <c:y val="0.69032795995402174"/>
          <c:w val="0.20287242967324201"/>
          <c:h val="0.12951725015793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Forwards</a:t>
            </a:r>
            <a:r>
              <a:rPr lang="en-GB" baseline="0"/>
              <a:t> on Pillar Points Only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STATE_VARIABLES!$G$10</c:f>
              <c:strCache>
                <c:ptCount val="1"/>
                <c:pt idx="0">
                  <c:v>ForwardRate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CurveModule!#REF!</c:f>
            </c:numRef>
          </c:xVal>
          <c:yVal>
            <c:numRef>
              <c:f>STATE_VARIABLES!$G$11:$G$30</c:f>
              <c:numCache>
                <c:formatCode>0.00000%</c:formatCode>
                <c:ptCount val="20"/>
                <c:pt idx="0">
                  <c:v>2.0045305423820842E-2</c:v>
                </c:pt>
                <c:pt idx="1">
                  <c:v>2.0154894739112396E-2</c:v>
                </c:pt>
                <c:pt idx="2">
                  <c:v>2.0154894739110647E-2</c:v>
                </c:pt>
                <c:pt idx="3">
                  <c:v>2.0154894739113974E-2</c:v>
                </c:pt>
                <c:pt idx="4">
                  <c:v>2.0154894739109894E-2</c:v>
                </c:pt>
                <c:pt idx="5">
                  <c:v>2.0154894739113513E-2</c:v>
                </c:pt>
                <c:pt idx="6">
                  <c:v>2.0154894739113617E-2</c:v>
                </c:pt>
                <c:pt idx="7">
                  <c:v>2.015489473910928E-2</c:v>
                </c:pt>
                <c:pt idx="8">
                  <c:v>2.0154894739114564E-2</c:v>
                </c:pt>
                <c:pt idx="9">
                  <c:v>2.0154894739112264E-2</c:v>
                </c:pt>
                <c:pt idx="10">
                  <c:v>2.0154894739110078E-2</c:v>
                </c:pt>
                <c:pt idx="11">
                  <c:v>2.0154894739111875E-2</c:v>
                </c:pt>
                <c:pt idx="12">
                  <c:v>2.0154894739111931E-2</c:v>
                </c:pt>
                <c:pt idx="13">
                  <c:v>2.0154894739111504E-2</c:v>
                </c:pt>
                <c:pt idx="14">
                  <c:v>2.0154894739111927E-2</c:v>
                </c:pt>
                <c:pt idx="15">
                  <c:v>2.0154894739112823E-2</c:v>
                </c:pt>
                <c:pt idx="16">
                  <c:v>2.0154894739111463E-2</c:v>
                </c:pt>
                <c:pt idx="17">
                  <c:v>2.0154894739112736E-2</c:v>
                </c:pt>
                <c:pt idx="18">
                  <c:v>2.0154894739111501E-2</c:v>
                </c:pt>
                <c:pt idx="19">
                  <c:v>2.0154894739114575E-2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A-47A7-B596-614C094F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57727"/>
        <c:axId val="1159254815"/>
      </c:scatterChart>
      <c:valAx>
        <c:axId val="11592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4815"/>
        <c:crosses val="autoZero"/>
        <c:crossBetween val="midCat"/>
      </c:valAx>
      <c:valAx>
        <c:axId val="11592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598714</xdr:colOff>
      <xdr:row>5</xdr:row>
      <xdr:rowOff>122465</xdr:rowOff>
    </xdr:from>
    <xdr:to>
      <xdr:col>18</xdr:col>
      <xdr:colOff>557894</xdr:colOff>
      <xdr:row>30</xdr:row>
      <xdr:rowOff>42183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32</xdr:row>
      <xdr:rowOff>114300</xdr:rowOff>
    </xdr:from>
    <xdr:to>
      <xdr:col>15</xdr:col>
      <xdr:colOff>171450</xdr:colOff>
      <xdr:row>47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598714</xdr:colOff>
      <xdr:row>5</xdr:row>
      <xdr:rowOff>122465</xdr:rowOff>
    </xdr:from>
    <xdr:to>
      <xdr:col>18</xdr:col>
      <xdr:colOff>557894</xdr:colOff>
      <xdr:row>30</xdr:row>
      <xdr:rowOff>42183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32</xdr:row>
      <xdr:rowOff>114300</xdr:rowOff>
    </xdr:from>
    <xdr:to>
      <xdr:col>15</xdr:col>
      <xdr:colOff>171450</xdr:colOff>
      <xdr:row>47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779689</xdr:colOff>
      <xdr:row>5</xdr:row>
      <xdr:rowOff>141515</xdr:rowOff>
    </xdr:from>
    <xdr:to>
      <xdr:col>17</xdr:col>
      <xdr:colOff>129269</xdr:colOff>
      <xdr:row>30</xdr:row>
      <xdr:rowOff>61233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598714</xdr:colOff>
      <xdr:row>5</xdr:row>
      <xdr:rowOff>122465</xdr:rowOff>
    </xdr:from>
    <xdr:to>
      <xdr:col>18</xdr:col>
      <xdr:colOff>557894</xdr:colOff>
      <xdr:row>30</xdr:row>
      <xdr:rowOff>42183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19</xdr:row>
      <xdr:rowOff>133350</xdr:rowOff>
    </xdr:from>
    <xdr:to>
      <xdr:col>14</xdr:col>
      <xdr:colOff>219075</xdr:colOff>
      <xdr:row>34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SMOOTHIN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WITH_FU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SOFR_CURVE"/>
      <sheetName val="USD_SOFR_SWAPS"/>
      <sheetName val="CURVE_SMOOTHING"/>
    </sheetNames>
    <sheetDataSet>
      <sheetData sheetId="0"/>
      <sheetData sheetId="1"/>
      <sheetData sheetId="2"/>
      <sheetData sheetId="3">
        <row r="5">
          <cell r="C5">
            <v>7</v>
          </cell>
        </row>
        <row r="7">
          <cell r="B7">
            <v>43</v>
          </cell>
        </row>
        <row r="9">
          <cell r="A9">
            <v>0</v>
          </cell>
          <cell r="B9">
            <v>43844</v>
          </cell>
          <cell r="E9">
            <v>-2.3154510460516745E-14</v>
          </cell>
          <cell r="H9">
            <v>2.7397260273972603E-3</v>
          </cell>
          <cell r="K9">
            <v>0</v>
          </cell>
        </row>
        <row r="10">
          <cell r="H10">
            <v>8.4931506849315067E-2</v>
          </cell>
          <cell r="K10">
            <v>0</v>
          </cell>
        </row>
        <row r="11">
          <cell r="H11">
            <v>0.24931506849315069</v>
          </cell>
          <cell r="K11">
            <v>0</v>
          </cell>
        </row>
        <row r="12">
          <cell r="H12">
            <v>0.49863013698630138</v>
          </cell>
          <cell r="K12">
            <v>0</v>
          </cell>
        </row>
        <row r="13">
          <cell r="H13">
            <v>1.0027397260273974</v>
          </cell>
          <cell r="K13">
            <v>7.9936057773011561E-14</v>
          </cell>
        </row>
        <row r="14">
          <cell r="H14">
            <v>1.4986301369863013</v>
          </cell>
          <cell r="K14">
            <v>2.3980817331903467E-13</v>
          </cell>
        </row>
        <row r="15">
          <cell r="H15">
            <v>2.0027397260273974</v>
          </cell>
          <cell r="K15">
            <v>7.9936057773011561E-14</v>
          </cell>
        </row>
        <row r="16">
          <cell r="H16">
            <v>3.010958904109589</v>
          </cell>
          <cell r="K16">
            <v>-1.1990408665951734E-13</v>
          </cell>
        </row>
        <row r="17">
          <cell r="H17">
            <v>4.0082191780821921</v>
          </cell>
          <cell r="K17">
            <v>-1.5987211554604867E-13</v>
          </cell>
        </row>
        <row r="18">
          <cell r="H18">
            <v>5.0054794520547947</v>
          </cell>
          <cell r="K18">
            <v>-1.5987211554604867E-13</v>
          </cell>
        </row>
        <row r="19">
          <cell r="H19">
            <v>10.008219178082191</v>
          </cell>
          <cell r="K19">
            <v>-2.3980817331899635E-13</v>
          </cell>
        </row>
        <row r="20">
          <cell r="H20">
            <v>11.008219178082191</v>
          </cell>
          <cell r="K20">
            <v>-2.3980817331899635E-13</v>
          </cell>
        </row>
        <row r="21">
          <cell r="H21">
            <v>12.008219178082191</v>
          </cell>
          <cell r="K21">
            <v>-1.5987211554609979E-13</v>
          </cell>
        </row>
        <row r="22">
          <cell r="H22">
            <v>14.019178082191781</v>
          </cell>
          <cell r="K22">
            <v>-1.5987211554599755E-13</v>
          </cell>
        </row>
        <row r="23">
          <cell r="H23">
            <v>15.016438356164384</v>
          </cell>
          <cell r="K23">
            <v>-1.5987211554599755E-13</v>
          </cell>
        </row>
        <row r="24">
          <cell r="H24">
            <v>20.021917808219179</v>
          </cell>
          <cell r="K24">
            <v>-1.5987211554609979E-13</v>
          </cell>
        </row>
        <row r="25">
          <cell r="H25">
            <v>22.016438356164382</v>
          </cell>
          <cell r="K25">
            <v>-1.5987211554609979E-13</v>
          </cell>
        </row>
        <row r="26">
          <cell r="H26">
            <v>25.027397260273972</v>
          </cell>
          <cell r="K26">
            <v>-1.5987211554609979E-13</v>
          </cell>
        </row>
        <row r="27">
          <cell r="H27">
            <v>28.019178082191782</v>
          </cell>
          <cell r="K27">
            <v>-7.9936057773049894E-14</v>
          </cell>
        </row>
        <row r="28">
          <cell r="H28">
            <v>30.021917808219179</v>
          </cell>
          <cell r="K28">
            <v>-7.9936057773049894E-14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43600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_SOFR_CURVE"/>
      <sheetName val="USD_OIS"/>
      <sheetName val="SWAP_GENERATORS"/>
      <sheetName val="REPRICING"/>
      <sheetName val="FORWARDS"/>
    </sheetNames>
    <sheetDataSet>
      <sheetData sheetId="0"/>
      <sheetData sheetId="1" refreshError="1"/>
      <sheetData sheetId="2">
        <row r="5">
          <cell r="D5" t="str">
            <v>USD_SOFR_SWAP@42:2</v>
          </cell>
          <cell r="J5" t="str">
            <v>USD_SOFR_SWAP_UNDER_1Y@41:2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2"/>
  <sheetViews>
    <sheetView showGridLines="0" tabSelected="1" workbookViewId="0"/>
  </sheetViews>
  <sheetFormatPr defaultRowHeight="15" x14ac:dyDescent="0.25"/>
  <cols>
    <col min="1" max="1" width="4.7109375" customWidth="1"/>
    <col min="2" max="2" width="25.140625" bestFit="1" customWidth="1"/>
    <col min="3" max="3" width="32.85546875" bestFit="1" customWidth="1"/>
    <col min="4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4" max="14" width="4.7109375" customWidth="1"/>
    <col min="15" max="15" width="15.7109375" customWidth="1"/>
    <col min="16" max="16" width="12.7109375" customWidth="1"/>
    <col min="17" max="17" width="10" bestFit="1" customWidth="1"/>
    <col min="18" max="18" width="13.42578125" bestFit="1" customWidth="1"/>
  </cols>
  <sheetData>
    <row r="2" spans="2:19" x14ac:dyDescent="0.25">
      <c r="E2" s="45"/>
      <c r="F2" s="46"/>
      <c r="G2" s="47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</row>
    <row r="3" spans="2:19" x14ac:dyDescent="0.25">
      <c r="B3" t="s">
        <v>29</v>
      </c>
      <c r="C3" s="50" t="str">
        <f ca="1">_xll.meLWOCurveGeneratorCreate("CURVEGEN_USDSOFR",B5,B6:C13,B15,B16:C30)</f>
        <v>CURVEGEN_USDSOFR@12:4</v>
      </c>
      <c r="E3" s="51"/>
      <c r="F3" s="52" t="s">
        <v>30</v>
      </c>
      <c r="G3" s="53"/>
      <c r="H3" s="54" t="s">
        <v>31</v>
      </c>
      <c r="I3" s="52" t="s">
        <v>32</v>
      </c>
      <c r="J3" s="54"/>
      <c r="K3" s="54"/>
      <c r="L3" s="54"/>
      <c r="M3" s="54"/>
      <c r="N3" s="54"/>
      <c r="O3" s="52" t="s">
        <v>112</v>
      </c>
      <c r="P3" s="54"/>
      <c r="Q3" s="54"/>
      <c r="R3" s="54"/>
      <c r="S3" s="55"/>
    </row>
    <row r="4" spans="2:19" x14ac:dyDescent="0.25">
      <c r="E4" s="51" t="s">
        <v>31</v>
      </c>
      <c r="F4" s="53"/>
      <c r="G4" s="53"/>
      <c r="H4" s="54" t="s">
        <v>31</v>
      </c>
      <c r="I4" s="56" t="s">
        <v>33</v>
      </c>
      <c r="J4" s="56" t="s">
        <v>34</v>
      </c>
      <c r="K4" s="56" t="s">
        <v>4</v>
      </c>
      <c r="L4" s="56" t="s">
        <v>5</v>
      </c>
      <c r="M4" s="56" t="s">
        <v>35</v>
      </c>
      <c r="N4" s="54"/>
      <c r="O4" s="56" t="s">
        <v>3</v>
      </c>
      <c r="P4" s="56" t="s">
        <v>4</v>
      </c>
      <c r="Q4" s="56" t="s">
        <v>5</v>
      </c>
      <c r="R4" s="56" t="s">
        <v>6</v>
      </c>
      <c r="S4" s="115"/>
    </row>
    <row r="5" spans="2:19" x14ac:dyDescent="0.25">
      <c r="B5" s="57" t="s">
        <v>36</v>
      </c>
      <c r="C5" s="58"/>
      <c r="E5" s="51"/>
      <c r="F5" s="59" t="s">
        <v>37</v>
      </c>
      <c r="G5" s="60" t="s">
        <v>38</v>
      </c>
      <c r="H5" s="54" t="s">
        <v>31</v>
      </c>
      <c r="I5" s="61" t="s">
        <v>39</v>
      </c>
      <c r="J5" s="62">
        <v>1.5699999999999999E-2</v>
      </c>
      <c r="K5" s="63"/>
      <c r="L5" s="63"/>
      <c r="M5" s="64"/>
      <c r="N5" s="54"/>
      <c r="O5" s="116" t="s">
        <v>11</v>
      </c>
      <c r="P5" s="117">
        <v>43994</v>
      </c>
      <c r="Q5" s="117">
        <v>44004</v>
      </c>
      <c r="R5" s="118">
        <v>0.01</v>
      </c>
      <c r="S5" s="55"/>
    </row>
    <row r="6" spans="2:19" x14ac:dyDescent="0.25">
      <c r="B6" s="65" t="s">
        <v>40</v>
      </c>
      <c r="C6" s="66" t="s">
        <v>41</v>
      </c>
      <c r="E6" s="51"/>
      <c r="F6" s="67" t="s">
        <v>40</v>
      </c>
      <c r="G6" s="68" t="s">
        <v>41</v>
      </c>
      <c r="H6" s="54" t="s">
        <v>31</v>
      </c>
      <c r="I6" s="69" t="s">
        <v>42</v>
      </c>
      <c r="J6" s="70">
        <v>1.55E-2</v>
      </c>
      <c r="K6" s="71"/>
      <c r="L6" s="71"/>
      <c r="M6" s="72"/>
      <c r="N6" s="54"/>
      <c r="O6" s="119" t="s">
        <v>11</v>
      </c>
      <c r="P6" s="120">
        <v>44594</v>
      </c>
      <c r="Q6" s="120">
        <v>44604</v>
      </c>
      <c r="R6" s="121">
        <v>-0.01</v>
      </c>
      <c r="S6" s="55"/>
    </row>
    <row r="7" spans="2:19" x14ac:dyDescent="0.25">
      <c r="B7" s="73" t="s">
        <v>43</v>
      </c>
      <c r="C7" s="74" t="s">
        <v>44</v>
      </c>
      <c r="E7" s="51"/>
      <c r="F7" s="67" t="s">
        <v>43</v>
      </c>
      <c r="G7" s="68" t="s">
        <v>44</v>
      </c>
      <c r="H7" s="54" t="s">
        <v>31</v>
      </c>
      <c r="I7" s="69" t="s">
        <v>45</v>
      </c>
      <c r="J7" s="75">
        <v>98.45</v>
      </c>
      <c r="K7" s="71">
        <f ca="1">_xll.meDateIMMNext($G$8)</f>
        <v>43999</v>
      </c>
      <c r="L7" s="71">
        <f ca="1">_xll.meDateIMMNext(K7)</f>
        <v>44090</v>
      </c>
      <c r="M7" s="76">
        <v>0</v>
      </c>
      <c r="N7" s="114"/>
      <c r="O7" s="119" t="s">
        <v>11</v>
      </c>
      <c r="P7" s="120">
        <v>45194</v>
      </c>
      <c r="Q7" s="120">
        <v>45204</v>
      </c>
      <c r="R7" s="121">
        <v>0.01</v>
      </c>
      <c r="S7" s="77"/>
    </row>
    <row r="8" spans="2:19" x14ac:dyDescent="0.25">
      <c r="B8" s="73" t="s">
        <v>46</v>
      </c>
      <c r="C8" s="74" t="s">
        <v>47</v>
      </c>
      <c r="E8" s="51"/>
      <c r="F8" s="78" t="s">
        <v>2</v>
      </c>
      <c r="G8" s="79">
        <v>43894</v>
      </c>
      <c r="H8" s="54" t="s">
        <v>31</v>
      </c>
      <c r="I8" s="69" t="s">
        <v>48</v>
      </c>
      <c r="J8" s="75">
        <v>98.484639999999985</v>
      </c>
      <c r="K8" s="71">
        <f t="shared" ref="K8:K10" ca="1" si="0">L7</f>
        <v>44090</v>
      </c>
      <c r="L8" s="71">
        <f ca="1">_xll.meDateIMMNext(K8)</f>
        <v>44181</v>
      </c>
      <c r="M8" s="76">
        <v>0</v>
      </c>
      <c r="N8" s="114"/>
      <c r="O8" s="119" t="s">
        <v>11</v>
      </c>
      <c r="P8" s="120">
        <v>45594</v>
      </c>
      <c r="Q8" s="120">
        <v>45604</v>
      </c>
      <c r="R8" s="121">
        <v>-0.01</v>
      </c>
      <c r="S8" s="77"/>
    </row>
    <row r="9" spans="2:19" x14ac:dyDescent="0.25">
      <c r="B9" s="73" t="s">
        <v>49</v>
      </c>
      <c r="C9" s="74" t="s">
        <v>50</v>
      </c>
      <c r="E9" s="51"/>
      <c r="F9" s="53"/>
      <c r="G9" s="53"/>
      <c r="H9" s="54" t="s">
        <v>31</v>
      </c>
      <c r="I9" s="69" t="s">
        <v>51</v>
      </c>
      <c r="J9" s="75">
        <v>98.519279999999995</v>
      </c>
      <c r="K9" s="71">
        <f t="shared" ca="1" si="0"/>
        <v>44181</v>
      </c>
      <c r="L9" s="71">
        <f ca="1">_xll.meDateIMMNext(K9)</f>
        <v>44272</v>
      </c>
      <c r="M9" s="76">
        <v>0</v>
      </c>
      <c r="N9" s="114"/>
      <c r="O9" s="119"/>
      <c r="P9" s="120"/>
      <c r="Q9" s="120"/>
      <c r="R9" s="121"/>
      <c r="S9" s="77"/>
    </row>
    <row r="10" spans="2:19" x14ac:dyDescent="0.25">
      <c r="B10" s="73" t="s">
        <v>37</v>
      </c>
      <c r="C10" s="74" t="s">
        <v>38</v>
      </c>
      <c r="E10" s="51"/>
      <c r="F10" s="54"/>
      <c r="G10" s="54"/>
      <c r="H10" s="54" t="s">
        <v>31</v>
      </c>
      <c r="I10" s="69" t="s">
        <v>52</v>
      </c>
      <c r="J10" s="75">
        <v>98.553920000000005</v>
      </c>
      <c r="K10" s="71">
        <f t="shared" ca="1" si="0"/>
        <v>44272</v>
      </c>
      <c r="L10" s="71">
        <f ca="1">_xll.meDateIMMNext(K10)</f>
        <v>44363</v>
      </c>
      <c r="M10" s="76">
        <v>0</v>
      </c>
      <c r="N10" s="114"/>
      <c r="O10" s="119"/>
      <c r="P10" s="120"/>
      <c r="Q10" s="120"/>
      <c r="R10" s="121"/>
      <c r="S10" s="77"/>
    </row>
    <row r="11" spans="2:19" x14ac:dyDescent="0.25">
      <c r="B11" s="73" t="s">
        <v>53</v>
      </c>
      <c r="C11" s="80" t="s">
        <v>54</v>
      </c>
      <c r="E11" s="51"/>
      <c r="F11" s="81" t="s">
        <v>55</v>
      </c>
      <c r="G11" s="53"/>
      <c r="H11" s="54" t="s">
        <v>31</v>
      </c>
      <c r="I11" s="69" t="s">
        <v>56</v>
      </c>
      <c r="J11" s="70">
        <v>1.4460799999999999E-2</v>
      </c>
      <c r="K11" s="71"/>
      <c r="L11" s="71"/>
      <c r="M11" s="72"/>
      <c r="N11" s="54"/>
      <c r="O11" s="119"/>
      <c r="P11" s="120"/>
      <c r="Q11" s="120"/>
      <c r="R11" s="121"/>
      <c r="S11" s="55"/>
    </row>
    <row r="12" spans="2:19" x14ac:dyDescent="0.25">
      <c r="B12" s="73" t="s">
        <v>57</v>
      </c>
      <c r="C12" s="80" t="s">
        <v>54</v>
      </c>
      <c r="E12" s="51"/>
      <c r="F12" s="82" t="s">
        <v>58</v>
      </c>
      <c r="G12" s="83" t="s">
        <v>59</v>
      </c>
      <c r="H12" s="54" t="s">
        <v>31</v>
      </c>
      <c r="I12" s="69" t="s">
        <v>60</v>
      </c>
      <c r="J12" s="70">
        <v>1.47765E-2</v>
      </c>
      <c r="K12" s="71"/>
      <c r="L12" s="71"/>
      <c r="M12" s="72"/>
      <c r="N12" s="54"/>
      <c r="O12" s="119"/>
      <c r="P12" s="120"/>
      <c r="Q12" s="120"/>
      <c r="R12" s="121"/>
      <c r="S12" s="55"/>
    </row>
    <row r="13" spans="2:19" x14ac:dyDescent="0.25">
      <c r="B13" s="84" t="s">
        <v>61</v>
      </c>
      <c r="C13" s="85">
        <f ca="1">L9</f>
        <v>44272</v>
      </c>
      <c r="E13" s="51"/>
      <c r="F13" s="86" t="s">
        <v>62</v>
      </c>
      <c r="G13" s="87" t="str">
        <f ca="1">_xll.meLWOCurveMarketDataCreate(G12,F3,F5:G8,I3,I5:M30,O3,O5:R30)</f>
        <v>USD_OIS_CURVE_MARKETDATA@13:4</v>
      </c>
      <c r="H13" s="54" t="s">
        <v>31</v>
      </c>
      <c r="I13" s="69" t="s">
        <v>63</v>
      </c>
      <c r="J13" s="70">
        <v>1.5301800000000001E-2</v>
      </c>
      <c r="K13" s="71"/>
      <c r="L13" s="71"/>
      <c r="M13" s="72"/>
      <c r="N13" s="54"/>
      <c r="O13" s="119"/>
      <c r="P13" s="120"/>
      <c r="Q13" s="120"/>
      <c r="R13" s="121"/>
      <c r="S13" s="55"/>
    </row>
    <row r="14" spans="2:19" x14ac:dyDescent="0.25">
      <c r="C14" s="88"/>
      <c r="E14" s="51"/>
      <c r="F14" s="54"/>
      <c r="G14" s="54"/>
      <c r="H14" s="54" t="s">
        <v>31</v>
      </c>
      <c r="I14" s="69" t="s">
        <v>64</v>
      </c>
      <c r="J14" s="70">
        <v>1.6184500000000001E-2</v>
      </c>
      <c r="K14" s="71"/>
      <c r="L14" s="71"/>
      <c r="M14" s="72"/>
      <c r="N14" s="54"/>
      <c r="O14" s="119"/>
      <c r="P14" s="120"/>
      <c r="Q14" s="120"/>
      <c r="R14" s="121"/>
      <c r="S14" s="55"/>
    </row>
    <row r="15" spans="2:19" x14ac:dyDescent="0.25">
      <c r="B15" s="57" t="s">
        <v>32</v>
      </c>
      <c r="C15" s="89"/>
      <c r="E15" s="51"/>
      <c r="F15" s="54"/>
      <c r="G15" s="54"/>
      <c r="H15" s="54" t="s">
        <v>31</v>
      </c>
      <c r="I15" s="69" t="s">
        <v>65</v>
      </c>
      <c r="J15" s="70">
        <v>1.6668100000000002E-2</v>
      </c>
      <c r="K15" s="71"/>
      <c r="L15" s="71"/>
      <c r="M15" s="72"/>
      <c r="N15" s="54"/>
      <c r="O15" s="119"/>
      <c r="P15" s="120"/>
      <c r="Q15" s="120"/>
      <c r="R15" s="121"/>
      <c r="S15" s="55"/>
    </row>
    <row r="16" spans="2:19" x14ac:dyDescent="0.25">
      <c r="B16" s="90" t="s">
        <v>66</v>
      </c>
      <c r="C16" s="91" t="s">
        <v>67</v>
      </c>
      <c r="E16" s="51"/>
      <c r="F16" s="54"/>
      <c r="G16" s="54"/>
      <c r="H16" s="54" t="s">
        <v>31</v>
      </c>
      <c r="I16" s="69" t="s">
        <v>68</v>
      </c>
      <c r="J16" s="70">
        <v>1.7191000000000001E-2</v>
      </c>
      <c r="K16" s="71"/>
      <c r="L16" s="71"/>
      <c r="M16" s="72"/>
      <c r="N16" s="54"/>
      <c r="O16" s="119"/>
      <c r="P16" s="120"/>
      <c r="Q16" s="120"/>
      <c r="R16" s="121"/>
      <c r="S16" s="55"/>
    </row>
    <row r="17" spans="2:19" x14ac:dyDescent="0.25">
      <c r="B17" s="92" t="s">
        <v>69</v>
      </c>
      <c r="C17" s="93" t="s">
        <v>70</v>
      </c>
      <c r="E17" s="51"/>
      <c r="F17" s="54"/>
      <c r="G17" s="54"/>
      <c r="H17" s="54" t="s">
        <v>31</v>
      </c>
      <c r="I17" s="69" t="s">
        <v>71</v>
      </c>
      <c r="J17" s="70">
        <v>1.77368E-2</v>
      </c>
      <c r="K17" s="71"/>
      <c r="L17" s="71"/>
      <c r="M17" s="72"/>
      <c r="N17" s="114"/>
      <c r="O17" s="119"/>
      <c r="P17" s="120"/>
      <c r="Q17" s="120"/>
      <c r="R17" s="121"/>
      <c r="S17" s="77"/>
    </row>
    <row r="18" spans="2:19" x14ac:dyDescent="0.25">
      <c r="B18" s="92" t="s">
        <v>72</v>
      </c>
      <c r="C18" s="93" t="s">
        <v>73</v>
      </c>
      <c r="E18" s="51"/>
      <c r="F18" s="81" t="s">
        <v>74</v>
      </c>
      <c r="G18" s="53"/>
      <c r="H18" s="54" t="s">
        <v>31</v>
      </c>
      <c r="I18" s="69" t="s">
        <v>75</v>
      </c>
      <c r="J18" s="70">
        <v>1.7927999999999999E-2</v>
      </c>
      <c r="K18" s="71"/>
      <c r="L18" s="71"/>
      <c r="M18" s="72"/>
      <c r="N18" s="114"/>
      <c r="O18" s="119"/>
      <c r="P18" s="120"/>
      <c r="Q18" s="120"/>
      <c r="R18" s="121"/>
      <c r="S18" s="77"/>
    </row>
    <row r="19" spans="2:19" x14ac:dyDescent="0.25">
      <c r="B19" s="92" t="s">
        <v>76</v>
      </c>
      <c r="C19" s="93" t="s">
        <v>77</v>
      </c>
      <c r="E19" s="51"/>
      <c r="F19" s="94" t="s">
        <v>58</v>
      </c>
      <c r="G19" s="95" t="s">
        <v>78</v>
      </c>
      <c r="H19" s="54" t="s">
        <v>31</v>
      </c>
      <c r="I19" s="69" t="s">
        <v>79</v>
      </c>
      <c r="J19" s="70">
        <v>1.7939799999999999E-2</v>
      </c>
      <c r="K19" s="71"/>
      <c r="L19" s="71"/>
      <c r="M19" s="72"/>
      <c r="N19" s="54"/>
      <c r="O19" s="119"/>
      <c r="P19" s="120"/>
      <c r="Q19" s="120"/>
      <c r="R19" s="121"/>
      <c r="S19" s="55"/>
    </row>
    <row r="20" spans="2:19" x14ac:dyDescent="0.25">
      <c r="B20" s="92" t="s">
        <v>80</v>
      </c>
      <c r="C20" s="93" t="s">
        <v>81</v>
      </c>
      <c r="E20" s="51"/>
      <c r="F20" s="96" t="s">
        <v>82</v>
      </c>
      <c r="G20" s="97" t="str">
        <f ca="1">C3</f>
        <v>CURVEGEN_USDSOFR@12:4</v>
      </c>
      <c r="H20" s="54" t="s">
        <v>31</v>
      </c>
      <c r="I20" s="69" t="s">
        <v>83</v>
      </c>
      <c r="J20" s="70">
        <v>1.7733800000000001E-2</v>
      </c>
      <c r="K20" s="71"/>
      <c r="L20" s="71"/>
      <c r="M20" s="72"/>
      <c r="N20" s="54"/>
      <c r="O20" s="119"/>
      <c r="P20" s="120"/>
      <c r="Q20" s="120"/>
      <c r="R20" s="121"/>
      <c r="S20" s="55"/>
    </row>
    <row r="21" spans="2:19" x14ac:dyDescent="0.25">
      <c r="B21" s="92" t="s">
        <v>84</v>
      </c>
      <c r="C21" s="93" t="s">
        <v>85</v>
      </c>
      <c r="E21" s="51"/>
      <c r="F21" s="96" t="s">
        <v>86</v>
      </c>
      <c r="G21" s="97" t="s">
        <v>87</v>
      </c>
      <c r="H21" s="54" t="s">
        <v>31</v>
      </c>
      <c r="I21" s="69" t="s">
        <v>88</v>
      </c>
      <c r="J21" s="70">
        <v>1.73572E-2</v>
      </c>
      <c r="K21" s="71"/>
      <c r="L21" s="71"/>
      <c r="M21" s="72"/>
      <c r="N21" s="54"/>
      <c r="O21" s="119"/>
      <c r="P21" s="120"/>
      <c r="Q21" s="120"/>
      <c r="R21" s="121"/>
      <c r="S21" s="55"/>
    </row>
    <row r="22" spans="2:19" x14ac:dyDescent="0.25">
      <c r="B22" s="92" t="s">
        <v>89</v>
      </c>
      <c r="C22" s="93" t="s">
        <v>90</v>
      </c>
      <c r="E22" s="51"/>
      <c r="F22" s="98" t="s">
        <v>91</v>
      </c>
      <c r="G22" s="99"/>
      <c r="H22" s="54" t="s">
        <v>31</v>
      </c>
      <c r="N22" s="54"/>
      <c r="O22" s="119"/>
      <c r="P22" s="120"/>
      <c r="Q22" s="120"/>
      <c r="R22" s="121"/>
      <c r="S22" s="55"/>
    </row>
    <row r="23" spans="2:19" x14ac:dyDescent="0.25">
      <c r="B23" s="92" t="s">
        <v>92</v>
      </c>
      <c r="C23" s="93" t="s">
        <v>93</v>
      </c>
      <c r="E23" s="51"/>
      <c r="F23" s="54"/>
      <c r="G23" s="54"/>
      <c r="H23" s="54" t="s">
        <v>31</v>
      </c>
      <c r="I23" s="69"/>
      <c r="K23" s="71"/>
      <c r="L23" s="71"/>
      <c r="M23" s="72"/>
      <c r="N23" s="54"/>
      <c r="O23" s="119"/>
      <c r="P23" s="120"/>
      <c r="Q23" s="120"/>
      <c r="R23" s="121"/>
      <c r="S23" s="55"/>
    </row>
    <row r="24" spans="2:19" x14ac:dyDescent="0.25">
      <c r="B24" s="92" t="s">
        <v>94</v>
      </c>
      <c r="C24" s="93" t="s">
        <v>95</v>
      </c>
      <c r="E24" s="51"/>
      <c r="F24" s="54"/>
      <c r="G24" s="54"/>
      <c r="H24" s="54" t="s">
        <v>31</v>
      </c>
      <c r="I24" s="69"/>
      <c r="J24" s="70"/>
      <c r="K24" s="71"/>
      <c r="L24" s="71"/>
      <c r="M24" s="72"/>
      <c r="N24" s="54"/>
      <c r="O24" s="119"/>
      <c r="P24" s="120"/>
      <c r="Q24" s="120"/>
      <c r="R24" s="121"/>
      <c r="S24" s="55"/>
    </row>
    <row r="25" spans="2:19" x14ac:dyDescent="0.25">
      <c r="B25" s="92" t="s">
        <v>96</v>
      </c>
      <c r="C25" s="93" t="s">
        <v>97</v>
      </c>
      <c r="E25" s="51"/>
      <c r="F25" s="54"/>
      <c r="G25" s="54"/>
      <c r="H25" s="54" t="s">
        <v>31</v>
      </c>
      <c r="I25" s="69"/>
      <c r="J25" s="70"/>
      <c r="K25" s="71"/>
      <c r="L25" s="71"/>
      <c r="M25" s="72"/>
      <c r="N25" s="54"/>
      <c r="O25" s="119"/>
      <c r="P25" s="120"/>
      <c r="Q25" s="120"/>
      <c r="R25" s="121"/>
      <c r="S25" s="55"/>
    </row>
    <row r="26" spans="2:19" x14ac:dyDescent="0.25">
      <c r="B26" s="92" t="s">
        <v>98</v>
      </c>
      <c r="C26" s="93" t="s">
        <v>99</v>
      </c>
      <c r="E26" s="51"/>
      <c r="F26" s="81" t="s">
        <v>100</v>
      </c>
      <c r="G26" s="54"/>
      <c r="H26" s="54" t="s">
        <v>31</v>
      </c>
      <c r="I26" s="69"/>
      <c r="J26" s="70"/>
      <c r="K26" s="71"/>
      <c r="L26" s="71"/>
      <c r="M26" s="72"/>
      <c r="N26" s="54"/>
      <c r="O26" s="119"/>
      <c r="P26" s="120"/>
      <c r="Q26" s="120"/>
      <c r="R26" s="121"/>
      <c r="S26" s="55"/>
    </row>
    <row r="27" spans="2:19" x14ac:dyDescent="0.25">
      <c r="B27" s="92" t="s">
        <v>101</v>
      </c>
      <c r="C27" s="100">
        <v>1E-10</v>
      </c>
      <c r="E27" s="51"/>
      <c r="F27" s="90" t="s">
        <v>58</v>
      </c>
      <c r="G27" s="101" t="str">
        <f t="array" aca="1" ref="G27:G30" ca="1">_xll.meLWOCurveCalibrate(G19,G20,G13,G21,G22)</f>
        <v>CURVE_USDSOFR@14:3</v>
      </c>
      <c r="H27" s="54" t="s">
        <v>31</v>
      </c>
      <c r="I27" s="69"/>
      <c r="J27" s="70"/>
      <c r="K27" s="71"/>
      <c r="L27" s="71"/>
      <c r="M27" s="72"/>
      <c r="N27" s="54"/>
      <c r="O27" s="119"/>
      <c r="P27" s="120"/>
      <c r="Q27" s="120"/>
      <c r="R27" s="121"/>
      <c r="S27" s="55"/>
    </row>
    <row r="28" spans="2:19" x14ac:dyDescent="0.25">
      <c r="B28" s="92" t="s">
        <v>102</v>
      </c>
      <c r="C28" s="93" t="s">
        <v>103</v>
      </c>
      <c r="E28" s="51"/>
      <c r="F28" s="92" t="s">
        <v>104</v>
      </c>
      <c r="G28" s="93" t="str">
        <f ca="1"/>
        <v>USDYC</v>
      </c>
      <c r="H28" s="54" t="s">
        <v>31</v>
      </c>
      <c r="I28" s="69"/>
      <c r="J28" s="70"/>
      <c r="K28" s="71"/>
      <c r="L28" s="71"/>
      <c r="M28" s="72"/>
      <c r="N28" s="54"/>
      <c r="O28" s="119"/>
      <c r="P28" s="120"/>
      <c r="Q28" s="120"/>
      <c r="R28" s="121"/>
      <c r="S28" s="55"/>
    </row>
    <row r="29" spans="2:19" x14ac:dyDescent="0.25">
      <c r="B29" s="92" t="s">
        <v>105</v>
      </c>
      <c r="C29" s="93" t="s">
        <v>106</v>
      </c>
      <c r="E29" s="51"/>
      <c r="F29" s="92" t="s">
        <v>107</v>
      </c>
      <c r="G29" s="93" t="str">
        <f ca="1"/>
        <v>SOFR:USDSOFR</v>
      </c>
      <c r="H29" s="54" t="s">
        <v>31</v>
      </c>
      <c r="I29" s="69"/>
      <c r="J29" s="70"/>
      <c r="K29" s="71"/>
      <c r="L29" s="71"/>
      <c r="M29" s="103"/>
      <c r="N29" s="54"/>
      <c r="O29" s="119"/>
      <c r="P29" s="120"/>
      <c r="Q29" s="120"/>
      <c r="R29" s="121"/>
      <c r="S29" s="55"/>
    </row>
    <row r="30" spans="2:19" x14ac:dyDescent="0.25">
      <c r="B30" s="104" t="s">
        <v>108</v>
      </c>
      <c r="C30" s="102" t="s">
        <v>109</v>
      </c>
      <c r="E30" s="51"/>
      <c r="F30" s="104" t="s">
        <v>110</v>
      </c>
      <c r="G30" s="102" t="str">
        <f ca="1"/>
        <v>0.04300 sec</v>
      </c>
      <c r="H30" s="54" t="s">
        <v>31</v>
      </c>
      <c r="I30" s="105"/>
      <c r="J30" s="106"/>
      <c r="K30" s="107"/>
      <c r="L30" s="107"/>
      <c r="M30" s="108"/>
      <c r="N30" s="54"/>
      <c r="O30" s="122"/>
      <c r="P30" s="123"/>
      <c r="Q30" s="123"/>
      <c r="R30" s="124"/>
      <c r="S30" s="55"/>
    </row>
    <row r="31" spans="2:19" x14ac:dyDescent="0.25">
      <c r="E31" s="51"/>
      <c r="F31" s="109" t="s">
        <v>111</v>
      </c>
      <c r="G31" s="110" t="b">
        <f ca="1">_xll.meLWOExists(G27,"CURVE")</f>
        <v>1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5"/>
    </row>
    <row r="32" spans="2:19" x14ac:dyDescent="0.25">
      <c r="E32" s="111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5"/>
  <sheetViews>
    <sheetView showGridLines="0" zoomScaleNormal="100" workbookViewId="0"/>
  </sheetViews>
  <sheetFormatPr defaultRowHeight="15" x14ac:dyDescent="0.25"/>
  <cols>
    <col min="2" max="2" width="17.28515625" bestFit="1" customWidth="1"/>
    <col min="3" max="3" width="20.140625" customWidth="1"/>
    <col min="4" max="4" width="8.85546875" customWidth="1"/>
    <col min="5" max="5" width="19" customWidth="1"/>
    <col min="6" max="6" width="16.7109375" bestFit="1" customWidth="1"/>
    <col min="7" max="7" width="17.28515625" bestFit="1" customWidth="1"/>
    <col min="8" max="8" width="15.42578125" bestFit="1" customWidth="1"/>
    <col min="9" max="9" width="5.7109375" customWidth="1"/>
    <col min="10" max="10" width="9.140625" customWidth="1"/>
    <col min="11" max="11" width="12.42578125" customWidth="1"/>
    <col min="12" max="13" width="9.140625" customWidth="1"/>
  </cols>
  <sheetData>
    <row r="1" spans="2:15" ht="18.75" x14ac:dyDescent="0.25">
      <c r="E1" s="1"/>
    </row>
    <row r="2" spans="2:15" ht="18.75" x14ac:dyDescent="0.25">
      <c r="B2" s="2" t="s">
        <v>0</v>
      </c>
      <c r="E2" s="2" t="s">
        <v>1</v>
      </c>
      <c r="K2" s="3"/>
    </row>
    <row r="3" spans="2:15" x14ac:dyDescent="0.25">
      <c r="B3" t="s">
        <v>2</v>
      </c>
      <c r="C3" s="4">
        <v>43894</v>
      </c>
      <c r="E3" s="5" t="s">
        <v>3</v>
      </c>
      <c r="F3" s="5" t="s">
        <v>4</v>
      </c>
      <c r="G3" s="5" t="s">
        <v>5</v>
      </c>
      <c r="H3" s="5" t="s">
        <v>6</v>
      </c>
      <c r="I3" s="5"/>
      <c r="K3" s="2" t="s">
        <v>7</v>
      </c>
      <c r="N3" s="6">
        <v>25</v>
      </c>
      <c r="O3" s="7" t="s">
        <v>8</v>
      </c>
    </row>
    <row r="4" spans="2:15" x14ac:dyDescent="0.25">
      <c r="B4" t="s">
        <v>9</v>
      </c>
      <c r="C4" s="8" t="s">
        <v>10</v>
      </c>
      <c r="E4" s="9" t="s">
        <v>11</v>
      </c>
      <c r="F4" s="9">
        <f ca="1">B12</f>
        <v>43994</v>
      </c>
      <c r="G4" s="10">
        <f ca="1">F4+$N$4</f>
        <v>44004</v>
      </c>
      <c r="H4" s="11">
        <v>1.4999999999999999E-2</v>
      </c>
      <c r="I4" s="5"/>
      <c r="K4" s="12" t="s">
        <v>12</v>
      </c>
      <c r="N4" s="6">
        <v>10</v>
      </c>
      <c r="O4" s="7" t="s">
        <v>8</v>
      </c>
    </row>
    <row r="5" spans="2:15" x14ac:dyDescent="0.25">
      <c r="B5" t="s">
        <v>13</v>
      </c>
      <c r="C5" s="8" t="s">
        <v>14</v>
      </c>
      <c r="E5" s="13" t="s">
        <v>11</v>
      </c>
      <c r="F5" s="13">
        <f ca="1">B18</f>
        <v>44594</v>
      </c>
      <c r="G5" s="14">
        <f ca="1">F5+$N$4</f>
        <v>44604</v>
      </c>
      <c r="H5" s="15">
        <v>-1.4999999999999999E-2</v>
      </c>
      <c r="I5" s="5"/>
    </row>
    <row r="6" spans="2:15" x14ac:dyDescent="0.25">
      <c r="B6" t="s">
        <v>15</v>
      </c>
      <c r="C6" s="4">
        <f ca="1">C3</f>
        <v>43894</v>
      </c>
      <c r="E6" s="16" t="s">
        <v>11</v>
      </c>
      <c r="F6" s="16">
        <f ca="1">B24</f>
        <v>45194</v>
      </c>
      <c r="G6" s="17">
        <f ca="1">F6+$N$4</f>
        <v>45204</v>
      </c>
      <c r="H6" s="18">
        <v>0.01</v>
      </c>
      <c r="I6" s="5"/>
    </row>
    <row r="7" spans="2:15" x14ac:dyDescent="0.25">
      <c r="B7" t="s">
        <v>16</v>
      </c>
      <c r="C7" s="19">
        <v>10</v>
      </c>
      <c r="E7" s="20" t="s">
        <v>11</v>
      </c>
      <c r="F7" s="20">
        <f ca="1">B28</f>
        <v>45594</v>
      </c>
      <c r="G7" s="21">
        <f ca="1">F7+$N$4</f>
        <v>45604</v>
      </c>
      <c r="H7" s="22">
        <v>-0.01</v>
      </c>
      <c r="I7" s="5"/>
    </row>
    <row r="8" spans="2:15" x14ac:dyDescent="0.25">
      <c r="I8" s="5"/>
    </row>
    <row r="9" spans="2:15" x14ac:dyDescent="0.25">
      <c r="E9" s="12" t="s">
        <v>17</v>
      </c>
      <c r="F9" s="23"/>
      <c r="G9" s="7"/>
      <c r="H9" s="23" t="s">
        <v>18</v>
      </c>
      <c r="I9" s="5"/>
    </row>
    <row r="10" spans="2:15" x14ac:dyDescent="0.25">
      <c r="B10" s="7" t="s">
        <v>19</v>
      </c>
      <c r="C10" s="7" t="s">
        <v>20</v>
      </c>
      <c r="E10" s="7" t="s">
        <v>21</v>
      </c>
      <c r="F10" s="24" t="s">
        <v>22</v>
      </c>
      <c r="G10" s="7" t="s">
        <v>23</v>
      </c>
      <c r="H10" s="24" t="s">
        <v>22</v>
      </c>
      <c r="I10" s="5"/>
    </row>
    <row r="11" spans="2:15" x14ac:dyDescent="0.25">
      <c r="B11" s="33">
        <v>43894</v>
      </c>
      <c r="C11" s="34">
        <f t="shared" ref="C11:C30" ca="1" si="0">IF($C$5="FORWARDRATE",C37,B37)</f>
        <v>0.02</v>
      </c>
      <c r="D11" s="26"/>
      <c r="E11" s="27">
        <f t="array" aca="1" ref="E11:E30" ca="1">_xll.meMathDiscountFactors($B$11:$B$30,$C$3,$C$4,$C$5,$B$11:$B$30,$C$11:$C$30,$C$6,$C$7,$E$4:$H$7)</f>
        <v>1</v>
      </c>
      <c r="F11" s="37">
        <f t="shared" ref="F11:F30" ca="1" si="1">E11-B37</f>
        <v>0</v>
      </c>
      <c r="G11" s="28">
        <f t="array" aca="1" ref="G11:G30" ca="1">_xll.meMathForwardRates($B$11:$B$30,$C$3,$C$4,$C$5,$B$11:$B$30,$C$11:$C$30,$C$6,$C$7,$E$4:$H$7)</f>
        <v>0.02</v>
      </c>
      <c r="H11" s="38">
        <f ca="1">G11-C37</f>
        <v>0</v>
      </c>
      <c r="I11" s="29"/>
    </row>
    <row r="12" spans="2:15" x14ac:dyDescent="0.25">
      <c r="B12" s="40">
        <v>43994</v>
      </c>
      <c r="C12" s="34">
        <f t="shared" ca="1" si="0"/>
        <v>0.02</v>
      </c>
      <c r="D12" s="25"/>
      <c r="E12" s="27">
        <f ca="1"/>
        <v>0.99453553276059714</v>
      </c>
      <c r="F12" s="37">
        <f t="shared" ca="1" si="1"/>
        <v>0</v>
      </c>
      <c r="G12" s="41">
        <f ca="1"/>
        <v>3.5000000000000003E-2</v>
      </c>
      <c r="H12" s="38">
        <f t="shared" ref="H12:H30" ca="1" si="2">G12-C38</f>
        <v>1.5000000000000003E-2</v>
      </c>
      <c r="I12" s="29"/>
    </row>
    <row r="13" spans="2:15" x14ac:dyDescent="0.25">
      <c r="B13" s="33">
        <v>44094</v>
      </c>
      <c r="C13" s="34">
        <f t="shared" ca="1" si="0"/>
        <v>0.02</v>
      </c>
      <c r="D13" s="25"/>
      <c r="E13" s="27">
        <f ca="1"/>
        <v>0.98910092592340471</v>
      </c>
      <c r="F13" s="37">
        <f t="shared" ca="1" si="1"/>
        <v>0</v>
      </c>
      <c r="G13" s="28">
        <f ca="1"/>
        <v>0.02</v>
      </c>
      <c r="H13" s="38">
        <f t="shared" ca="1" si="2"/>
        <v>0</v>
      </c>
      <c r="I13" s="29"/>
    </row>
    <row r="14" spans="2:15" x14ac:dyDescent="0.25">
      <c r="B14" s="33">
        <v>44194</v>
      </c>
      <c r="C14" s="34">
        <f t="shared" ca="1" si="0"/>
        <v>0.02</v>
      </c>
      <c r="D14" s="25"/>
      <c r="E14" s="27">
        <f ca="1"/>
        <v>0.98369601631723325</v>
      </c>
      <c r="F14" s="37">
        <f t="shared" ca="1" si="1"/>
        <v>0</v>
      </c>
      <c r="G14" s="28">
        <f ca="1"/>
        <v>0.02</v>
      </c>
      <c r="H14" s="38">
        <f t="shared" ca="1" si="2"/>
        <v>0</v>
      </c>
      <c r="I14" s="29"/>
    </row>
    <row r="15" spans="2:15" x14ac:dyDescent="0.25">
      <c r="B15" s="33">
        <v>44294</v>
      </c>
      <c r="C15" s="34">
        <f t="shared" ca="1" si="0"/>
        <v>0.02</v>
      </c>
      <c r="D15" s="25"/>
      <c r="E15" s="27">
        <f ca="1"/>
        <v>0.97832064166253663</v>
      </c>
      <c r="F15" s="37">
        <f t="shared" ca="1" si="1"/>
        <v>0</v>
      </c>
      <c r="G15" s="28">
        <f ca="1"/>
        <v>0.02</v>
      </c>
      <c r="H15" s="38">
        <f t="shared" ca="1" si="2"/>
        <v>0</v>
      </c>
      <c r="I15" s="29"/>
    </row>
    <row r="16" spans="2:15" x14ac:dyDescent="0.25">
      <c r="B16" s="33">
        <v>44394</v>
      </c>
      <c r="C16" s="34">
        <f t="shared" ca="1" si="0"/>
        <v>0.02</v>
      </c>
      <c r="D16" s="25"/>
      <c r="E16" s="27">
        <f ca="1"/>
        <v>0.97297464056654004</v>
      </c>
      <c r="F16" s="37">
        <f t="shared" ca="1" si="1"/>
        <v>0</v>
      </c>
      <c r="G16" s="28">
        <f ca="1"/>
        <v>0.02</v>
      </c>
      <c r="H16" s="38">
        <f t="shared" ca="1" si="2"/>
        <v>0</v>
      </c>
      <c r="I16" s="29"/>
    </row>
    <row r="17" spans="2:9" x14ac:dyDescent="0.25">
      <c r="B17" s="33">
        <v>44494</v>
      </c>
      <c r="C17" s="34">
        <f t="shared" ca="1" si="0"/>
        <v>0.02</v>
      </c>
      <c r="D17" s="25"/>
      <c r="E17" s="27">
        <f ca="1"/>
        <v>0.96765785251839442</v>
      </c>
      <c r="F17" s="37">
        <f t="shared" ca="1" si="1"/>
        <v>0</v>
      </c>
      <c r="G17" s="28">
        <f ca="1"/>
        <v>0.02</v>
      </c>
      <c r="H17" s="38">
        <f t="shared" ca="1" si="2"/>
        <v>0</v>
      </c>
      <c r="I17" s="29"/>
    </row>
    <row r="18" spans="2:9" x14ac:dyDescent="0.25">
      <c r="B18" s="30">
        <v>44594</v>
      </c>
      <c r="C18" s="34">
        <f t="shared" ca="1" si="0"/>
        <v>0.02</v>
      </c>
      <c r="D18" s="25"/>
      <c r="E18" s="27">
        <f ca="1"/>
        <v>0.96197470457023926</v>
      </c>
      <c r="F18" s="37">
        <f t="shared" ca="1" si="1"/>
        <v>-3.9541331411740988E-4</v>
      </c>
      <c r="G18" s="42">
        <f ca="1"/>
        <v>5.000000000000001E-3</v>
      </c>
      <c r="H18" s="38">
        <f t="shared" ca="1" si="2"/>
        <v>-1.4999999999999999E-2</v>
      </c>
      <c r="I18" s="29"/>
    </row>
    <row r="19" spans="2:9" x14ac:dyDescent="0.25">
      <c r="B19" s="33">
        <v>44694</v>
      </c>
      <c r="C19" s="34">
        <f t="shared" ca="1" si="0"/>
        <v>0.02</v>
      </c>
      <c r="D19" s="25"/>
      <c r="E19" s="27">
        <f ca="1"/>
        <v>0.95671802531198091</v>
      </c>
      <c r="F19" s="37">
        <f t="shared" ca="1" si="1"/>
        <v>-3.9325259101641308E-4</v>
      </c>
      <c r="G19" s="28">
        <f ca="1"/>
        <v>0.02</v>
      </c>
      <c r="H19" s="38">
        <f t="shared" ca="1" si="2"/>
        <v>0</v>
      </c>
      <c r="I19" s="29"/>
    </row>
    <row r="20" spans="2:9" x14ac:dyDescent="0.25">
      <c r="B20" s="33">
        <v>44794</v>
      </c>
      <c r="C20" s="34">
        <f t="shared" ca="1" si="0"/>
        <v>0.02</v>
      </c>
      <c r="D20" s="25"/>
      <c r="E20" s="27">
        <f ca="1"/>
        <v>0.95149007100531735</v>
      </c>
      <c r="F20" s="37">
        <f t="shared" ca="1" si="1"/>
        <v>-3.9110367511596689E-4</v>
      </c>
      <c r="G20" s="28">
        <f ca="1"/>
        <v>0.02</v>
      </c>
      <c r="H20" s="38">
        <f t="shared" ca="1" si="2"/>
        <v>0</v>
      </c>
      <c r="I20" s="29"/>
    </row>
    <row r="21" spans="2:9" x14ac:dyDescent="0.25">
      <c r="B21" s="33">
        <v>44894</v>
      </c>
      <c r="C21" s="34">
        <f t="shared" ca="1" si="0"/>
        <v>0.02</v>
      </c>
      <c r="D21" s="25"/>
      <c r="E21" s="27">
        <f ca="1"/>
        <v>0.9462906846836916</v>
      </c>
      <c r="F21" s="37">
        <f t="shared" ca="1" si="1"/>
        <v>-3.8896650189612636E-4</v>
      </c>
      <c r="G21" s="28">
        <f ca="1"/>
        <v>0.02</v>
      </c>
      <c r="H21" s="38">
        <f t="shared" ca="1" si="2"/>
        <v>0</v>
      </c>
      <c r="I21" s="29"/>
    </row>
    <row r="22" spans="2:9" x14ac:dyDescent="0.25">
      <c r="B22" s="33">
        <v>44994</v>
      </c>
      <c r="C22" s="34">
        <f t="shared" ca="1" si="0"/>
        <v>0.02</v>
      </c>
      <c r="D22" s="25"/>
      <c r="E22" s="27">
        <f ca="1"/>
        <v>0.94111971023828556</v>
      </c>
      <c r="F22" s="37">
        <f t="shared" ca="1" si="1"/>
        <v>-3.8684100718922032E-4</v>
      </c>
      <c r="G22" s="28">
        <f ca="1"/>
        <v>0.02</v>
      </c>
      <c r="H22" s="38">
        <f t="shared" ca="1" si="2"/>
        <v>0</v>
      </c>
      <c r="I22" s="29"/>
    </row>
    <row r="23" spans="2:9" x14ac:dyDescent="0.25">
      <c r="B23" s="33">
        <v>45094</v>
      </c>
      <c r="C23" s="34">
        <f t="shared" ca="1" si="0"/>
        <v>0.02</v>
      </c>
      <c r="D23" s="25"/>
      <c r="E23" s="27">
        <f ca="1"/>
        <v>0.9359769924133321</v>
      </c>
      <c r="F23" s="37">
        <f t="shared" ca="1" si="1"/>
        <v>-3.8472712717863011E-4</v>
      </c>
      <c r="G23" s="28">
        <f ca="1"/>
        <v>0.02</v>
      </c>
      <c r="H23" s="38">
        <f t="shared" ca="1" si="2"/>
        <v>0</v>
      </c>
      <c r="I23" s="29"/>
    </row>
    <row r="24" spans="2:9" x14ac:dyDescent="0.25">
      <c r="B24" s="39">
        <v>45194</v>
      </c>
      <c r="C24" s="34">
        <f t="shared" ca="1" si="0"/>
        <v>0.02</v>
      </c>
      <c r="D24" s="25"/>
      <c r="E24" s="27">
        <f ca="1"/>
        <v>0.93124500159985057</v>
      </c>
      <c r="F24" s="37">
        <f t="shared" ca="1" si="1"/>
        <v>0</v>
      </c>
      <c r="G24" s="43">
        <f ca="1"/>
        <v>0.03</v>
      </c>
      <c r="H24" s="38">
        <f t="shared" ca="1" si="2"/>
        <v>9.9999999999999985E-3</v>
      </c>
      <c r="I24" s="29"/>
    </row>
    <row r="25" spans="2:9" x14ac:dyDescent="0.25">
      <c r="B25" s="33">
        <v>45294</v>
      </c>
      <c r="C25" s="34">
        <f t="shared" ca="1" si="0"/>
        <v>0.02</v>
      </c>
      <c r="D25" s="25"/>
      <c r="E25" s="27">
        <f ca="1"/>
        <v>0.92615624379675054</v>
      </c>
      <c r="F25" s="37">
        <f t="shared" ca="1" si="1"/>
        <v>0</v>
      </c>
      <c r="G25" s="28">
        <f ca="1"/>
        <v>0.02</v>
      </c>
      <c r="H25" s="38">
        <f t="shared" ca="1" si="2"/>
        <v>0</v>
      </c>
      <c r="I25" s="29"/>
    </row>
    <row r="26" spans="2:9" x14ac:dyDescent="0.25">
      <c r="B26" s="33">
        <v>45394</v>
      </c>
      <c r="C26" s="34">
        <f t="shared" ca="1" si="0"/>
        <v>0.02</v>
      </c>
      <c r="D26" s="25"/>
      <c r="E26" s="27">
        <f ca="1"/>
        <v>0.92109529334395479</v>
      </c>
      <c r="F26" s="37">
        <f t="shared" ca="1" si="1"/>
        <v>0</v>
      </c>
      <c r="G26" s="28">
        <f ca="1"/>
        <v>0.02</v>
      </c>
      <c r="H26" s="38">
        <f t="shared" ca="1" si="2"/>
        <v>0</v>
      </c>
      <c r="I26" s="29"/>
    </row>
    <row r="27" spans="2:9" x14ac:dyDescent="0.25">
      <c r="B27" s="33">
        <v>45494</v>
      </c>
      <c r="C27" s="34">
        <f t="shared" ca="1" si="0"/>
        <v>0.02</v>
      </c>
      <c r="D27" s="25"/>
      <c r="E27" s="27">
        <f ca="1"/>
        <v>0.9160619982891085</v>
      </c>
      <c r="F27" s="37">
        <f t="shared" ca="1" si="1"/>
        <v>0</v>
      </c>
      <c r="G27" s="28">
        <f ca="1"/>
        <v>0.02</v>
      </c>
      <c r="H27" s="38">
        <f t="shared" ca="1" si="2"/>
        <v>0</v>
      </c>
      <c r="I27" s="29"/>
    </row>
    <row r="28" spans="2:9" x14ac:dyDescent="0.25">
      <c r="B28" s="31">
        <v>45594</v>
      </c>
      <c r="C28" s="34">
        <f t="shared" ca="1" si="0"/>
        <v>0.02</v>
      </c>
      <c r="D28" s="25"/>
      <c r="E28" s="27">
        <f ca="1"/>
        <v>0.91080663725904876</v>
      </c>
      <c r="F28" s="37">
        <f t="shared" ca="1" si="1"/>
        <v>-2.4957025114702436E-4</v>
      </c>
      <c r="G28" s="44">
        <f ca="1"/>
        <v>0.01</v>
      </c>
      <c r="H28" s="38">
        <f t="shared" ca="1" si="2"/>
        <v>-0.01</v>
      </c>
      <c r="I28" s="29"/>
    </row>
    <row r="29" spans="2:9" x14ac:dyDescent="0.25">
      <c r="B29" s="33">
        <v>45694</v>
      </c>
      <c r="C29" s="34">
        <f t="shared" ca="1" si="0"/>
        <v>0.02</v>
      </c>
      <c r="D29" s="25"/>
      <c r="E29" s="27">
        <f ca="1"/>
        <v>0.90582956422831584</v>
      </c>
      <c r="F29" s="37">
        <f t="shared" ca="1" si="1"/>
        <v>-2.4820648268575329E-4</v>
      </c>
      <c r="G29" s="28">
        <f ca="1"/>
        <v>0.02</v>
      </c>
      <c r="H29" s="38">
        <f t="shared" ca="1" si="2"/>
        <v>0</v>
      </c>
      <c r="I29" s="29"/>
    </row>
    <row r="30" spans="2:9" x14ac:dyDescent="0.25">
      <c r="B30" s="33">
        <v>45794</v>
      </c>
      <c r="C30" s="34">
        <f t="shared" ca="1" si="0"/>
        <v>0.02</v>
      </c>
      <c r="D30" s="25"/>
      <c r="E30" s="27">
        <f ca="1"/>
        <v>0.90087968825010767</v>
      </c>
      <c r="F30" s="37">
        <f t="shared" ca="1" si="1"/>
        <v>-2.4685016649250713E-4</v>
      </c>
      <c r="G30" s="28">
        <f ca="1"/>
        <v>0.02</v>
      </c>
      <c r="H30" s="38">
        <f t="shared" ca="1" si="2"/>
        <v>0</v>
      </c>
      <c r="I30" s="29"/>
    </row>
    <row r="31" spans="2:9" x14ac:dyDescent="0.25">
      <c r="I31" s="5"/>
    </row>
    <row r="32" spans="2:9" x14ac:dyDescent="0.25">
      <c r="I32" s="5"/>
    </row>
    <row r="33" spans="2:9" x14ac:dyDescent="0.25">
      <c r="I33" s="5"/>
    </row>
    <row r="34" spans="2:9" x14ac:dyDescent="0.25">
      <c r="I34" s="5"/>
    </row>
    <row r="35" spans="2:9" x14ac:dyDescent="0.25">
      <c r="E35" s="23" t="s">
        <v>24</v>
      </c>
      <c r="F35" s="23" t="s">
        <v>25</v>
      </c>
      <c r="G35" s="23" t="s">
        <v>26</v>
      </c>
      <c r="I35" s="5"/>
    </row>
    <row r="36" spans="2:9" x14ac:dyDescent="0.25">
      <c r="B36" s="7" t="s">
        <v>27</v>
      </c>
      <c r="C36" s="7" t="s">
        <v>28</v>
      </c>
      <c r="E36" s="4">
        <f ca="1">B11</f>
        <v>43894</v>
      </c>
      <c r="F36" s="28">
        <f t="array" aca="1" ref="F36:F121" ca="1">_xll.meMathForwardRates($E$36:$E$121,$C$3,$C$4,$C$5,$B$11:$B$30,$C$11:$C$30,$C$6,$C$7)</f>
        <v>0.02</v>
      </c>
      <c r="G36" s="28">
        <f t="array" aca="1" ref="G36:G121" ca="1">_xll.meMathForwardRates($E$36:$E$121,$C$3,$C$4,$C$5,$B$11:$B$30,$C$11:$C$30,$C$6,$C$7,$E$4:$H$7)</f>
        <v>0.02</v>
      </c>
      <c r="I36" s="5"/>
    </row>
    <row r="37" spans="2:9" x14ac:dyDescent="0.25">
      <c r="B37" s="35">
        <v>1</v>
      </c>
      <c r="C37" s="36">
        <v>0.02</v>
      </c>
      <c r="E37" s="4">
        <f t="shared" ref="E37:E100" ca="1" si="3">E36+$N$3</f>
        <v>43919</v>
      </c>
      <c r="F37" s="28">
        <f ca="1"/>
        <v>0.02</v>
      </c>
      <c r="G37" s="28">
        <f ca="1"/>
        <v>0.02</v>
      </c>
      <c r="I37" s="5"/>
    </row>
    <row r="38" spans="2:9" x14ac:dyDescent="0.25">
      <c r="B38" s="35">
        <v>0.99453553276059714</v>
      </c>
      <c r="C38" s="36">
        <v>0.02</v>
      </c>
      <c r="E38" s="4">
        <f t="shared" ca="1" si="3"/>
        <v>43944</v>
      </c>
      <c r="F38" s="28">
        <f ca="1"/>
        <v>0.02</v>
      </c>
      <c r="G38" s="28">
        <f ca="1"/>
        <v>0.02</v>
      </c>
      <c r="I38" s="5"/>
    </row>
    <row r="39" spans="2:9" x14ac:dyDescent="0.25">
      <c r="B39" s="35">
        <v>0.98910092592340471</v>
      </c>
      <c r="C39" s="36">
        <v>0.02</v>
      </c>
      <c r="E39" s="4">
        <f t="shared" ca="1" si="3"/>
        <v>43969</v>
      </c>
      <c r="F39" s="28">
        <f ca="1"/>
        <v>0.02</v>
      </c>
      <c r="G39" s="28">
        <f ca="1"/>
        <v>0.02</v>
      </c>
      <c r="I39" s="5"/>
    </row>
    <row r="40" spans="2:9" x14ac:dyDescent="0.25">
      <c r="B40" s="35">
        <v>0.98369601631723325</v>
      </c>
      <c r="C40" s="36">
        <v>0.02</v>
      </c>
      <c r="E40" s="4">
        <f t="shared" ca="1" si="3"/>
        <v>43994</v>
      </c>
      <c r="F40" s="28">
        <f ca="1"/>
        <v>0.02</v>
      </c>
      <c r="G40" s="28">
        <f ca="1"/>
        <v>3.5000000000000003E-2</v>
      </c>
      <c r="I40" s="5"/>
    </row>
    <row r="41" spans="2:9" x14ac:dyDescent="0.25">
      <c r="B41" s="35">
        <v>0.97832064166253663</v>
      </c>
      <c r="C41" s="36">
        <v>0.02</v>
      </c>
      <c r="E41" s="4">
        <f t="shared" ca="1" si="3"/>
        <v>44019</v>
      </c>
      <c r="F41" s="28">
        <f ca="1"/>
        <v>0.02</v>
      </c>
      <c r="G41" s="28">
        <f ca="1"/>
        <v>0.02</v>
      </c>
      <c r="I41" s="5"/>
    </row>
    <row r="42" spans="2:9" x14ac:dyDescent="0.25">
      <c r="B42" s="35">
        <v>0.97297464056654004</v>
      </c>
      <c r="C42" s="36">
        <v>0.02</v>
      </c>
      <c r="E42" s="4">
        <f t="shared" ca="1" si="3"/>
        <v>44044</v>
      </c>
      <c r="F42" s="28">
        <f ca="1"/>
        <v>0.02</v>
      </c>
      <c r="G42" s="28">
        <f ca="1"/>
        <v>0.02</v>
      </c>
      <c r="I42" s="5"/>
    </row>
    <row r="43" spans="2:9" x14ac:dyDescent="0.25">
      <c r="B43" s="35">
        <v>0.96765785251839442</v>
      </c>
      <c r="C43" s="36">
        <v>0.02</v>
      </c>
      <c r="E43" s="4">
        <f t="shared" ca="1" si="3"/>
        <v>44069</v>
      </c>
      <c r="F43" s="28">
        <f ca="1"/>
        <v>0.02</v>
      </c>
      <c r="G43" s="28">
        <f ca="1"/>
        <v>0.02</v>
      </c>
      <c r="I43" s="5"/>
    </row>
    <row r="44" spans="2:9" x14ac:dyDescent="0.25">
      <c r="B44" s="35">
        <v>0.96237011788435667</v>
      </c>
      <c r="C44" s="36">
        <v>0.02</v>
      </c>
      <c r="E44" s="4">
        <f t="shared" ca="1" si="3"/>
        <v>44094</v>
      </c>
      <c r="F44" s="28">
        <f ca="1"/>
        <v>0.02</v>
      </c>
      <c r="G44" s="28">
        <f ca="1"/>
        <v>0.02</v>
      </c>
      <c r="I44" s="5"/>
    </row>
    <row r="45" spans="2:9" x14ac:dyDescent="0.25">
      <c r="B45" s="35">
        <v>0.95711127790299733</v>
      </c>
      <c r="C45" s="36">
        <v>0.02</v>
      </c>
      <c r="E45" s="4">
        <f t="shared" ca="1" si="3"/>
        <v>44119</v>
      </c>
      <c r="F45" s="28">
        <f ca="1"/>
        <v>0.02</v>
      </c>
      <c r="G45" s="28">
        <f ca="1"/>
        <v>0.02</v>
      </c>
      <c r="I45" s="5"/>
    </row>
    <row r="46" spans="2:9" x14ac:dyDescent="0.25">
      <c r="B46" s="35">
        <v>0.95188117468043332</v>
      </c>
      <c r="C46" s="36">
        <v>0.02</v>
      </c>
      <c r="E46" s="4">
        <f t="shared" ca="1" si="3"/>
        <v>44144</v>
      </c>
      <c r="F46" s="28">
        <f ca="1"/>
        <v>0.02</v>
      </c>
      <c r="G46" s="28">
        <f ca="1"/>
        <v>0.02</v>
      </c>
      <c r="I46" s="5"/>
    </row>
    <row r="47" spans="2:9" x14ac:dyDescent="0.25">
      <c r="B47" s="35">
        <v>0.94667965118558772</v>
      </c>
      <c r="C47" s="36">
        <v>0.02</v>
      </c>
      <c r="E47" s="4">
        <f t="shared" ca="1" si="3"/>
        <v>44169</v>
      </c>
      <c r="F47" s="28">
        <f ca="1"/>
        <v>0.02</v>
      </c>
      <c r="G47" s="28">
        <f ca="1"/>
        <v>0.02</v>
      </c>
      <c r="I47" s="5"/>
    </row>
    <row r="48" spans="2:9" x14ac:dyDescent="0.25">
      <c r="B48" s="35">
        <v>0.94150655124547478</v>
      </c>
      <c r="C48" s="36">
        <v>0.02</v>
      </c>
      <c r="E48" s="4">
        <f t="shared" ca="1" si="3"/>
        <v>44194</v>
      </c>
      <c r="F48" s="28">
        <f ca="1"/>
        <v>0.02</v>
      </c>
      <c r="G48" s="28">
        <f ca="1"/>
        <v>0.02</v>
      </c>
    </row>
    <row r="49" spans="2:7" x14ac:dyDescent="0.25">
      <c r="B49" s="35">
        <v>0.93636171954051073</v>
      </c>
      <c r="C49" s="36">
        <v>0.02</v>
      </c>
      <c r="E49" s="4">
        <f t="shared" ca="1" si="3"/>
        <v>44219</v>
      </c>
      <c r="F49" s="28">
        <f ca="1"/>
        <v>0.02</v>
      </c>
      <c r="G49" s="28">
        <f ca="1"/>
        <v>0.02</v>
      </c>
    </row>
    <row r="50" spans="2:7" x14ac:dyDescent="0.25">
      <c r="B50" s="35">
        <v>0.93124500159985057</v>
      </c>
      <c r="C50" s="36">
        <v>0.02</v>
      </c>
      <c r="E50" s="4">
        <f t="shared" ca="1" si="3"/>
        <v>44244</v>
      </c>
      <c r="F50" s="28">
        <f ca="1"/>
        <v>0.02</v>
      </c>
      <c r="G50" s="28">
        <f ca="1"/>
        <v>0.02</v>
      </c>
    </row>
    <row r="51" spans="2:7" x14ac:dyDescent="0.25">
      <c r="B51" s="35">
        <v>0.92615624379675054</v>
      </c>
      <c r="C51" s="36">
        <v>0.02</v>
      </c>
      <c r="E51" s="4">
        <f t="shared" ca="1" si="3"/>
        <v>44269</v>
      </c>
      <c r="F51" s="28">
        <f ca="1"/>
        <v>0.02</v>
      </c>
      <c r="G51" s="28">
        <f ca="1"/>
        <v>0.02</v>
      </c>
    </row>
    <row r="52" spans="2:7" x14ac:dyDescent="0.25">
      <c r="B52" s="35">
        <v>0.92109529334395479</v>
      </c>
      <c r="C52" s="36">
        <v>0.02</v>
      </c>
      <c r="E52" s="4">
        <f t="shared" ca="1" si="3"/>
        <v>44294</v>
      </c>
      <c r="F52" s="28">
        <f ca="1"/>
        <v>0.02</v>
      </c>
      <c r="G52" s="28">
        <f ca="1"/>
        <v>0.02</v>
      </c>
    </row>
    <row r="53" spans="2:7" x14ac:dyDescent="0.25">
      <c r="B53" s="35">
        <v>0.9160619982891085</v>
      </c>
      <c r="C53" s="36">
        <v>0.02</v>
      </c>
      <c r="E53" s="4">
        <f t="shared" ca="1" si="3"/>
        <v>44319</v>
      </c>
      <c r="F53" s="28">
        <f ca="1"/>
        <v>0.02</v>
      </c>
      <c r="G53" s="28">
        <f ca="1"/>
        <v>0.02</v>
      </c>
    </row>
    <row r="54" spans="2:7" x14ac:dyDescent="0.25">
      <c r="B54" s="35">
        <v>0.91105620751019578</v>
      </c>
      <c r="C54" s="36">
        <v>0.02</v>
      </c>
      <c r="E54" s="4">
        <f t="shared" ca="1" si="3"/>
        <v>44344</v>
      </c>
      <c r="F54" s="28">
        <f ca="1"/>
        <v>0.02</v>
      </c>
      <c r="G54" s="28">
        <f ca="1"/>
        <v>0.02</v>
      </c>
    </row>
    <row r="55" spans="2:7" x14ac:dyDescent="0.25">
      <c r="B55" s="35">
        <v>0.9060777707110016</v>
      </c>
      <c r="C55" s="36">
        <v>0.02</v>
      </c>
      <c r="E55" s="4">
        <f t="shared" ca="1" si="3"/>
        <v>44369</v>
      </c>
      <c r="F55" s="28">
        <f ca="1"/>
        <v>0.02</v>
      </c>
      <c r="G55" s="28">
        <f ca="1"/>
        <v>0.02</v>
      </c>
    </row>
    <row r="56" spans="2:7" x14ac:dyDescent="0.25">
      <c r="B56" s="35">
        <v>0.90112653841660018</v>
      </c>
      <c r="C56" s="36">
        <v>0.02</v>
      </c>
      <c r="E56" s="4">
        <f t="shared" ca="1" si="3"/>
        <v>44394</v>
      </c>
      <c r="F56" s="28">
        <f ca="1"/>
        <v>0.02</v>
      </c>
      <c r="G56" s="28">
        <f ca="1"/>
        <v>0.02</v>
      </c>
    </row>
    <row r="57" spans="2:7" x14ac:dyDescent="0.25">
      <c r="E57" s="4">
        <f t="shared" ca="1" si="3"/>
        <v>44419</v>
      </c>
      <c r="F57" s="28">
        <f ca="1"/>
        <v>0.02</v>
      </c>
      <c r="G57" s="28">
        <f ca="1"/>
        <v>0.02</v>
      </c>
    </row>
    <row r="58" spans="2:7" x14ac:dyDescent="0.25">
      <c r="E58" s="4">
        <f t="shared" ca="1" si="3"/>
        <v>44444</v>
      </c>
      <c r="F58" s="28">
        <f ca="1"/>
        <v>0.02</v>
      </c>
      <c r="G58" s="28">
        <f ca="1"/>
        <v>0.02</v>
      </c>
    </row>
    <row r="59" spans="2:7" x14ac:dyDescent="0.25">
      <c r="E59" s="4">
        <f t="shared" ca="1" si="3"/>
        <v>44469</v>
      </c>
      <c r="F59" s="28">
        <f ca="1"/>
        <v>0.02</v>
      </c>
      <c r="G59" s="28">
        <f ca="1"/>
        <v>0.02</v>
      </c>
    </row>
    <row r="60" spans="2:7" x14ac:dyDescent="0.25">
      <c r="E60" s="4">
        <f t="shared" ca="1" si="3"/>
        <v>44494</v>
      </c>
      <c r="F60" s="28">
        <f ca="1"/>
        <v>0.02</v>
      </c>
      <c r="G60" s="28">
        <f ca="1"/>
        <v>0.02</v>
      </c>
    </row>
    <row r="61" spans="2:7" x14ac:dyDescent="0.25">
      <c r="E61" s="4">
        <f t="shared" ca="1" si="3"/>
        <v>44519</v>
      </c>
      <c r="F61" s="28">
        <f ca="1"/>
        <v>0.02</v>
      </c>
      <c r="G61" s="28">
        <f ca="1"/>
        <v>0.02</v>
      </c>
    </row>
    <row r="62" spans="2:7" x14ac:dyDescent="0.25">
      <c r="E62" s="4">
        <f t="shared" ca="1" si="3"/>
        <v>44544</v>
      </c>
      <c r="F62" s="28">
        <f ca="1"/>
        <v>0.02</v>
      </c>
      <c r="G62" s="28">
        <f ca="1"/>
        <v>0.02</v>
      </c>
    </row>
    <row r="63" spans="2:7" x14ac:dyDescent="0.25">
      <c r="E63" s="4">
        <f t="shared" ca="1" si="3"/>
        <v>44569</v>
      </c>
      <c r="F63" s="28">
        <f ca="1"/>
        <v>0.02</v>
      </c>
      <c r="G63" s="28">
        <f ca="1"/>
        <v>0.02</v>
      </c>
    </row>
    <row r="64" spans="2:7" x14ac:dyDescent="0.25">
      <c r="E64" s="4">
        <f t="shared" ca="1" si="3"/>
        <v>44594</v>
      </c>
      <c r="F64" s="28">
        <f ca="1"/>
        <v>0.02</v>
      </c>
      <c r="G64" s="28">
        <f ca="1"/>
        <v>5.000000000000001E-3</v>
      </c>
    </row>
    <row r="65" spans="5:7" x14ac:dyDescent="0.25">
      <c r="E65" s="4">
        <f t="shared" ca="1" si="3"/>
        <v>44619</v>
      </c>
      <c r="F65" s="28">
        <f ca="1"/>
        <v>0.02</v>
      </c>
      <c r="G65" s="28">
        <f ca="1"/>
        <v>0.02</v>
      </c>
    </row>
    <row r="66" spans="5:7" x14ac:dyDescent="0.25">
      <c r="E66" s="4">
        <f t="shared" ca="1" si="3"/>
        <v>44644</v>
      </c>
      <c r="F66" s="28">
        <f ca="1"/>
        <v>0.02</v>
      </c>
      <c r="G66" s="28">
        <f ca="1"/>
        <v>0.02</v>
      </c>
    </row>
    <row r="67" spans="5:7" x14ac:dyDescent="0.25">
      <c r="E67" s="4">
        <f t="shared" ca="1" si="3"/>
        <v>44669</v>
      </c>
      <c r="F67" s="28">
        <f ca="1"/>
        <v>0.02</v>
      </c>
      <c r="G67" s="28">
        <f ca="1"/>
        <v>0.02</v>
      </c>
    </row>
    <row r="68" spans="5:7" x14ac:dyDescent="0.25">
      <c r="E68" s="4">
        <f t="shared" ca="1" si="3"/>
        <v>44694</v>
      </c>
      <c r="F68" s="28">
        <f ca="1"/>
        <v>0.02</v>
      </c>
      <c r="G68" s="28">
        <f ca="1"/>
        <v>0.02</v>
      </c>
    </row>
    <row r="69" spans="5:7" x14ac:dyDescent="0.25">
      <c r="E69" s="4">
        <f t="shared" ca="1" si="3"/>
        <v>44719</v>
      </c>
      <c r="F69" s="28">
        <f ca="1"/>
        <v>0.02</v>
      </c>
      <c r="G69" s="28">
        <f ca="1"/>
        <v>0.02</v>
      </c>
    </row>
    <row r="70" spans="5:7" x14ac:dyDescent="0.25">
      <c r="E70" s="4">
        <f t="shared" ca="1" si="3"/>
        <v>44744</v>
      </c>
      <c r="F70" s="28">
        <f ca="1"/>
        <v>0.02</v>
      </c>
      <c r="G70" s="28">
        <f ca="1"/>
        <v>0.02</v>
      </c>
    </row>
    <row r="71" spans="5:7" x14ac:dyDescent="0.25">
      <c r="E71" s="4">
        <f t="shared" ca="1" si="3"/>
        <v>44769</v>
      </c>
      <c r="F71" s="28">
        <f ca="1"/>
        <v>0.02</v>
      </c>
      <c r="G71" s="28">
        <f ca="1"/>
        <v>0.02</v>
      </c>
    </row>
    <row r="72" spans="5:7" x14ac:dyDescent="0.25">
      <c r="E72" s="4">
        <f t="shared" ca="1" si="3"/>
        <v>44794</v>
      </c>
      <c r="F72" s="28">
        <f ca="1"/>
        <v>0.02</v>
      </c>
      <c r="G72" s="28">
        <f ca="1"/>
        <v>0.02</v>
      </c>
    </row>
    <row r="73" spans="5:7" x14ac:dyDescent="0.25">
      <c r="E73" s="4">
        <f t="shared" ca="1" si="3"/>
        <v>44819</v>
      </c>
      <c r="F73" s="28">
        <f ca="1"/>
        <v>0.02</v>
      </c>
      <c r="G73" s="28">
        <f ca="1"/>
        <v>0.02</v>
      </c>
    </row>
    <row r="74" spans="5:7" x14ac:dyDescent="0.25">
      <c r="E74" s="4">
        <f t="shared" ca="1" si="3"/>
        <v>44844</v>
      </c>
      <c r="F74" s="28">
        <f ca="1"/>
        <v>0.02</v>
      </c>
      <c r="G74" s="28">
        <f ca="1"/>
        <v>0.02</v>
      </c>
    </row>
    <row r="75" spans="5:7" x14ac:dyDescent="0.25">
      <c r="E75" s="4">
        <f t="shared" ca="1" si="3"/>
        <v>44869</v>
      </c>
      <c r="F75" s="28">
        <f ca="1"/>
        <v>0.02</v>
      </c>
      <c r="G75" s="28">
        <f ca="1"/>
        <v>0.02</v>
      </c>
    </row>
    <row r="76" spans="5:7" x14ac:dyDescent="0.25">
      <c r="E76" s="4">
        <f t="shared" ca="1" si="3"/>
        <v>44894</v>
      </c>
      <c r="F76" s="28">
        <f ca="1"/>
        <v>0.02</v>
      </c>
      <c r="G76" s="28">
        <f ca="1"/>
        <v>0.02</v>
      </c>
    </row>
    <row r="77" spans="5:7" x14ac:dyDescent="0.25">
      <c r="E77" s="4">
        <f t="shared" ca="1" si="3"/>
        <v>44919</v>
      </c>
      <c r="F77" s="28">
        <f ca="1"/>
        <v>0.02</v>
      </c>
      <c r="G77" s="28">
        <f ca="1"/>
        <v>0.02</v>
      </c>
    </row>
    <row r="78" spans="5:7" x14ac:dyDescent="0.25">
      <c r="E78" s="4">
        <f t="shared" ca="1" si="3"/>
        <v>44944</v>
      </c>
      <c r="F78" s="28">
        <f ca="1"/>
        <v>0.02</v>
      </c>
      <c r="G78" s="28">
        <f ca="1"/>
        <v>0.02</v>
      </c>
    </row>
    <row r="79" spans="5:7" x14ac:dyDescent="0.25">
      <c r="E79" s="4">
        <f t="shared" ca="1" si="3"/>
        <v>44969</v>
      </c>
      <c r="F79" s="28">
        <f ca="1"/>
        <v>0.02</v>
      </c>
      <c r="G79" s="28">
        <f ca="1"/>
        <v>0.02</v>
      </c>
    </row>
    <row r="80" spans="5:7" x14ac:dyDescent="0.25">
      <c r="E80" s="4">
        <f t="shared" ca="1" si="3"/>
        <v>44994</v>
      </c>
      <c r="F80" s="28">
        <f ca="1"/>
        <v>0.02</v>
      </c>
      <c r="G80" s="28">
        <f ca="1"/>
        <v>0.02</v>
      </c>
    </row>
    <row r="81" spans="5:7" x14ac:dyDescent="0.25">
      <c r="E81" s="4">
        <f t="shared" ca="1" si="3"/>
        <v>45019</v>
      </c>
      <c r="F81" s="28">
        <f ca="1"/>
        <v>0.02</v>
      </c>
      <c r="G81" s="28">
        <f ca="1"/>
        <v>0.02</v>
      </c>
    </row>
    <row r="82" spans="5:7" x14ac:dyDescent="0.25">
      <c r="E82" s="4">
        <f t="shared" ca="1" si="3"/>
        <v>45044</v>
      </c>
      <c r="F82" s="28">
        <f ca="1"/>
        <v>0.02</v>
      </c>
      <c r="G82" s="28">
        <f ca="1"/>
        <v>0.02</v>
      </c>
    </row>
    <row r="83" spans="5:7" x14ac:dyDescent="0.25">
      <c r="E83" s="4">
        <f t="shared" ca="1" si="3"/>
        <v>45069</v>
      </c>
      <c r="F83" s="28">
        <f ca="1"/>
        <v>0.02</v>
      </c>
      <c r="G83" s="28">
        <f ca="1"/>
        <v>0.02</v>
      </c>
    </row>
    <row r="84" spans="5:7" x14ac:dyDescent="0.25">
      <c r="E84" s="4">
        <f t="shared" ca="1" si="3"/>
        <v>45094</v>
      </c>
      <c r="F84" s="28">
        <f ca="1"/>
        <v>0.02</v>
      </c>
      <c r="G84" s="28">
        <f ca="1"/>
        <v>0.02</v>
      </c>
    </row>
    <row r="85" spans="5:7" x14ac:dyDescent="0.25">
      <c r="E85" s="4">
        <f t="shared" ca="1" si="3"/>
        <v>45119</v>
      </c>
      <c r="F85" s="28">
        <f ca="1"/>
        <v>0.02</v>
      </c>
      <c r="G85" s="28">
        <f ca="1"/>
        <v>0.02</v>
      </c>
    </row>
    <row r="86" spans="5:7" x14ac:dyDescent="0.25">
      <c r="E86" s="4">
        <f t="shared" ca="1" si="3"/>
        <v>45144</v>
      </c>
      <c r="F86" s="28">
        <f ca="1"/>
        <v>0.02</v>
      </c>
      <c r="G86" s="28">
        <f ca="1"/>
        <v>0.02</v>
      </c>
    </row>
    <row r="87" spans="5:7" x14ac:dyDescent="0.25">
      <c r="E87" s="4">
        <f t="shared" ca="1" si="3"/>
        <v>45169</v>
      </c>
      <c r="F87" s="28">
        <f ca="1"/>
        <v>0.02</v>
      </c>
      <c r="G87" s="28">
        <f ca="1"/>
        <v>0.02</v>
      </c>
    </row>
    <row r="88" spans="5:7" x14ac:dyDescent="0.25">
      <c r="E88" s="4">
        <f t="shared" ca="1" si="3"/>
        <v>45194</v>
      </c>
      <c r="F88" s="28">
        <f ca="1"/>
        <v>0.02</v>
      </c>
      <c r="G88" s="28">
        <f ca="1"/>
        <v>0.03</v>
      </c>
    </row>
    <row r="89" spans="5:7" x14ac:dyDescent="0.25">
      <c r="E89" s="4">
        <f t="shared" ca="1" si="3"/>
        <v>45219</v>
      </c>
      <c r="F89" s="28">
        <f ca="1"/>
        <v>0.02</v>
      </c>
      <c r="G89" s="28">
        <f ca="1"/>
        <v>0.02</v>
      </c>
    </row>
    <row r="90" spans="5:7" x14ac:dyDescent="0.25">
      <c r="E90" s="4">
        <f t="shared" ca="1" si="3"/>
        <v>45244</v>
      </c>
      <c r="F90" s="28">
        <f ca="1"/>
        <v>0.02</v>
      </c>
      <c r="G90" s="28">
        <f ca="1"/>
        <v>0.02</v>
      </c>
    </row>
    <row r="91" spans="5:7" x14ac:dyDescent="0.25">
      <c r="E91" s="4">
        <f t="shared" ca="1" si="3"/>
        <v>45269</v>
      </c>
      <c r="F91" s="28">
        <f ca="1"/>
        <v>0.02</v>
      </c>
      <c r="G91" s="28">
        <f ca="1"/>
        <v>0.02</v>
      </c>
    </row>
    <row r="92" spans="5:7" x14ac:dyDescent="0.25">
      <c r="E92" s="4">
        <f t="shared" ca="1" si="3"/>
        <v>45294</v>
      </c>
      <c r="F92" s="28">
        <f ca="1"/>
        <v>0.02</v>
      </c>
      <c r="G92" s="28">
        <f ca="1"/>
        <v>0.02</v>
      </c>
    </row>
    <row r="93" spans="5:7" x14ac:dyDescent="0.25">
      <c r="E93" s="4">
        <f t="shared" ca="1" si="3"/>
        <v>45319</v>
      </c>
      <c r="F93" s="28">
        <f ca="1"/>
        <v>0.02</v>
      </c>
      <c r="G93" s="28">
        <f ca="1"/>
        <v>0.02</v>
      </c>
    </row>
    <row r="94" spans="5:7" x14ac:dyDescent="0.25">
      <c r="E94" s="4">
        <f t="shared" ca="1" si="3"/>
        <v>45344</v>
      </c>
      <c r="F94" s="28">
        <f ca="1"/>
        <v>0.02</v>
      </c>
      <c r="G94" s="28">
        <f ca="1"/>
        <v>0.02</v>
      </c>
    </row>
    <row r="95" spans="5:7" x14ac:dyDescent="0.25">
      <c r="E95" s="4">
        <f t="shared" ca="1" si="3"/>
        <v>45369</v>
      </c>
      <c r="F95" s="28">
        <f ca="1"/>
        <v>0.02</v>
      </c>
      <c r="G95" s="28">
        <f ca="1"/>
        <v>0.02</v>
      </c>
    </row>
    <row r="96" spans="5:7" x14ac:dyDescent="0.25">
      <c r="E96" s="4">
        <f t="shared" ca="1" si="3"/>
        <v>45394</v>
      </c>
      <c r="F96" s="28">
        <f ca="1"/>
        <v>0.02</v>
      </c>
      <c r="G96" s="28">
        <f ca="1"/>
        <v>0.02</v>
      </c>
    </row>
    <row r="97" spans="5:7" x14ac:dyDescent="0.25">
      <c r="E97" s="4">
        <f t="shared" ca="1" si="3"/>
        <v>45419</v>
      </c>
      <c r="F97" s="28">
        <f ca="1"/>
        <v>0.02</v>
      </c>
      <c r="G97" s="28">
        <f ca="1"/>
        <v>0.02</v>
      </c>
    </row>
    <row r="98" spans="5:7" x14ac:dyDescent="0.25">
      <c r="E98" s="4">
        <f t="shared" ca="1" si="3"/>
        <v>45444</v>
      </c>
      <c r="F98" s="28">
        <f ca="1"/>
        <v>0.02</v>
      </c>
      <c r="G98" s="28">
        <f ca="1"/>
        <v>0.02</v>
      </c>
    </row>
    <row r="99" spans="5:7" x14ac:dyDescent="0.25">
      <c r="E99" s="4">
        <f t="shared" ca="1" si="3"/>
        <v>45469</v>
      </c>
      <c r="F99" s="28">
        <f ca="1"/>
        <v>0.02</v>
      </c>
      <c r="G99" s="28">
        <f ca="1"/>
        <v>0.02</v>
      </c>
    </row>
    <row r="100" spans="5:7" x14ac:dyDescent="0.25">
      <c r="E100" s="4">
        <f t="shared" ca="1" si="3"/>
        <v>45494</v>
      </c>
      <c r="F100" s="28">
        <f ca="1"/>
        <v>0.02</v>
      </c>
      <c r="G100" s="28">
        <f ca="1"/>
        <v>0.02</v>
      </c>
    </row>
    <row r="101" spans="5:7" x14ac:dyDescent="0.25">
      <c r="E101" s="4">
        <f t="shared" ref="E101:E112" ca="1" si="4">E100+$N$3</f>
        <v>45519</v>
      </c>
      <c r="F101" s="28">
        <f ca="1"/>
        <v>0.02</v>
      </c>
      <c r="G101" s="28">
        <f ca="1"/>
        <v>0.02</v>
      </c>
    </row>
    <row r="102" spans="5:7" x14ac:dyDescent="0.25">
      <c r="E102" s="4">
        <f t="shared" ca="1" si="4"/>
        <v>45544</v>
      </c>
      <c r="F102" s="28">
        <f ca="1"/>
        <v>0.02</v>
      </c>
      <c r="G102" s="28">
        <f ca="1"/>
        <v>0.02</v>
      </c>
    </row>
    <row r="103" spans="5:7" x14ac:dyDescent="0.25">
      <c r="E103" s="4">
        <f t="shared" ca="1" si="4"/>
        <v>45569</v>
      </c>
      <c r="F103" s="28">
        <f ca="1"/>
        <v>0.02</v>
      </c>
      <c r="G103" s="28">
        <f ca="1"/>
        <v>0.02</v>
      </c>
    </row>
    <row r="104" spans="5:7" x14ac:dyDescent="0.25">
      <c r="E104" s="4">
        <f t="shared" ca="1" si="4"/>
        <v>45594</v>
      </c>
      <c r="F104" s="28">
        <f ca="1"/>
        <v>0.02</v>
      </c>
      <c r="G104" s="28">
        <f ca="1"/>
        <v>0.01</v>
      </c>
    </row>
    <row r="105" spans="5:7" x14ac:dyDescent="0.25">
      <c r="E105" s="4">
        <f t="shared" ca="1" si="4"/>
        <v>45619</v>
      </c>
      <c r="F105" s="28">
        <f ca="1"/>
        <v>0.02</v>
      </c>
      <c r="G105" s="28">
        <f ca="1"/>
        <v>0.02</v>
      </c>
    </row>
    <row r="106" spans="5:7" x14ac:dyDescent="0.25">
      <c r="E106" s="4">
        <f t="shared" ca="1" si="4"/>
        <v>45644</v>
      </c>
      <c r="F106" s="28">
        <f ca="1"/>
        <v>0.02</v>
      </c>
      <c r="G106" s="28">
        <f ca="1"/>
        <v>0.02</v>
      </c>
    </row>
    <row r="107" spans="5:7" x14ac:dyDescent="0.25">
      <c r="E107" s="4">
        <f t="shared" ca="1" si="4"/>
        <v>45669</v>
      </c>
      <c r="F107" s="28">
        <f ca="1"/>
        <v>0.02</v>
      </c>
      <c r="G107" s="28">
        <f ca="1"/>
        <v>0.02</v>
      </c>
    </row>
    <row r="108" spans="5:7" x14ac:dyDescent="0.25">
      <c r="E108" s="4">
        <f t="shared" ca="1" si="4"/>
        <v>45694</v>
      </c>
      <c r="F108" s="28">
        <f ca="1"/>
        <v>0.02</v>
      </c>
      <c r="G108" s="28">
        <f ca="1"/>
        <v>0.02</v>
      </c>
    </row>
    <row r="109" spans="5:7" x14ac:dyDescent="0.25">
      <c r="E109" s="4">
        <f t="shared" ca="1" si="4"/>
        <v>45719</v>
      </c>
      <c r="F109" s="28">
        <f ca="1"/>
        <v>0.02</v>
      </c>
      <c r="G109" s="28">
        <f ca="1"/>
        <v>0.02</v>
      </c>
    </row>
    <row r="110" spans="5:7" x14ac:dyDescent="0.25">
      <c r="E110" s="4">
        <f t="shared" ca="1" si="4"/>
        <v>45744</v>
      </c>
      <c r="F110" s="28">
        <f ca="1"/>
        <v>0.02</v>
      </c>
      <c r="G110" s="28">
        <f ca="1"/>
        <v>0.02</v>
      </c>
    </row>
    <row r="111" spans="5:7" x14ac:dyDescent="0.25">
      <c r="E111" s="4">
        <f t="shared" ca="1" si="4"/>
        <v>45769</v>
      </c>
      <c r="F111" s="28">
        <f ca="1"/>
        <v>0.02</v>
      </c>
      <c r="G111" s="28">
        <f ca="1"/>
        <v>0.02</v>
      </c>
    </row>
    <row r="112" spans="5:7" x14ac:dyDescent="0.25">
      <c r="E112" s="4">
        <f t="shared" ca="1" si="4"/>
        <v>45794</v>
      </c>
      <c r="F112" s="28">
        <f ca="1"/>
        <v>0.02</v>
      </c>
      <c r="G112" s="28">
        <f ca="1"/>
        <v>0.02</v>
      </c>
    </row>
    <row r="113" spans="5:7" x14ac:dyDescent="0.25">
      <c r="E113" s="4"/>
      <c r="F113" s="28" t="e">
        <f ca="1"/>
        <v>#N/A</v>
      </c>
      <c r="G113" s="28" t="e">
        <f ca="1"/>
        <v>#N/A</v>
      </c>
    </row>
    <row r="114" spans="5:7" x14ac:dyDescent="0.25">
      <c r="E114" s="4"/>
      <c r="F114" s="28" t="e">
        <f ca="1"/>
        <v>#N/A</v>
      </c>
      <c r="G114" s="28" t="e">
        <f ca="1"/>
        <v>#N/A</v>
      </c>
    </row>
    <row r="115" spans="5:7" x14ac:dyDescent="0.25">
      <c r="E115" s="4"/>
      <c r="F115" s="28" t="e">
        <f ca="1"/>
        <v>#N/A</v>
      </c>
      <c r="G115" s="28" t="e">
        <f ca="1"/>
        <v>#N/A</v>
      </c>
    </row>
    <row r="116" spans="5:7" x14ac:dyDescent="0.25">
      <c r="E116" s="4"/>
      <c r="F116" s="28" t="e">
        <f ca="1"/>
        <v>#N/A</v>
      </c>
      <c r="G116" s="28" t="e">
        <f ca="1"/>
        <v>#N/A</v>
      </c>
    </row>
    <row r="117" spans="5:7" x14ac:dyDescent="0.25">
      <c r="E117" s="4"/>
      <c r="F117" s="28" t="e">
        <f ca="1"/>
        <v>#N/A</v>
      </c>
      <c r="G117" s="28" t="e">
        <f ca="1"/>
        <v>#N/A</v>
      </c>
    </row>
    <row r="118" spans="5:7" x14ac:dyDescent="0.25">
      <c r="E118" s="4"/>
      <c r="F118" s="28" t="e">
        <f ca="1"/>
        <v>#N/A</v>
      </c>
      <c r="G118" s="28" t="e">
        <f ca="1"/>
        <v>#N/A</v>
      </c>
    </row>
    <row r="119" spans="5:7" x14ac:dyDescent="0.25">
      <c r="E119" s="4"/>
      <c r="F119" s="28" t="e">
        <f ca="1"/>
        <v>#N/A</v>
      </c>
      <c r="G119" s="28" t="e">
        <f ca="1"/>
        <v>#N/A</v>
      </c>
    </row>
    <row r="120" spans="5:7" x14ac:dyDescent="0.25">
      <c r="E120" s="4"/>
      <c r="F120" s="28" t="e">
        <f ca="1"/>
        <v>#N/A</v>
      </c>
      <c r="G120" s="28" t="e">
        <f ca="1"/>
        <v>#N/A</v>
      </c>
    </row>
    <row r="121" spans="5:7" x14ac:dyDescent="0.25">
      <c r="E121" s="4"/>
      <c r="F121" s="28" t="e">
        <f ca="1"/>
        <v>#N/A</v>
      </c>
      <c r="G121" s="28" t="e">
        <f ca="1"/>
        <v>#N/A</v>
      </c>
    </row>
    <row r="122" spans="5:7" x14ac:dyDescent="0.25">
      <c r="E122" s="32"/>
    </row>
    <row r="123" spans="5:7" x14ac:dyDescent="0.25">
      <c r="E123" s="32"/>
    </row>
    <row r="124" spans="5:7" x14ac:dyDescent="0.25">
      <c r="E124" s="32"/>
    </row>
    <row r="125" spans="5:7" x14ac:dyDescent="0.25">
      <c r="E125" s="32"/>
    </row>
    <row r="126" spans="5:7" x14ac:dyDescent="0.25">
      <c r="E126" s="32"/>
    </row>
    <row r="127" spans="5:7" x14ac:dyDescent="0.25">
      <c r="E127" s="32"/>
    </row>
    <row r="128" spans="5:7" x14ac:dyDescent="0.25">
      <c r="E128" s="32"/>
    </row>
    <row r="129" spans="5:5" x14ac:dyDescent="0.25">
      <c r="E129" s="32"/>
    </row>
    <row r="130" spans="5:5" x14ac:dyDescent="0.25">
      <c r="E130" s="32"/>
    </row>
    <row r="131" spans="5:5" x14ac:dyDescent="0.25">
      <c r="E131" s="32"/>
    </row>
    <row r="132" spans="5:5" x14ac:dyDescent="0.25">
      <c r="E132" s="32"/>
    </row>
    <row r="133" spans="5:5" x14ac:dyDescent="0.25">
      <c r="E133" s="32"/>
    </row>
    <row r="134" spans="5:5" x14ac:dyDescent="0.25">
      <c r="E134" s="32"/>
    </row>
    <row r="135" spans="5:5" x14ac:dyDescent="0.25">
      <c r="E135" s="32"/>
    </row>
    <row r="136" spans="5:5" x14ac:dyDescent="0.25">
      <c r="E136" s="32"/>
    </row>
    <row r="137" spans="5:5" x14ac:dyDescent="0.25">
      <c r="E137" s="32"/>
    </row>
    <row r="138" spans="5:5" x14ac:dyDescent="0.25">
      <c r="E138" s="32"/>
    </row>
    <row r="139" spans="5:5" x14ac:dyDescent="0.25">
      <c r="E139" s="32"/>
    </row>
    <row r="140" spans="5:5" x14ac:dyDescent="0.25">
      <c r="E140" s="32"/>
    </row>
    <row r="141" spans="5:5" x14ac:dyDescent="0.25">
      <c r="E141" s="32"/>
    </row>
    <row r="142" spans="5:5" x14ac:dyDescent="0.25">
      <c r="E142" s="32"/>
    </row>
    <row r="143" spans="5:5" x14ac:dyDescent="0.25">
      <c r="E143" s="32"/>
    </row>
    <row r="144" spans="5:5" x14ac:dyDescent="0.25">
      <c r="E144" s="32"/>
    </row>
    <row r="145" spans="5:5" x14ac:dyDescent="0.25">
      <c r="E145" s="32"/>
    </row>
    <row r="146" spans="5:5" x14ac:dyDescent="0.25">
      <c r="E146" s="32"/>
    </row>
    <row r="147" spans="5:5" x14ac:dyDescent="0.25">
      <c r="E147" s="32"/>
    </row>
    <row r="148" spans="5:5" x14ac:dyDescent="0.25">
      <c r="E148" s="32"/>
    </row>
    <row r="149" spans="5:5" x14ac:dyDescent="0.25">
      <c r="E149" s="32"/>
    </row>
    <row r="150" spans="5:5" x14ac:dyDescent="0.25">
      <c r="E150" s="32"/>
    </row>
    <row r="151" spans="5:5" x14ac:dyDescent="0.25">
      <c r="E151" s="32"/>
    </row>
    <row r="152" spans="5:5" x14ac:dyDescent="0.25">
      <c r="E152" s="32"/>
    </row>
    <row r="153" spans="5:5" x14ac:dyDescent="0.25">
      <c r="E153" s="32"/>
    </row>
    <row r="154" spans="5:5" x14ac:dyDescent="0.25">
      <c r="E154" s="32"/>
    </row>
    <row r="155" spans="5:5" x14ac:dyDescent="0.25">
      <c r="E155" s="32"/>
    </row>
    <row r="156" spans="5:5" x14ac:dyDescent="0.25">
      <c r="E156" s="32"/>
    </row>
    <row r="157" spans="5:5" x14ac:dyDescent="0.25">
      <c r="E157" s="32"/>
    </row>
    <row r="158" spans="5:5" x14ac:dyDescent="0.25">
      <c r="E158" s="32"/>
    </row>
    <row r="159" spans="5:5" x14ac:dyDescent="0.25">
      <c r="E159" s="32"/>
    </row>
    <row r="160" spans="5:5" x14ac:dyDescent="0.25">
      <c r="E160" s="32"/>
    </row>
    <row r="161" spans="5:5" x14ac:dyDescent="0.25">
      <c r="E161" s="32"/>
    </row>
    <row r="162" spans="5:5" x14ac:dyDescent="0.25">
      <c r="E162" s="32"/>
    </row>
    <row r="163" spans="5:5" x14ac:dyDescent="0.25">
      <c r="E163" s="32"/>
    </row>
    <row r="164" spans="5:5" x14ac:dyDescent="0.25">
      <c r="E164" s="32"/>
    </row>
    <row r="165" spans="5:5" x14ac:dyDescent="0.25">
      <c r="E165" s="32"/>
    </row>
    <row r="166" spans="5:5" x14ac:dyDescent="0.25">
      <c r="E166" s="32"/>
    </row>
    <row r="167" spans="5:5" x14ac:dyDescent="0.25">
      <c r="E167" s="32"/>
    </row>
    <row r="168" spans="5:5" x14ac:dyDescent="0.25">
      <c r="E168" s="32"/>
    </row>
    <row r="169" spans="5:5" x14ac:dyDescent="0.25">
      <c r="E169" s="32"/>
    </row>
    <row r="170" spans="5:5" x14ac:dyDescent="0.25">
      <c r="E170" s="32"/>
    </row>
    <row r="171" spans="5:5" x14ac:dyDescent="0.25">
      <c r="E171" s="32"/>
    </row>
    <row r="172" spans="5:5" x14ac:dyDescent="0.25">
      <c r="E172" s="32"/>
    </row>
    <row r="173" spans="5:5" x14ac:dyDescent="0.25">
      <c r="E173" s="32"/>
    </row>
    <row r="174" spans="5:5" x14ac:dyDescent="0.25">
      <c r="E174" s="32"/>
    </row>
    <row r="175" spans="5:5" x14ac:dyDescent="0.25">
      <c r="E175" s="32"/>
    </row>
    <row r="176" spans="5:5" x14ac:dyDescent="0.25">
      <c r="E176" s="32"/>
    </row>
    <row r="177" spans="5:5" x14ac:dyDescent="0.25">
      <c r="E177" s="32"/>
    </row>
    <row r="178" spans="5:5" x14ac:dyDescent="0.25">
      <c r="E178" s="32"/>
    </row>
    <row r="179" spans="5:5" x14ac:dyDescent="0.25">
      <c r="E179" s="32"/>
    </row>
    <row r="180" spans="5:5" x14ac:dyDescent="0.25">
      <c r="E180" s="32"/>
    </row>
    <row r="181" spans="5:5" x14ac:dyDescent="0.25">
      <c r="E181" s="32"/>
    </row>
    <row r="182" spans="5:5" x14ac:dyDescent="0.25">
      <c r="E182" s="32"/>
    </row>
    <row r="183" spans="5:5" x14ac:dyDescent="0.25">
      <c r="E183" s="32"/>
    </row>
    <row r="184" spans="5:5" x14ac:dyDescent="0.25">
      <c r="E184" s="32"/>
    </row>
    <row r="185" spans="5:5" x14ac:dyDescent="0.25">
      <c r="E185" s="32"/>
    </row>
    <row r="186" spans="5:5" x14ac:dyDescent="0.25">
      <c r="E186" s="32"/>
    </row>
    <row r="187" spans="5:5" x14ac:dyDescent="0.25">
      <c r="E187" s="32"/>
    </row>
    <row r="188" spans="5:5" x14ac:dyDescent="0.25">
      <c r="E188" s="32"/>
    </row>
    <row r="189" spans="5:5" x14ac:dyDescent="0.25">
      <c r="E189" s="32"/>
    </row>
    <row r="190" spans="5:5" x14ac:dyDescent="0.25">
      <c r="E190" s="32"/>
    </row>
    <row r="191" spans="5:5" x14ac:dyDescent="0.25">
      <c r="E191" s="32"/>
    </row>
    <row r="192" spans="5:5" x14ac:dyDescent="0.25">
      <c r="E192" s="32"/>
    </row>
    <row r="193" spans="5:5" x14ac:dyDescent="0.25">
      <c r="E193" s="32"/>
    </row>
    <row r="194" spans="5:5" x14ac:dyDescent="0.25">
      <c r="E194" s="32"/>
    </row>
    <row r="195" spans="5:5" x14ac:dyDescent="0.25">
      <c r="E195" s="32"/>
    </row>
    <row r="196" spans="5:5" x14ac:dyDescent="0.25">
      <c r="E196" s="32"/>
    </row>
    <row r="197" spans="5:5" x14ac:dyDescent="0.25">
      <c r="E197" s="32"/>
    </row>
    <row r="198" spans="5:5" x14ac:dyDescent="0.25">
      <c r="E198" s="32"/>
    </row>
    <row r="199" spans="5:5" x14ac:dyDescent="0.25">
      <c r="E199" s="32"/>
    </row>
    <row r="200" spans="5:5" x14ac:dyDescent="0.25">
      <c r="E200" s="32"/>
    </row>
    <row r="201" spans="5:5" x14ac:dyDescent="0.25">
      <c r="E201" s="32"/>
    </row>
    <row r="202" spans="5:5" x14ac:dyDescent="0.25">
      <c r="E202" s="32"/>
    </row>
    <row r="203" spans="5:5" x14ac:dyDescent="0.25">
      <c r="E203" s="32"/>
    </row>
    <row r="204" spans="5:5" x14ac:dyDescent="0.25">
      <c r="E204" s="32"/>
    </row>
    <row r="205" spans="5:5" x14ac:dyDescent="0.25">
      <c r="E205" s="32"/>
    </row>
    <row r="206" spans="5:5" x14ac:dyDescent="0.25">
      <c r="E206" s="32"/>
    </row>
    <row r="207" spans="5:5" x14ac:dyDescent="0.25">
      <c r="E207" s="32"/>
    </row>
    <row r="208" spans="5:5" x14ac:dyDescent="0.25">
      <c r="E208" s="32"/>
    </row>
    <row r="209" spans="5:5" x14ac:dyDescent="0.25">
      <c r="E209" s="32"/>
    </row>
    <row r="210" spans="5:5" x14ac:dyDescent="0.25">
      <c r="E210" s="32"/>
    </row>
    <row r="211" spans="5:5" x14ac:dyDescent="0.25">
      <c r="E211" s="32"/>
    </row>
    <row r="212" spans="5:5" x14ac:dyDescent="0.25">
      <c r="E212" s="32"/>
    </row>
    <row r="213" spans="5:5" x14ac:dyDescent="0.25">
      <c r="E213" s="32"/>
    </row>
    <row r="214" spans="5:5" x14ac:dyDescent="0.25">
      <c r="E214" s="32"/>
    </row>
    <row r="215" spans="5:5" x14ac:dyDescent="0.25">
      <c r="E215" s="32"/>
    </row>
  </sheetData>
  <dataValidations count="2">
    <dataValidation type="list" allowBlank="1" showInputMessage="1" showErrorMessage="1" sqref="C4">
      <formula1>"POLYNOMIAL,LINEAR,SPLINE,STEP,LEFT_CONTINUOUS,RIGHT_CONTINUOUS"</formula1>
    </dataValidation>
    <dataValidation type="list" allowBlank="1" showInputMessage="1" showErrorMessage="1" sqref="C5">
      <formula1>"DISCOUNTFACTOR,FORWARDRATE,ZERORATE"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5"/>
  <sheetViews>
    <sheetView showGridLines="0" zoomScaleNormal="100" workbookViewId="0"/>
  </sheetViews>
  <sheetFormatPr defaultRowHeight="15" x14ac:dyDescent="0.25"/>
  <cols>
    <col min="2" max="2" width="17.28515625" bestFit="1" customWidth="1"/>
    <col min="3" max="3" width="20.140625" customWidth="1"/>
    <col min="4" max="4" width="8.85546875" customWidth="1"/>
    <col min="5" max="5" width="19" customWidth="1"/>
    <col min="6" max="6" width="16.7109375" bestFit="1" customWidth="1"/>
    <col min="7" max="7" width="17.28515625" bestFit="1" customWidth="1"/>
    <col min="8" max="8" width="15.42578125" bestFit="1" customWidth="1"/>
    <col min="9" max="9" width="5.7109375" customWidth="1"/>
    <col min="10" max="10" width="9.140625" customWidth="1"/>
    <col min="11" max="11" width="12.42578125" customWidth="1"/>
    <col min="12" max="13" width="9.140625" customWidth="1"/>
  </cols>
  <sheetData>
    <row r="1" spans="2:15" ht="18.75" x14ac:dyDescent="0.25">
      <c r="E1" s="1"/>
    </row>
    <row r="2" spans="2:15" ht="18.75" x14ac:dyDescent="0.25">
      <c r="B2" s="2" t="s">
        <v>0</v>
      </c>
      <c r="E2" s="2" t="s">
        <v>1</v>
      </c>
      <c r="K2" s="3"/>
    </row>
    <row r="3" spans="2:15" x14ac:dyDescent="0.25">
      <c r="B3" t="s">
        <v>2</v>
      </c>
      <c r="C3" s="4">
        <v>43894</v>
      </c>
      <c r="E3" s="5" t="s">
        <v>3</v>
      </c>
      <c r="F3" s="5" t="s">
        <v>4</v>
      </c>
      <c r="G3" s="5" t="s">
        <v>5</v>
      </c>
      <c r="H3" s="5" t="s">
        <v>6</v>
      </c>
      <c r="I3" s="5"/>
      <c r="K3" s="2" t="s">
        <v>7</v>
      </c>
      <c r="N3" s="6">
        <v>25</v>
      </c>
      <c r="O3" s="7" t="s">
        <v>8</v>
      </c>
    </row>
    <row r="4" spans="2:15" x14ac:dyDescent="0.25">
      <c r="B4" t="s">
        <v>9</v>
      </c>
      <c r="C4" s="148" t="s">
        <v>10</v>
      </c>
      <c r="E4" s="145" t="s">
        <v>119</v>
      </c>
      <c r="F4" s="145">
        <f ca="1">C3</f>
        <v>43894</v>
      </c>
      <c r="G4" s="146">
        <f t="shared" ref="G4:G7" ca="1" si="0">F5-1</f>
        <v>44493</v>
      </c>
      <c r="H4" s="147">
        <v>1.4999999999999999E-2</v>
      </c>
      <c r="I4" s="5"/>
      <c r="K4" s="12" t="s">
        <v>12</v>
      </c>
      <c r="N4" s="6">
        <v>10</v>
      </c>
      <c r="O4" s="7" t="s">
        <v>8</v>
      </c>
    </row>
    <row r="5" spans="2:15" x14ac:dyDescent="0.25">
      <c r="B5" t="s">
        <v>13</v>
      </c>
      <c r="C5" s="148" t="s">
        <v>14</v>
      </c>
      <c r="E5" s="145" t="s">
        <v>119</v>
      </c>
      <c r="F5" s="145">
        <f ca="1">B17</f>
        <v>44494</v>
      </c>
      <c r="G5" s="146">
        <f t="shared" ca="1" si="0"/>
        <v>45093</v>
      </c>
      <c r="H5" s="147">
        <v>2.5000000000000001E-2</v>
      </c>
      <c r="I5" s="5"/>
    </row>
    <row r="6" spans="2:15" x14ac:dyDescent="0.25">
      <c r="B6" t="s">
        <v>15</v>
      </c>
      <c r="C6" s="4">
        <f ca="1">C3</f>
        <v>43894</v>
      </c>
      <c r="E6" s="145" t="s">
        <v>119</v>
      </c>
      <c r="F6" s="145">
        <f ca="1">B23</f>
        <v>45094</v>
      </c>
      <c r="G6" s="146">
        <f t="shared" ca="1" si="0"/>
        <v>45493</v>
      </c>
      <c r="H6" s="147">
        <v>2.1250000000000002E-2</v>
      </c>
      <c r="I6" s="5"/>
    </row>
    <row r="7" spans="2:15" x14ac:dyDescent="0.25">
      <c r="B7" t="s">
        <v>16</v>
      </c>
      <c r="C7" s="19">
        <v>10</v>
      </c>
      <c r="E7" s="145" t="s">
        <v>119</v>
      </c>
      <c r="F7" s="145">
        <f ca="1">B27</f>
        <v>45494</v>
      </c>
      <c r="G7" s="146">
        <f ca="1">F7+365*10</f>
        <v>49144</v>
      </c>
      <c r="H7" s="147">
        <v>1.7500000000000002E-2</v>
      </c>
      <c r="I7" s="5"/>
    </row>
    <row r="8" spans="2:15" x14ac:dyDescent="0.25">
      <c r="I8" s="5"/>
    </row>
    <row r="9" spans="2:15" x14ac:dyDescent="0.25">
      <c r="E9" s="12" t="s">
        <v>17</v>
      </c>
      <c r="F9" s="23"/>
      <c r="G9" s="7"/>
      <c r="H9" s="23" t="s">
        <v>18</v>
      </c>
      <c r="I9" s="5"/>
    </row>
    <row r="10" spans="2:15" x14ac:dyDescent="0.25">
      <c r="B10" s="7" t="s">
        <v>19</v>
      </c>
      <c r="C10" s="7" t="s">
        <v>20</v>
      </c>
      <c r="E10" s="7" t="s">
        <v>21</v>
      </c>
      <c r="F10" s="24" t="s">
        <v>22</v>
      </c>
      <c r="G10" s="7" t="s">
        <v>23</v>
      </c>
      <c r="H10" s="24" t="s">
        <v>22</v>
      </c>
      <c r="I10" s="5"/>
    </row>
    <row r="11" spans="2:15" x14ac:dyDescent="0.25">
      <c r="B11" s="33">
        <v>43894</v>
      </c>
      <c r="C11" s="34">
        <f t="shared" ref="C11:C30" ca="1" si="1">IF($C$5="FORWARDRATE",C37,B37)</f>
        <v>0.02</v>
      </c>
      <c r="D11" s="26"/>
      <c r="E11" s="27">
        <f t="array" aca="1" ref="E11:E30" ca="1">_xll.meMathDiscountFactors($B$11:$B$30,$C$3,$C$4,$C$5,$B$11:$B$30,$C$11:$C$30,$C$6,$C$7,$E$4:$H$7)</f>
        <v>1</v>
      </c>
      <c r="F11" s="37">
        <f t="shared" ref="F11:F30" ca="1" si="2">E11-B37</f>
        <v>0</v>
      </c>
      <c r="G11" s="28">
        <f t="array" aca="1" ref="G11:G30" ca="1">_xll.meMathForwardRates($B$11:$B$30,$C$3,$C$4,$C$5,$B$11:$B$30,$C$11:$C$30,$C$6,$C$7,$E$4:$H$7)</f>
        <v>1.4999999999999999E-2</v>
      </c>
      <c r="H11" s="38">
        <f ca="1">G11-C37</f>
        <v>-5.000000000000001E-3</v>
      </c>
      <c r="I11" s="29"/>
    </row>
    <row r="12" spans="2:15" x14ac:dyDescent="0.25">
      <c r="B12" s="33">
        <v>43994</v>
      </c>
      <c r="C12" s="34">
        <f t="shared" ca="1" si="1"/>
        <v>0.02</v>
      </c>
      <c r="D12" s="25"/>
      <c r="E12" s="27">
        <f ca="1"/>
        <v>0.99045678715869567</v>
      </c>
      <c r="F12" s="37">
        <f t="shared" ca="1" si="2"/>
        <v>-4.0787456019014678E-3</v>
      </c>
      <c r="G12" s="28">
        <f ca="1"/>
        <v>1.4999999999999999E-2</v>
      </c>
      <c r="H12" s="38">
        <f t="shared" ref="H12:H30" ca="1" si="3">G12-C38</f>
        <v>-5.000000000000001E-3</v>
      </c>
      <c r="I12" s="29"/>
    </row>
    <row r="13" spans="2:15" x14ac:dyDescent="0.25">
      <c r="B13" s="33">
        <v>44094</v>
      </c>
      <c r="C13" s="34">
        <f t="shared" ca="1" si="1"/>
        <v>0.02</v>
      </c>
      <c r="D13" s="25"/>
      <c r="E13" s="27">
        <f ca="1"/>
        <v>0.98100464722872571</v>
      </c>
      <c r="F13" s="37">
        <f t="shared" ca="1" si="2"/>
        <v>-8.0962786946789933E-3</v>
      </c>
      <c r="G13" s="28">
        <f ca="1"/>
        <v>1.4999999999999999E-2</v>
      </c>
      <c r="H13" s="38">
        <f t="shared" ca="1" si="3"/>
        <v>-5.000000000000001E-3</v>
      </c>
      <c r="I13" s="29"/>
    </row>
    <row r="14" spans="2:15" x14ac:dyDescent="0.25">
      <c r="B14" s="33">
        <v>44194</v>
      </c>
      <c r="C14" s="34">
        <f t="shared" ca="1" si="1"/>
        <v>0.02</v>
      </c>
      <c r="D14" s="25"/>
      <c r="E14" s="27">
        <f ca="1"/>
        <v>0.97164271108191336</v>
      </c>
      <c r="F14" s="37">
        <f t="shared" ca="1" si="2"/>
        <v>-1.2053305235319889E-2</v>
      </c>
      <c r="G14" s="28">
        <f ca="1"/>
        <v>1.4999999999999999E-2</v>
      </c>
      <c r="H14" s="38">
        <f t="shared" ca="1" si="3"/>
        <v>-5.000000000000001E-3</v>
      </c>
      <c r="I14" s="29"/>
    </row>
    <row r="15" spans="2:15" x14ac:dyDescent="0.25">
      <c r="B15" s="33">
        <v>44294</v>
      </c>
      <c r="C15" s="34">
        <f t="shared" ca="1" si="1"/>
        <v>0.02</v>
      </c>
      <c r="D15" s="25"/>
      <c r="E15" s="27">
        <f ca="1"/>
        <v>0.96237011788435678</v>
      </c>
      <c r="F15" s="37">
        <f t="shared" ca="1" si="2"/>
        <v>-1.5950523778179848E-2</v>
      </c>
      <c r="G15" s="28">
        <f ca="1"/>
        <v>1.4999999999999999E-2</v>
      </c>
      <c r="H15" s="38">
        <f t="shared" ca="1" si="3"/>
        <v>-5.000000000000001E-3</v>
      </c>
      <c r="I15" s="29"/>
    </row>
    <row r="16" spans="2:15" x14ac:dyDescent="0.25">
      <c r="B16" s="33">
        <v>44394</v>
      </c>
      <c r="C16" s="34">
        <f t="shared" ca="1" si="1"/>
        <v>0.02</v>
      </c>
      <c r="D16" s="25"/>
      <c r="E16" s="27">
        <f ca="1"/>
        <v>0.95318601501727507</v>
      </c>
      <c r="F16" s="37">
        <f t="shared" ca="1" si="2"/>
        <v>-1.9788625549264971E-2</v>
      </c>
      <c r="G16" s="28">
        <f ca="1"/>
        <v>1.4999999999999999E-2</v>
      </c>
      <c r="H16" s="38">
        <f t="shared" ca="1" si="3"/>
        <v>-5.000000000000001E-3</v>
      </c>
      <c r="I16" s="29"/>
    </row>
    <row r="17" spans="2:9" x14ac:dyDescent="0.25">
      <c r="B17" s="33">
        <v>44494</v>
      </c>
      <c r="C17" s="34">
        <f t="shared" ca="1" si="1"/>
        <v>0.02</v>
      </c>
      <c r="D17" s="25"/>
      <c r="E17" s="27">
        <f ca="1"/>
        <v>0.94412835699685849</v>
      </c>
      <c r="F17" s="37">
        <f t="shared" ca="1" si="2"/>
        <v>-2.3529495521535937E-2</v>
      </c>
      <c r="G17" s="28">
        <f ca="1"/>
        <v>2.5000000000000001E-2</v>
      </c>
      <c r="H17" s="38">
        <f t="shared" ca="1" si="3"/>
        <v>5.000000000000001E-3</v>
      </c>
      <c r="I17" s="29"/>
    </row>
    <row r="18" spans="2:9" x14ac:dyDescent="0.25">
      <c r="B18" s="33">
        <v>44594</v>
      </c>
      <c r="C18" s="34">
        <f t="shared" ca="1" si="1"/>
        <v>0.02</v>
      </c>
      <c r="D18" s="25"/>
      <c r="E18" s="27">
        <f ca="1"/>
        <v>0.95580106417495458</v>
      </c>
      <c r="F18" s="37">
        <f t="shared" ca="1" si="2"/>
        <v>-6.569053709402084E-3</v>
      </c>
      <c r="G18" s="28">
        <f ca="1"/>
        <v>2.5000000000000001E-2</v>
      </c>
      <c r="H18" s="38">
        <f t="shared" ca="1" si="3"/>
        <v>5.000000000000001E-3</v>
      </c>
      <c r="I18" s="29"/>
    </row>
    <row r="19" spans="2:9" x14ac:dyDescent="0.25">
      <c r="B19" s="33">
        <v>44694</v>
      </c>
      <c r="C19" s="34">
        <f t="shared" ca="1" si="1"/>
        <v>0.02</v>
      </c>
      <c r="D19" s="25"/>
      <c r="E19" s="27">
        <f ca="1"/>
        <v>0.9440895579986105</v>
      </c>
      <c r="F19" s="37">
        <f t="shared" ca="1" si="2"/>
        <v>-1.302171990438683E-2</v>
      </c>
      <c r="G19" s="28">
        <f ca="1"/>
        <v>2.5000000000000001E-2</v>
      </c>
      <c r="H19" s="38">
        <f t="shared" ca="1" si="3"/>
        <v>5.000000000000001E-3</v>
      </c>
      <c r="I19" s="29"/>
    </row>
    <row r="20" spans="2:9" x14ac:dyDescent="0.25">
      <c r="B20" s="33">
        <v>44794</v>
      </c>
      <c r="C20" s="34">
        <f t="shared" ca="1" si="1"/>
        <v>0.02</v>
      </c>
      <c r="D20" s="25"/>
      <c r="E20" s="27">
        <f ca="1"/>
        <v>0.93252155383545676</v>
      </c>
      <c r="F20" s="37">
        <f t="shared" ca="1" si="2"/>
        <v>-1.9359620844976555E-2</v>
      </c>
      <c r="G20" s="28">
        <f ca="1"/>
        <v>2.5000000000000001E-2</v>
      </c>
      <c r="H20" s="38">
        <f t="shared" ca="1" si="3"/>
        <v>5.000000000000001E-3</v>
      </c>
      <c r="I20" s="29"/>
    </row>
    <row r="21" spans="2:9" x14ac:dyDescent="0.25">
      <c r="B21" s="33">
        <v>44894</v>
      </c>
      <c r="C21" s="34">
        <f t="shared" ca="1" si="1"/>
        <v>0.02</v>
      </c>
      <c r="D21" s="25"/>
      <c r="E21" s="27">
        <f ca="1"/>
        <v>0.92109529334395468</v>
      </c>
      <c r="F21" s="37">
        <f t="shared" ca="1" si="2"/>
        <v>-2.5584357841633043E-2</v>
      </c>
      <c r="G21" s="28">
        <f ca="1"/>
        <v>2.5000000000000001E-2</v>
      </c>
      <c r="H21" s="38">
        <f t="shared" ca="1" si="3"/>
        <v>5.000000000000001E-3</v>
      </c>
      <c r="I21" s="29"/>
    </row>
    <row r="22" spans="2:9" x14ac:dyDescent="0.25">
      <c r="B22" s="33">
        <v>44994</v>
      </c>
      <c r="C22" s="34">
        <f t="shared" ca="1" si="1"/>
        <v>0.02</v>
      </c>
      <c r="D22" s="25"/>
      <c r="E22" s="27">
        <f ca="1"/>
        <v>0.90980903972766403</v>
      </c>
      <c r="F22" s="37">
        <f t="shared" ca="1" si="2"/>
        <v>-3.169751151781075E-2</v>
      </c>
      <c r="G22" s="28">
        <f ca="1"/>
        <v>2.5000000000000001E-2</v>
      </c>
      <c r="H22" s="38">
        <f t="shared" ca="1" si="3"/>
        <v>5.000000000000001E-3</v>
      </c>
      <c r="I22" s="29"/>
    </row>
    <row r="23" spans="2:9" x14ac:dyDescent="0.25">
      <c r="B23" s="33">
        <v>45094</v>
      </c>
      <c r="C23" s="34">
        <f t="shared" ca="1" si="1"/>
        <v>0.02</v>
      </c>
      <c r="D23" s="25"/>
      <c r="E23" s="27">
        <f ca="1"/>
        <v>0.89872263170784028</v>
      </c>
      <c r="F23" s="37">
        <f t="shared" ca="1" si="2"/>
        <v>-3.7639087832670448E-2</v>
      </c>
      <c r="G23" s="28">
        <f ca="1"/>
        <v>2.1250000000000002E-2</v>
      </c>
      <c r="H23" s="38">
        <f t="shared" ca="1" si="3"/>
        <v>1.2500000000000011E-3</v>
      </c>
      <c r="I23" s="29"/>
    </row>
    <row r="24" spans="2:9" x14ac:dyDescent="0.25">
      <c r="B24" s="33">
        <v>45194</v>
      </c>
      <c r="C24" s="34">
        <f t="shared" ca="1" si="1"/>
        <v>0.02</v>
      </c>
      <c r="D24" s="25"/>
      <c r="E24" s="27">
        <f ca="1"/>
        <v>0.92583912130582546</v>
      </c>
      <c r="F24" s="37">
        <f t="shared" ca="1" si="2"/>
        <v>-5.4058802940251116E-3</v>
      </c>
      <c r="G24" s="28">
        <f ca="1"/>
        <v>2.1250000000000002E-2</v>
      </c>
      <c r="H24" s="38">
        <f t="shared" ca="1" si="3"/>
        <v>1.2500000000000011E-3</v>
      </c>
      <c r="I24" s="29"/>
    </row>
    <row r="25" spans="2:9" x14ac:dyDescent="0.25">
      <c r="B25" s="33">
        <v>45294</v>
      </c>
      <c r="C25" s="34">
        <f t="shared" ca="1" si="1"/>
        <v>0.02</v>
      </c>
      <c r="D25" s="25"/>
      <c r="E25" s="27">
        <f ca="1"/>
        <v>0.91543477339182089</v>
      </c>
      <c r="F25" s="37">
        <f t="shared" ca="1" si="2"/>
        <v>-1.0721470404929656E-2</v>
      </c>
      <c r="G25" s="28">
        <f ca="1"/>
        <v>2.1250000000000002E-2</v>
      </c>
      <c r="H25" s="38">
        <f t="shared" ca="1" si="3"/>
        <v>1.2500000000000011E-3</v>
      </c>
      <c r="I25" s="29"/>
    </row>
    <row r="26" spans="2:9" x14ac:dyDescent="0.25">
      <c r="B26" s="33">
        <v>45394</v>
      </c>
      <c r="C26" s="34">
        <f t="shared" ca="1" si="1"/>
        <v>0.02</v>
      </c>
      <c r="D26" s="25"/>
      <c r="E26" s="27">
        <f ca="1"/>
        <v>0.90514734693104126</v>
      </c>
      <c r="F26" s="37">
        <f t="shared" ca="1" si="2"/>
        <v>-1.5947946412913527E-2</v>
      </c>
      <c r="G26" s="28">
        <f ca="1"/>
        <v>2.1250000000000002E-2</v>
      </c>
      <c r="H26" s="38">
        <f t="shared" ca="1" si="3"/>
        <v>1.2500000000000011E-3</v>
      </c>
      <c r="I26" s="29"/>
    </row>
    <row r="27" spans="2:9" x14ac:dyDescent="0.25">
      <c r="B27" s="33">
        <v>45494</v>
      </c>
      <c r="C27" s="34">
        <f t="shared" ca="1" si="1"/>
        <v>0.02</v>
      </c>
      <c r="D27" s="25"/>
      <c r="E27" s="27">
        <f ca="1"/>
        <v>0.89502763424593057</v>
      </c>
      <c r="F27" s="37">
        <f t="shared" ca="1" si="2"/>
        <v>-2.1034364043177933E-2</v>
      </c>
      <c r="G27" s="28">
        <f ca="1"/>
        <v>1.7500000000000002E-2</v>
      </c>
      <c r="H27" s="38">
        <f t="shared" ca="1" si="3"/>
        <v>-2.4999999999999988E-3</v>
      </c>
      <c r="I27" s="29"/>
    </row>
    <row r="28" spans="2:9" x14ac:dyDescent="0.25">
      <c r="B28" s="33">
        <v>45594</v>
      </c>
      <c r="C28" s="34">
        <f t="shared" ca="1" si="1"/>
        <v>0.02</v>
      </c>
      <c r="D28" s="25"/>
      <c r="E28" s="27">
        <f ca="1"/>
        <v>0.90669858450701157</v>
      </c>
      <c r="F28" s="37">
        <f t="shared" ca="1" si="2"/>
        <v>-4.3576230031842078E-3</v>
      </c>
      <c r="G28" s="28">
        <f ca="1"/>
        <v>1.7500000000000002E-2</v>
      </c>
      <c r="H28" s="38">
        <f t="shared" ca="1" si="3"/>
        <v>-2.4999999999999988E-3</v>
      </c>
      <c r="I28" s="29"/>
    </row>
    <row r="29" spans="2:9" x14ac:dyDescent="0.25">
      <c r="B29" s="33">
        <v>45694</v>
      </c>
      <c r="C29" s="34">
        <f t="shared" ca="1" si="1"/>
        <v>0.02</v>
      </c>
      <c r="D29" s="25"/>
      <c r="E29" s="27">
        <f ca="1"/>
        <v>0.89743087769433194</v>
      </c>
      <c r="F29" s="37">
        <f t="shared" ca="1" si="2"/>
        <v>-8.6468930166696545E-3</v>
      </c>
      <c r="G29" s="28">
        <f ca="1"/>
        <v>1.7500000000000002E-2</v>
      </c>
      <c r="H29" s="38">
        <f t="shared" ca="1" si="3"/>
        <v>-2.4999999999999988E-3</v>
      </c>
      <c r="I29" s="29"/>
    </row>
    <row r="30" spans="2:9" x14ac:dyDescent="0.25">
      <c r="B30" s="33">
        <v>45794</v>
      </c>
      <c r="C30" s="34">
        <f t="shared" ca="1" si="1"/>
        <v>0.02</v>
      </c>
      <c r="D30" s="25"/>
      <c r="E30" s="27">
        <f ca="1"/>
        <v>0.88825789959418544</v>
      </c>
      <c r="F30" s="37">
        <f t="shared" ca="1" si="2"/>
        <v>-1.2868638822414735E-2</v>
      </c>
      <c r="G30" s="28">
        <f ca="1"/>
        <v>1.7500000000000002E-2</v>
      </c>
      <c r="H30" s="38">
        <f t="shared" ca="1" si="3"/>
        <v>-2.4999999999999988E-3</v>
      </c>
      <c r="I30" s="29"/>
    </row>
    <row r="31" spans="2:9" x14ac:dyDescent="0.25">
      <c r="I31" s="5"/>
    </row>
    <row r="32" spans="2:9" x14ac:dyDescent="0.25">
      <c r="I32" s="5"/>
    </row>
    <row r="33" spans="2:9" x14ac:dyDescent="0.25">
      <c r="I33" s="5"/>
    </row>
    <row r="34" spans="2:9" x14ac:dyDescent="0.25">
      <c r="I34" s="5"/>
    </row>
    <row r="35" spans="2:9" x14ac:dyDescent="0.25">
      <c r="E35" s="23" t="s">
        <v>24</v>
      </c>
      <c r="F35" s="23" t="s">
        <v>25</v>
      </c>
      <c r="G35" s="23" t="s">
        <v>26</v>
      </c>
      <c r="I35" s="5"/>
    </row>
    <row r="36" spans="2:9" x14ac:dyDescent="0.25">
      <c r="B36" s="7" t="s">
        <v>27</v>
      </c>
      <c r="C36" s="7" t="s">
        <v>28</v>
      </c>
      <c r="E36" s="4">
        <f ca="1">B11</f>
        <v>43894</v>
      </c>
      <c r="F36" s="28">
        <f t="array" aca="1" ref="F36:F121" ca="1">_xll.meMathForwardRates($E$36:$E$121,$C$3,$C$4,$C$5,$B$11:$B$30,$C$11:$C$30,$C$6,$C$7)</f>
        <v>0.02</v>
      </c>
      <c r="G36" s="28">
        <f t="array" aca="1" ref="G36:G121" ca="1">_xll.meMathForwardRates($E$36:$E$121,$C$3,$C$4,$C$5,$B$11:$B$30,$C$11:$C$30,$C$6,$C$7,$E$4:$H$7)</f>
        <v>1.4999999999999999E-2</v>
      </c>
      <c r="I36" s="5"/>
    </row>
    <row r="37" spans="2:9" x14ac:dyDescent="0.25">
      <c r="B37" s="35">
        <v>1</v>
      </c>
      <c r="C37" s="36">
        <v>0.02</v>
      </c>
      <c r="E37" s="4">
        <f t="shared" ref="E37:E100" ca="1" si="4">E36+$N$3</f>
        <v>43919</v>
      </c>
      <c r="F37" s="28">
        <f ca="1"/>
        <v>0.02</v>
      </c>
      <c r="G37" s="28">
        <f ca="1"/>
        <v>1.4999999999999999E-2</v>
      </c>
      <c r="I37" s="5"/>
    </row>
    <row r="38" spans="2:9" x14ac:dyDescent="0.25">
      <c r="B38" s="35">
        <v>0.99453553276059714</v>
      </c>
      <c r="C38" s="36">
        <v>0.02</v>
      </c>
      <c r="E38" s="4">
        <f t="shared" ca="1" si="4"/>
        <v>43944</v>
      </c>
      <c r="F38" s="28">
        <f ca="1"/>
        <v>0.02</v>
      </c>
      <c r="G38" s="28">
        <f ca="1"/>
        <v>1.4999999999999999E-2</v>
      </c>
      <c r="I38" s="5"/>
    </row>
    <row r="39" spans="2:9" x14ac:dyDescent="0.25">
      <c r="B39" s="35">
        <v>0.98910092592340471</v>
      </c>
      <c r="C39" s="36">
        <v>0.02</v>
      </c>
      <c r="E39" s="4">
        <f t="shared" ca="1" si="4"/>
        <v>43969</v>
      </c>
      <c r="F39" s="28">
        <f ca="1"/>
        <v>0.02</v>
      </c>
      <c r="G39" s="28">
        <f ca="1"/>
        <v>1.4999999999999999E-2</v>
      </c>
      <c r="I39" s="5"/>
    </row>
    <row r="40" spans="2:9" x14ac:dyDescent="0.25">
      <c r="B40" s="35">
        <v>0.98369601631723325</v>
      </c>
      <c r="C40" s="36">
        <v>0.02</v>
      </c>
      <c r="E40" s="4">
        <f t="shared" ca="1" si="4"/>
        <v>43994</v>
      </c>
      <c r="F40" s="28">
        <f ca="1"/>
        <v>0.02</v>
      </c>
      <c r="G40" s="28">
        <f ca="1"/>
        <v>1.4999999999999999E-2</v>
      </c>
      <c r="I40" s="5"/>
    </row>
    <row r="41" spans="2:9" x14ac:dyDescent="0.25">
      <c r="B41" s="35">
        <v>0.97832064166253663</v>
      </c>
      <c r="C41" s="36">
        <v>0.02</v>
      </c>
      <c r="E41" s="4">
        <f t="shared" ca="1" si="4"/>
        <v>44019</v>
      </c>
      <c r="F41" s="28">
        <f ca="1"/>
        <v>0.02</v>
      </c>
      <c r="G41" s="28">
        <f ca="1"/>
        <v>1.4999999999999999E-2</v>
      </c>
      <c r="I41" s="5"/>
    </row>
    <row r="42" spans="2:9" x14ac:dyDescent="0.25">
      <c r="B42" s="35">
        <v>0.97297464056654004</v>
      </c>
      <c r="C42" s="36">
        <v>0.02</v>
      </c>
      <c r="E42" s="4">
        <f t="shared" ca="1" si="4"/>
        <v>44044</v>
      </c>
      <c r="F42" s="28">
        <f ca="1"/>
        <v>0.02</v>
      </c>
      <c r="G42" s="28">
        <f ca="1"/>
        <v>1.4999999999999999E-2</v>
      </c>
      <c r="I42" s="5"/>
    </row>
    <row r="43" spans="2:9" x14ac:dyDescent="0.25">
      <c r="B43" s="35">
        <v>0.96765785251839442</v>
      </c>
      <c r="C43" s="36">
        <v>0.02</v>
      </c>
      <c r="E43" s="4">
        <f t="shared" ca="1" si="4"/>
        <v>44069</v>
      </c>
      <c r="F43" s="28">
        <f ca="1"/>
        <v>0.02</v>
      </c>
      <c r="G43" s="28">
        <f ca="1"/>
        <v>1.4999999999999999E-2</v>
      </c>
      <c r="I43" s="5"/>
    </row>
    <row r="44" spans="2:9" x14ac:dyDescent="0.25">
      <c r="B44" s="35">
        <v>0.96237011788435667</v>
      </c>
      <c r="C44" s="36">
        <v>0.02</v>
      </c>
      <c r="E44" s="4">
        <f t="shared" ca="1" si="4"/>
        <v>44094</v>
      </c>
      <c r="F44" s="28">
        <f ca="1"/>
        <v>0.02</v>
      </c>
      <c r="G44" s="28">
        <f ca="1"/>
        <v>1.4999999999999999E-2</v>
      </c>
      <c r="I44" s="5"/>
    </row>
    <row r="45" spans="2:9" x14ac:dyDescent="0.25">
      <c r="B45" s="35">
        <v>0.95711127790299733</v>
      </c>
      <c r="C45" s="36">
        <v>0.02</v>
      </c>
      <c r="E45" s="4">
        <f t="shared" ca="1" si="4"/>
        <v>44119</v>
      </c>
      <c r="F45" s="28">
        <f ca="1"/>
        <v>0.02</v>
      </c>
      <c r="G45" s="28">
        <f ca="1"/>
        <v>1.4999999999999999E-2</v>
      </c>
      <c r="I45" s="5"/>
    </row>
    <row r="46" spans="2:9" x14ac:dyDescent="0.25">
      <c r="B46" s="35">
        <v>0.95188117468043332</v>
      </c>
      <c r="C46" s="36">
        <v>0.02</v>
      </c>
      <c r="E46" s="4">
        <f t="shared" ca="1" si="4"/>
        <v>44144</v>
      </c>
      <c r="F46" s="28">
        <f ca="1"/>
        <v>0.02</v>
      </c>
      <c r="G46" s="28">
        <f ca="1"/>
        <v>1.4999999999999999E-2</v>
      </c>
      <c r="I46" s="5"/>
    </row>
    <row r="47" spans="2:9" x14ac:dyDescent="0.25">
      <c r="B47" s="35">
        <v>0.94667965118558772</v>
      </c>
      <c r="C47" s="36">
        <v>0.02</v>
      </c>
      <c r="E47" s="4">
        <f t="shared" ca="1" si="4"/>
        <v>44169</v>
      </c>
      <c r="F47" s="28">
        <f ca="1"/>
        <v>0.02</v>
      </c>
      <c r="G47" s="28">
        <f ca="1"/>
        <v>1.4999999999999999E-2</v>
      </c>
      <c r="I47" s="5"/>
    </row>
    <row r="48" spans="2:9" x14ac:dyDescent="0.25">
      <c r="B48" s="35">
        <v>0.94150655124547478</v>
      </c>
      <c r="C48" s="36">
        <v>0.02</v>
      </c>
      <c r="E48" s="4">
        <f t="shared" ca="1" si="4"/>
        <v>44194</v>
      </c>
      <c r="F48" s="28">
        <f ca="1"/>
        <v>0.02</v>
      </c>
      <c r="G48" s="28">
        <f ca="1"/>
        <v>1.4999999999999999E-2</v>
      </c>
    </row>
    <row r="49" spans="2:7" x14ac:dyDescent="0.25">
      <c r="B49" s="35">
        <v>0.93636171954051073</v>
      </c>
      <c r="C49" s="36">
        <v>0.02</v>
      </c>
      <c r="E49" s="4">
        <f t="shared" ca="1" si="4"/>
        <v>44219</v>
      </c>
      <c r="F49" s="28">
        <f ca="1"/>
        <v>0.02</v>
      </c>
      <c r="G49" s="28">
        <f ca="1"/>
        <v>1.4999999999999999E-2</v>
      </c>
    </row>
    <row r="50" spans="2:7" x14ac:dyDescent="0.25">
      <c r="B50" s="35">
        <v>0.93124500159985057</v>
      </c>
      <c r="C50" s="36">
        <v>0.02</v>
      </c>
      <c r="E50" s="4">
        <f t="shared" ca="1" si="4"/>
        <v>44244</v>
      </c>
      <c r="F50" s="28">
        <f ca="1"/>
        <v>0.02</v>
      </c>
      <c r="G50" s="28">
        <f ca="1"/>
        <v>1.4999999999999999E-2</v>
      </c>
    </row>
    <row r="51" spans="2:7" x14ac:dyDescent="0.25">
      <c r="B51" s="35">
        <v>0.92615624379675054</v>
      </c>
      <c r="C51" s="36">
        <v>0.02</v>
      </c>
      <c r="E51" s="4">
        <f t="shared" ca="1" si="4"/>
        <v>44269</v>
      </c>
      <c r="F51" s="28">
        <f ca="1"/>
        <v>0.02</v>
      </c>
      <c r="G51" s="28">
        <f ca="1"/>
        <v>1.4999999999999999E-2</v>
      </c>
    </row>
    <row r="52" spans="2:7" x14ac:dyDescent="0.25">
      <c r="B52" s="35">
        <v>0.92109529334395479</v>
      </c>
      <c r="C52" s="36">
        <v>0.02</v>
      </c>
      <c r="E52" s="4">
        <f t="shared" ca="1" si="4"/>
        <v>44294</v>
      </c>
      <c r="F52" s="28">
        <f ca="1"/>
        <v>0.02</v>
      </c>
      <c r="G52" s="28">
        <f ca="1"/>
        <v>1.4999999999999999E-2</v>
      </c>
    </row>
    <row r="53" spans="2:7" x14ac:dyDescent="0.25">
      <c r="B53" s="35">
        <v>0.9160619982891085</v>
      </c>
      <c r="C53" s="36">
        <v>0.02</v>
      </c>
      <c r="E53" s="4">
        <f t="shared" ca="1" si="4"/>
        <v>44319</v>
      </c>
      <c r="F53" s="28">
        <f ca="1"/>
        <v>0.02</v>
      </c>
      <c r="G53" s="28">
        <f ca="1"/>
        <v>1.4999999999999999E-2</v>
      </c>
    </row>
    <row r="54" spans="2:7" x14ac:dyDescent="0.25">
      <c r="B54" s="35">
        <v>0.91105620751019578</v>
      </c>
      <c r="C54" s="36">
        <v>0.02</v>
      </c>
      <c r="E54" s="4">
        <f t="shared" ca="1" si="4"/>
        <v>44344</v>
      </c>
      <c r="F54" s="28">
        <f ca="1"/>
        <v>0.02</v>
      </c>
      <c r="G54" s="28">
        <f ca="1"/>
        <v>1.4999999999999999E-2</v>
      </c>
    </row>
    <row r="55" spans="2:7" x14ac:dyDescent="0.25">
      <c r="B55" s="35">
        <v>0.9060777707110016</v>
      </c>
      <c r="C55" s="36">
        <v>0.02</v>
      </c>
      <c r="E55" s="4">
        <f t="shared" ca="1" si="4"/>
        <v>44369</v>
      </c>
      <c r="F55" s="28">
        <f ca="1"/>
        <v>0.02</v>
      </c>
      <c r="G55" s="28">
        <f ca="1"/>
        <v>1.4999999999999999E-2</v>
      </c>
    </row>
    <row r="56" spans="2:7" x14ac:dyDescent="0.25">
      <c r="B56" s="35">
        <v>0.90112653841660018</v>
      </c>
      <c r="C56" s="36">
        <v>0.02</v>
      </c>
      <c r="E56" s="4">
        <f t="shared" ca="1" si="4"/>
        <v>44394</v>
      </c>
      <c r="F56" s="28">
        <f ca="1"/>
        <v>0.02</v>
      </c>
      <c r="G56" s="28">
        <f ca="1"/>
        <v>1.4999999999999999E-2</v>
      </c>
    </row>
    <row r="57" spans="2:7" x14ac:dyDescent="0.25">
      <c r="E57" s="4">
        <f t="shared" ca="1" si="4"/>
        <v>44419</v>
      </c>
      <c r="F57" s="28">
        <f ca="1"/>
        <v>0.02</v>
      </c>
      <c r="G57" s="28">
        <f ca="1"/>
        <v>1.4999999999999999E-2</v>
      </c>
    </row>
    <row r="58" spans="2:7" x14ac:dyDescent="0.25">
      <c r="E58" s="4">
        <f t="shared" ca="1" si="4"/>
        <v>44444</v>
      </c>
      <c r="F58" s="28">
        <f ca="1"/>
        <v>0.02</v>
      </c>
      <c r="G58" s="28">
        <f ca="1"/>
        <v>1.4999999999999999E-2</v>
      </c>
    </row>
    <row r="59" spans="2:7" x14ac:dyDescent="0.25">
      <c r="E59" s="4">
        <f t="shared" ca="1" si="4"/>
        <v>44469</v>
      </c>
      <c r="F59" s="28">
        <f ca="1"/>
        <v>0.02</v>
      </c>
      <c r="G59" s="28">
        <f ca="1"/>
        <v>1.4999999999999999E-2</v>
      </c>
    </row>
    <row r="60" spans="2:7" x14ac:dyDescent="0.25">
      <c r="E60" s="4">
        <f t="shared" ca="1" si="4"/>
        <v>44494</v>
      </c>
      <c r="F60" s="28">
        <f ca="1"/>
        <v>0.02</v>
      </c>
      <c r="G60" s="28">
        <f ca="1"/>
        <v>2.5000000000000001E-2</v>
      </c>
    </row>
    <row r="61" spans="2:7" x14ac:dyDescent="0.25">
      <c r="E61" s="4">
        <f t="shared" ca="1" si="4"/>
        <v>44519</v>
      </c>
      <c r="F61" s="28">
        <f ca="1"/>
        <v>0.02</v>
      </c>
      <c r="G61" s="28">
        <f ca="1"/>
        <v>2.5000000000000001E-2</v>
      </c>
    </row>
    <row r="62" spans="2:7" x14ac:dyDescent="0.25">
      <c r="E62" s="4">
        <f t="shared" ca="1" si="4"/>
        <v>44544</v>
      </c>
      <c r="F62" s="28">
        <f ca="1"/>
        <v>0.02</v>
      </c>
      <c r="G62" s="28">
        <f ca="1"/>
        <v>2.5000000000000001E-2</v>
      </c>
    </row>
    <row r="63" spans="2:7" x14ac:dyDescent="0.25">
      <c r="E63" s="4">
        <f t="shared" ca="1" si="4"/>
        <v>44569</v>
      </c>
      <c r="F63" s="28">
        <f ca="1"/>
        <v>0.02</v>
      </c>
      <c r="G63" s="28">
        <f ca="1"/>
        <v>2.5000000000000001E-2</v>
      </c>
    </row>
    <row r="64" spans="2:7" x14ac:dyDescent="0.25">
      <c r="E64" s="4">
        <f t="shared" ca="1" si="4"/>
        <v>44594</v>
      </c>
      <c r="F64" s="28">
        <f ca="1"/>
        <v>0.02</v>
      </c>
      <c r="G64" s="28">
        <f ca="1"/>
        <v>2.5000000000000001E-2</v>
      </c>
    </row>
    <row r="65" spans="5:7" x14ac:dyDescent="0.25">
      <c r="E65" s="4">
        <f t="shared" ca="1" si="4"/>
        <v>44619</v>
      </c>
      <c r="F65" s="28">
        <f ca="1"/>
        <v>0.02</v>
      </c>
      <c r="G65" s="28">
        <f ca="1"/>
        <v>2.5000000000000001E-2</v>
      </c>
    </row>
    <row r="66" spans="5:7" x14ac:dyDescent="0.25">
      <c r="E66" s="4">
        <f t="shared" ca="1" si="4"/>
        <v>44644</v>
      </c>
      <c r="F66" s="28">
        <f ca="1"/>
        <v>0.02</v>
      </c>
      <c r="G66" s="28">
        <f ca="1"/>
        <v>2.5000000000000001E-2</v>
      </c>
    </row>
    <row r="67" spans="5:7" x14ac:dyDescent="0.25">
      <c r="E67" s="4">
        <f t="shared" ca="1" si="4"/>
        <v>44669</v>
      </c>
      <c r="F67" s="28">
        <f ca="1"/>
        <v>0.02</v>
      </c>
      <c r="G67" s="28">
        <f ca="1"/>
        <v>2.5000000000000001E-2</v>
      </c>
    </row>
    <row r="68" spans="5:7" x14ac:dyDescent="0.25">
      <c r="E68" s="4">
        <f t="shared" ca="1" si="4"/>
        <v>44694</v>
      </c>
      <c r="F68" s="28">
        <f ca="1"/>
        <v>0.02</v>
      </c>
      <c r="G68" s="28">
        <f ca="1"/>
        <v>2.5000000000000001E-2</v>
      </c>
    </row>
    <row r="69" spans="5:7" x14ac:dyDescent="0.25">
      <c r="E69" s="4">
        <f t="shared" ca="1" si="4"/>
        <v>44719</v>
      </c>
      <c r="F69" s="28">
        <f ca="1"/>
        <v>0.02</v>
      </c>
      <c r="G69" s="28">
        <f ca="1"/>
        <v>2.5000000000000001E-2</v>
      </c>
    </row>
    <row r="70" spans="5:7" x14ac:dyDescent="0.25">
      <c r="E70" s="4">
        <f t="shared" ca="1" si="4"/>
        <v>44744</v>
      </c>
      <c r="F70" s="28">
        <f ca="1"/>
        <v>0.02</v>
      </c>
      <c r="G70" s="28">
        <f ca="1"/>
        <v>2.5000000000000001E-2</v>
      </c>
    </row>
    <row r="71" spans="5:7" x14ac:dyDescent="0.25">
      <c r="E71" s="4">
        <f t="shared" ca="1" si="4"/>
        <v>44769</v>
      </c>
      <c r="F71" s="28">
        <f ca="1"/>
        <v>0.02</v>
      </c>
      <c r="G71" s="28">
        <f ca="1"/>
        <v>2.5000000000000001E-2</v>
      </c>
    </row>
    <row r="72" spans="5:7" x14ac:dyDescent="0.25">
      <c r="E72" s="4">
        <f t="shared" ca="1" si="4"/>
        <v>44794</v>
      </c>
      <c r="F72" s="28">
        <f ca="1"/>
        <v>0.02</v>
      </c>
      <c r="G72" s="28">
        <f ca="1"/>
        <v>2.5000000000000001E-2</v>
      </c>
    </row>
    <row r="73" spans="5:7" x14ac:dyDescent="0.25">
      <c r="E73" s="4">
        <f t="shared" ca="1" si="4"/>
        <v>44819</v>
      </c>
      <c r="F73" s="28">
        <f ca="1"/>
        <v>0.02</v>
      </c>
      <c r="G73" s="28">
        <f ca="1"/>
        <v>2.5000000000000001E-2</v>
      </c>
    </row>
    <row r="74" spans="5:7" x14ac:dyDescent="0.25">
      <c r="E74" s="4">
        <f t="shared" ca="1" si="4"/>
        <v>44844</v>
      </c>
      <c r="F74" s="28">
        <f ca="1"/>
        <v>0.02</v>
      </c>
      <c r="G74" s="28">
        <f ca="1"/>
        <v>2.5000000000000001E-2</v>
      </c>
    </row>
    <row r="75" spans="5:7" x14ac:dyDescent="0.25">
      <c r="E75" s="4">
        <f t="shared" ca="1" si="4"/>
        <v>44869</v>
      </c>
      <c r="F75" s="28">
        <f ca="1"/>
        <v>0.02</v>
      </c>
      <c r="G75" s="28">
        <f ca="1"/>
        <v>2.5000000000000001E-2</v>
      </c>
    </row>
    <row r="76" spans="5:7" x14ac:dyDescent="0.25">
      <c r="E76" s="4">
        <f t="shared" ca="1" si="4"/>
        <v>44894</v>
      </c>
      <c r="F76" s="28">
        <f ca="1"/>
        <v>0.02</v>
      </c>
      <c r="G76" s="28">
        <f ca="1"/>
        <v>2.5000000000000001E-2</v>
      </c>
    </row>
    <row r="77" spans="5:7" x14ac:dyDescent="0.25">
      <c r="E77" s="4">
        <f t="shared" ca="1" si="4"/>
        <v>44919</v>
      </c>
      <c r="F77" s="28">
        <f ca="1"/>
        <v>0.02</v>
      </c>
      <c r="G77" s="28">
        <f ca="1"/>
        <v>2.5000000000000001E-2</v>
      </c>
    </row>
    <row r="78" spans="5:7" x14ac:dyDescent="0.25">
      <c r="E78" s="4">
        <f t="shared" ca="1" si="4"/>
        <v>44944</v>
      </c>
      <c r="F78" s="28">
        <f ca="1"/>
        <v>0.02</v>
      </c>
      <c r="G78" s="28">
        <f ca="1"/>
        <v>2.5000000000000001E-2</v>
      </c>
    </row>
    <row r="79" spans="5:7" x14ac:dyDescent="0.25">
      <c r="E79" s="4">
        <f t="shared" ca="1" si="4"/>
        <v>44969</v>
      </c>
      <c r="F79" s="28">
        <f ca="1"/>
        <v>0.02</v>
      </c>
      <c r="G79" s="28">
        <f ca="1"/>
        <v>2.5000000000000001E-2</v>
      </c>
    </row>
    <row r="80" spans="5:7" x14ac:dyDescent="0.25">
      <c r="E80" s="4">
        <f t="shared" ca="1" si="4"/>
        <v>44994</v>
      </c>
      <c r="F80" s="28">
        <f ca="1"/>
        <v>0.02</v>
      </c>
      <c r="G80" s="28">
        <f ca="1"/>
        <v>2.5000000000000001E-2</v>
      </c>
    </row>
    <row r="81" spans="5:7" x14ac:dyDescent="0.25">
      <c r="E81" s="4">
        <f t="shared" ca="1" si="4"/>
        <v>45019</v>
      </c>
      <c r="F81" s="28">
        <f ca="1"/>
        <v>0.02</v>
      </c>
      <c r="G81" s="28">
        <f ca="1"/>
        <v>2.5000000000000001E-2</v>
      </c>
    </row>
    <row r="82" spans="5:7" x14ac:dyDescent="0.25">
      <c r="E82" s="4">
        <f t="shared" ca="1" si="4"/>
        <v>45044</v>
      </c>
      <c r="F82" s="28">
        <f ca="1"/>
        <v>0.02</v>
      </c>
      <c r="G82" s="28">
        <f ca="1"/>
        <v>2.5000000000000001E-2</v>
      </c>
    </row>
    <row r="83" spans="5:7" x14ac:dyDescent="0.25">
      <c r="E83" s="4">
        <f t="shared" ca="1" si="4"/>
        <v>45069</v>
      </c>
      <c r="F83" s="28">
        <f ca="1"/>
        <v>0.02</v>
      </c>
      <c r="G83" s="28">
        <f ca="1"/>
        <v>2.5000000000000001E-2</v>
      </c>
    </row>
    <row r="84" spans="5:7" x14ac:dyDescent="0.25">
      <c r="E84" s="4">
        <f t="shared" ca="1" si="4"/>
        <v>45094</v>
      </c>
      <c r="F84" s="28">
        <f ca="1"/>
        <v>0.02</v>
      </c>
      <c r="G84" s="28">
        <f ca="1"/>
        <v>2.1250000000000002E-2</v>
      </c>
    </row>
    <row r="85" spans="5:7" x14ac:dyDescent="0.25">
      <c r="E85" s="4">
        <f t="shared" ca="1" si="4"/>
        <v>45119</v>
      </c>
      <c r="F85" s="28">
        <f ca="1"/>
        <v>0.02</v>
      </c>
      <c r="G85" s="28">
        <f ca="1"/>
        <v>2.1250000000000002E-2</v>
      </c>
    </row>
    <row r="86" spans="5:7" x14ac:dyDescent="0.25">
      <c r="E86" s="4">
        <f t="shared" ca="1" si="4"/>
        <v>45144</v>
      </c>
      <c r="F86" s="28">
        <f ca="1"/>
        <v>0.02</v>
      </c>
      <c r="G86" s="28">
        <f ca="1"/>
        <v>2.1250000000000002E-2</v>
      </c>
    </row>
    <row r="87" spans="5:7" x14ac:dyDescent="0.25">
      <c r="E87" s="4">
        <f t="shared" ca="1" si="4"/>
        <v>45169</v>
      </c>
      <c r="F87" s="28">
        <f ca="1"/>
        <v>0.02</v>
      </c>
      <c r="G87" s="28">
        <f ca="1"/>
        <v>2.1250000000000002E-2</v>
      </c>
    </row>
    <row r="88" spans="5:7" x14ac:dyDescent="0.25">
      <c r="E88" s="4">
        <f t="shared" ca="1" si="4"/>
        <v>45194</v>
      </c>
      <c r="F88" s="28">
        <f ca="1"/>
        <v>0.02</v>
      </c>
      <c r="G88" s="28">
        <f ca="1"/>
        <v>2.1250000000000002E-2</v>
      </c>
    </row>
    <row r="89" spans="5:7" x14ac:dyDescent="0.25">
      <c r="E89" s="4">
        <f t="shared" ca="1" si="4"/>
        <v>45219</v>
      </c>
      <c r="F89" s="28">
        <f ca="1"/>
        <v>0.02</v>
      </c>
      <c r="G89" s="28">
        <f ca="1"/>
        <v>2.1250000000000002E-2</v>
      </c>
    </row>
    <row r="90" spans="5:7" x14ac:dyDescent="0.25">
      <c r="E90" s="4">
        <f t="shared" ca="1" si="4"/>
        <v>45244</v>
      </c>
      <c r="F90" s="28">
        <f ca="1"/>
        <v>0.02</v>
      </c>
      <c r="G90" s="28">
        <f ca="1"/>
        <v>2.1250000000000002E-2</v>
      </c>
    </row>
    <row r="91" spans="5:7" x14ac:dyDescent="0.25">
      <c r="E91" s="4">
        <f t="shared" ca="1" si="4"/>
        <v>45269</v>
      </c>
      <c r="F91" s="28">
        <f ca="1"/>
        <v>0.02</v>
      </c>
      <c r="G91" s="28">
        <f ca="1"/>
        <v>2.1250000000000002E-2</v>
      </c>
    </row>
    <row r="92" spans="5:7" x14ac:dyDescent="0.25">
      <c r="E92" s="4">
        <f t="shared" ca="1" si="4"/>
        <v>45294</v>
      </c>
      <c r="F92" s="28">
        <f ca="1"/>
        <v>0.02</v>
      </c>
      <c r="G92" s="28">
        <f ca="1"/>
        <v>2.1250000000000002E-2</v>
      </c>
    </row>
    <row r="93" spans="5:7" x14ac:dyDescent="0.25">
      <c r="E93" s="4">
        <f t="shared" ca="1" si="4"/>
        <v>45319</v>
      </c>
      <c r="F93" s="28">
        <f ca="1"/>
        <v>0.02</v>
      </c>
      <c r="G93" s="28">
        <f ca="1"/>
        <v>2.1250000000000002E-2</v>
      </c>
    </row>
    <row r="94" spans="5:7" x14ac:dyDescent="0.25">
      <c r="E94" s="4">
        <f t="shared" ca="1" si="4"/>
        <v>45344</v>
      </c>
      <c r="F94" s="28">
        <f ca="1"/>
        <v>0.02</v>
      </c>
      <c r="G94" s="28">
        <f ca="1"/>
        <v>2.1250000000000002E-2</v>
      </c>
    </row>
    <row r="95" spans="5:7" x14ac:dyDescent="0.25">
      <c r="E95" s="4">
        <f t="shared" ca="1" si="4"/>
        <v>45369</v>
      </c>
      <c r="F95" s="28">
        <f ca="1"/>
        <v>0.02</v>
      </c>
      <c r="G95" s="28">
        <f ca="1"/>
        <v>2.1250000000000002E-2</v>
      </c>
    </row>
    <row r="96" spans="5:7" x14ac:dyDescent="0.25">
      <c r="E96" s="4">
        <f t="shared" ca="1" si="4"/>
        <v>45394</v>
      </c>
      <c r="F96" s="28">
        <f ca="1"/>
        <v>0.02</v>
      </c>
      <c r="G96" s="28">
        <f ca="1"/>
        <v>2.1250000000000002E-2</v>
      </c>
    </row>
    <row r="97" spans="5:7" x14ac:dyDescent="0.25">
      <c r="E97" s="4">
        <f t="shared" ca="1" si="4"/>
        <v>45419</v>
      </c>
      <c r="F97" s="28">
        <f ca="1"/>
        <v>0.02</v>
      </c>
      <c r="G97" s="28">
        <f ca="1"/>
        <v>2.1250000000000002E-2</v>
      </c>
    </row>
    <row r="98" spans="5:7" x14ac:dyDescent="0.25">
      <c r="E98" s="4">
        <f t="shared" ca="1" si="4"/>
        <v>45444</v>
      </c>
      <c r="F98" s="28">
        <f ca="1"/>
        <v>0.02</v>
      </c>
      <c r="G98" s="28">
        <f ca="1"/>
        <v>2.1250000000000002E-2</v>
      </c>
    </row>
    <row r="99" spans="5:7" x14ac:dyDescent="0.25">
      <c r="E99" s="4">
        <f t="shared" ca="1" si="4"/>
        <v>45469</v>
      </c>
      <c r="F99" s="28">
        <f ca="1"/>
        <v>0.02</v>
      </c>
      <c r="G99" s="28">
        <f ca="1"/>
        <v>2.1250000000000002E-2</v>
      </c>
    </row>
    <row r="100" spans="5:7" x14ac:dyDescent="0.25">
      <c r="E100" s="4">
        <f t="shared" ca="1" si="4"/>
        <v>45494</v>
      </c>
      <c r="F100" s="28">
        <f ca="1"/>
        <v>0.02</v>
      </c>
      <c r="G100" s="28">
        <f ca="1"/>
        <v>1.7500000000000002E-2</v>
      </c>
    </row>
    <row r="101" spans="5:7" x14ac:dyDescent="0.25">
      <c r="E101" s="4">
        <f t="shared" ref="E101:E112" ca="1" si="5">E100+$N$3</f>
        <v>45519</v>
      </c>
      <c r="F101" s="28">
        <f ca="1"/>
        <v>0.02</v>
      </c>
      <c r="G101" s="28">
        <f ca="1"/>
        <v>1.7500000000000002E-2</v>
      </c>
    </row>
    <row r="102" spans="5:7" x14ac:dyDescent="0.25">
      <c r="E102" s="4">
        <f t="shared" ca="1" si="5"/>
        <v>45544</v>
      </c>
      <c r="F102" s="28">
        <f ca="1"/>
        <v>0.02</v>
      </c>
      <c r="G102" s="28">
        <f ca="1"/>
        <v>1.7500000000000002E-2</v>
      </c>
    </row>
    <row r="103" spans="5:7" x14ac:dyDescent="0.25">
      <c r="E103" s="4">
        <f t="shared" ca="1" si="5"/>
        <v>45569</v>
      </c>
      <c r="F103" s="28">
        <f ca="1"/>
        <v>0.02</v>
      </c>
      <c r="G103" s="28">
        <f ca="1"/>
        <v>1.7500000000000002E-2</v>
      </c>
    </row>
    <row r="104" spans="5:7" x14ac:dyDescent="0.25">
      <c r="E104" s="4">
        <f t="shared" ca="1" si="5"/>
        <v>45594</v>
      </c>
      <c r="F104" s="28">
        <f ca="1"/>
        <v>0.02</v>
      </c>
      <c r="G104" s="28">
        <f ca="1"/>
        <v>1.7500000000000002E-2</v>
      </c>
    </row>
    <row r="105" spans="5:7" x14ac:dyDescent="0.25">
      <c r="E105" s="4">
        <f t="shared" ca="1" si="5"/>
        <v>45619</v>
      </c>
      <c r="F105" s="28">
        <f ca="1"/>
        <v>0.02</v>
      </c>
      <c r="G105" s="28">
        <f ca="1"/>
        <v>1.7500000000000002E-2</v>
      </c>
    </row>
    <row r="106" spans="5:7" x14ac:dyDescent="0.25">
      <c r="E106" s="4">
        <f t="shared" ca="1" si="5"/>
        <v>45644</v>
      </c>
      <c r="F106" s="28">
        <f ca="1"/>
        <v>0.02</v>
      </c>
      <c r="G106" s="28">
        <f ca="1"/>
        <v>1.7500000000000002E-2</v>
      </c>
    </row>
    <row r="107" spans="5:7" x14ac:dyDescent="0.25">
      <c r="E107" s="4">
        <f t="shared" ca="1" si="5"/>
        <v>45669</v>
      </c>
      <c r="F107" s="28">
        <f ca="1"/>
        <v>0.02</v>
      </c>
      <c r="G107" s="28">
        <f ca="1"/>
        <v>1.7500000000000002E-2</v>
      </c>
    </row>
    <row r="108" spans="5:7" x14ac:dyDescent="0.25">
      <c r="E108" s="4">
        <f t="shared" ca="1" si="5"/>
        <v>45694</v>
      </c>
      <c r="F108" s="28">
        <f ca="1"/>
        <v>0.02</v>
      </c>
      <c r="G108" s="28">
        <f ca="1"/>
        <v>1.7500000000000002E-2</v>
      </c>
    </row>
    <row r="109" spans="5:7" x14ac:dyDescent="0.25">
      <c r="E109" s="4">
        <f t="shared" ca="1" si="5"/>
        <v>45719</v>
      </c>
      <c r="F109" s="28">
        <f ca="1"/>
        <v>0.02</v>
      </c>
      <c r="G109" s="28">
        <f ca="1"/>
        <v>1.7500000000000002E-2</v>
      </c>
    </row>
    <row r="110" spans="5:7" x14ac:dyDescent="0.25">
      <c r="E110" s="4">
        <f t="shared" ca="1" si="5"/>
        <v>45744</v>
      </c>
      <c r="F110" s="28">
        <f ca="1"/>
        <v>0.02</v>
      </c>
      <c r="G110" s="28">
        <f ca="1"/>
        <v>1.7500000000000002E-2</v>
      </c>
    </row>
    <row r="111" spans="5:7" x14ac:dyDescent="0.25">
      <c r="E111" s="4">
        <f t="shared" ca="1" si="5"/>
        <v>45769</v>
      </c>
      <c r="F111" s="28">
        <f ca="1"/>
        <v>0.02</v>
      </c>
      <c r="G111" s="28">
        <f ca="1"/>
        <v>1.7500000000000002E-2</v>
      </c>
    </row>
    <row r="112" spans="5:7" x14ac:dyDescent="0.25">
      <c r="E112" s="4">
        <f t="shared" ca="1" si="5"/>
        <v>45794</v>
      </c>
      <c r="F112" s="28">
        <f ca="1"/>
        <v>0.02</v>
      </c>
      <c r="G112" s="28">
        <f ca="1"/>
        <v>1.7500000000000002E-2</v>
      </c>
    </row>
    <row r="113" spans="5:7" x14ac:dyDescent="0.25">
      <c r="E113" s="4"/>
      <c r="F113" s="28" t="e">
        <f ca="1"/>
        <v>#N/A</v>
      </c>
      <c r="G113" s="28" t="e">
        <f ca="1"/>
        <v>#N/A</v>
      </c>
    </row>
    <row r="114" spans="5:7" x14ac:dyDescent="0.25">
      <c r="E114" s="4"/>
      <c r="F114" s="28" t="e">
        <f ca="1"/>
        <v>#N/A</v>
      </c>
      <c r="G114" s="28" t="e">
        <f ca="1"/>
        <v>#N/A</v>
      </c>
    </row>
    <row r="115" spans="5:7" x14ac:dyDescent="0.25">
      <c r="E115" s="4"/>
      <c r="F115" s="28" t="e">
        <f ca="1"/>
        <v>#N/A</v>
      </c>
      <c r="G115" s="28" t="e">
        <f ca="1"/>
        <v>#N/A</v>
      </c>
    </row>
    <row r="116" spans="5:7" x14ac:dyDescent="0.25">
      <c r="E116" s="4"/>
      <c r="F116" s="28" t="e">
        <f ca="1"/>
        <v>#N/A</v>
      </c>
      <c r="G116" s="28" t="e">
        <f ca="1"/>
        <v>#N/A</v>
      </c>
    </row>
    <row r="117" spans="5:7" x14ac:dyDescent="0.25">
      <c r="E117" s="4"/>
      <c r="F117" s="28" t="e">
        <f ca="1"/>
        <v>#N/A</v>
      </c>
      <c r="G117" s="28" t="e">
        <f ca="1"/>
        <v>#N/A</v>
      </c>
    </row>
    <row r="118" spans="5:7" x14ac:dyDescent="0.25">
      <c r="E118" s="4"/>
      <c r="F118" s="28" t="e">
        <f ca="1"/>
        <v>#N/A</v>
      </c>
      <c r="G118" s="28" t="e">
        <f ca="1"/>
        <v>#N/A</v>
      </c>
    </row>
    <row r="119" spans="5:7" x14ac:dyDescent="0.25">
      <c r="E119" s="4"/>
      <c r="F119" s="28" t="e">
        <f ca="1"/>
        <v>#N/A</v>
      </c>
      <c r="G119" s="28" t="e">
        <f ca="1"/>
        <v>#N/A</v>
      </c>
    </row>
    <row r="120" spans="5:7" x14ac:dyDescent="0.25">
      <c r="E120" s="4"/>
      <c r="F120" s="28" t="e">
        <f ca="1"/>
        <v>#N/A</v>
      </c>
      <c r="G120" s="28" t="e">
        <f ca="1"/>
        <v>#N/A</v>
      </c>
    </row>
    <row r="121" spans="5:7" x14ac:dyDescent="0.25">
      <c r="E121" s="4"/>
      <c r="F121" s="28" t="e">
        <f ca="1"/>
        <v>#N/A</v>
      </c>
      <c r="G121" s="28" t="e">
        <f ca="1"/>
        <v>#N/A</v>
      </c>
    </row>
    <row r="122" spans="5:7" x14ac:dyDescent="0.25">
      <c r="E122" s="32"/>
    </row>
    <row r="123" spans="5:7" x14ac:dyDescent="0.25">
      <c r="E123" s="32"/>
    </row>
    <row r="124" spans="5:7" x14ac:dyDescent="0.25">
      <c r="E124" s="32"/>
    </row>
    <row r="125" spans="5:7" x14ac:dyDescent="0.25">
      <c r="E125" s="32"/>
    </row>
    <row r="126" spans="5:7" x14ac:dyDescent="0.25">
      <c r="E126" s="32"/>
    </row>
    <row r="127" spans="5:7" x14ac:dyDescent="0.25">
      <c r="E127" s="32"/>
    </row>
    <row r="128" spans="5:7" x14ac:dyDescent="0.25">
      <c r="E128" s="32"/>
    </row>
    <row r="129" spans="5:5" x14ac:dyDescent="0.25">
      <c r="E129" s="32"/>
    </row>
    <row r="130" spans="5:5" x14ac:dyDescent="0.25">
      <c r="E130" s="32"/>
    </row>
    <row r="131" spans="5:5" x14ac:dyDescent="0.25">
      <c r="E131" s="32"/>
    </row>
    <row r="132" spans="5:5" x14ac:dyDescent="0.25">
      <c r="E132" s="32"/>
    </row>
    <row r="133" spans="5:5" x14ac:dyDescent="0.25">
      <c r="E133" s="32"/>
    </row>
    <row r="134" spans="5:5" x14ac:dyDescent="0.25">
      <c r="E134" s="32"/>
    </row>
    <row r="135" spans="5:5" x14ac:dyDescent="0.25">
      <c r="E135" s="32"/>
    </row>
    <row r="136" spans="5:5" x14ac:dyDescent="0.25">
      <c r="E136" s="32"/>
    </row>
    <row r="137" spans="5:5" x14ac:dyDescent="0.25">
      <c r="E137" s="32"/>
    </row>
    <row r="138" spans="5:5" x14ac:dyDescent="0.25">
      <c r="E138" s="32"/>
    </row>
    <row r="139" spans="5:5" x14ac:dyDescent="0.25">
      <c r="E139" s="32"/>
    </row>
    <row r="140" spans="5:5" x14ac:dyDescent="0.25">
      <c r="E140" s="32"/>
    </row>
    <row r="141" spans="5:5" x14ac:dyDescent="0.25">
      <c r="E141" s="32"/>
    </row>
    <row r="142" spans="5:5" x14ac:dyDescent="0.25">
      <c r="E142" s="32"/>
    </row>
    <row r="143" spans="5:5" x14ac:dyDescent="0.25">
      <c r="E143" s="32"/>
    </row>
    <row r="144" spans="5:5" x14ac:dyDescent="0.25">
      <c r="E144" s="32"/>
    </row>
    <row r="145" spans="5:5" x14ac:dyDescent="0.25">
      <c r="E145" s="32"/>
    </row>
    <row r="146" spans="5:5" x14ac:dyDescent="0.25">
      <c r="E146" s="32"/>
    </row>
    <row r="147" spans="5:5" x14ac:dyDescent="0.25">
      <c r="E147" s="32"/>
    </row>
    <row r="148" spans="5:5" x14ac:dyDescent="0.25">
      <c r="E148" s="32"/>
    </row>
    <row r="149" spans="5:5" x14ac:dyDescent="0.25">
      <c r="E149" s="32"/>
    </row>
    <row r="150" spans="5:5" x14ac:dyDescent="0.25">
      <c r="E150" s="32"/>
    </row>
    <row r="151" spans="5:5" x14ac:dyDescent="0.25">
      <c r="E151" s="32"/>
    </row>
    <row r="152" spans="5:5" x14ac:dyDescent="0.25">
      <c r="E152" s="32"/>
    </row>
    <row r="153" spans="5:5" x14ac:dyDescent="0.25">
      <c r="E153" s="32"/>
    </row>
    <row r="154" spans="5:5" x14ac:dyDescent="0.25">
      <c r="E154" s="32"/>
    </row>
    <row r="155" spans="5:5" x14ac:dyDescent="0.25">
      <c r="E155" s="32"/>
    </row>
    <row r="156" spans="5:5" x14ac:dyDescent="0.25">
      <c r="E156" s="32"/>
    </row>
    <row r="157" spans="5:5" x14ac:dyDescent="0.25">
      <c r="E157" s="32"/>
    </row>
    <row r="158" spans="5:5" x14ac:dyDescent="0.25">
      <c r="E158" s="32"/>
    </row>
    <row r="159" spans="5:5" x14ac:dyDescent="0.25">
      <c r="E159" s="32"/>
    </row>
    <row r="160" spans="5:5" x14ac:dyDescent="0.25">
      <c r="E160" s="32"/>
    </row>
    <row r="161" spans="5:5" x14ac:dyDescent="0.25">
      <c r="E161" s="32"/>
    </row>
    <row r="162" spans="5:5" x14ac:dyDescent="0.25">
      <c r="E162" s="32"/>
    </row>
    <row r="163" spans="5:5" x14ac:dyDescent="0.25">
      <c r="E163" s="32"/>
    </row>
    <row r="164" spans="5:5" x14ac:dyDescent="0.25">
      <c r="E164" s="32"/>
    </row>
    <row r="165" spans="5:5" x14ac:dyDescent="0.25">
      <c r="E165" s="32"/>
    </row>
    <row r="166" spans="5:5" x14ac:dyDescent="0.25">
      <c r="E166" s="32"/>
    </row>
    <row r="167" spans="5:5" x14ac:dyDescent="0.25">
      <c r="E167" s="32"/>
    </row>
    <row r="168" spans="5:5" x14ac:dyDescent="0.25">
      <c r="E168" s="32"/>
    </row>
    <row r="169" spans="5:5" x14ac:dyDescent="0.25">
      <c r="E169" s="32"/>
    </row>
    <row r="170" spans="5:5" x14ac:dyDescent="0.25">
      <c r="E170" s="32"/>
    </row>
    <row r="171" spans="5:5" x14ac:dyDescent="0.25">
      <c r="E171" s="32"/>
    </row>
    <row r="172" spans="5:5" x14ac:dyDescent="0.25">
      <c r="E172" s="32"/>
    </row>
    <row r="173" spans="5:5" x14ac:dyDescent="0.25">
      <c r="E173" s="32"/>
    </row>
    <row r="174" spans="5:5" x14ac:dyDescent="0.25">
      <c r="E174" s="32"/>
    </row>
    <row r="175" spans="5:5" x14ac:dyDescent="0.25">
      <c r="E175" s="32"/>
    </row>
    <row r="176" spans="5:5" x14ac:dyDescent="0.25">
      <c r="E176" s="32"/>
    </row>
    <row r="177" spans="5:5" x14ac:dyDescent="0.25">
      <c r="E177" s="32"/>
    </row>
    <row r="178" spans="5:5" x14ac:dyDescent="0.25">
      <c r="E178" s="32"/>
    </row>
    <row r="179" spans="5:5" x14ac:dyDescent="0.25">
      <c r="E179" s="32"/>
    </row>
    <row r="180" spans="5:5" x14ac:dyDescent="0.25">
      <c r="E180" s="32"/>
    </row>
    <row r="181" spans="5:5" x14ac:dyDescent="0.25">
      <c r="E181" s="32"/>
    </row>
    <row r="182" spans="5:5" x14ac:dyDescent="0.25">
      <c r="E182" s="32"/>
    </row>
    <row r="183" spans="5:5" x14ac:dyDescent="0.25">
      <c r="E183" s="32"/>
    </row>
    <row r="184" spans="5:5" x14ac:dyDescent="0.25">
      <c r="E184" s="32"/>
    </row>
    <row r="185" spans="5:5" x14ac:dyDescent="0.25">
      <c r="E185" s="32"/>
    </row>
    <row r="186" spans="5:5" x14ac:dyDescent="0.25">
      <c r="E186" s="32"/>
    </row>
    <row r="187" spans="5:5" x14ac:dyDescent="0.25">
      <c r="E187" s="32"/>
    </row>
    <row r="188" spans="5:5" x14ac:dyDescent="0.25">
      <c r="E188" s="32"/>
    </row>
    <row r="189" spans="5:5" x14ac:dyDescent="0.25">
      <c r="E189" s="32"/>
    </row>
    <row r="190" spans="5:5" x14ac:dyDescent="0.25">
      <c r="E190" s="32"/>
    </row>
    <row r="191" spans="5:5" x14ac:dyDescent="0.25">
      <c r="E191" s="32"/>
    </row>
    <row r="192" spans="5:5" x14ac:dyDescent="0.25">
      <c r="E192" s="32"/>
    </row>
    <row r="193" spans="5:5" x14ac:dyDescent="0.25">
      <c r="E193" s="32"/>
    </row>
    <row r="194" spans="5:5" x14ac:dyDescent="0.25">
      <c r="E194" s="32"/>
    </row>
    <row r="195" spans="5:5" x14ac:dyDescent="0.25">
      <c r="E195" s="32"/>
    </row>
    <row r="196" spans="5:5" x14ac:dyDescent="0.25">
      <c r="E196" s="32"/>
    </row>
    <row r="197" spans="5:5" x14ac:dyDescent="0.25">
      <c r="E197" s="32"/>
    </row>
    <row r="198" spans="5:5" x14ac:dyDescent="0.25">
      <c r="E198" s="32"/>
    </row>
    <row r="199" spans="5:5" x14ac:dyDescent="0.25">
      <c r="E199" s="32"/>
    </row>
    <row r="200" spans="5:5" x14ac:dyDescent="0.25">
      <c r="E200" s="32"/>
    </row>
    <row r="201" spans="5:5" x14ac:dyDescent="0.25">
      <c r="E201" s="32"/>
    </row>
    <row r="202" spans="5:5" x14ac:dyDescent="0.25">
      <c r="E202" s="32"/>
    </row>
    <row r="203" spans="5:5" x14ac:dyDescent="0.25">
      <c r="E203" s="32"/>
    </row>
    <row r="204" spans="5:5" x14ac:dyDescent="0.25">
      <c r="E204" s="32"/>
    </row>
    <row r="205" spans="5:5" x14ac:dyDescent="0.25">
      <c r="E205" s="32"/>
    </row>
    <row r="206" spans="5:5" x14ac:dyDescent="0.25">
      <c r="E206" s="32"/>
    </row>
    <row r="207" spans="5:5" x14ac:dyDescent="0.25">
      <c r="E207" s="32"/>
    </row>
    <row r="208" spans="5:5" x14ac:dyDescent="0.25">
      <c r="E208" s="32"/>
    </row>
    <row r="209" spans="5:5" x14ac:dyDescent="0.25">
      <c r="E209" s="32"/>
    </row>
    <row r="210" spans="5:5" x14ac:dyDescent="0.25">
      <c r="E210" s="32"/>
    </row>
    <row r="211" spans="5:5" x14ac:dyDescent="0.25">
      <c r="E211" s="32"/>
    </row>
    <row r="212" spans="5:5" x14ac:dyDescent="0.25">
      <c r="E212" s="32"/>
    </row>
    <row r="213" spans="5:5" x14ac:dyDescent="0.25">
      <c r="E213" s="32"/>
    </row>
    <row r="214" spans="5:5" x14ac:dyDescent="0.25">
      <c r="E214" s="32"/>
    </row>
    <row r="215" spans="5:5" x14ac:dyDescent="0.25">
      <c r="E215" s="32"/>
    </row>
  </sheetData>
  <dataValidations count="2">
    <dataValidation type="list" allowBlank="1" showInputMessage="1" showErrorMessage="1" sqref="C5">
      <formula1>"DISCOUNTFACTOR,FORWARDRATE,ZERORATE"</formula1>
    </dataValidation>
    <dataValidation type="list" allowBlank="1" showInputMessage="1" showErrorMessage="1" sqref="C4">
      <formula1>"POLYNOMIAL,LINEAR,SPLINE,STEP,LEFT_CONTINUOUS,RIGHT_CONTINUOUS"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0"/>
  <sheetViews>
    <sheetView showGridLines="0" zoomScaleNormal="100" workbookViewId="0"/>
  </sheetViews>
  <sheetFormatPr defaultRowHeight="15" x14ac:dyDescent="0.25"/>
  <cols>
    <col min="2" max="2" width="18.5703125" customWidth="1"/>
    <col min="3" max="3" width="20.42578125" bestFit="1" customWidth="1"/>
    <col min="5" max="5" width="17.28515625" bestFit="1" customWidth="1"/>
    <col min="6" max="6" width="19.42578125" customWidth="1"/>
    <col min="7" max="7" width="15.42578125" customWidth="1"/>
    <col min="8" max="8" width="12" customWidth="1"/>
    <col min="9" max="9" width="19.85546875" bestFit="1" customWidth="1"/>
    <col min="10" max="11" width="14.140625" bestFit="1" customWidth="1"/>
    <col min="12" max="12" width="10.5703125" bestFit="1" customWidth="1"/>
  </cols>
  <sheetData>
    <row r="3" spans="2:12" x14ac:dyDescent="0.25">
      <c r="B3" t="s">
        <v>2</v>
      </c>
      <c r="C3" s="137">
        <f ca="1">_xll.meDateToday()</f>
        <v>43895</v>
      </c>
      <c r="I3" s="2" t="s">
        <v>1</v>
      </c>
    </row>
    <row r="4" spans="2:12" x14ac:dyDescent="0.25">
      <c r="B4" t="s">
        <v>9</v>
      </c>
      <c r="C4" s="8" t="s">
        <v>114</v>
      </c>
      <c r="I4" s="5" t="s">
        <v>3</v>
      </c>
      <c r="J4" s="5" t="s">
        <v>4</v>
      </c>
      <c r="K4" s="5" t="s">
        <v>5</v>
      </c>
      <c r="L4" s="5" t="s">
        <v>113</v>
      </c>
    </row>
    <row r="5" spans="2:12" x14ac:dyDescent="0.25">
      <c r="B5" t="s">
        <v>13</v>
      </c>
      <c r="C5" s="138" t="s">
        <v>14</v>
      </c>
      <c r="I5" s="141" t="s">
        <v>11</v>
      </c>
      <c r="J5" s="142">
        <f ca="1">C3</f>
        <v>43895</v>
      </c>
      <c r="K5" s="143">
        <f ca="1">J5+365*20</f>
        <v>51195</v>
      </c>
      <c r="L5" s="144">
        <v>8.4999999999999995E-4</v>
      </c>
    </row>
    <row r="6" spans="2:12" x14ac:dyDescent="0.25">
      <c r="B6" t="s">
        <v>15</v>
      </c>
      <c r="C6" s="137">
        <f ca="1">C3</f>
        <v>43895</v>
      </c>
    </row>
    <row r="7" spans="2:12" x14ac:dyDescent="0.25">
      <c r="B7" t="s">
        <v>16</v>
      </c>
      <c r="C7" s="6">
        <v>5</v>
      </c>
    </row>
    <row r="9" spans="2:12" x14ac:dyDescent="0.25">
      <c r="G9" s="7"/>
    </row>
    <row r="10" spans="2:12" x14ac:dyDescent="0.25">
      <c r="B10" s="7" t="s">
        <v>116</v>
      </c>
      <c r="C10" s="7" t="s">
        <v>117</v>
      </c>
      <c r="E10" s="7" t="s">
        <v>116</v>
      </c>
      <c r="F10" s="7" t="s">
        <v>117</v>
      </c>
      <c r="G10" s="7" t="s">
        <v>118</v>
      </c>
    </row>
    <row r="11" spans="2:12" x14ac:dyDescent="0.25">
      <c r="B11" s="139">
        <f ca="1">C3</f>
        <v>43895</v>
      </c>
      <c r="C11" s="140">
        <f ca="1">IF($C$5="DISCOUNTFACTOR",1,2%)</f>
        <v>0.02</v>
      </c>
      <c r="E11" s="139">
        <f ca="1">C3</f>
        <v>43895</v>
      </c>
      <c r="F11" s="28">
        <f t="array" aca="1" ref="F11:F30" ca="1">_xll.meMathForwardRates($B$11:$B$30,$C$3,$C$4,$C$5,$B$11:$B$30,$C$11:$C$30,$C$6,$C$7)</f>
        <v>1.8086082261900296E-2</v>
      </c>
      <c r="G11" s="28">
        <f t="array" aca="1" ref="G11:G30" ca="1">_xll.meMathForwardRates($E$11:$E$30,$C$3,$C$4,$C$5,$B$11:$B$30,$C$11:$C$30,$C$6,$C$7,$I$5:$L$5)</f>
        <v>1.8936082261900297E-2</v>
      </c>
    </row>
    <row r="12" spans="2:12" x14ac:dyDescent="0.25">
      <c r="B12" s="139">
        <f t="shared" ref="B12:B30" ca="1" si="0">B11+100</f>
        <v>43995</v>
      </c>
      <c r="C12" s="140">
        <f t="shared" ref="C12:C30" ca="1" si="1">C11-1%+2%*RAND()</f>
        <v>2.612204780924747E-2</v>
      </c>
      <c r="E12" s="139">
        <f t="shared" ref="E12:E30" ca="1" si="2">E11+100</f>
        <v>43995</v>
      </c>
      <c r="F12" s="28">
        <f ca="1"/>
        <v>2.7654690221092335E-2</v>
      </c>
      <c r="G12" s="28">
        <f ca="1"/>
        <v>2.8504690221092335E-2</v>
      </c>
    </row>
    <row r="13" spans="2:12" x14ac:dyDescent="0.25">
      <c r="B13" s="139">
        <f t="shared" ca="1" si="0"/>
        <v>44095</v>
      </c>
      <c r="C13" s="140">
        <f t="shared" ca="1" si="1"/>
        <v>3.0538064666795345E-2</v>
      </c>
      <c r="E13" s="139">
        <f t="shared" ca="1" si="2"/>
        <v>44095</v>
      </c>
      <c r="F13" s="28">
        <f ca="1"/>
        <v>3.3473306941423031E-2</v>
      </c>
      <c r="G13" s="28">
        <f ca="1"/>
        <v>3.4323306941423028E-2</v>
      </c>
    </row>
    <row r="14" spans="2:12" x14ac:dyDescent="0.25">
      <c r="B14" s="139">
        <f t="shared" ca="1" si="0"/>
        <v>44195</v>
      </c>
      <c r="C14" s="140">
        <f t="shared" ca="1" si="1"/>
        <v>3.5958198276040132E-2</v>
      </c>
      <c r="E14" s="139">
        <f t="shared" ca="1" si="2"/>
        <v>44195</v>
      </c>
      <c r="F14" s="28">
        <f ca="1"/>
        <v>3.6874731218280277E-2</v>
      </c>
      <c r="G14" s="28">
        <f ca="1"/>
        <v>3.7724731218280273E-2</v>
      </c>
    </row>
    <row r="15" spans="2:12" x14ac:dyDescent="0.25">
      <c r="B15" s="139">
        <f t="shared" ca="1" si="0"/>
        <v>44295</v>
      </c>
      <c r="C15" s="140">
        <f t="shared" ca="1" si="1"/>
        <v>4.2141851365500929E-2</v>
      </c>
      <c r="E15" s="139">
        <f t="shared" ca="1" si="2"/>
        <v>44295</v>
      </c>
      <c r="F15" s="28">
        <f ca="1"/>
        <v>3.882666290794691E-2</v>
      </c>
      <c r="G15" s="28">
        <f ca="1"/>
        <v>3.9676662907946907E-2</v>
      </c>
    </row>
    <row r="16" spans="2:12" x14ac:dyDescent="0.25">
      <c r="B16" s="139">
        <f t="shared" ca="1" si="0"/>
        <v>44395</v>
      </c>
      <c r="C16" s="140">
        <f t="shared" ca="1" si="1"/>
        <v>4.035265797444787E-2</v>
      </c>
      <c r="E16" s="139">
        <f t="shared" ca="1" si="2"/>
        <v>44395</v>
      </c>
      <c r="F16" s="28">
        <f ca="1"/>
        <v>3.9981799934535781E-2</v>
      </c>
      <c r="G16" s="28">
        <f ca="1"/>
        <v>4.0831799934535777E-2</v>
      </c>
    </row>
    <row r="17" spans="2:7" x14ac:dyDescent="0.25">
      <c r="B17" s="139">
        <f t="shared" ca="1" si="0"/>
        <v>44495</v>
      </c>
      <c r="C17" s="140">
        <f t="shared" ca="1" si="1"/>
        <v>3.9459633935342062E-2</v>
      </c>
      <c r="E17" s="139">
        <f t="shared" ca="1" si="2"/>
        <v>44495</v>
      </c>
      <c r="F17" s="28">
        <f ca="1"/>
        <v>4.0727935296924783E-2</v>
      </c>
      <c r="G17" s="28">
        <f ca="1"/>
        <v>4.157793529692478E-2</v>
      </c>
    </row>
    <row r="18" spans="2:7" x14ac:dyDescent="0.25">
      <c r="B18" s="139">
        <f t="shared" ca="1" si="0"/>
        <v>44595</v>
      </c>
      <c r="C18" s="140">
        <f t="shared" ca="1" si="1"/>
        <v>4.9397556933734099E-2</v>
      </c>
      <c r="E18" s="139">
        <f t="shared" ca="1" si="2"/>
        <v>44595</v>
      </c>
      <c r="F18" s="28">
        <f ca="1"/>
        <v>4.1238054075691893E-2</v>
      </c>
      <c r="G18" s="28">
        <f ca="1"/>
        <v>4.208805407569189E-2</v>
      </c>
    </row>
    <row r="19" spans="2:7" x14ac:dyDescent="0.25">
      <c r="B19" s="139">
        <f t="shared" ca="1" si="0"/>
        <v>44695</v>
      </c>
      <c r="C19" s="140">
        <f t="shared" ca="1" si="1"/>
        <v>4.2066265709398261E-2</v>
      </c>
      <c r="E19" s="139">
        <f t="shared" ca="1" si="2"/>
        <v>44695</v>
      </c>
      <c r="F19" s="28">
        <f ca="1"/>
        <v>4.1520430440050091E-2</v>
      </c>
      <c r="G19" s="28">
        <f ca="1"/>
        <v>4.2370430440050087E-2</v>
      </c>
    </row>
    <row r="20" spans="2:7" x14ac:dyDescent="0.25">
      <c r="B20" s="139">
        <f t="shared" ca="1" si="0"/>
        <v>44795</v>
      </c>
      <c r="C20" s="140">
        <f t="shared" ca="1" si="1"/>
        <v>3.3302808090833844E-2</v>
      </c>
      <c r="E20" s="139">
        <f t="shared" ca="1" si="2"/>
        <v>44795</v>
      </c>
      <c r="F20" s="28">
        <f ca="1"/>
        <v>4.1468724654782588E-2</v>
      </c>
      <c r="G20" s="28">
        <f ca="1"/>
        <v>4.2318724654782584E-2</v>
      </c>
    </row>
    <row r="21" spans="2:7" x14ac:dyDescent="0.25">
      <c r="B21" s="139">
        <f t="shared" ca="1" si="0"/>
        <v>44895</v>
      </c>
      <c r="C21" s="140">
        <f t="shared" ca="1" si="1"/>
        <v>3.3816884959500304E-2</v>
      </c>
      <c r="E21" s="139">
        <f t="shared" ca="1" si="2"/>
        <v>44895</v>
      </c>
      <c r="F21" s="28">
        <f ca="1"/>
        <v>4.091208008717763E-2</v>
      </c>
      <c r="G21" s="28">
        <f ca="1"/>
        <v>4.1762080087177626E-2</v>
      </c>
    </row>
    <row r="22" spans="2:7" x14ac:dyDescent="0.25">
      <c r="B22" s="139">
        <f t="shared" ca="1" si="0"/>
        <v>44995</v>
      </c>
      <c r="C22" s="140">
        <f t="shared" ca="1" si="1"/>
        <v>4.13774569017899E-2</v>
      </c>
      <c r="E22" s="139">
        <f t="shared" ca="1" si="2"/>
        <v>44995</v>
      </c>
      <c r="F22" s="28">
        <f ca="1"/>
        <v>3.9665220213963667E-2</v>
      </c>
      <c r="G22" s="28">
        <f ca="1"/>
        <v>4.0515220213963664E-2</v>
      </c>
    </row>
    <row r="23" spans="2:7" x14ac:dyDescent="0.25">
      <c r="B23" s="139">
        <f t="shared" ca="1" si="0"/>
        <v>45095</v>
      </c>
      <c r="C23" s="140">
        <f t="shared" ca="1" si="1"/>
        <v>4.3322294466085751E-2</v>
      </c>
      <c r="E23" s="139">
        <f t="shared" ca="1" si="2"/>
        <v>45095</v>
      </c>
      <c r="F23" s="28">
        <f ca="1"/>
        <v>3.7578545628244323E-2</v>
      </c>
      <c r="G23" s="28">
        <f ca="1"/>
        <v>3.8428545628244319E-2</v>
      </c>
    </row>
    <row r="24" spans="2:7" x14ac:dyDescent="0.25">
      <c r="B24" s="139">
        <f t="shared" ca="1" si="0"/>
        <v>45195</v>
      </c>
      <c r="C24" s="140">
        <f t="shared" ca="1" si="1"/>
        <v>3.3840292066695025E-2</v>
      </c>
      <c r="E24" s="139">
        <f t="shared" ca="1" si="2"/>
        <v>45195</v>
      </c>
      <c r="F24" s="28">
        <f ca="1"/>
        <v>3.4588231046433507E-2</v>
      </c>
      <c r="G24" s="28">
        <f ca="1"/>
        <v>3.5438231046433503E-2</v>
      </c>
    </row>
    <row r="25" spans="2:7" x14ac:dyDescent="0.25">
      <c r="B25" s="139">
        <f t="shared" ca="1" si="0"/>
        <v>45295</v>
      </c>
      <c r="C25" s="140">
        <f t="shared" ca="1" si="1"/>
        <v>3.3728309858765022E-2</v>
      </c>
      <c r="E25" s="139">
        <f t="shared" ca="1" si="2"/>
        <v>45295</v>
      </c>
      <c r="F25" s="28">
        <f ca="1"/>
        <v>3.0766322315190359E-2</v>
      </c>
      <c r="G25" s="28">
        <f ca="1"/>
        <v>3.1616322315190355E-2</v>
      </c>
    </row>
    <row r="26" spans="2:7" x14ac:dyDescent="0.25">
      <c r="B26" s="139">
        <f t="shared" ca="1" si="0"/>
        <v>45395</v>
      </c>
      <c r="C26" s="140">
        <f t="shared" ca="1" si="1"/>
        <v>2.7531240705633633E-2</v>
      </c>
      <c r="E26" s="139">
        <f t="shared" ca="1" si="2"/>
        <v>45395</v>
      </c>
      <c r="F26" s="28">
        <f ca="1"/>
        <v>2.6370833418354053E-2</v>
      </c>
      <c r="G26" s="28">
        <f ca="1"/>
        <v>2.7220833418354053E-2</v>
      </c>
    </row>
    <row r="27" spans="2:7" x14ac:dyDescent="0.25">
      <c r="B27" s="139">
        <f t="shared" ca="1" si="0"/>
        <v>45495</v>
      </c>
      <c r="C27" s="140">
        <f t="shared" ca="1" si="1"/>
        <v>2.1033813783850996E-2</v>
      </c>
      <c r="E27" s="139">
        <f t="shared" ca="1" si="2"/>
        <v>45495</v>
      </c>
      <c r="F27" s="28">
        <f ca="1"/>
        <v>2.189584348387939E-2</v>
      </c>
      <c r="G27" s="28">
        <f ca="1"/>
        <v>2.274584348387939E-2</v>
      </c>
    </row>
    <row r="28" spans="2:7" x14ac:dyDescent="0.25">
      <c r="B28" s="139">
        <f t="shared" ca="1" si="0"/>
        <v>45595</v>
      </c>
      <c r="C28" s="140">
        <f t="shared" ca="1" si="1"/>
        <v>1.4604131846542421E-2</v>
      </c>
      <c r="E28" s="139">
        <f t="shared" ca="1" si="2"/>
        <v>45595</v>
      </c>
      <c r="F28" s="28">
        <f ca="1"/>
        <v>1.8121593790771308E-2</v>
      </c>
      <c r="G28" s="28">
        <f ca="1"/>
        <v>1.8971593790771308E-2</v>
      </c>
    </row>
    <row r="29" spans="2:7" x14ac:dyDescent="0.25">
      <c r="B29" s="139">
        <f t="shared" ca="1" si="0"/>
        <v>45695</v>
      </c>
      <c r="C29" s="140">
        <f t="shared" ca="1" si="1"/>
        <v>1.5870079350074749E-2</v>
      </c>
      <c r="E29" s="139">
        <f t="shared" ca="1" si="2"/>
        <v>45695</v>
      </c>
      <c r="F29" s="28">
        <f ca="1"/>
        <v>1.6164584776020521E-2</v>
      </c>
      <c r="G29" s="28">
        <f ca="1"/>
        <v>1.7014584776020521E-2</v>
      </c>
    </row>
    <row r="30" spans="2:7" x14ac:dyDescent="0.25">
      <c r="B30" s="139">
        <f t="shared" ca="1" si="0"/>
        <v>45795</v>
      </c>
      <c r="C30" s="140">
        <f t="shared" ca="1" si="1"/>
        <v>1.8979757053922793E-2</v>
      </c>
      <c r="E30" s="139">
        <f t="shared" ca="1" si="2"/>
        <v>45795</v>
      </c>
      <c r="F30" s="28">
        <f ca="1"/>
        <v>1.7527673041537149E-2</v>
      </c>
      <c r="G30" s="28">
        <f ca="1"/>
        <v>1.8377673041537149E-2</v>
      </c>
    </row>
  </sheetData>
  <dataValidations count="2">
    <dataValidation type="list" allowBlank="1" showInputMessage="1" showErrorMessage="1" sqref="C5">
      <formula1>"DISCOUNTFACTOR,FORWARDRATE"</formula1>
    </dataValidation>
    <dataValidation type="list" allowBlank="1" showInputMessage="1" showErrorMessage="1" sqref="C4">
      <formula1>"POLYNOMIAL,LINEAR,SPLINE,STEP,LEFT_CONTINUOUS,RIGHT_CONTINUOUS"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5"/>
  <sheetViews>
    <sheetView showGridLines="0" zoomScaleNormal="100" workbookViewId="0"/>
  </sheetViews>
  <sheetFormatPr defaultRowHeight="15" x14ac:dyDescent="0.25"/>
  <cols>
    <col min="2" max="2" width="17.28515625" bestFit="1" customWidth="1"/>
    <col min="3" max="3" width="20.140625" customWidth="1"/>
    <col min="4" max="4" width="8.85546875" customWidth="1"/>
    <col min="5" max="5" width="19" customWidth="1"/>
    <col min="6" max="6" width="16.7109375" bestFit="1" customWidth="1"/>
    <col min="7" max="7" width="17.28515625" bestFit="1" customWidth="1"/>
    <col min="8" max="8" width="15.42578125" bestFit="1" customWidth="1"/>
    <col min="9" max="9" width="5.7109375" customWidth="1"/>
    <col min="10" max="10" width="9.140625" customWidth="1"/>
    <col min="11" max="11" width="12.42578125" customWidth="1"/>
    <col min="12" max="13" width="9.140625" customWidth="1"/>
  </cols>
  <sheetData>
    <row r="1" spans="2:15" ht="18.75" x14ac:dyDescent="0.25">
      <c r="E1" s="1"/>
    </row>
    <row r="2" spans="2:15" ht="18.75" x14ac:dyDescent="0.25">
      <c r="B2" s="2" t="s">
        <v>0</v>
      </c>
      <c r="E2" s="2" t="s">
        <v>1</v>
      </c>
      <c r="K2" s="3"/>
    </row>
    <row r="3" spans="2:15" x14ac:dyDescent="0.25">
      <c r="B3" t="s">
        <v>2</v>
      </c>
      <c r="C3" s="4">
        <v>43894</v>
      </c>
      <c r="E3" s="5" t="s">
        <v>3</v>
      </c>
      <c r="F3" s="5" t="s">
        <v>4</v>
      </c>
      <c r="G3" s="5" t="s">
        <v>5</v>
      </c>
      <c r="H3" s="5" t="s">
        <v>113</v>
      </c>
      <c r="I3" s="5"/>
      <c r="K3" s="2" t="s">
        <v>7</v>
      </c>
      <c r="N3" s="6">
        <v>25</v>
      </c>
      <c r="O3" s="7" t="s">
        <v>8</v>
      </c>
    </row>
    <row r="4" spans="2:15" x14ac:dyDescent="0.25">
      <c r="B4" t="s">
        <v>9</v>
      </c>
      <c r="C4" s="8" t="s">
        <v>10</v>
      </c>
      <c r="E4" s="125" t="s">
        <v>11</v>
      </c>
      <c r="F4" s="126">
        <f ca="1">C3</f>
        <v>43894</v>
      </c>
      <c r="G4" s="127">
        <f ca="1">F4+365*20</f>
        <v>51194</v>
      </c>
      <c r="H4" s="128">
        <v>1E-4</v>
      </c>
      <c r="I4" s="5"/>
      <c r="K4" s="12" t="s">
        <v>12</v>
      </c>
      <c r="N4" s="6">
        <v>10</v>
      </c>
      <c r="O4" s="7" t="s">
        <v>8</v>
      </c>
    </row>
    <row r="5" spans="2:15" x14ac:dyDescent="0.25">
      <c r="B5" t="s">
        <v>13</v>
      </c>
      <c r="C5" s="8" t="s">
        <v>115</v>
      </c>
      <c r="E5" s="129"/>
      <c r="F5" s="130"/>
      <c r="G5" s="131"/>
      <c r="H5" s="132"/>
      <c r="I5" s="5"/>
    </row>
    <row r="6" spans="2:15" x14ac:dyDescent="0.25">
      <c r="B6" t="s">
        <v>15</v>
      </c>
      <c r="C6" s="4">
        <f ca="1">C3</f>
        <v>43894</v>
      </c>
      <c r="E6" s="129"/>
      <c r="F6" s="130"/>
      <c r="G6" s="131"/>
      <c r="H6" s="132"/>
      <c r="I6" s="5"/>
    </row>
    <row r="7" spans="2:15" x14ac:dyDescent="0.25">
      <c r="B7" t="s">
        <v>16</v>
      </c>
      <c r="C7" s="19">
        <v>10</v>
      </c>
      <c r="E7" s="133"/>
      <c r="F7" s="134"/>
      <c r="G7" s="135"/>
      <c r="H7" s="136"/>
      <c r="I7" s="5"/>
    </row>
    <row r="8" spans="2:15" x14ac:dyDescent="0.25">
      <c r="I8" s="5"/>
    </row>
    <row r="9" spans="2:15" x14ac:dyDescent="0.25">
      <c r="E9" s="12" t="s">
        <v>17</v>
      </c>
      <c r="F9" s="23"/>
      <c r="G9" s="7"/>
      <c r="H9" s="23" t="s">
        <v>18</v>
      </c>
      <c r="I9" s="5"/>
    </row>
    <row r="10" spans="2:15" x14ac:dyDescent="0.25">
      <c r="B10" s="7" t="s">
        <v>19</v>
      </c>
      <c r="C10" s="7" t="s">
        <v>20</v>
      </c>
      <c r="E10" s="7" t="s">
        <v>21</v>
      </c>
      <c r="F10" s="24" t="s">
        <v>22</v>
      </c>
      <c r="G10" s="7" t="s">
        <v>23</v>
      </c>
      <c r="H10" s="24" t="s">
        <v>22</v>
      </c>
      <c r="I10" s="5"/>
    </row>
    <row r="11" spans="2:15" x14ac:dyDescent="0.25">
      <c r="B11" s="33">
        <v>43894</v>
      </c>
      <c r="C11" s="34">
        <f t="shared" ref="C11:C30" ca="1" si="0">IF($C$5="FORWARDRATE",C37,B37)</f>
        <v>1</v>
      </c>
      <c r="D11" s="26"/>
      <c r="E11" s="27">
        <f t="array" aca="1" ref="E11:E30" ca="1">_xll.meMathDiscountFactors($B$11:$B$30,$C$3,$C$4,$C$5,$B$11:$B$30,$C$11:$C$30,$C$6,$C$7,$E$4:$H$7)</f>
        <v>1</v>
      </c>
      <c r="F11" s="37">
        <f t="shared" ref="F11:F30" ca="1" si="1">E11-B37</f>
        <v>0</v>
      </c>
      <c r="G11" s="28">
        <f t="array" aca="1" ref="G11:G30" ca="1">_xll.meMathForwardRates($B$11:$B$30,$C$3,$C$4,$C$5,$B$11:$B$30,$C$11:$C$30,$C$6,$C$7,$E$4:$H$7)</f>
        <v>2.0045305423820842E-2</v>
      </c>
      <c r="H11" s="38">
        <f ca="1">G11-C37</f>
        <v>4.5305423820841961E-5</v>
      </c>
      <c r="I11" s="29"/>
    </row>
    <row r="12" spans="2:15" x14ac:dyDescent="0.25">
      <c r="B12" s="33">
        <f t="shared" ref="B12:B30" ca="1" si="2">B11+100</f>
        <v>43994</v>
      </c>
      <c r="C12" s="34">
        <f t="shared" ca="1" si="0"/>
        <v>0.99453553276059714</v>
      </c>
      <c r="D12" s="25"/>
      <c r="E12" s="27">
        <f ca="1"/>
        <v>0.99450828558500504</v>
      </c>
      <c r="F12" s="37">
        <f t="shared" ca="1" si="1"/>
        <v>-2.7247175592104433E-5</v>
      </c>
      <c r="G12" s="28">
        <f ca="1"/>
        <v>2.0154894739112396E-2</v>
      </c>
      <c r="H12" s="38">
        <f t="shared" ref="H12:H30" ca="1" si="3">G12-C38</f>
        <v>1.5489473911239546E-4</v>
      </c>
      <c r="I12" s="29"/>
    </row>
    <row r="13" spans="2:15" x14ac:dyDescent="0.25">
      <c r="B13" s="33">
        <f t="shared" ca="1" si="2"/>
        <v>44094</v>
      </c>
      <c r="C13" s="34">
        <f t="shared" ca="1" si="0"/>
        <v>0.98910092592340471</v>
      </c>
      <c r="D13" s="25"/>
      <c r="E13" s="27">
        <f ca="1"/>
        <v>0.98904673009722621</v>
      </c>
      <c r="F13" s="37">
        <f t="shared" ca="1" si="1"/>
        <v>-5.4195826178493611E-5</v>
      </c>
      <c r="G13" s="28">
        <f ca="1"/>
        <v>2.0154894739110647E-2</v>
      </c>
      <c r="H13" s="38">
        <f t="shared" ca="1" si="3"/>
        <v>1.5489473911064686E-4</v>
      </c>
      <c r="I13" s="29"/>
    </row>
    <row r="14" spans="2:15" x14ac:dyDescent="0.25">
      <c r="B14" s="33">
        <f t="shared" ca="1" si="2"/>
        <v>44194</v>
      </c>
      <c r="C14" s="34">
        <f t="shared" ca="1" si="0"/>
        <v>0.98369601631723325</v>
      </c>
      <c r="D14" s="25"/>
      <c r="E14" s="27">
        <f ca="1"/>
        <v>0.98361516791244719</v>
      </c>
      <c r="F14" s="37">
        <f t="shared" ca="1" si="1"/>
        <v>-8.0848404786060257E-5</v>
      </c>
      <c r="G14" s="28">
        <f ca="1"/>
        <v>2.0154894739113974E-2</v>
      </c>
      <c r="H14" s="38">
        <f t="shared" ca="1" si="3"/>
        <v>1.5489473911397406E-4</v>
      </c>
      <c r="I14" s="29"/>
    </row>
    <row r="15" spans="2:15" x14ac:dyDescent="0.25">
      <c r="B15" s="33">
        <f t="shared" ca="1" si="2"/>
        <v>44294</v>
      </c>
      <c r="C15" s="34">
        <f t="shared" ca="1" si="0"/>
        <v>0.97832064166253663</v>
      </c>
      <c r="D15" s="25"/>
      <c r="E15" s="27">
        <f ca="1"/>
        <v>0.97821343431601526</v>
      </c>
      <c r="F15" s="37">
        <f t="shared" ca="1" si="1"/>
        <v>-1.0720734652136521E-4</v>
      </c>
      <c r="G15" s="28">
        <f ca="1"/>
        <v>2.0154894739109894E-2</v>
      </c>
      <c r="H15" s="38">
        <f t="shared" ca="1" si="3"/>
        <v>1.5489473910989399E-4</v>
      </c>
      <c r="I15" s="29"/>
    </row>
    <row r="16" spans="2:15" x14ac:dyDescent="0.25">
      <c r="B16" s="33">
        <f t="shared" ca="1" si="2"/>
        <v>44394</v>
      </c>
      <c r="C16" s="34">
        <f t="shared" ca="1" si="0"/>
        <v>0.97297464056654004</v>
      </c>
      <c r="D16" s="25"/>
      <c r="E16" s="27">
        <f ca="1"/>
        <v>0.97284136549783995</v>
      </c>
      <c r="F16" s="37">
        <f t="shared" ca="1" si="1"/>
        <v>-1.3327506870008943E-4</v>
      </c>
      <c r="G16" s="28">
        <f ca="1"/>
        <v>2.0154894739113513E-2</v>
      </c>
      <c r="H16" s="38">
        <f t="shared" ca="1" si="3"/>
        <v>1.5489473911351262E-4</v>
      </c>
      <c r="I16" s="29"/>
    </row>
    <row r="17" spans="2:9" x14ac:dyDescent="0.25">
      <c r="B17" s="33">
        <f t="shared" ca="1" si="2"/>
        <v>44494</v>
      </c>
      <c r="C17" s="34">
        <f t="shared" ca="1" si="0"/>
        <v>0.96765785251839442</v>
      </c>
      <c r="D17" s="25"/>
      <c r="E17" s="27">
        <f ca="1"/>
        <v>0.9674987985474317</v>
      </c>
      <c r="F17" s="37">
        <f t="shared" ca="1" si="1"/>
        <v>-1.5905397096271923E-4</v>
      </c>
      <c r="G17" s="28">
        <f ca="1"/>
        <v>2.0154894739113617E-2</v>
      </c>
      <c r="H17" s="38">
        <f t="shared" ca="1" si="3"/>
        <v>1.548947391136167E-4</v>
      </c>
      <c r="I17" s="29"/>
    </row>
    <row r="18" spans="2:9" x14ac:dyDescent="0.25">
      <c r="B18" s="33">
        <f t="shared" ca="1" si="2"/>
        <v>44594</v>
      </c>
      <c r="C18" s="34">
        <f t="shared" ca="1" si="0"/>
        <v>0.96237011788435667</v>
      </c>
      <c r="D18" s="25"/>
      <c r="E18" s="27">
        <f ca="1"/>
        <v>0.96218557144895911</v>
      </c>
      <c r="F18" s="37">
        <f t="shared" ca="1" si="1"/>
        <v>-1.8454643539755899E-4</v>
      </c>
      <c r="G18" s="28">
        <f ca="1"/>
        <v>2.015489473910928E-2</v>
      </c>
      <c r="H18" s="38">
        <f t="shared" ca="1" si="3"/>
        <v>1.5489473910927989E-4</v>
      </c>
      <c r="I18" s="29"/>
    </row>
    <row r="19" spans="2:9" x14ac:dyDescent="0.25">
      <c r="B19" s="33">
        <f t="shared" ca="1" si="2"/>
        <v>44694</v>
      </c>
      <c r="C19" s="34">
        <f t="shared" ca="1" si="0"/>
        <v>0.95711127790299733</v>
      </c>
      <c r="D19" s="25"/>
      <c r="E19" s="27">
        <f ca="1"/>
        <v>0.95690152307633214</v>
      </c>
      <c r="F19" s="37">
        <f t="shared" ca="1" si="1"/>
        <v>-2.0975482666518719E-4</v>
      </c>
      <c r="G19" s="28">
        <f ca="1"/>
        <v>2.0154894739114564E-2</v>
      </c>
      <c r="H19" s="38">
        <f t="shared" ca="1" si="3"/>
        <v>1.5489473911456386E-4</v>
      </c>
      <c r="I19" s="29"/>
    </row>
    <row r="20" spans="2:9" x14ac:dyDescent="0.25">
      <c r="B20" s="33">
        <f t="shared" ca="1" si="2"/>
        <v>44794</v>
      </c>
      <c r="C20" s="34">
        <f t="shared" ca="1" si="0"/>
        <v>0.95188117468043332</v>
      </c>
      <c r="D20" s="25"/>
      <c r="E20" s="27">
        <f ca="1"/>
        <v>0.95164649318832317</v>
      </c>
      <c r="F20" s="37">
        <f t="shared" ca="1" si="1"/>
        <v>-2.3468149211014477E-4</v>
      </c>
      <c r="G20" s="28">
        <f ca="1"/>
        <v>2.0154894739112264E-2</v>
      </c>
      <c r="H20" s="38">
        <f t="shared" ca="1" si="3"/>
        <v>1.5489473911226362E-4</v>
      </c>
      <c r="I20" s="29"/>
    </row>
    <row r="21" spans="2:9" x14ac:dyDescent="0.25">
      <c r="B21" s="33">
        <f t="shared" ca="1" si="2"/>
        <v>44894</v>
      </c>
      <c r="C21" s="34">
        <f t="shared" ca="1" si="0"/>
        <v>0.94667965118558772</v>
      </c>
      <c r="D21" s="25"/>
      <c r="E21" s="27">
        <f ca="1"/>
        <v>0.94642032242370189</v>
      </c>
      <c r="F21" s="37">
        <f t="shared" ca="1" si="1"/>
        <v>-2.5932876188583531E-4</v>
      </c>
      <c r="G21" s="28">
        <f ca="1"/>
        <v>2.0154894739110078E-2</v>
      </c>
      <c r="H21" s="38">
        <f t="shared" ca="1" si="3"/>
        <v>1.5489473911007787E-4</v>
      </c>
      <c r="I21" s="29"/>
    </row>
    <row r="22" spans="2:9" x14ac:dyDescent="0.25">
      <c r="B22" s="33">
        <f t="shared" ca="1" si="2"/>
        <v>44994</v>
      </c>
      <c r="C22" s="34">
        <f t="shared" ca="1" si="0"/>
        <v>0.94150655124547478</v>
      </c>
      <c r="D22" s="25"/>
      <c r="E22" s="27">
        <f ca="1"/>
        <v>0.94122285229640357</v>
      </c>
      <c r="F22" s="37">
        <f t="shared" ca="1" si="1"/>
        <v>-2.8369894907120941E-4</v>
      </c>
      <c r="G22" s="28">
        <f ca="1"/>
        <v>2.0154894739111875E-2</v>
      </c>
      <c r="H22" s="38">
        <f t="shared" ca="1" si="3"/>
        <v>1.5489473911187504E-4</v>
      </c>
      <c r="I22" s="29"/>
    </row>
    <row r="23" spans="2:9" x14ac:dyDescent="0.25">
      <c r="B23" s="33">
        <f t="shared" ca="1" si="2"/>
        <v>45094</v>
      </c>
      <c r="C23" s="34">
        <f t="shared" ca="1" si="0"/>
        <v>0.93636171954051073</v>
      </c>
      <c r="D23" s="25"/>
      <c r="E23" s="27">
        <f ca="1"/>
        <v>0.93605392519072483</v>
      </c>
      <c r="F23" s="37">
        <f t="shared" ca="1" si="1"/>
        <v>-3.0779434978589482E-4</v>
      </c>
      <c r="G23" s="28">
        <f ca="1"/>
        <v>2.0154894739111931E-2</v>
      </c>
      <c r="H23" s="38">
        <f t="shared" ca="1" si="3"/>
        <v>1.5489473911193055E-4</v>
      </c>
      <c r="I23" s="29"/>
    </row>
    <row r="24" spans="2:9" x14ac:dyDescent="0.25">
      <c r="B24" s="33">
        <f t="shared" ca="1" si="2"/>
        <v>45194</v>
      </c>
      <c r="C24" s="34">
        <f t="shared" ca="1" si="0"/>
        <v>0.93124500159985057</v>
      </c>
      <c r="D24" s="25"/>
      <c r="E24" s="27">
        <f ca="1"/>
        <v>0.93091338435654247</v>
      </c>
      <c r="F24" s="37">
        <f t="shared" ca="1" si="1"/>
        <v>-3.3161724330810216E-4</v>
      </c>
      <c r="G24" s="28">
        <f ca="1"/>
        <v>2.0154894739111504E-2</v>
      </c>
      <c r="H24" s="38">
        <f t="shared" ca="1" si="3"/>
        <v>1.5489473911150381E-4</v>
      </c>
      <c r="I24" s="29"/>
    </row>
    <row r="25" spans="2:9" x14ac:dyDescent="0.25">
      <c r="B25" s="33">
        <f t="shared" ca="1" si="2"/>
        <v>45294</v>
      </c>
      <c r="C25" s="34">
        <f t="shared" ca="1" si="0"/>
        <v>0.92615624379675054</v>
      </c>
      <c r="D25" s="25"/>
      <c r="E25" s="27">
        <f ca="1"/>
        <v>0.9258010739045599</v>
      </c>
      <c r="F25" s="37">
        <f t="shared" ca="1" si="1"/>
        <v>-3.5516989219064321E-4</v>
      </c>
      <c r="G25" s="28">
        <f ca="1"/>
        <v>2.0154894739111927E-2</v>
      </c>
      <c r="H25" s="38">
        <f t="shared" ca="1" si="3"/>
        <v>1.5489473911192708E-4</v>
      </c>
      <c r="I25" s="29"/>
    </row>
    <row r="26" spans="2:9" x14ac:dyDescent="0.25">
      <c r="B26" s="33">
        <f t="shared" ca="1" si="2"/>
        <v>45394</v>
      </c>
      <c r="C26" s="34">
        <f t="shared" ca="1" si="0"/>
        <v>0.92109529334395479</v>
      </c>
      <c r="D26" s="25"/>
      <c r="E26" s="27">
        <f ca="1"/>
        <v>0.92071683880158028</v>
      </c>
      <c r="F26" s="37">
        <f t="shared" ca="1" si="1"/>
        <v>-3.7845454237450671E-4</v>
      </c>
      <c r="G26" s="28">
        <f ca="1"/>
        <v>2.0154894739112823E-2</v>
      </c>
      <c r="H26" s="38">
        <f t="shared" ca="1" si="3"/>
        <v>1.548947391128222E-4</v>
      </c>
      <c r="I26" s="29"/>
    </row>
    <row r="27" spans="2:9" x14ac:dyDescent="0.25">
      <c r="B27" s="33">
        <f t="shared" ca="1" si="2"/>
        <v>45494</v>
      </c>
      <c r="C27" s="34">
        <f t="shared" ca="1" si="0"/>
        <v>0.9160619982891085</v>
      </c>
      <c r="D27" s="25"/>
      <c r="E27" s="27">
        <f ca="1"/>
        <v>0.91566052486580518</v>
      </c>
      <c r="F27" s="37">
        <f t="shared" ca="1" si="1"/>
        <v>-4.0147342330332236E-4</v>
      </c>
      <c r="G27" s="28">
        <f ca="1"/>
        <v>2.0154894739111463E-2</v>
      </c>
      <c r="H27" s="38">
        <f t="shared" ca="1" si="3"/>
        <v>1.5489473911146218E-4</v>
      </c>
      <c r="I27" s="29"/>
    </row>
    <row r="28" spans="2:9" x14ac:dyDescent="0.25">
      <c r="B28" s="33">
        <f t="shared" ca="1" si="2"/>
        <v>45594</v>
      </c>
      <c r="C28" s="34">
        <f t="shared" ca="1" si="0"/>
        <v>0.91105620751019578</v>
      </c>
      <c r="D28" s="25"/>
      <c r="E28" s="27">
        <f ca="1"/>
        <v>0.91063197876215762</v>
      </c>
      <c r="F28" s="37">
        <f t="shared" ca="1" si="1"/>
        <v>-4.2422874803815791E-4</v>
      </c>
      <c r="G28" s="28">
        <f ca="1"/>
        <v>2.0154894739112736E-2</v>
      </c>
      <c r="H28" s="38">
        <f t="shared" ca="1" si="3"/>
        <v>1.5489473911273546E-4</v>
      </c>
      <c r="I28" s="29"/>
    </row>
    <row r="29" spans="2:9" x14ac:dyDescent="0.25">
      <c r="B29" s="33">
        <f t="shared" ca="1" si="2"/>
        <v>45694</v>
      </c>
      <c r="C29" s="34">
        <f t="shared" ca="1" si="0"/>
        <v>0.9060777707110016</v>
      </c>
      <c r="D29" s="25"/>
      <c r="E29" s="27">
        <f ca="1"/>
        <v>0.90563104799763428</v>
      </c>
      <c r="F29" s="37">
        <f t="shared" ca="1" si="1"/>
        <v>-4.4672271336732017E-4</v>
      </c>
      <c r="G29" s="28">
        <f ca="1"/>
        <v>2.0154894739111501E-2</v>
      </c>
      <c r="H29" s="38">
        <f t="shared" ca="1" si="3"/>
        <v>1.5489473911150034E-4</v>
      </c>
      <c r="I29" s="29"/>
    </row>
    <row r="30" spans="2:9" x14ac:dyDescent="0.25">
      <c r="B30" s="33">
        <f t="shared" ca="1" si="2"/>
        <v>45794</v>
      </c>
      <c r="C30" s="34">
        <f t="shared" ca="1" si="0"/>
        <v>0.90112653841660018</v>
      </c>
      <c r="D30" s="25"/>
      <c r="E30" s="27">
        <f ca="1"/>
        <v>0.90065758091667802</v>
      </c>
      <c r="F30" s="37">
        <f t="shared" ca="1" si="1"/>
        <v>-4.689574999221513E-4</v>
      </c>
      <c r="G30" s="28">
        <f ca="1"/>
        <v>2.0154894739114575E-2</v>
      </c>
      <c r="H30" s="38">
        <f t="shared" ca="1" si="3"/>
        <v>1.5489473911457427E-4</v>
      </c>
      <c r="I30" s="29"/>
    </row>
    <row r="31" spans="2:9" x14ac:dyDescent="0.25">
      <c r="I31" s="5"/>
    </row>
    <row r="32" spans="2:9" x14ac:dyDescent="0.25">
      <c r="I32" s="5"/>
    </row>
    <row r="33" spans="2:9" x14ac:dyDescent="0.25">
      <c r="I33" s="5"/>
    </row>
    <row r="34" spans="2:9" x14ac:dyDescent="0.25">
      <c r="I34" s="5"/>
    </row>
    <row r="35" spans="2:9" x14ac:dyDescent="0.25">
      <c r="E35" s="23" t="s">
        <v>24</v>
      </c>
      <c r="F35" s="23" t="s">
        <v>25</v>
      </c>
      <c r="G35" s="23" t="s">
        <v>26</v>
      </c>
      <c r="I35" s="5"/>
    </row>
    <row r="36" spans="2:9" x14ac:dyDescent="0.25">
      <c r="B36" s="7" t="s">
        <v>27</v>
      </c>
      <c r="C36" s="7" t="s">
        <v>28</v>
      </c>
      <c r="E36" s="4">
        <f ca="1">B11</f>
        <v>43894</v>
      </c>
      <c r="F36" s="28">
        <f t="array" aca="1" ref="F36:F121" ca="1">_xll.meMathForwardRates($E$36:$E$121,$C$3,$C$4,$C$5,$B$11:$B$30,$C$11:$C$30,$C$6,$C$7)</f>
        <v>1.9945305423820843E-2</v>
      </c>
      <c r="G36" s="28">
        <f t="array" aca="1" ref="G36:G121" ca="1">_xll.meMathForwardRates($E$36:$E$121,$C$3,$C$4,$C$5,$B$11:$B$30,$C$11:$C$30,$C$6,$C$7,$E$4:$H$7)</f>
        <v>2.0045305423820842E-2</v>
      </c>
      <c r="I36" s="5"/>
    </row>
    <row r="37" spans="2:9" x14ac:dyDescent="0.25">
      <c r="B37" s="35">
        <v>1</v>
      </c>
      <c r="C37" s="36">
        <v>0.02</v>
      </c>
      <c r="E37" s="4">
        <f t="shared" ref="E37:E100" ca="1" si="4">E36+$N$3</f>
        <v>43919</v>
      </c>
      <c r="F37" s="28">
        <f ca="1"/>
        <v>1.9972590315186681E-2</v>
      </c>
      <c r="G37" s="28">
        <f ca="1"/>
        <v>2.007259031518668E-2</v>
      </c>
      <c r="I37" s="5"/>
    </row>
    <row r="38" spans="2:9" x14ac:dyDescent="0.25">
      <c r="B38" s="35">
        <v>0.99453553276059714</v>
      </c>
      <c r="C38" s="36">
        <v>0.02</v>
      </c>
      <c r="E38" s="4">
        <f t="shared" ca="1" si="4"/>
        <v>43944</v>
      </c>
      <c r="F38" s="28">
        <f ca="1"/>
        <v>1.999994995949252E-2</v>
      </c>
      <c r="G38" s="28">
        <f ca="1"/>
        <v>2.0099949959492519E-2</v>
      </c>
      <c r="I38" s="5"/>
    </row>
    <row r="39" spans="2:9" x14ac:dyDescent="0.25">
      <c r="B39" s="35">
        <v>0.98910092592340471</v>
      </c>
      <c r="C39" s="36">
        <v>0.02</v>
      </c>
      <c r="E39" s="4">
        <f t="shared" ca="1" si="4"/>
        <v>43969</v>
      </c>
      <c r="F39" s="28">
        <f ca="1"/>
        <v>2.0027384664362841E-2</v>
      </c>
      <c r="G39" s="28">
        <f ca="1"/>
        <v>2.0127384664362841E-2</v>
      </c>
      <c r="I39" s="5"/>
    </row>
    <row r="40" spans="2:9" x14ac:dyDescent="0.25">
      <c r="B40" s="35">
        <v>0.98369601631723325</v>
      </c>
      <c r="C40" s="36">
        <v>0.02</v>
      </c>
      <c r="E40" s="4">
        <f t="shared" ca="1" si="4"/>
        <v>43994</v>
      </c>
      <c r="F40" s="28">
        <f ca="1"/>
        <v>2.0054894739112396E-2</v>
      </c>
      <c r="G40" s="28">
        <f ca="1"/>
        <v>2.0154894739112396E-2</v>
      </c>
      <c r="I40" s="5"/>
    </row>
    <row r="41" spans="2:9" x14ac:dyDescent="0.25">
      <c r="B41" s="35">
        <v>0.97832064166253663</v>
      </c>
      <c r="C41" s="36">
        <v>0.02</v>
      </c>
      <c r="E41" s="4">
        <f t="shared" ca="1" si="4"/>
        <v>44019</v>
      </c>
      <c r="F41" s="28">
        <f ca="1"/>
        <v>1.9972590315184949E-2</v>
      </c>
      <c r="G41" s="28">
        <f ca="1"/>
        <v>2.0072590315184949E-2</v>
      </c>
      <c r="I41" s="5"/>
    </row>
    <row r="42" spans="2:9" x14ac:dyDescent="0.25">
      <c r="B42" s="35">
        <v>0.97297464056654004</v>
      </c>
      <c r="C42" s="36">
        <v>0.02</v>
      </c>
      <c r="E42" s="4">
        <f t="shared" ca="1" si="4"/>
        <v>44044</v>
      </c>
      <c r="F42" s="28">
        <f ca="1"/>
        <v>1.9999949959490775E-2</v>
      </c>
      <c r="G42" s="28">
        <f ca="1"/>
        <v>2.0099949959490774E-2</v>
      </c>
      <c r="I42" s="5"/>
    </row>
    <row r="43" spans="2:9" x14ac:dyDescent="0.25">
      <c r="B43" s="35">
        <v>0.96765785251839442</v>
      </c>
      <c r="C43" s="36">
        <v>0.02</v>
      </c>
      <c r="E43" s="4">
        <f t="shared" ca="1" si="4"/>
        <v>44069</v>
      </c>
      <c r="F43" s="28">
        <f ca="1"/>
        <v>2.0027384664361103E-2</v>
      </c>
      <c r="G43" s="28">
        <f ca="1"/>
        <v>2.0127384664361102E-2</v>
      </c>
      <c r="I43" s="5"/>
    </row>
    <row r="44" spans="2:9" x14ac:dyDescent="0.25">
      <c r="B44" s="35">
        <v>0.96237011788435667</v>
      </c>
      <c r="C44" s="36">
        <v>0.02</v>
      </c>
      <c r="E44" s="4">
        <f t="shared" ca="1" si="4"/>
        <v>44094</v>
      </c>
      <c r="F44" s="28">
        <f ca="1"/>
        <v>2.0054894739110648E-2</v>
      </c>
      <c r="G44" s="28">
        <f ca="1"/>
        <v>2.0154894739110647E-2</v>
      </c>
      <c r="I44" s="5"/>
    </row>
    <row r="45" spans="2:9" x14ac:dyDescent="0.25">
      <c r="B45" s="35">
        <v>0.95711127790299733</v>
      </c>
      <c r="C45" s="36">
        <v>0.02</v>
      </c>
      <c r="E45" s="4">
        <f t="shared" ca="1" si="4"/>
        <v>44119</v>
      </c>
      <c r="F45" s="28">
        <f ca="1"/>
        <v>1.9972590315188249E-2</v>
      </c>
      <c r="G45" s="28">
        <f ca="1"/>
        <v>2.0072590315188248E-2</v>
      </c>
      <c r="I45" s="5"/>
    </row>
    <row r="46" spans="2:9" x14ac:dyDescent="0.25">
      <c r="B46" s="35">
        <v>0.95188117468043332</v>
      </c>
      <c r="C46" s="36">
        <v>0.02</v>
      </c>
      <c r="E46" s="4">
        <f t="shared" ca="1" si="4"/>
        <v>44144</v>
      </c>
      <c r="F46" s="28">
        <f ca="1"/>
        <v>1.9999949959494084E-2</v>
      </c>
      <c r="G46" s="28">
        <f ca="1"/>
        <v>2.0099949959494084E-2</v>
      </c>
      <c r="I46" s="5"/>
    </row>
    <row r="47" spans="2:9" x14ac:dyDescent="0.25">
      <c r="B47" s="35">
        <v>0.94667965118558772</v>
      </c>
      <c r="C47" s="36">
        <v>0.02</v>
      </c>
      <c r="E47" s="4">
        <f t="shared" ca="1" si="4"/>
        <v>44169</v>
      </c>
      <c r="F47" s="28">
        <f ca="1"/>
        <v>2.0027384664364416E-2</v>
      </c>
      <c r="G47" s="28">
        <f ca="1"/>
        <v>2.0127384664364416E-2</v>
      </c>
      <c r="I47" s="5"/>
    </row>
    <row r="48" spans="2:9" x14ac:dyDescent="0.25">
      <c r="B48" s="35">
        <v>0.94150655124547478</v>
      </c>
      <c r="C48" s="36">
        <v>0.02</v>
      </c>
      <c r="E48" s="4">
        <f t="shared" ca="1" si="4"/>
        <v>44194</v>
      </c>
      <c r="F48" s="28">
        <f ca="1"/>
        <v>2.0054894739113975E-2</v>
      </c>
      <c r="G48" s="28">
        <f ca="1"/>
        <v>2.0154894739113974E-2</v>
      </c>
    </row>
    <row r="49" spans="2:7" x14ac:dyDescent="0.25">
      <c r="B49" s="35">
        <v>0.93636171954051073</v>
      </c>
      <c r="C49" s="36">
        <v>0.02</v>
      </c>
      <c r="E49" s="4">
        <f t="shared" ca="1" si="4"/>
        <v>44219</v>
      </c>
      <c r="F49" s="28">
        <f ca="1"/>
        <v>1.9972590315184204E-2</v>
      </c>
      <c r="G49" s="28">
        <f ca="1"/>
        <v>2.0072590315184203E-2</v>
      </c>
    </row>
    <row r="50" spans="2:7" x14ac:dyDescent="0.25">
      <c r="B50" s="35">
        <v>0.93124500159985057</v>
      </c>
      <c r="C50" s="36">
        <v>0.02</v>
      </c>
      <c r="E50" s="4">
        <f t="shared" ca="1" si="4"/>
        <v>44244</v>
      </c>
      <c r="F50" s="28">
        <f ca="1"/>
        <v>1.9999949959490032E-2</v>
      </c>
      <c r="G50" s="28">
        <f ca="1"/>
        <v>2.0099949959490031E-2</v>
      </c>
    </row>
    <row r="51" spans="2:7" x14ac:dyDescent="0.25">
      <c r="B51" s="35">
        <v>0.92615624379675054</v>
      </c>
      <c r="C51" s="36">
        <v>0.02</v>
      </c>
      <c r="E51" s="4">
        <f t="shared" ca="1" si="4"/>
        <v>44269</v>
      </c>
      <c r="F51" s="28">
        <f ca="1"/>
        <v>2.002738466436035E-2</v>
      </c>
      <c r="G51" s="28">
        <f ca="1"/>
        <v>2.012738466436035E-2</v>
      </c>
    </row>
    <row r="52" spans="2:7" x14ac:dyDescent="0.25">
      <c r="B52" s="35">
        <v>0.92109529334395479</v>
      </c>
      <c r="C52" s="36">
        <v>0.02</v>
      </c>
      <c r="E52" s="4">
        <f t="shared" ca="1" si="4"/>
        <v>44294</v>
      </c>
      <c r="F52" s="28">
        <f ca="1"/>
        <v>2.0054894739109895E-2</v>
      </c>
      <c r="G52" s="28">
        <f ca="1"/>
        <v>2.0154894739109894E-2</v>
      </c>
    </row>
    <row r="53" spans="2:7" x14ac:dyDescent="0.25">
      <c r="B53" s="35">
        <v>0.9160619982891085</v>
      </c>
      <c r="C53" s="36">
        <v>0.02</v>
      </c>
      <c r="E53" s="4">
        <f t="shared" ca="1" si="4"/>
        <v>44319</v>
      </c>
      <c r="F53" s="28">
        <f ca="1"/>
        <v>1.9972590315187787E-2</v>
      </c>
      <c r="G53" s="28">
        <f ca="1"/>
        <v>2.0072590315187787E-2</v>
      </c>
    </row>
    <row r="54" spans="2:7" x14ac:dyDescent="0.25">
      <c r="B54" s="35">
        <v>0.91105620751019578</v>
      </c>
      <c r="C54" s="36">
        <v>0.02</v>
      </c>
      <c r="E54" s="4">
        <f t="shared" ca="1" si="4"/>
        <v>44344</v>
      </c>
      <c r="F54" s="28">
        <f ca="1"/>
        <v>1.999994995949363E-2</v>
      </c>
      <c r="G54" s="28">
        <f ca="1"/>
        <v>2.0099949959493629E-2</v>
      </c>
    </row>
    <row r="55" spans="2:7" x14ac:dyDescent="0.25">
      <c r="B55" s="35">
        <v>0.9060777707110016</v>
      </c>
      <c r="C55" s="36">
        <v>0.02</v>
      </c>
      <c r="E55" s="4">
        <f t="shared" ca="1" si="4"/>
        <v>44369</v>
      </c>
      <c r="F55" s="28">
        <f ca="1"/>
        <v>2.0027384664363955E-2</v>
      </c>
      <c r="G55" s="28">
        <f ca="1"/>
        <v>2.0127384664363954E-2</v>
      </c>
    </row>
    <row r="56" spans="2:7" x14ac:dyDescent="0.25">
      <c r="B56" s="35">
        <v>0.90112653841660018</v>
      </c>
      <c r="C56" s="36">
        <v>0.02</v>
      </c>
      <c r="E56" s="4">
        <f t="shared" ca="1" si="4"/>
        <v>44394</v>
      </c>
      <c r="F56" s="28">
        <f ca="1"/>
        <v>2.0054894739113514E-2</v>
      </c>
      <c r="G56" s="28">
        <f ca="1"/>
        <v>2.0154894739113513E-2</v>
      </c>
    </row>
    <row r="57" spans="2:7" x14ac:dyDescent="0.25">
      <c r="E57" s="4">
        <f t="shared" ca="1" si="4"/>
        <v>44419</v>
      </c>
      <c r="F57" s="28">
        <f ca="1"/>
        <v>1.9972590315187888E-2</v>
      </c>
      <c r="G57" s="28">
        <f ca="1"/>
        <v>2.0072590315187887E-2</v>
      </c>
    </row>
    <row r="58" spans="2:7" x14ac:dyDescent="0.25">
      <c r="E58" s="4">
        <f t="shared" ca="1" si="4"/>
        <v>44444</v>
      </c>
      <c r="F58" s="28">
        <f ca="1"/>
        <v>1.9999949959493731E-2</v>
      </c>
      <c r="G58" s="28">
        <f ca="1"/>
        <v>2.009994995949373E-2</v>
      </c>
    </row>
    <row r="59" spans="2:7" x14ac:dyDescent="0.25">
      <c r="E59" s="4">
        <f t="shared" ca="1" si="4"/>
        <v>44469</v>
      </c>
      <c r="F59" s="28">
        <f ca="1"/>
        <v>2.0027384664364059E-2</v>
      </c>
      <c r="G59" s="28">
        <f ca="1"/>
        <v>2.0127384664364058E-2</v>
      </c>
    </row>
    <row r="60" spans="2:7" x14ac:dyDescent="0.25">
      <c r="E60" s="4">
        <f t="shared" ca="1" si="4"/>
        <v>44494</v>
      </c>
      <c r="F60" s="28">
        <f ca="1"/>
        <v>2.0054894739113618E-2</v>
      </c>
      <c r="G60" s="28">
        <f ca="1"/>
        <v>2.0154894739113617E-2</v>
      </c>
    </row>
    <row r="61" spans="2:7" x14ac:dyDescent="0.25">
      <c r="E61" s="4">
        <f t="shared" ca="1" si="4"/>
        <v>44519</v>
      </c>
      <c r="F61" s="28">
        <f ca="1"/>
        <v>1.9972590315183593E-2</v>
      </c>
      <c r="G61" s="28">
        <f ca="1"/>
        <v>2.0072590315183592E-2</v>
      </c>
    </row>
    <row r="62" spans="2:7" x14ac:dyDescent="0.25">
      <c r="E62" s="4">
        <f t="shared" ca="1" si="4"/>
        <v>44544</v>
      </c>
      <c r="F62" s="28">
        <f ca="1"/>
        <v>1.9999949959489415E-2</v>
      </c>
      <c r="G62" s="28">
        <f ca="1"/>
        <v>2.0099949959489414E-2</v>
      </c>
    </row>
    <row r="63" spans="2:7" x14ac:dyDescent="0.25">
      <c r="E63" s="4">
        <f t="shared" ca="1" si="4"/>
        <v>44569</v>
      </c>
      <c r="F63" s="28">
        <f ca="1"/>
        <v>2.0027384664359736E-2</v>
      </c>
      <c r="G63" s="28">
        <f ca="1"/>
        <v>2.0127384664359736E-2</v>
      </c>
    </row>
    <row r="64" spans="2:7" x14ac:dyDescent="0.25">
      <c r="E64" s="4">
        <f t="shared" ca="1" si="4"/>
        <v>44594</v>
      </c>
      <c r="F64" s="28">
        <f ca="1"/>
        <v>2.0054894739109281E-2</v>
      </c>
      <c r="G64" s="28">
        <f ca="1"/>
        <v>2.015489473910928E-2</v>
      </c>
    </row>
    <row r="65" spans="5:7" x14ac:dyDescent="0.25">
      <c r="E65" s="4">
        <f t="shared" ca="1" si="4"/>
        <v>44619</v>
      </c>
      <c r="F65" s="28">
        <f ca="1"/>
        <v>1.9972590315188832E-2</v>
      </c>
      <c r="G65" s="28">
        <f ca="1"/>
        <v>2.0072590315188831E-2</v>
      </c>
    </row>
    <row r="66" spans="5:7" x14ac:dyDescent="0.25">
      <c r="E66" s="4">
        <f t="shared" ca="1" si="4"/>
        <v>44644</v>
      </c>
      <c r="F66" s="28">
        <f ca="1"/>
        <v>1.9999949959494671E-2</v>
      </c>
      <c r="G66" s="28">
        <f ca="1"/>
        <v>2.009994995949467E-2</v>
      </c>
    </row>
    <row r="67" spans="5:7" x14ac:dyDescent="0.25">
      <c r="E67" s="4">
        <f t="shared" ca="1" si="4"/>
        <v>44669</v>
      </c>
      <c r="F67" s="28">
        <f ca="1"/>
        <v>2.0027384664365006E-2</v>
      </c>
      <c r="G67" s="28">
        <f ca="1"/>
        <v>2.0127384664365006E-2</v>
      </c>
    </row>
    <row r="68" spans="5:7" x14ac:dyDescent="0.25">
      <c r="E68" s="4">
        <f t="shared" ca="1" si="4"/>
        <v>44694</v>
      </c>
      <c r="F68" s="28">
        <f ca="1"/>
        <v>2.0054894739114565E-2</v>
      </c>
      <c r="G68" s="28">
        <f ca="1"/>
        <v>2.0154894739114564E-2</v>
      </c>
    </row>
    <row r="69" spans="5:7" x14ac:dyDescent="0.25">
      <c r="E69" s="4">
        <f t="shared" ca="1" si="4"/>
        <v>44719</v>
      </c>
      <c r="F69" s="28">
        <f ca="1"/>
        <v>1.9972590315186545E-2</v>
      </c>
      <c r="G69" s="28">
        <f ca="1"/>
        <v>2.0072590315186545E-2</v>
      </c>
    </row>
    <row r="70" spans="5:7" x14ac:dyDescent="0.25">
      <c r="E70" s="4">
        <f t="shared" ca="1" si="4"/>
        <v>44744</v>
      </c>
      <c r="F70" s="28">
        <f ca="1"/>
        <v>1.9999949959492384E-2</v>
      </c>
      <c r="G70" s="28">
        <f ca="1"/>
        <v>2.0099949959492384E-2</v>
      </c>
    </row>
    <row r="71" spans="5:7" x14ac:dyDescent="0.25">
      <c r="E71" s="4">
        <f t="shared" ca="1" si="4"/>
        <v>44769</v>
      </c>
      <c r="F71" s="28">
        <f ca="1"/>
        <v>2.0027384664362706E-2</v>
      </c>
      <c r="G71" s="28">
        <f ca="1"/>
        <v>2.0127384664362705E-2</v>
      </c>
    </row>
    <row r="72" spans="5:7" x14ac:dyDescent="0.25">
      <c r="E72" s="4">
        <f t="shared" ca="1" si="4"/>
        <v>44794</v>
      </c>
      <c r="F72" s="28">
        <f ca="1"/>
        <v>2.0054894739112265E-2</v>
      </c>
      <c r="G72" s="28">
        <f ca="1"/>
        <v>2.0154894739112264E-2</v>
      </c>
    </row>
    <row r="73" spans="5:7" x14ac:dyDescent="0.25">
      <c r="E73" s="4">
        <f t="shared" ca="1" si="4"/>
        <v>44819</v>
      </c>
      <c r="F73" s="28">
        <f ca="1"/>
        <v>1.997259031518438E-2</v>
      </c>
      <c r="G73" s="28">
        <f ca="1"/>
        <v>2.007259031518438E-2</v>
      </c>
    </row>
    <row r="74" spans="5:7" x14ac:dyDescent="0.25">
      <c r="E74" s="4">
        <f t="shared" ca="1" si="4"/>
        <v>44844</v>
      </c>
      <c r="F74" s="28">
        <f ca="1"/>
        <v>1.9999949959490209E-2</v>
      </c>
      <c r="G74" s="28">
        <f ca="1"/>
        <v>2.0099949959490208E-2</v>
      </c>
    </row>
    <row r="75" spans="5:7" x14ac:dyDescent="0.25">
      <c r="E75" s="4">
        <f t="shared" ca="1" si="4"/>
        <v>44869</v>
      </c>
      <c r="F75" s="28">
        <f ca="1"/>
        <v>2.0027384664360531E-2</v>
      </c>
      <c r="G75" s="28">
        <f ca="1"/>
        <v>2.012738466436053E-2</v>
      </c>
    </row>
    <row r="76" spans="5:7" x14ac:dyDescent="0.25">
      <c r="E76" s="4">
        <f t="shared" ca="1" si="4"/>
        <v>44894</v>
      </c>
      <c r="F76" s="28">
        <f ca="1"/>
        <v>2.0054894739110079E-2</v>
      </c>
      <c r="G76" s="28">
        <f ca="1"/>
        <v>2.0154894739110078E-2</v>
      </c>
    </row>
    <row r="77" spans="5:7" x14ac:dyDescent="0.25">
      <c r="E77" s="4">
        <f t="shared" ca="1" si="4"/>
        <v>44919</v>
      </c>
      <c r="F77" s="28">
        <f ca="1"/>
        <v>1.9972590315186164E-2</v>
      </c>
      <c r="G77" s="28">
        <f ca="1"/>
        <v>2.0072590315186163E-2</v>
      </c>
    </row>
    <row r="78" spans="5:7" x14ac:dyDescent="0.25">
      <c r="E78" s="4">
        <f t="shared" ca="1" si="4"/>
        <v>44944</v>
      </c>
      <c r="F78" s="28">
        <f ca="1"/>
        <v>1.9999949959491992E-2</v>
      </c>
      <c r="G78" s="28">
        <f ca="1"/>
        <v>2.0099949959491992E-2</v>
      </c>
    </row>
    <row r="79" spans="5:7" x14ac:dyDescent="0.25">
      <c r="E79" s="4">
        <f t="shared" ca="1" si="4"/>
        <v>44969</v>
      </c>
      <c r="F79" s="28">
        <f ca="1"/>
        <v>2.0027384664362317E-2</v>
      </c>
      <c r="G79" s="28">
        <f ca="1"/>
        <v>2.0127384664362317E-2</v>
      </c>
    </row>
    <row r="80" spans="5:7" x14ac:dyDescent="0.25">
      <c r="E80" s="4">
        <f t="shared" ca="1" si="4"/>
        <v>44994</v>
      </c>
      <c r="F80" s="28">
        <f ca="1"/>
        <v>2.0054894739111876E-2</v>
      </c>
      <c r="G80" s="28">
        <f ca="1"/>
        <v>2.0154894739111875E-2</v>
      </c>
    </row>
    <row r="81" spans="5:7" x14ac:dyDescent="0.25">
      <c r="E81" s="4">
        <f t="shared" ca="1" si="4"/>
        <v>45019</v>
      </c>
      <c r="F81" s="28">
        <f ca="1"/>
        <v>1.9972590315186216E-2</v>
      </c>
      <c r="G81" s="28">
        <f ca="1"/>
        <v>2.0072590315186215E-2</v>
      </c>
    </row>
    <row r="82" spans="5:7" x14ac:dyDescent="0.25">
      <c r="E82" s="4">
        <f t="shared" ca="1" si="4"/>
        <v>45044</v>
      </c>
      <c r="F82" s="28">
        <f ca="1"/>
        <v>1.9999949959492048E-2</v>
      </c>
      <c r="G82" s="28">
        <f ca="1"/>
        <v>2.0099949959492047E-2</v>
      </c>
    </row>
    <row r="83" spans="5:7" x14ac:dyDescent="0.25">
      <c r="E83" s="4">
        <f t="shared" ca="1" si="4"/>
        <v>45069</v>
      </c>
      <c r="F83" s="28">
        <f ca="1"/>
        <v>2.0027384664362373E-2</v>
      </c>
      <c r="G83" s="28">
        <f ca="1"/>
        <v>2.0127384664362372E-2</v>
      </c>
    </row>
    <row r="84" spans="5:7" x14ac:dyDescent="0.25">
      <c r="E84" s="4">
        <f t="shared" ca="1" si="4"/>
        <v>45094</v>
      </c>
      <c r="F84" s="28">
        <f ca="1"/>
        <v>2.0054894739111932E-2</v>
      </c>
      <c r="G84" s="28">
        <f ca="1"/>
        <v>2.0154894739111931E-2</v>
      </c>
    </row>
    <row r="85" spans="5:7" x14ac:dyDescent="0.25">
      <c r="E85" s="4">
        <f t="shared" ca="1" si="4"/>
        <v>45119</v>
      </c>
      <c r="F85" s="28">
        <f ca="1"/>
        <v>1.9972590315185796E-2</v>
      </c>
      <c r="G85" s="28">
        <f ca="1"/>
        <v>2.0072590315185795E-2</v>
      </c>
    </row>
    <row r="86" spans="5:7" x14ac:dyDescent="0.25">
      <c r="E86" s="4">
        <f t="shared" ca="1" si="4"/>
        <v>45144</v>
      </c>
      <c r="F86" s="28">
        <f ca="1"/>
        <v>1.9999949959491628E-2</v>
      </c>
      <c r="G86" s="28">
        <f ca="1"/>
        <v>2.0099949959491627E-2</v>
      </c>
    </row>
    <row r="87" spans="5:7" x14ac:dyDescent="0.25">
      <c r="E87" s="4">
        <f t="shared" ca="1" si="4"/>
        <v>45169</v>
      </c>
      <c r="F87" s="28">
        <f ca="1"/>
        <v>2.0027384664361953E-2</v>
      </c>
      <c r="G87" s="28">
        <f ca="1"/>
        <v>2.0127384664361953E-2</v>
      </c>
    </row>
    <row r="88" spans="5:7" x14ac:dyDescent="0.25">
      <c r="E88" s="4">
        <f t="shared" ca="1" si="4"/>
        <v>45194</v>
      </c>
      <c r="F88" s="28">
        <f ca="1"/>
        <v>2.0054894739111505E-2</v>
      </c>
      <c r="G88" s="28">
        <f ca="1"/>
        <v>2.0154894739111504E-2</v>
      </c>
    </row>
    <row r="89" spans="5:7" x14ac:dyDescent="0.25">
      <c r="E89" s="4">
        <f t="shared" ca="1" si="4"/>
        <v>45219</v>
      </c>
      <c r="F89" s="28">
        <f ca="1"/>
        <v>1.9972590315186216E-2</v>
      </c>
      <c r="G89" s="28">
        <f ca="1"/>
        <v>2.0072590315186215E-2</v>
      </c>
    </row>
    <row r="90" spans="5:7" x14ac:dyDescent="0.25">
      <c r="E90" s="4">
        <f t="shared" ca="1" si="4"/>
        <v>45244</v>
      </c>
      <c r="F90" s="28">
        <f ca="1"/>
        <v>1.9999949959492048E-2</v>
      </c>
      <c r="G90" s="28">
        <f ca="1"/>
        <v>2.0099949959492047E-2</v>
      </c>
    </row>
    <row r="91" spans="5:7" x14ac:dyDescent="0.25">
      <c r="E91" s="4">
        <f t="shared" ca="1" si="4"/>
        <v>45269</v>
      </c>
      <c r="F91" s="28">
        <f ca="1"/>
        <v>2.0027384664362373E-2</v>
      </c>
      <c r="G91" s="28">
        <f ca="1"/>
        <v>2.0127384664362372E-2</v>
      </c>
    </row>
    <row r="92" spans="5:7" x14ac:dyDescent="0.25">
      <c r="E92" s="4">
        <f t="shared" ca="1" si="4"/>
        <v>45294</v>
      </c>
      <c r="F92" s="28">
        <f ca="1"/>
        <v>2.0054894739111928E-2</v>
      </c>
      <c r="G92" s="28">
        <f ca="1"/>
        <v>2.0154894739111927E-2</v>
      </c>
    </row>
    <row r="93" spans="5:7" x14ac:dyDescent="0.25">
      <c r="E93" s="4">
        <f t="shared" ca="1" si="4"/>
        <v>45319</v>
      </c>
      <c r="F93" s="28">
        <f ca="1"/>
        <v>1.9972590315187104E-2</v>
      </c>
      <c r="G93" s="28">
        <f ca="1"/>
        <v>2.0072590315187103E-2</v>
      </c>
    </row>
    <row r="94" spans="5:7" x14ac:dyDescent="0.25">
      <c r="E94" s="4">
        <f t="shared" ca="1" si="4"/>
        <v>45344</v>
      </c>
      <c r="F94" s="28">
        <f ca="1"/>
        <v>1.9999949959492939E-2</v>
      </c>
      <c r="G94" s="28">
        <f ca="1"/>
        <v>2.0099949959492939E-2</v>
      </c>
    </row>
    <row r="95" spans="5:7" x14ac:dyDescent="0.25">
      <c r="E95" s="4">
        <f t="shared" ca="1" si="4"/>
        <v>45369</v>
      </c>
      <c r="F95" s="28">
        <f ca="1"/>
        <v>2.0027384664363268E-2</v>
      </c>
      <c r="G95" s="28">
        <f ca="1"/>
        <v>2.0127384664363267E-2</v>
      </c>
    </row>
    <row r="96" spans="5:7" x14ac:dyDescent="0.25">
      <c r="E96" s="4">
        <f t="shared" ca="1" si="4"/>
        <v>45394</v>
      </c>
      <c r="F96" s="28">
        <f ca="1"/>
        <v>2.0054894739112823E-2</v>
      </c>
      <c r="G96" s="28">
        <f ca="1"/>
        <v>2.0154894739112823E-2</v>
      </c>
    </row>
    <row r="97" spans="5:7" x14ac:dyDescent="0.25">
      <c r="E97" s="4">
        <f t="shared" ca="1" si="4"/>
        <v>45419</v>
      </c>
      <c r="F97" s="28">
        <f ca="1"/>
        <v>1.9972590315185754E-2</v>
      </c>
      <c r="G97" s="28">
        <f ca="1"/>
        <v>2.0072590315185754E-2</v>
      </c>
    </row>
    <row r="98" spans="5:7" x14ac:dyDescent="0.25">
      <c r="E98" s="4">
        <f t="shared" ca="1" si="4"/>
        <v>45444</v>
      </c>
      <c r="F98" s="28">
        <f ca="1"/>
        <v>1.9999949959491586E-2</v>
      </c>
      <c r="G98" s="28">
        <f ca="1"/>
        <v>2.0099949959491586E-2</v>
      </c>
    </row>
    <row r="99" spans="5:7" x14ac:dyDescent="0.25">
      <c r="E99" s="4">
        <f t="shared" ca="1" si="4"/>
        <v>45469</v>
      </c>
      <c r="F99" s="28">
        <f ca="1"/>
        <v>2.0027384664361908E-2</v>
      </c>
      <c r="G99" s="28">
        <f ca="1"/>
        <v>2.0127384664361907E-2</v>
      </c>
    </row>
    <row r="100" spans="5:7" x14ac:dyDescent="0.25">
      <c r="E100" s="4">
        <f t="shared" ca="1" si="4"/>
        <v>45494</v>
      </c>
      <c r="F100" s="28">
        <f ca="1"/>
        <v>2.0054894739111463E-2</v>
      </c>
      <c r="G100" s="28">
        <f ca="1"/>
        <v>2.0154894739111463E-2</v>
      </c>
    </row>
    <row r="101" spans="5:7" x14ac:dyDescent="0.25">
      <c r="E101" s="4">
        <f t="shared" ref="E101:E112" ca="1" si="5">E100+$N$3</f>
        <v>45519</v>
      </c>
      <c r="F101" s="28">
        <f ca="1"/>
        <v>1.9972590315187017E-2</v>
      </c>
      <c r="G101" s="28">
        <f ca="1"/>
        <v>2.0072590315187017E-2</v>
      </c>
    </row>
    <row r="102" spans="5:7" x14ac:dyDescent="0.25">
      <c r="E102" s="4">
        <f t="shared" ca="1" si="5"/>
        <v>45544</v>
      </c>
      <c r="F102" s="28">
        <f ca="1"/>
        <v>1.9999949959492853E-2</v>
      </c>
      <c r="G102" s="28">
        <f ca="1"/>
        <v>2.0099949959492852E-2</v>
      </c>
    </row>
    <row r="103" spans="5:7" x14ac:dyDescent="0.25">
      <c r="E103" s="4">
        <f t="shared" ca="1" si="5"/>
        <v>45569</v>
      </c>
      <c r="F103" s="28">
        <f ca="1"/>
        <v>2.0027384664363181E-2</v>
      </c>
      <c r="G103" s="28">
        <f ca="1"/>
        <v>2.0127384664363181E-2</v>
      </c>
    </row>
    <row r="104" spans="5:7" x14ac:dyDescent="0.25">
      <c r="E104" s="4">
        <f t="shared" ca="1" si="5"/>
        <v>45594</v>
      </c>
      <c r="F104" s="28">
        <f ca="1"/>
        <v>2.0054894739112736E-2</v>
      </c>
      <c r="G104" s="28">
        <f ca="1"/>
        <v>2.0154894739112736E-2</v>
      </c>
    </row>
    <row r="105" spans="5:7" x14ac:dyDescent="0.25">
      <c r="E105" s="4">
        <f t="shared" ca="1" si="5"/>
        <v>45619</v>
      </c>
      <c r="F105" s="28">
        <f ca="1"/>
        <v>1.9972590315185796E-2</v>
      </c>
      <c r="G105" s="28">
        <f ca="1"/>
        <v>2.0072590315185795E-2</v>
      </c>
    </row>
    <row r="106" spans="5:7" x14ac:dyDescent="0.25">
      <c r="E106" s="4">
        <f t="shared" ca="1" si="5"/>
        <v>45644</v>
      </c>
      <c r="F106" s="28">
        <f ca="1"/>
        <v>1.9999949959491625E-2</v>
      </c>
      <c r="G106" s="28">
        <f ca="1"/>
        <v>2.0099949959491624E-2</v>
      </c>
    </row>
    <row r="107" spans="5:7" x14ac:dyDescent="0.25">
      <c r="E107" s="4">
        <f t="shared" ca="1" si="5"/>
        <v>45669</v>
      </c>
      <c r="F107" s="28">
        <f ca="1"/>
        <v>2.002738466436195E-2</v>
      </c>
      <c r="G107" s="28">
        <f ca="1"/>
        <v>2.0127384664361949E-2</v>
      </c>
    </row>
    <row r="108" spans="5:7" x14ac:dyDescent="0.25">
      <c r="E108" s="4">
        <f t="shared" ca="1" si="5"/>
        <v>45694</v>
      </c>
      <c r="F108" s="28">
        <f ca="1"/>
        <v>2.0054894739111501E-2</v>
      </c>
      <c r="G108" s="28">
        <f ca="1"/>
        <v>2.0154894739111501E-2</v>
      </c>
    </row>
    <row r="109" spans="5:7" x14ac:dyDescent="0.25">
      <c r="E109" s="4">
        <f t="shared" ca="1" si="5"/>
        <v>45719</v>
      </c>
      <c r="F109" s="28">
        <f ca="1"/>
        <v>1.9972590315188842E-2</v>
      </c>
      <c r="G109" s="28">
        <f ca="1"/>
        <v>2.0072590315188842E-2</v>
      </c>
    </row>
    <row r="110" spans="5:7" x14ac:dyDescent="0.25">
      <c r="E110" s="4">
        <f t="shared" ca="1" si="5"/>
        <v>45744</v>
      </c>
      <c r="F110" s="28">
        <f ca="1"/>
        <v>1.9999949959494681E-2</v>
      </c>
      <c r="G110" s="28">
        <f ca="1"/>
        <v>2.0099949959494681E-2</v>
      </c>
    </row>
    <row r="111" spans="5:7" x14ac:dyDescent="0.25">
      <c r="E111" s="4">
        <f t="shared" ca="1" si="5"/>
        <v>45769</v>
      </c>
      <c r="F111" s="28">
        <f ca="1"/>
        <v>2.0027384664365017E-2</v>
      </c>
      <c r="G111" s="28">
        <f ca="1"/>
        <v>2.0127384664365016E-2</v>
      </c>
    </row>
    <row r="112" spans="5:7" x14ac:dyDescent="0.25">
      <c r="E112" s="4">
        <f t="shared" ca="1" si="5"/>
        <v>45794</v>
      </c>
      <c r="F112" s="28">
        <f ca="1"/>
        <v>2.0054894739114575E-2</v>
      </c>
      <c r="G112" s="28">
        <f ca="1"/>
        <v>2.0154894739114575E-2</v>
      </c>
    </row>
    <row r="113" spans="5:7" x14ac:dyDescent="0.25">
      <c r="E113" s="4"/>
      <c r="F113" s="28" t="e">
        <f ca="1"/>
        <v>#N/A</v>
      </c>
      <c r="G113" s="28" t="e">
        <f ca="1"/>
        <v>#N/A</v>
      </c>
    </row>
    <row r="114" spans="5:7" x14ac:dyDescent="0.25">
      <c r="E114" s="4"/>
      <c r="F114" s="28" t="e">
        <f ca="1"/>
        <v>#N/A</v>
      </c>
      <c r="G114" s="28" t="e">
        <f ca="1"/>
        <v>#N/A</v>
      </c>
    </row>
    <row r="115" spans="5:7" x14ac:dyDescent="0.25">
      <c r="E115" s="4"/>
      <c r="F115" s="28" t="e">
        <f ca="1"/>
        <v>#N/A</v>
      </c>
      <c r="G115" s="28" t="e">
        <f ca="1"/>
        <v>#N/A</v>
      </c>
    </row>
    <row r="116" spans="5:7" x14ac:dyDescent="0.25">
      <c r="E116" s="4"/>
      <c r="F116" s="28" t="e">
        <f ca="1"/>
        <v>#N/A</v>
      </c>
      <c r="G116" s="28" t="e">
        <f ca="1"/>
        <v>#N/A</v>
      </c>
    </row>
    <row r="117" spans="5:7" x14ac:dyDescent="0.25">
      <c r="E117" s="4"/>
      <c r="F117" s="28" t="e">
        <f ca="1"/>
        <v>#N/A</v>
      </c>
      <c r="G117" s="28" t="e">
        <f ca="1"/>
        <v>#N/A</v>
      </c>
    </row>
    <row r="118" spans="5:7" x14ac:dyDescent="0.25">
      <c r="E118" s="4"/>
      <c r="F118" s="28" t="e">
        <f ca="1"/>
        <v>#N/A</v>
      </c>
      <c r="G118" s="28" t="e">
        <f ca="1"/>
        <v>#N/A</v>
      </c>
    </row>
    <row r="119" spans="5:7" x14ac:dyDescent="0.25">
      <c r="E119" s="4"/>
      <c r="F119" s="28" t="e">
        <f ca="1"/>
        <v>#N/A</v>
      </c>
      <c r="G119" s="28" t="e">
        <f ca="1"/>
        <v>#N/A</v>
      </c>
    </row>
    <row r="120" spans="5:7" x14ac:dyDescent="0.25">
      <c r="E120" s="4"/>
      <c r="F120" s="28" t="e">
        <f ca="1"/>
        <v>#N/A</v>
      </c>
      <c r="G120" s="28" t="e">
        <f ca="1"/>
        <v>#N/A</v>
      </c>
    </row>
    <row r="121" spans="5:7" x14ac:dyDescent="0.25">
      <c r="E121" s="4"/>
      <c r="F121" s="28" t="e">
        <f ca="1"/>
        <v>#N/A</v>
      </c>
      <c r="G121" s="28" t="e">
        <f ca="1"/>
        <v>#N/A</v>
      </c>
    </row>
    <row r="122" spans="5:7" x14ac:dyDescent="0.25">
      <c r="E122" s="32"/>
    </row>
    <row r="123" spans="5:7" x14ac:dyDescent="0.25">
      <c r="E123" s="32"/>
    </row>
    <row r="124" spans="5:7" x14ac:dyDescent="0.25">
      <c r="E124" s="32"/>
    </row>
    <row r="125" spans="5:7" x14ac:dyDescent="0.25">
      <c r="E125" s="32"/>
    </row>
    <row r="126" spans="5:7" x14ac:dyDescent="0.25">
      <c r="E126" s="32"/>
    </row>
    <row r="127" spans="5:7" x14ac:dyDescent="0.25">
      <c r="E127" s="32"/>
    </row>
    <row r="128" spans="5:7" x14ac:dyDescent="0.25">
      <c r="E128" s="32"/>
    </row>
    <row r="129" spans="5:5" x14ac:dyDescent="0.25">
      <c r="E129" s="32"/>
    </row>
    <row r="130" spans="5:5" x14ac:dyDescent="0.25">
      <c r="E130" s="32"/>
    </row>
    <row r="131" spans="5:5" x14ac:dyDescent="0.25">
      <c r="E131" s="32"/>
    </row>
    <row r="132" spans="5:5" x14ac:dyDescent="0.25">
      <c r="E132" s="32"/>
    </row>
    <row r="133" spans="5:5" x14ac:dyDescent="0.25">
      <c r="E133" s="32"/>
    </row>
    <row r="134" spans="5:5" x14ac:dyDescent="0.25">
      <c r="E134" s="32"/>
    </row>
    <row r="135" spans="5:5" x14ac:dyDescent="0.25">
      <c r="E135" s="32"/>
    </row>
    <row r="136" spans="5:5" x14ac:dyDescent="0.25">
      <c r="E136" s="32"/>
    </row>
    <row r="137" spans="5:5" x14ac:dyDescent="0.25">
      <c r="E137" s="32"/>
    </row>
    <row r="138" spans="5:5" x14ac:dyDescent="0.25">
      <c r="E138" s="32"/>
    </row>
    <row r="139" spans="5:5" x14ac:dyDescent="0.25">
      <c r="E139" s="32"/>
    </row>
    <row r="140" spans="5:5" x14ac:dyDescent="0.25">
      <c r="E140" s="32"/>
    </row>
    <row r="141" spans="5:5" x14ac:dyDescent="0.25">
      <c r="E141" s="32"/>
    </row>
    <row r="142" spans="5:5" x14ac:dyDescent="0.25">
      <c r="E142" s="32"/>
    </row>
    <row r="143" spans="5:5" x14ac:dyDescent="0.25">
      <c r="E143" s="32"/>
    </row>
    <row r="144" spans="5:5" x14ac:dyDescent="0.25">
      <c r="E144" s="32"/>
    </row>
    <row r="145" spans="5:5" x14ac:dyDescent="0.25">
      <c r="E145" s="32"/>
    </row>
    <row r="146" spans="5:5" x14ac:dyDescent="0.25">
      <c r="E146" s="32"/>
    </row>
    <row r="147" spans="5:5" x14ac:dyDescent="0.25">
      <c r="E147" s="32"/>
    </row>
    <row r="148" spans="5:5" x14ac:dyDescent="0.25">
      <c r="E148" s="32"/>
    </row>
    <row r="149" spans="5:5" x14ac:dyDescent="0.25">
      <c r="E149" s="32"/>
    </row>
    <row r="150" spans="5:5" x14ac:dyDescent="0.25">
      <c r="E150" s="32"/>
    </row>
    <row r="151" spans="5:5" x14ac:dyDescent="0.25">
      <c r="E151" s="32"/>
    </row>
    <row r="152" spans="5:5" x14ac:dyDescent="0.25">
      <c r="E152" s="32"/>
    </row>
    <row r="153" spans="5:5" x14ac:dyDescent="0.25">
      <c r="E153" s="32"/>
    </row>
    <row r="154" spans="5:5" x14ac:dyDescent="0.25">
      <c r="E154" s="32"/>
    </row>
    <row r="155" spans="5:5" x14ac:dyDescent="0.25">
      <c r="E155" s="32"/>
    </row>
    <row r="156" spans="5:5" x14ac:dyDescent="0.25">
      <c r="E156" s="32"/>
    </row>
    <row r="157" spans="5:5" x14ac:dyDescent="0.25">
      <c r="E157" s="32"/>
    </row>
    <row r="158" spans="5:5" x14ac:dyDescent="0.25">
      <c r="E158" s="32"/>
    </row>
    <row r="159" spans="5:5" x14ac:dyDescent="0.25">
      <c r="E159" s="32"/>
    </row>
    <row r="160" spans="5:5" x14ac:dyDescent="0.25">
      <c r="E160" s="32"/>
    </row>
    <row r="161" spans="5:5" x14ac:dyDescent="0.25">
      <c r="E161" s="32"/>
    </row>
    <row r="162" spans="5:5" x14ac:dyDescent="0.25">
      <c r="E162" s="32"/>
    </row>
    <row r="163" spans="5:5" x14ac:dyDescent="0.25">
      <c r="E163" s="32"/>
    </row>
    <row r="164" spans="5:5" x14ac:dyDescent="0.25">
      <c r="E164" s="32"/>
    </row>
    <row r="165" spans="5:5" x14ac:dyDescent="0.25">
      <c r="E165" s="32"/>
    </row>
    <row r="166" spans="5:5" x14ac:dyDescent="0.25">
      <c r="E166" s="32"/>
    </row>
    <row r="167" spans="5:5" x14ac:dyDescent="0.25">
      <c r="E167" s="32"/>
    </row>
    <row r="168" spans="5:5" x14ac:dyDescent="0.25">
      <c r="E168" s="32"/>
    </row>
    <row r="169" spans="5:5" x14ac:dyDescent="0.25">
      <c r="E169" s="32"/>
    </row>
    <row r="170" spans="5:5" x14ac:dyDescent="0.25">
      <c r="E170" s="32"/>
    </row>
    <row r="171" spans="5:5" x14ac:dyDescent="0.25">
      <c r="E171" s="32"/>
    </row>
    <row r="172" spans="5:5" x14ac:dyDescent="0.25">
      <c r="E172" s="32"/>
    </row>
    <row r="173" spans="5:5" x14ac:dyDescent="0.25">
      <c r="E173" s="32"/>
    </row>
    <row r="174" spans="5:5" x14ac:dyDescent="0.25">
      <c r="E174" s="32"/>
    </row>
    <row r="175" spans="5:5" x14ac:dyDescent="0.25">
      <c r="E175" s="32"/>
    </row>
    <row r="176" spans="5:5" x14ac:dyDescent="0.25">
      <c r="E176" s="32"/>
    </row>
    <row r="177" spans="5:5" x14ac:dyDescent="0.25">
      <c r="E177" s="32"/>
    </row>
    <row r="178" spans="5:5" x14ac:dyDescent="0.25">
      <c r="E178" s="32"/>
    </row>
    <row r="179" spans="5:5" x14ac:dyDescent="0.25">
      <c r="E179" s="32"/>
    </row>
    <row r="180" spans="5:5" x14ac:dyDescent="0.25">
      <c r="E180" s="32"/>
    </row>
    <row r="181" spans="5:5" x14ac:dyDescent="0.25">
      <c r="E181" s="32"/>
    </row>
    <row r="182" spans="5:5" x14ac:dyDescent="0.25">
      <c r="E182" s="32"/>
    </row>
    <row r="183" spans="5:5" x14ac:dyDescent="0.25">
      <c r="E183" s="32"/>
    </row>
    <row r="184" spans="5:5" x14ac:dyDescent="0.25">
      <c r="E184" s="32"/>
    </row>
    <row r="185" spans="5:5" x14ac:dyDescent="0.25">
      <c r="E185" s="32"/>
    </row>
    <row r="186" spans="5:5" x14ac:dyDescent="0.25">
      <c r="E186" s="32"/>
    </row>
    <row r="187" spans="5:5" x14ac:dyDescent="0.25">
      <c r="E187" s="32"/>
    </row>
    <row r="188" spans="5:5" x14ac:dyDescent="0.25">
      <c r="E188" s="32"/>
    </row>
    <row r="189" spans="5:5" x14ac:dyDescent="0.25">
      <c r="E189" s="32"/>
    </row>
    <row r="190" spans="5:5" x14ac:dyDescent="0.25">
      <c r="E190" s="32"/>
    </row>
    <row r="191" spans="5:5" x14ac:dyDescent="0.25">
      <c r="E191" s="32"/>
    </row>
    <row r="192" spans="5:5" x14ac:dyDescent="0.25">
      <c r="E192" s="32"/>
    </row>
    <row r="193" spans="5:5" x14ac:dyDescent="0.25">
      <c r="E193" s="32"/>
    </row>
    <row r="194" spans="5:5" x14ac:dyDescent="0.25">
      <c r="E194" s="32"/>
    </row>
    <row r="195" spans="5:5" x14ac:dyDescent="0.25">
      <c r="E195" s="32"/>
    </row>
    <row r="196" spans="5:5" x14ac:dyDescent="0.25">
      <c r="E196" s="32"/>
    </row>
    <row r="197" spans="5:5" x14ac:dyDescent="0.25">
      <c r="E197" s="32"/>
    </row>
    <row r="198" spans="5:5" x14ac:dyDescent="0.25">
      <c r="E198" s="32"/>
    </row>
    <row r="199" spans="5:5" x14ac:dyDescent="0.25">
      <c r="E199" s="32"/>
    </row>
    <row r="200" spans="5:5" x14ac:dyDescent="0.25">
      <c r="E200" s="32"/>
    </row>
    <row r="201" spans="5:5" x14ac:dyDescent="0.25">
      <c r="E201" s="32"/>
    </row>
    <row r="202" spans="5:5" x14ac:dyDescent="0.25">
      <c r="E202" s="32"/>
    </row>
    <row r="203" spans="5:5" x14ac:dyDescent="0.25">
      <c r="E203" s="32"/>
    </row>
    <row r="204" spans="5:5" x14ac:dyDescent="0.25">
      <c r="E204" s="32"/>
    </row>
    <row r="205" spans="5:5" x14ac:dyDescent="0.25">
      <c r="E205" s="32"/>
    </row>
    <row r="206" spans="5:5" x14ac:dyDescent="0.25">
      <c r="E206" s="32"/>
    </row>
    <row r="207" spans="5:5" x14ac:dyDescent="0.25">
      <c r="E207" s="32"/>
    </row>
    <row r="208" spans="5:5" x14ac:dyDescent="0.25">
      <c r="E208" s="32"/>
    </row>
    <row r="209" spans="5:5" x14ac:dyDescent="0.25">
      <c r="E209" s="32"/>
    </row>
    <row r="210" spans="5:5" x14ac:dyDescent="0.25">
      <c r="E210" s="32"/>
    </row>
    <row r="211" spans="5:5" x14ac:dyDescent="0.25">
      <c r="E211" s="32"/>
    </row>
    <row r="212" spans="5:5" x14ac:dyDescent="0.25">
      <c r="E212" s="32"/>
    </row>
    <row r="213" spans="5:5" x14ac:dyDescent="0.25">
      <c r="E213" s="32"/>
    </row>
    <row r="214" spans="5:5" x14ac:dyDescent="0.25">
      <c r="E214" s="32"/>
    </row>
    <row r="215" spans="5:5" x14ac:dyDescent="0.25">
      <c r="E215" s="32"/>
    </row>
  </sheetData>
  <dataValidations count="2">
    <dataValidation type="list" allowBlank="1" showInputMessage="1" showErrorMessage="1" sqref="C5">
      <formula1>"DISCOUNTFACTOR,FORWARDRATE,ZERORATE"</formula1>
    </dataValidation>
    <dataValidation type="list" allowBlank="1" showInputMessage="1" showErrorMessage="1" sqref="C4">
      <formula1>"POLYNOMIAL,LINEAR,SPLINE,STEP,LEFT_CONTINUOUS,RIGHT_CONTINUOUS"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USD_SOFR_CURVE</vt:lpstr>
      <vt:lpstr>TURN_OF_YEAR</vt:lpstr>
      <vt:lpstr>CURVE_OVERRIDES</vt:lpstr>
      <vt:lpstr>SPREAD_CURVES</vt:lpstr>
      <vt:lpstr>STATE_VARIABLES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2020-03-04T19:05:16Z</dcterms:created>
  <dcterms:modified xsi:type="dcterms:W3CDTF">2020-03-05T15:07:57Z</dcterms:modified>
</cp:coreProperties>
</file>