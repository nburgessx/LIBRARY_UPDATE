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003\BurgNi$\DESKTOP\"/>
    </mc:Choice>
  </mc:AlternateContent>
  <bookViews>
    <workbookView xWindow="0" yWindow="0" windowWidth="20490" windowHeight="7095" tabRatio="856" activeTab="7"/>
  </bookViews>
  <sheets>
    <sheet name="CURVE TEMPLATES" sheetId="6" r:id="rId1"/>
    <sheet name="SWAP TEMPLATES" sheetId="11" r:id="rId2"/>
    <sheet name="EUR OIS" sheetId="1" r:id="rId3"/>
    <sheet name="EUR SWAP 3M" sheetId="2" r:id="rId4"/>
    <sheet name="EUR SWAP 6M" sheetId="3" r:id="rId5"/>
    <sheet name="EUR SWAP 1M" sheetId="7" r:id="rId6"/>
    <sheet name="EUR SWAP 12M" sheetId="8" r:id="rId7"/>
    <sheet name="CHART" sheetId="9" r:id="rId8"/>
    <sheet name="SWAPS" sheetId="10" r:id="rId9"/>
  </sheets>
  <definedNames>
    <definedName name="AsOfDate">'EUR OIS'!$D$9</definedName>
    <definedName name="doesExistEUR12M">'EUR SWAP 12M'!$D$32</definedName>
    <definedName name="doesExistEUR1M">'EUR SWAP 1M'!$D$32</definedName>
    <definedName name="doesExistEUR3M">'EUR SWAP 3M'!$D$32</definedName>
    <definedName name="doesExistEUR6M">'EUR SWAP 6M'!$D$32</definedName>
    <definedName name="doesExistEUROIS">'EUR OIS'!$D$32</definedName>
    <definedName name="EURSwaps.Results.EUR12ML">SWAPS!$T$69:$T$82</definedName>
    <definedName name="EURSwaps.Results.EUR1ML">SWAPS!$T$48:$T$62</definedName>
    <definedName name="EURSwaps.Results.EUR3ML">SWAPS!$T$26:$T$42</definedName>
    <definedName name="EURSwaps.Results.EUR6ML">SWAPS!$T$6:$T$20</definedName>
    <definedName name="Template.Swap.EUR.12M">'SWAP TEMPLATES'!$N$3</definedName>
    <definedName name="Template.Swap.EUR.1M">'SWAP TEMPLATES'!$J$3</definedName>
    <definedName name="Template.Swap.EUR.3M">'SWAP TEMPLATES'!$B$3</definedName>
    <definedName name="Template.Swap.EUR.6M">'SWAP TEMPLATES'!$F$3</definedName>
    <definedName name="Templates.EUR.12M">'CURVE TEMPLATES'!$R$3</definedName>
    <definedName name="Templates.EUR.1M">'CURVE TEMPLATES'!$N$3</definedName>
    <definedName name="Templates.EUR.3M">'CURVE TEMPLATES'!$F$3</definedName>
    <definedName name="Templates.EUR.6M">'CURVE TEMPLATES'!$J$3</definedName>
    <definedName name="Templates.EUR.OIS">'CURVE TEMPLATES'!$B$3</definedName>
  </definedNames>
  <calcPr calcId="162913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7" l="1"/>
  <c r="D29" i="7"/>
  <c r="D30" i="7"/>
  <c r="D28" i="7" a="1"/>
  <c r="D31" i="7"/>
  <c r="D8" i="7"/>
  <c r="D14" i="7"/>
  <c r="R3" i="6"/>
  <c r="N3" i="6"/>
  <c r="R68" i="10"/>
  <c r="G68" i="10"/>
  <c r="R69" i="10"/>
  <c r="G69" i="10"/>
  <c r="R70" i="10"/>
  <c r="G70" i="10"/>
  <c r="R71" i="10"/>
  <c r="G71" i="10"/>
  <c r="R72" i="10"/>
  <c r="G72" i="10"/>
  <c r="R73" i="10"/>
  <c r="G73" i="10"/>
  <c r="R74" i="10"/>
  <c r="G74" i="10"/>
  <c r="R75" i="10"/>
  <c r="G75" i="10"/>
  <c r="R76" i="10"/>
  <c r="G76" i="10"/>
  <c r="R77" i="10"/>
  <c r="G77" i="10"/>
  <c r="R78" i="10"/>
  <c r="G78" i="10"/>
  <c r="R79" i="10"/>
  <c r="G79" i="10"/>
  <c r="R80" i="10"/>
  <c r="G80" i="10"/>
  <c r="R81" i="10"/>
  <c r="G81" i="10"/>
  <c r="R82" i="10"/>
  <c r="G82" i="10"/>
  <c r="R48" i="10"/>
  <c r="G48" i="10"/>
  <c r="R49" i="10"/>
  <c r="G49" i="10"/>
  <c r="R50" i="10"/>
  <c r="G50" i="10"/>
  <c r="R51" i="10"/>
  <c r="G51" i="10"/>
  <c r="R52" i="10"/>
  <c r="G52" i="10"/>
  <c r="R53" i="10"/>
  <c r="G53" i="10"/>
  <c r="R54" i="10"/>
  <c r="G54" i="10"/>
  <c r="R55" i="10"/>
  <c r="G55" i="10"/>
  <c r="R56" i="10"/>
  <c r="G56" i="10"/>
  <c r="R57" i="10"/>
  <c r="G57" i="10"/>
  <c r="R58" i="10"/>
  <c r="G58" i="10"/>
  <c r="R59" i="10"/>
  <c r="G59" i="10"/>
  <c r="R60" i="10"/>
  <c r="G60" i="10"/>
  <c r="R61" i="10"/>
  <c r="G61" i="10"/>
  <c r="R62" i="10"/>
  <c r="G62" i="10"/>
  <c r="R26" i="10"/>
  <c r="G26" i="10"/>
  <c r="R27" i="10"/>
  <c r="G27" i="10"/>
  <c r="R28" i="10"/>
  <c r="G28" i="10"/>
  <c r="R29" i="10"/>
  <c r="G29" i="10"/>
  <c r="R30" i="10"/>
  <c r="G30" i="10"/>
  <c r="R31" i="10"/>
  <c r="G31" i="10"/>
  <c r="R32" i="10"/>
  <c r="G32" i="10"/>
  <c r="R33" i="10"/>
  <c r="G33" i="10"/>
  <c r="R34" i="10"/>
  <c r="G34" i="10"/>
  <c r="R35" i="10"/>
  <c r="G35" i="10"/>
  <c r="R36" i="10"/>
  <c r="G36" i="10"/>
  <c r="R37" i="10"/>
  <c r="G37" i="10"/>
  <c r="R38" i="10"/>
  <c r="G38" i="10"/>
  <c r="R39" i="10"/>
  <c r="G39" i="10"/>
  <c r="R6" i="10"/>
  <c r="G6" i="10"/>
  <c r="R7" i="10"/>
  <c r="G7" i="10"/>
  <c r="R8" i="10"/>
  <c r="G8" i="10"/>
  <c r="R9" i="10"/>
  <c r="G9" i="10"/>
  <c r="R10" i="10"/>
  <c r="G10" i="10"/>
  <c r="R11" i="10"/>
  <c r="G11" i="10"/>
  <c r="R12" i="10"/>
  <c r="G12" i="10"/>
  <c r="R13" i="10"/>
  <c r="G13" i="10"/>
  <c r="R14" i="10"/>
  <c r="G14" i="10"/>
  <c r="R15" i="10"/>
  <c r="G15" i="10"/>
  <c r="R16" i="10"/>
  <c r="G16" i="10"/>
  <c r="R17" i="10"/>
  <c r="G17" i="10"/>
  <c r="R18" i="10"/>
  <c r="G18" i="10"/>
  <c r="R19" i="10"/>
  <c r="G19" i="10"/>
  <c r="R20" i="10"/>
  <c r="G20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N3" i="11"/>
  <c r="H68" i="10"/>
  <c r="C68" i="10"/>
  <c r="D9" i="1"/>
  <c r="B68" i="10"/>
  <c r="D68" i="10"/>
  <c r="N68" i="10"/>
  <c r="P68" i="10"/>
  <c r="T68" i="10"/>
  <c r="H69" i="10"/>
  <c r="C69" i="10"/>
  <c r="B69" i="10"/>
  <c r="D69" i="10"/>
  <c r="N69" i="10"/>
  <c r="P69" i="10"/>
  <c r="T69" i="10"/>
  <c r="H70" i="10"/>
  <c r="C70" i="10"/>
  <c r="B70" i="10"/>
  <c r="D70" i="10"/>
  <c r="N70" i="10"/>
  <c r="P70" i="10"/>
  <c r="T70" i="10"/>
  <c r="H71" i="10"/>
  <c r="C71" i="10"/>
  <c r="B71" i="10"/>
  <c r="D71" i="10"/>
  <c r="N71" i="10"/>
  <c r="P71" i="10"/>
  <c r="T71" i="10"/>
  <c r="H72" i="10"/>
  <c r="C72" i="10"/>
  <c r="B72" i="10"/>
  <c r="D72" i="10"/>
  <c r="N72" i="10"/>
  <c r="P72" i="10"/>
  <c r="T72" i="10"/>
  <c r="H73" i="10"/>
  <c r="C73" i="10"/>
  <c r="B73" i="10"/>
  <c r="D73" i="10"/>
  <c r="N73" i="10"/>
  <c r="P73" i="10"/>
  <c r="T73" i="10"/>
  <c r="H74" i="10"/>
  <c r="C74" i="10"/>
  <c r="B74" i="10"/>
  <c r="D74" i="10"/>
  <c r="N74" i="10"/>
  <c r="P74" i="10"/>
  <c r="T74" i="10"/>
  <c r="H75" i="10"/>
  <c r="C75" i="10"/>
  <c r="B75" i="10"/>
  <c r="D75" i="10"/>
  <c r="N75" i="10"/>
  <c r="P75" i="10"/>
  <c r="T75" i="10"/>
  <c r="H76" i="10"/>
  <c r="C76" i="10"/>
  <c r="B76" i="10"/>
  <c r="D76" i="10"/>
  <c r="N76" i="10"/>
  <c r="P76" i="10"/>
  <c r="T76" i="10"/>
  <c r="H77" i="10"/>
  <c r="C77" i="10"/>
  <c r="B77" i="10"/>
  <c r="D77" i="10"/>
  <c r="N77" i="10"/>
  <c r="P77" i="10"/>
  <c r="T77" i="10"/>
  <c r="H78" i="10"/>
  <c r="C78" i="10"/>
  <c r="B78" i="10"/>
  <c r="D78" i="10"/>
  <c r="N78" i="10"/>
  <c r="P78" i="10"/>
  <c r="T78" i="10"/>
  <c r="H79" i="10"/>
  <c r="C79" i="10"/>
  <c r="B79" i="10"/>
  <c r="D79" i="10"/>
  <c r="N79" i="10"/>
  <c r="P79" i="10"/>
  <c r="T79" i="10"/>
  <c r="H80" i="10"/>
  <c r="C80" i="10"/>
  <c r="B80" i="10"/>
  <c r="D80" i="10"/>
  <c r="N80" i="10"/>
  <c r="P80" i="10"/>
  <c r="T80" i="10"/>
  <c r="H81" i="10"/>
  <c r="C81" i="10"/>
  <c r="B81" i="10"/>
  <c r="D81" i="10"/>
  <c r="N81" i="10"/>
  <c r="P81" i="10"/>
  <c r="T81" i="10"/>
  <c r="H82" i="10"/>
  <c r="C82" i="10"/>
  <c r="B82" i="10"/>
  <c r="D82" i="10"/>
  <c r="N82" i="10"/>
  <c r="P82" i="10"/>
  <c r="T82" i="10"/>
  <c r="J3" i="11"/>
  <c r="H48" i="10"/>
  <c r="C48" i="10"/>
  <c r="B48" i="10"/>
  <c r="D48" i="10"/>
  <c r="N48" i="10"/>
  <c r="P48" i="10"/>
  <c r="T48" i="10"/>
  <c r="H49" i="10"/>
  <c r="C49" i="10"/>
  <c r="B49" i="10"/>
  <c r="D49" i="10"/>
  <c r="N49" i="10"/>
  <c r="P49" i="10"/>
  <c r="T49" i="10"/>
  <c r="H50" i="10"/>
  <c r="C50" i="10"/>
  <c r="B50" i="10"/>
  <c r="D50" i="10"/>
  <c r="N50" i="10"/>
  <c r="P50" i="10"/>
  <c r="T50" i="10"/>
  <c r="H51" i="10"/>
  <c r="C51" i="10"/>
  <c r="B51" i="10"/>
  <c r="D51" i="10"/>
  <c r="N51" i="10"/>
  <c r="P51" i="10"/>
  <c r="T51" i="10"/>
  <c r="H52" i="10"/>
  <c r="C52" i="10"/>
  <c r="B52" i="10"/>
  <c r="D52" i="10"/>
  <c r="N52" i="10"/>
  <c r="P52" i="10"/>
  <c r="T52" i="10"/>
  <c r="H53" i="10"/>
  <c r="C53" i="10"/>
  <c r="B53" i="10"/>
  <c r="D53" i="10"/>
  <c r="N53" i="10"/>
  <c r="P53" i="10"/>
  <c r="T53" i="10"/>
  <c r="H54" i="10"/>
  <c r="C54" i="10"/>
  <c r="B54" i="10"/>
  <c r="D54" i="10"/>
  <c r="N54" i="10"/>
  <c r="P54" i="10"/>
  <c r="T54" i="10"/>
  <c r="H55" i="10"/>
  <c r="C55" i="10"/>
  <c r="B55" i="10"/>
  <c r="D55" i="10"/>
  <c r="N55" i="10"/>
  <c r="P55" i="10"/>
  <c r="T55" i="10"/>
  <c r="H56" i="10"/>
  <c r="C56" i="10"/>
  <c r="B56" i="10"/>
  <c r="D56" i="10"/>
  <c r="N56" i="10"/>
  <c r="P56" i="10"/>
  <c r="T56" i="10"/>
  <c r="H57" i="10"/>
  <c r="C57" i="10"/>
  <c r="B57" i="10"/>
  <c r="D57" i="10"/>
  <c r="N57" i="10"/>
  <c r="P57" i="10"/>
  <c r="T57" i="10"/>
  <c r="H58" i="10"/>
  <c r="C58" i="10"/>
  <c r="B58" i="10"/>
  <c r="D58" i="10"/>
  <c r="N58" i="10"/>
  <c r="P58" i="10"/>
  <c r="T58" i="10"/>
  <c r="H59" i="10"/>
  <c r="C59" i="10"/>
  <c r="B59" i="10"/>
  <c r="D59" i="10"/>
  <c r="N59" i="10"/>
  <c r="P59" i="10"/>
  <c r="T59" i="10"/>
  <c r="H60" i="10"/>
  <c r="C60" i="10"/>
  <c r="B60" i="10"/>
  <c r="D60" i="10"/>
  <c r="N60" i="10"/>
  <c r="P60" i="10"/>
  <c r="T60" i="10"/>
  <c r="H61" i="10"/>
  <c r="C61" i="10"/>
  <c r="B61" i="10"/>
  <c r="D61" i="10"/>
  <c r="N61" i="10"/>
  <c r="P61" i="10"/>
  <c r="T61" i="10"/>
  <c r="H62" i="10"/>
  <c r="C62" i="10"/>
  <c r="B62" i="10"/>
  <c r="D62" i="10"/>
  <c r="N62" i="10"/>
  <c r="P62" i="10"/>
  <c r="T62" i="10"/>
  <c r="B3" i="11"/>
  <c r="H26" i="10"/>
  <c r="C26" i="10"/>
  <c r="B26" i="10"/>
  <c r="D26" i="10"/>
  <c r="N26" i="10"/>
  <c r="P26" i="10"/>
  <c r="T26" i="10"/>
  <c r="H27" i="10"/>
  <c r="C27" i="10"/>
  <c r="B27" i="10"/>
  <c r="D27" i="10"/>
  <c r="N27" i="10"/>
  <c r="P27" i="10"/>
  <c r="T27" i="10"/>
  <c r="H28" i="10"/>
  <c r="C28" i="10"/>
  <c r="B28" i="10"/>
  <c r="D28" i="10"/>
  <c r="N28" i="10"/>
  <c r="P28" i="10"/>
  <c r="T28" i="10"/>
  <c r="H29" i="10"/>
  <c r="C29" i="10"/>
  <c r="B29" i="10"/>
  <c r="D29" i="10"/>
  <c r="N29" i="10"/>
  <c r="P29" i="10"/>
  <c r="T29" i="10"/>
  <c r="H30" i="10"/>
  <c r="C30" i="10"/>
  <c r="B30" i="10"/>
  <c r="D30" i="10"/>
  <c r="N30" i="10"/>
  <c r="P30" i="10"/>
  <c r="T30" i="10"/>
  <c r="H31" i="10"/>
  <c r="C31" i="10"/>
  <c r="B31" i="10"/>
  <c r="D31" i="10"/>
  <c r="N31" i="10"/>
  <c r="P31" i="10"/>
  <c r="T31" i="10"/>
  <c r="H32" i="10"/>
  <c r="C32" i="10"/>
  <c r="B32" i="10"/>
  <c r="D32" i="10"/>
  <c r="N32" i="10"/>
  <c r="P32" i="10"/>
  <c r="T32" i="10"/>
  <c r="H33" i="10"/>
  <c r="C33" i="10"/>
  <c r="B33" i="10"/>
  <c r="D33" i="10"/>
  <c r="N33" i="10"/>
  <c r="P33" i="10"/>
  <c r="T33" i="10"/>
  <c r="H34" i="10"/>
  <c r="C34" i="10"/>
  <c r="B34" i="10"/>
  <c r="D34" i="10"/>
  <c r="N34" i="10"/>
  <c r="P34" i="10"/>
  <c r="T34" i="10"/>
  <c r="H35" i="10"/>
  <c r="C35" i="10"/>
  <c r="B35" i="10"/>
  <c r="D35" i="10"/>
  <c r="N35" i="10"/>
  <c r="P35" i="10"/>
  <c r="T35" i="10"/>
  <c r="H36" i="10"/>
  <c r="C36" i="10"/>
  <c r="B36" i="10"/>
  <c r="D36" i="10"/>
  <c r="N36" i="10"/>
  <c r="P36" i="10"/>
  <c r="T36" i="10"/>
  <c r="H37" i="10"/>
  <c r="C37" i="10"/>
  <c r="B37" i="10"/>
  <c r="D37" i="10"/>
  <c r="N37" i="10"/>
  <c r="P37" i="10"/>
  <c r="T37" i="10"/>
  <c r="H38" i="10"/>
  <c r="C38" i="10"/>
  <c r="B38" i="10"/>
  <c r="D38" i="10"/>
  <c r="N38" i="10"/>
  <c r="P38" i="10"/>
  <c r="T38" i="10"/>
  <c r="H39" i="10"/>
  <c r="C39" i="10"/>
  <c r="B39" i="10"/>
  <c r="D39" i="10"/>
  <c r="N39" i="10"/>
  <c r="P39" i="10"/>
  <c r="T39" i="10"/>
  <c r="F3" i="11"/>
  <c r="H6" i="10"/>
  <c r="C6" i="10"/>
  <c r="B6" i="10"/>
  <c r="D6" i="10"/>
  <c r="N6" i="10"/>
  <c r="P6" i="10"/>
  <c r="S6" i="10"/>
  <c r="T6" i="10"/>
  <c r="H7" i="10"/>
  <c r="C7" i="10"/>
  <c r="B7" i="10"/>
  <c r="D7" i="10"/>
  <c r="N7" i="10"/>
  <c r="P7" i="10"/>
  <c r="S7" i="10"/>
  <c r="T7" i="10"/>
  <c r="H8" i="10"/>
  <c r="C8" i="10"/>
  <c r="B8" i="10"/>
  <c r="D8" i="10"/>
  <c r="N8" i="10"/>
  <c r="P8" i="10"/>
  <c r="S8" i="10"/>
  <c r="T8" i="10"/>
  <c r="H9" i="10"/>
  <c r="C9" i="10"/>
  <c r="B9" i="10"/>
  <c r="D9" i="10"/>
  <c r="N9" i="10"/>
  <c r="P9" i="10"/>
  <c r="S9" i="10"/>
  <c r="T9" i="10"/>
  <c r="H10" i="10"/>
  <c r="C10" i="10"/>
  <c r="B10" i="10"/>
  <c r="D10" i="10"/>
  <c r="N10" i="10"/>
  <c r="P10" i="10"/>
  <c r="S10" i="10"/>
  <c r="T10" i="10"/>
  <c r="H11" i="10"/>
  <c r="C11" i="10"/>
  <c r="B11" i="10"/>
  <c r="D11" i="10"/>
  <c r="N11" i="10"/>
  <c r="P11" i="10"/>
  <c r="S11" i="10"/>
  <c r="T11" i="10"/>
  <c r="H12" i="10"/>
  <c r="C12" i="10"/>
  <c r="B12" i="10"/>
  <c r="D12" i="10"/>
  <c r="N12" i="10"/>
  <c r="P12" i="10"/>
  <c r="S12" i="10"/>
  <c r="T12" i="10"/>
  <c r="H13" i="10"/>
  <c r="C13" i="10"/>
  <c r="B13" i="10"/>
  <c r="D13" i="10"/>
  <c r="N13" i="10"/>
  <c r="P13" i="10"/>
  <c r="S13" i="10"/>
  <c r="T13" i="10"/>
  <c r="H14" i="10"/>
  <c r="C14" i="10"/>
  <c r="B14" i="10"/>
  <c r="D14" i="10"/>
  <c r="N14" i="10"/>
  <c r="P14" i="10"/>
  <c r="S14" i="10"/>
  <c r="T14" i="10"/>
  <c r="H15" i="10"/>
  <c r="C15" i="10"/>
  <c r="B15" i="10"/>
  <c r="D15" i="10"/>
  <c r="N15" i="10"/>
  <c r="P15" i="10"/>
  <c r="S15" i="10"/>
  <c r="T15" i="10"/>
  <c r="H16" i="10"/>
  <c r="C16" i="10"/>
  <c r="B16" i="10"/>
  <c r="D16" i="10"/>
  <c r="N16" i="10"/>
  <c r="P16" i="10"/>
  <c r="S16" i="10"/>
  <c r="T16" i="10"/>
  <c r="H17" i="10"/>
  <c r="C17" i="10"/>
  <c r="B17" i="10"/>
  <c r="D17" i="10"/>
  <c r="N17" i="10"/>
  <c r="P17" i="10"/>
  <c r="S17" i="10"/>
  <c r="T17" i="10"/>
  <c r="H18" i="10"/>
  <c r="C18" i="10"/>
  <c r="B18" i="10"/>
  <c r="D18" i="10"/>
  <c r="N18" i="10"/>
  <c r="P18" i="10"/>
  <c r="S18" i="10"/>
  <c r="T18" i="10"/>
  <c r="H19" i="10"/>
  <c r="C19" i="10"/>
  <c r="B19" i="10"/>
  <c r="D19" i="10"/>
  <c r="N19" i="10"/>
  <c r="P19" i="10"/>
  <c r="S19" i="10"/>
  <c r="T19" i="10"/>
  <c r="H20" i="10"/>
  <c r="C20" i="10"/>
  <c r="B20" i="10"/>
  <c r="D20" i="10"/>
  <c r="N20" i="10"/>
  <c r="P20" i="10"/>
  <c r="S20" i="10"/>
  <c r="T20" i="10"/>
  <c r="D8" i="8"/>
  <c r="D14" i="8"/>
  <c r="E2" i="9" a="1"/>
  <c r="E2" i="9"/>
  <c r="F2" i="9"/>
  <c r="G2" i="9"/>
  <c r="H2" i="9"/>
  <c r="I2" i="9"/>
  <c r="J2" i="9"/>
  <c r="E3" i="9"/>
  <c r="F3" i="9"/>
  <c r="G3" i="9"/>
  <c r="H3" i="9"/>
  <c r="I3" i="9"/>
  <c r="J3" i="9"/>
  <c r="E4" i="9"/>
  <c r="F4" i="9"/>
  <c r="G4" i="9"/>
  <c r="H4" i="9"/>
  <c r="I4" i="9"/>
  <c r="J4" i="9"/>
  <c r="E5" i="9"/>
  <c r="F5" i="9"/>
  <c r="G5" i="9"/>
  <c r="H5" i="9"/>
  <c r="I5" i="9"/>
  <c r="J5" i="9"/>
  <c r="E6" i="9"/>
  <c r="F6" i="9"/>
  <c r="G6" i="9"/>
  <c r="H6" i="9"/>
  <c r="I6" i="9"/>
  <c r="J6" i="9"/>
  <c r="E7" i="9"/>
  <c r="F7" i="9"/>
  <c r="G7" i="9"/>
  <c r="H7" i="9"/>
  <c r="I7" i="9"/>
  <c r="J7" i="9"/>
  <c r="E8" i="9"/>
  <c r="F8" i="9"/>
  <c r="G8" i="9"/>
  <c r="H8" i="9"/>
  <c r="I8" i="9"/>
  <c r="J8" i="9"/>
  <c r="E9" i="9"/>
  <c r="F9" i="9"/>
  <c r="G9" i="9"/>
  <c r="H9" i="9"/>
  <c r="I9" i="9"/>
  <c r="J9" i="9"/>
  <c r="E10" i="9"/>
  <c r="F10" i="9"/>
  <c r="G10" i="9"/>
  <c r="H10" i="9"/>
  <c r="I10" i="9"/>
  <c r="J10" i="9"/>
  <c r="E11" i="9"/>
  <c r="F11" i="9"/>
  <c r="G11" i="9"/>
  <c r="H11" i="9"/>
  <c r="I11" i="9"/>
  <c r="J11" i="9"/>
  <c r="E12" i="9"/>
  <c r="F12" i="9"/>
  <c r="G12" i="9"/>
  <c r="H12" i="9"/>
  <c r="I12" i="9"/>
  <c r="J12" i="9"/>
  <c r="E13" i="9"/>
  <c r="F13" i="9"/>
  <c r="G13" i="9"/>
  <c r="H13" i="9"/>
  <c r="I13" i="9"/>
  <c r="J13" i="9"/>
  <c r="E14" i="9"/>
  <c r="F14" i="9"/>
  <c r="G14" i="9"/>
  <c r="H14" i="9"/>
  <c r="I14" i="9"/>
  <c r="J14" i="9"/>
  <c r="E15" i="9"/>
  <c r="F15" i="9"/>
  <c r="G15" i="9"/>
  <c r="H15" i="9"/>
  <c r="I15" i="9"/>
  <c r="J15" i="9"/>
  <c r="E16" i="9"/>
  <c r="F16" i="9"/>
  <c r="G16" i="9"/>
  <c r="H16" i="9"/>
  <c r="I16" i="9"/>
  <c r="J16" i="9"/>
  <c r="E17" i="9"/>
  <c r="F17" i="9"/>
  <c r="G17" i="9"/>
  <c r="H17" i="9"/>
  <c r="I17" i="9"/>
  <c r="J17" i="9"/>
  <c r="E18" i="9"/>
  <c r="F18" i="9"/>
  <c r="G18" i="9"/>
  <c r="H18" i="9"/>
  <c r="I18" i="9"/>
  <c r="J18" i="9"/>
  <c r="E19" i="9"/>
  <c r="F19" i="9"/>
  <c r="G19" i="9"/>
  <c r="H19" i="9"/>
  <c r="I19" i="9"/>
  <c r="J19" i="9"/>
  <c r="E20" i="9"/>
  <c r="F20" i="9"/>
  <c r="G20" i="9"/>
  <c r="H20" i="9"/>
  <c r="I20" i="9"/>
  <c r="J20" i="9"/>
  <c r="E21" i="9"/>
  <c r="F21" i="9"/>
  <c r="G21" i="9"/>
  <c r="H21" i="9"/>
  <c r="I21" i="9"/>
  <c r="J21" i="9"/>
  <c r="E22" i="9"/>
  <c r="F22" i="9"/>
  <c r="G22" i="9"/>
  <c r="H22" i="9"/>
  <c r="I22" i="9"/>
  <c r="J22" i="9"/>
  <c r="E23" i="9"/>
  <c r="F23" i="9"/>
  <c r="G23" i="9"/>
  <c r="H23" i="9"/>
  <c r="I23" i="9"/>
  <c r="J23" i="9"/>
  <c r="E24" i="9"/>
  <c r="F24" i="9"/>
  <c r="G24" i="9"/>
  <c r="H24" i="9"/>
  <c r="I24" i="9"/>
  <c r="J24" i="9"/>
  <c r="E25" i="9"/>
  <c r="F25" i="9"/>
  <c r="G25" i="9"/>
  <c r="H25" i="9"/>
  <c r="I25" i="9"/>
  <c r="J25" i="9"/>
  <c r="E26" i="9"/>
  <c r="F26" i="9"/>
  <c r="G26" i="9"/>
  <c r="H26" i="9"/>
  <c r="I26" i="9"/>
  <c r="J26" i="9"/>
  <c r="E27" i="9"/>
  <c r="F27" i="9"/>
  <c r="G27" i="9"/>
  <c r="H27" i="9"/>
  <c r="I27" i="9"/>
  <c r="J27" i="9"/>
  <c r="E28" i="9"/>
  <c r="F28" i="9"/>
  <c r="G28" i="9"/>
  <c r="H28" i="9"/>
  <c r="I28" i="9"/>
  <c r="J28" i="9"/>
  <c r="E29" i="9"/>
  <c r="F29" i="9"/>
  <c r="G29" i="9"/>
  <c r="H29" i="9"/>
  <c r="I29" i="9"/>
  <c r="J29" i="9"/>
  <c r="E30" i="9"/>
  <c r="F30" i="9"/>
  <c r="G30" i="9"/>
  <c r="H30" i="9"/>
  <c r="I30" i="9"/>
  <c r="J30" i="9"/>
  <c r="E31" i="9"/>
  <c r="F31" i="9"/>
  <c r="G31" i="9"/>
  <c r="H31" i="9"/>
  <c r="I31" i="9"/>
  <c r="J31" i="9"/>
  <c r="E32" i="9"/>
  <c r="F32" i="9"/>
  <c r="G32" i="9"/>
  <c r="H32" i="9"/>
  <c r="I32" i="9"/>
  <c r="J32" i="9"/>
  <c r="E33" i="9"/>
  <c r="F33" i="9"/>
  <c r="G33" i="9"/>
  <c r="H33" i="9"/>
  <c r="I33" i="9"/>
  <c r="J33" i="9"/>
  <c r="E34" i="9"/>
  <c r="F34" i="9"/>
  <c r="G34" i="9"/>
  <c r="H34" i="9"/>
  <c r="I34" i="9"/>
  <c r="J34" i="9"/>
  <c r="E35" i="9"/>
  <c r="F35" i="9"/>
  <c r="G35" i="9"/>
  <c r="H35" i="9"/>
  <c r="I35" i="9"/>
  <c r="J35" i="9"/>
  <c r="E36" i="9"/>
  <c r="F36" i="9"/>
  <c r="G36" i="9"/>
  <c r="H36" i="9"/>
  <c r="I36" i="9"/>
  <c r="J36" i="9"/>
  <c r="E37" i="9"/>
  <c r="F37" i="9"/>
  <c r="G37" i="9"/>
  <c r="H37" i="9"/>
  <c r="I37" i="9"/>
  <c r="J37" i="9"/>
  <c r="E38" i="9"/>
  <c r="F38" i="9"/>
  <c r="G38" i="9"/>
  <c r="H38" i="9"/>
  <c r="I38" i="9"/>
  <c r="J38" i="9"/>
  <c r="E39" i="9"/>
  <c r="F39" i="9"/>
  <c r="G39" i="9"/>
  <c r="H39" i="9"/>
  <c r="I39" i="9"/>
  <c r="J39" i="9"/>
  <c r="E40" i="9"/>
  <c r="F40" i="9"/>
  <c r="G40" i="9"/>
  <c r="H40" i="9"/>
  <c r="I40" i="9"/>
  <c r="J40" i="9"/>
  <c r="E41" i="9"/>
  <c r="F41" i="9"/>
  <c r="G41" i="9"/>
  <c r="H41" i="9"/>
  <c r="I41" i="9"/>
  <c r="J41" i="9"/>
  <c r="E42" i="9"/>
  <c r="F42" i="9"/>
  <c r="G42" i="9"/>
  <c r="H42" i="9"/>
  <c r="I42" i="9"/>
  <c r="J42" i="9"/>
  <c r="E43" i="9"/>
  <c r="F43" i="9"/>
  <c r="G43" i="9"/>
  <c r="H43" i="9"/>
  <c r="I43" i="9"/>
  <c r="J43" i="9"/>
  <c r="E44" i="9"/>
  <c r="F44" i="9"/>
  <c r="G44" i="9"/>
  <c r="H44" i="9"/>
  <c r="I44" i="9"/>
  <c r="J44" i="9"/>
  <c r="E45" i="9"/>
  <c r="F45" i="9"/>
  <c r="G45" i="9"/>
  <c r="H45" i="9"/>
  <c r="I45" i="9"/>
  <c r="J45" i="9"/>
  <c r="E46" i="9"/>
  <c r="F46" i="9"/>
  <c r="G46" i="9"/>
  <c r="H46" i="9"/>
  <c r="I46" i="9"/>
  <c r="J46" i="9"/>
  <c r="E47" i="9"/>
  <c r="F47" i="9"/>
  <c r="G47" i="9"/>
  <c r="H47" i="9"/>
  <c r="I47" i="9"/>
  <c r="J47" i="9"/>
  <c r="E48" i="9"/>
  <c r="F48" i="9"/>
  <c r="G48" i="9"/>
  <c r="H48" i="9"/>
  <c r="I48" i="9"/>
  <c r="J48" i="9"/>
  <c r="E49" i="9"/>
  <c r="F49" i="9"/>
  <c r="G49" i="9"/>
  <c r="H49" i="9"/>
  <c r="I49" i="9"/>
  <c r="J49" i="9"/>
  <c r="E50" i="9"/>
  <c r="F50" i="9"/>
  <c r="G50" i="9"/>
  <c r="H50" i="9"/>
  <c r="I50" i="9"/>
  <c r="J50" i="9"/>
  <c r="E51" i="9"/>
  <c r="F51" i="9"/>
  <c r="G51" i="9"/>
  <c r="H51" i="9"/>
  <c r="I51" i="9"/>
  <c r="J51" i="9"/>
  <c r="E52" i="9"/>
  <c r="F52" i="9"/>
  <c r="G52" i="9"/>
  <c r="H52" i="9"/>
  <c r="I52" i="9"/>
  <c r="J52" i="9"/>
  <c r="E53" i="9"/>
  <c r="F53" i="9"/>
  <c r="G53" i="9"/>
  <c r="H53" i="9"/>
  <c r="I53" i="9"/>
  <c r="J53" i="9"/>
  <c r="E54" i="9"/>
  <c r="F54" i="9"/>
  <c r="G54" i="9"/>
  <c r="H54" i="9"/>
  <c r="I54" i="9"/>
  <c r="J54" i="9"/>
  <c r="E55" i="9"/>
  <c r="F55" i="9"/>
  <c r="G55" i="9"/>
  <c r="H55" i="9"/>
  <c r="I55" i="9"/>
  <c r="J55" i="9"/>
  <c r="E56" i="9"/>
  <c r="F56" i="9"/>
  <c r="G56" i="9"/>
  <c r="H56" i="9"/>
  <c r="I56" i="9"/>
  <c r="J56" i="9"/>
  <c r="E57" i="9"/>
  <c r="F57" i="9"/>
  <c r="G57" i="9"/>
  <c r="H57" i="9"/>
  <c r="I57" i="9"/>
  <c r="J57" i="9"/>
  <c r="E58" i="9"/>
  <c r="F58" i="9"/>
  <c r="G58" i="9"/>
  <c r="H58" i="9"/>
  <c r="I58" i="9"/>
  <c r="J58" i="9"/>
  <c r="E59" i="9"/>
  <c r="F59" i="9"/>
  <c r="G59" i="9"/>
  <c r="H59" i="9"/>
  <c r="I59" i="9"/>
  <c r="J59" i="9"/>
  <c r="E60" i="9"/>
  <c r="F60" i="9"/>
  <c r="G60" i="9"/>
  <c r="H60" i="9"/>
  <c r="I60" i="9"/>
  <c r="J60" i="9"/>
  <c r="E61" i="9"/>
  <c r="F61" i="9"/>
  <c r="G61" i="9"/>
  <c r="H61" i="9"/>
  <c r="I61" i="9"/>
  <c r="J61" i="9"/>
  <c r="E62" i="9"/>
  <c r="F62" i="9"/>
  <c r="G62" i="9"/>
  <c r="H62" i="9"/>
  <c r="I62" i="9"/>
  <c r="J62" i="9"/>
  <c r="E63" i="9"/>
  <c r="F63" i="9"/>
  <c r="G63" i="9"/>
  <c r="H63" i="9"/>
  <c r="I63" i="9"/>
  <c r="J63" i="9"/>
  <c r="E64" i="9"/>
  <c r="F64" i="9"/>
  <c r="G64" i="9"/>
  <c r="H64" i="9"/>
  <c r="I64" i="9"/>
  <c r="J64" i="9"/>
  <c r="E65" i="9"/>
  <c r="F65" i="9"/>
  <c r="G65" i="9"/>
  <c r="H65" i="9"/>
  <c r="I65" i="9"/>
  <c r="J65" i="9"/>
  <c r="E66" i="9"/>
  <c r="F66" i="9"/>
  <c r="G66" i="9"/>
  <c r="H66" i="9"/>
  <c r="I66" i="9"/>
  <c r="J66" i="9"/>
  <c r="E67" i="9"/>
  <c r="F67" i="9"/>
  <c r="G67" i="9"/>
  <c r="H67" i="9"/>
  <c r="I67" i="9"/>
  <c r="J67" i="9"/>
  <c r="E68" i="9"/>
  <c r="F68" i="9"/>
  <c r="G68" i="9"/>
  <c r="H68" i="9"/>
  <c r="I68" i="9"/>
  <c r="J68" i="9"/>
  <c r="E69" i="9"/>
  <c r="F69" i="9"/>
  <c r="G69" i="9"/>
  <c r="H69" i="9"/>
  <c r="I69" i="9"/>
  <c r="J69" i="9"/>
  <c r="E70" i="9"/>
  <c r="F70" i="9"/>
  <c r="G70" i="9"/>
  <c r="H70" i="9"/>
  <c r="I70" i="9"/>
  <c r="J70" i="9"/>
  <c r="E71" i="9"/>
  <c r="F71" i="9"/>
  <c r="G71" i="9"/>
  <c r="H71" i="9"/>
  <c r="I71" i="9"/>
  <c r="J71" i="9"/>
  <c r="E72" i="9"/>
  <c r="F72" i="9"/>
  <c r="G72" i="9"/>
  <c r="H72" i="9"/>
  <c r="I72" i="9"/>
  <c r="J72" i="9"/>
  <c r="E73" i="9"/>
  <c r="F73" i="9"/>
  <c r="G73" i="9"/>
  <c r="H73" i="9"/>
  <c r="I73" i="9"/>
  <c r="J73" i="9"/>
  <c r="E74" i="9"/>
  <c r="F74" i="9"/>
  <c r="G74" i="9"/>
  <c r="H74" i="9"/>
  <c r="I74" i="9"/>
  <c r="J74" i="9"/>
  <c r="E75" i="9"/>
  <c r="F75" i="9"/>
  <c r="G75" i="9"/>
  <c r="H75" i="9"/>
  <c r="I75" i="9"/>
  <c r="J75" i="9"/>
  <c r="E76" i="9"/>
  <c r="F76" i="9"/>
  <c r="G76" i="9"/>
  <c r="H76" i="9"/>
  <c r="I76" i="9"/>
  <c r="J76" i="9"/>
  <c r="E77" i="9"/>
  <c r="F77" i="9"/>
  <c r="G77" i="9"/>
  <c r="H77" i="9"/>
  <c r="I77" i="9"/>
  <c r="J77" i="9"/>
  <c r="E78" i="9"/>
  <c r="F78" i="9"/>
  <c r="G78" i="9"/>
  <c r="H78" i="9"/>
  <c r="I78" i="9"/>
  <c r="J78" i="9"/>
  <c r="E79" i="9"/>
  <c r="F79" i="9"/>
  <c r="G79" i="9"/>
  <c r="H79" i="9"/>
  <c r="I79" i="9"/>
  <c r="J79" i="9"/>
  <c r="E80" i="9"/>
  <c r="F80" i="9"/>
  <c r="G80" i="9"/>
  <c r="H80" i="9"/>
  <c r="I80" i="9"/>
  <c r="J80" i="9"/>
  <c r="E81" i="9"/>
  <c r="F81" i="9"/>
  <c r="G81" i="9"/>
  <c r="H81" i="9"/>
  <c r="I81" i="9"/>
  <c r="J81" i="9"/>
  <c r="E82" i="9"/>
  <c r="F82" i="9"/>
  <c r="G82" i="9"/>
  <c r="H82" i="9"/>
  <c r="I82" i="9"/>
  <c r="J82" i="9"/>
  <c r="E83" i="9"/>
  <c r="F83" i="9"/>
  <c r="G83" i="9"/>
  <c r="H83" i="9"/>
  <c r="I83" i="9"/>
  <c r="J83" i="9"/>
  <c r="E84" i="9"/>
  <c r="F84" i="9"/>
  <c r="G84" i="9"/>
  <c r="H84" i="9"/>
  <c r="I84" i="9"/>
  <c r="J84" i="9"/>
  <c r="E85" i="9"/>
  <c r="F85" i="9"/>
  <c r="G85" i="9"/>
  <c r="H85" i="9"/>
  <c r="I85" i="9"/>
  <c r="J85" i="9"/>
  <c r="E86" i="9"/>
  <c r="F86" i="9"/>
  <c r="G86" i="9"/>
  <c r="H86" i="9"/>
  <c r="I86" i="9"/>
  <c r="J86" i="9"/>
  <c r="E87" i="9"/>
  <c r="F87" i="9"/>
  <c r="G87" i="9"/>
  <c r="H87" i="9"/>
  <c r="I87" i="9"/>
  <c r="J87" i="9"/>
  <c r="E88" i="9"/>
  <c r="F88" i="9"/>
  <c r="G88" i="9"/>
  <c r="H88" i="9"/>
  <c r="I88" i="9"/>
  <c r="J88" i="9"/>
  <c r="E89" i="9"/>
  <c r="F89" i="9"/>
  <c r="G89" i="9"/>
  <c r="H89" i="9"/>
  <c r="I89" i="9"/>
  <c r="J89" i="9"/>
  <c r="E90" i="9"/>
  <c r="F90" i="9"/>
  <c r="G90" i="9"/>
  <c r="H90" i="9"/>
  <c r="I90" i="9"/>
  <c r="J90" i="9"/>
  <c r="E91" i="9"/>
  <c r="F91" i="9"/>
  <c r="G91" i="9"/>
  <c r="H91" i="9"/>
  <c r="I91" i="9"/>
  <c r="J91" i="9"/>
  <c r="E92" i="9"/>
  <c r="F92" i="9"/>
  <c r="G92" i="9"/>
  <c r="H92" i="9"/>
  <c r="I92" i="9"/>
  <c r="J92" i="9"/>
  <c r="E93" i="9"/>
  <c r="F93" i="9"/>
  <c r="G93" i="9"/>
  <c r="H93" i="9"/>
  <c r="I93" i="9"/>
  <c r="J93" i="9"/>
  <c r="D8" i="3"/>
  <c r="D14" i="3"/>
  <c r="J3" i="6"/>
  <c r="F3" i="6"/>
  <c r="B3" i="6"/>
  <c r="D8" i="2"/>
  <c r="J6" i="2"/>
  <c r="K6" i="2"/>
  <c r="J7" i="2"/>
  <c r="K7" i="2"/>
  <c r="J8" i="2"/>
  <c r="K8" i="2"/>
  <c r="J9" i="2"/>
  <c r="K9" i="2"/>
  <c r="D14" i="2"/>
  <c r="D14" i="1"/>
  <c r="D22" i="8"/>
  <c r="D22" i="7"/>
  <c r="D22" i="3"/>
  <c r="D22" i="2"/>
  <c r="D22" i="1"/>
  <c r="D28" i="1" a="1"/>
  <c r="D28" i="1"/>
  <c r="D32" i="1"/>
  <c r="D28" i="2" a="1"/>
  <c r="D28" i="2"/>
  <c r="D32" i="2"/>
  <c r="D28" i="3" a="1"/>
  <c r="D28" i="3"/>
  <c r="D32" i="3"/>
  <c r="D32" i="7"/>
  <c r="D28" i="8" a="1"/>
  <c r="D28" i="8"/>
  <c r="D29" i="8"/>
  <c r="D30" i="8"/>
  <c r="D31" i="8"/>
  <c r="D29" i="3"/>
  <c r="D30" i="3"/>
  <c r="D31" i="3"/>
  <c r="D29" i="2"/>
  <c r="D30" i="2"/>
  <c r="D31" i="2"/>
  <c r="D29" i="1"/>
  <c r="D30" i="1"/>
  <c r="D31" i="1"/>
  <c r="D32" i="8"/>
</calcChain>
</file>

<file path=xl/sharedStrings.xml><?xml version="1.0" encoding="utf-8"?>
<sst xmlns="http://schemas.openxmlformats.org/spreadsheetml/2006/main" count="1846" uniqueCount="235">
  <si>
    <t>MARKETDATAPROPERTIES</t>
  </si>
  <si>
    <t>OIS</t>
  </si>
  <si>
    <t>LIBOROISBASISSPREADS</t>
  </si>
  <si>
    <t>SWAPS</t>
  </si>
  <si>
    <t xml:space="preserve"> </t>
  </si>
  <si>
    <t>Term</t>
  </si>
  <si>
    <t>Rate</t>
  </si>
  <si>
    <t>StartDate</t>
  </si>
  <si>
    <t>EndDate</t>
  </si>
  <si>
    <t>Use</t>
  </si>
  <si>
    <t>Currency</t>
  </si>
  <si>
    <t>EUR</t>
  </si>
  <si>
    <t>CurveType</t>
  </si>
  <si>
    <t>CurveCollection</t>
  </si>
  <si>
    <t>EURYC</t>
  </si>
  <si>
    <t>CurveIndexFrequency</t>
  </si>
  <si>
    <t>DAILY</t>
  </si>
  <si>
    <t>StaticDataTable</t>
  </si>
  <si>
    <t>AsOfDate</t>
  </si>
  <si>
    <t>OIS:EUROIS:EURDF:EURDF_EURCSA:EURDF_NOCSA</t>
  </si>
  <si>
    <t>CURVEPROPERTIES</t>
  </si>
  <si>
    <t>Create Market Data Handle</t>
  </si>
  <si>
    <t>Handle Name</t>
  </si>
  <si>
    <t>EUR_OIS_CURVE_MARKETDATA</t>
  </si>
  <si>
    <t>IndexName</t>
  </si>
  <si>
    <t>Market Data Handle</t>
  </si>
  <si>
    <t>interpolation</t>
  </si>
  <si>
    <t>FN_SPLINEINTERPOLATION</t>
  </si>
  <si>
    <t>yieldgen.interpolation</t>
  </si>
  <si>
    <t>Curve Dictionary</t>
  </si>
  <si>
    <t>EUR_OIS_CURVE</t>
  </si>
  <si>
    <t>calendar</t>
  </si>
  <si>
    <t>TGT</t>
  </si>
  <si>
    <t>Curve Generator</t>
  </si>
  <si>
    <t>EUR_OIS</t>
  </si>
  <si>
    <t>daycount</t>
  </si>
  <si>
    <t>ACT/360</t>
  </si>
  <si>
    <t>Domestic Curve Collection</t>
  </si>
  <si>
    <t>frequency</t>
  </si>
  <si>
    <t>ANNUAL</t>
  </si>
  <si>
    <t>Foreign Curve Collection</t>
  </si>
  <si>
    <t>generatemethod</t>
  </si>
  <si>
    <t>DAILYCOMPOUNDING</t>
  </si>
  <si>
    <t>resetlag</t>
  </si>
  <si>
    <t>2D</t>
  </si>
  <si>
    <t>firstrate</t>
  </si>
  <si>
    <t>SHORTMARKET</t>
  </si>
  <si>
    <t>Curve Build</t>
  </si>
  <si>
    <t>slidingrule</t>
  </si>
  <si>
    <t>MOD_FOLLOWING</t>
  </si>
  <si>
    <t/>
  </si>
  <si>
    <t>eomday</t>
  </si>
  <si>
    <t>Curve Collection</t>
  </si>
  <si>
    <t>iseomroll</t>
  </si>
  <si>
    <t>Curve Index</t>
  </si>
  <si>
    <t>shorttermconvention</t>
  </si>
  <si>
    <t>ARITHMETICAVERAGE</t>
  </si>
  <si>
    <t>Calibration Time Taken</t>
  </si>
  <si>
    <t>longtermconvention</t>
  </si>
  <si>
    <t>LOBASIS</t>
  </si>
  <si>
    <t>Curve Loaded</t>
  </si>
  <si>
    <t>longterm</t>
  </si>
  <si>
    <t>3Y</t>
  </si>
  <si>
    <t>longterm.generatemethod</t>
  </si>
  <si>
    <t>NONE</t>
  </si>
  <si>
    <t>Epsilon</t>
  </si>
  <si>
    <t>MaxLoop</t>
  </si>
  <si>
    <t>CompoundingMethod</t>
  </si>
  <si>
    <t>GEOMETRIC</t>
  </si>
  <si>
    <t>SmoothShortEnd</t>
  </si>
  <si>
    <t>LIBOROISBASIS</t>
  </si>
  <si>
    <t>OIS FLOAT LEG CONVENTIONS</t>
  </si>
  <si>
    <t>Calendar</t>
  </si>
  <si>
    <t>Daycount</t>
  </si>
  <si>
    <t>Frequency</t>
  </si>
  <si>
    <t>QUARTERLY</t>
  </si>
  <si>
    <t>SlidingRule</t>
  </si>
  <si>
    <t>LIBOR SWAP CONVENTIONS - FIXED LEG</t>
  </si>
  <si>
    <t>daycountfix</t>
  </si>
  <si>
    <t>30/360</t>
  </si>
  <si>
    <t>frequencyfix</t>
  </si>
  <si>
    <t>LIBORFIXINGS</t>
  </si>
  <si>
    <t>FUTURES</t>
  </si>
  <si>
    <t>Volatility</t>
  </si>
  <si>
    <t>SWAP</t>
  </si>
  <si>
    <t>STD</t>
  </si>
  <si>
    <t>STD:EUR3ML</t>
  </si>
  <si>
    <t>EUR_SWAP_3M_CURVE_MARKETDATA</t>
  </si>
  <si>
    <t>FN_LINEARSPLINEINTERPOLATION</t>
  </si>
  <si>
    <t>isfrause</t>
  </si>
  <si>
    <t>FALSE</t>
  </si>
  <si>
    <t>fn_LinearSplineInterpolation</t>
  </si>
  <si>
    <t>isfutureuse</t>
  </si>
  <si>
    <t>TRUE</t>
  </si>
  <si>
    <t>future.interpolation</t>
  </si>
  <si>
    <t>EUR_SWAP_3M_CURVE</t>
  </si>
  <si>
    <t>dfcurvename</t>
  </si>
  <si>
    <t>EUR_SWAP_3M</t>
  </si>
  <si>
    <t>SIMPLE</t>
  </si>
  <si>
    <t>AlwaysCalcJoinDate</t>
  </si>
  <si>
    <t>FastRebuild</t>
  </si>
  <si>
    <t>MONEYMARKET</t>
  </si>
  <si>
    <t>DayCount</t>
  </si>
  <si>
    <t>Slidingrule</t>
  </si>
  <si>
    <t>FOLLOWING</t>
  </si>
  <si>
    <t>Simple</t>
  </si>
  <si>
    <t>Resetlag</t>
  </si>
  <si>
    <t>FRAS</t>
  </si>
  <si>
    <t>ResetLag</t>
  </si>
  <si>
    <t>ApplyTension</t>
  </si>
  <si>
    <t>TensionGap</t>
  </si>
  <si>
    <t>IsEomRoll</t>
  </si>
  <si>
    <t>2</t>
  </si>
  <si>
    <t>MeanReversion</t>
  </si>
  <si>
    <t>DayCountFloat</t>
  </si>
  <si>
    <t>Annual</t>
  </si>
  <si>
    <t>FrequencyFloat</t>
  </si>
  <si>
    <t>Quarterly</t>
  </si>
  <si>
    <t>Interpolation</t>
  </si>
  <si>
    <t>EomDay</t>
  </si>
  <si>
    <t>IsNewtonraphson</t>
  </si>
  <si>
    <t>issimultaneouseq</t>
  </si>
  <si>
    <t>SEMI-ANNUAL</t>
  </si>
  <si>
    <t>EUR6ML</t>
  </si>
  <si>
    <t>EUR_SWAP_6M_CURVE_MARKETDATA</t>
  </si>
  <si>
    <t>EUR_SWAP_6M_CURVE</t>
  </si>
  <si>
    <t>EUR_SWAP_6M</t>
  </si>
  <si>
    <t>Semi-Annual</t>
  </si>
  <si>
    <t>MONTHLY</t>
  </si>
  <si>
    <t>EUR3ML</t>
  </si>
  <si>
    <t>3M</t>
  </si>
  <si>
    <t>1M</t>
  </si>
  <si>
    <t>12M</t>
  </si>
  <si>
    <t>6M</t>
  </si>
  <si>
    <t>EUR_SWAP_1M</t>
  </si>
  <si>
    <t>EUR_SWAP_12M</t>
  </si>
  <si>
    <t>EUR1ML</t>
  </si>
  <si>
    <t>EUR12ML</t>
  </si>
  <si>
    <t>ON</t>
  </si>
  <si>
    <t>ECB1</t>
  </si>
  <si>
    <t>ECB2</t>
  </si>
  <si>
    <t>ECB3</t>
  </si>
  <si>
    <t>ECB4</t>
  </si>
  <si>
    <t>1Y</t>
  </si>
  <si>
    <t>2Y</t>
  </si>
  <si>
    <t>4Y</t>
  </si>
  <si>
    <t>5Y</t>
  </si>
  <si>
    <t>6Y</t>
  </si>
  <si>
    <t>7Y</t>
  </si>
  <si>
    <t>8Y</t>
  </si>
  <si>
    <t>9Y</t>
  </si>
  <si>
    <t>10Y</t>
  </si>
  <si>
    <t>11Y</t>
  </si>
  <si>
    <t>12Y</t>
  </si>
  <si>
    <t>15Y</t>
  </si>
  <si>
    <t>20Y</t>
  </si>
  <si>
    <t>25Y</t>
  </si>
  <si>
    <t>30Y</t>
  </si>
  <si>
    <t>ER1</t>
  </si>
  <si>
    <t>ER2</t>
  </si>
  <si>
    <t>ER3</t>
  </si>
  <si>
    <t>ER4</t>
  </si>
  <si>
    <t>1X7</t>
  </si>
  <si>
    <t>2X8</t>
  </si>
  <si>
    <t>3X9</t>
  </si>
  <si>
    <t>4X10</t>
  </si>
  <si>
    <t>5X11</t>
  </si>
  <si>
    <t>6X12</t>
  </si>
  <si>
    <t>EUR_SWAP_1M_CURVE</t>
  </si>
  <si>
    <t>EUR_SWAP_1M_CURVE_MARKETDATA</t>
  </si>
  <si>
    <t>EUR_SWAP_12M_CURVE_MARKETDATA</t>
  </si>
  <si>
    <t>EUR_SWAP_12M_CURVE</t>
  </si>
  <si>
    <t>EUROIS</t>
  </si>
  <si>
    <t>PAY</t>
  </si>
  <si>
    <t>+/- Bps</t>
  </si>
  <si>
    <t>Spread</t>
  </si>
  <si>
    <t>CreateSwap</t>
  </si>
  <si>
    <t>Leg 2 Spread</t>
  </si>
  <si>
    <t>Leg 1 Spread</t>
  </si>
  <si>
    <t>Notional</t>
  </si>
  <si>
    <t>PayRec</t>
  </si>
  <si>
    <t>Generator</t>
  </si>
  <si>
    <t>Maturity</t>
  </si>
  <si>
    <t>EffectiveDate</t>
  </si>
  <si>
    <t>MaturityDate</t>
  </si>
  <si>
    <t>Swap Template</t>
  </si>
  <si>
    <t>Unadjusted Date !</t>
  </si>
  <si>
    <t>Curve Calibration Check</t>
  </si>
  <si>
    <t>Trade Booking &amp; Pricing</t>
  </si>
  <si>
    <t>Trade Dates</t>
  </si>
  <si>
    <t>ParRate</t>
  </si>
  <si>
    <t>SWAP: EUR3ML</t>
  </si>
  <si>
    <t>Leg2:Float</t>
  </si>
  <si>
    <t>ShortStart</t>
  </si>
  <si>
    <t>0D</t>
  </si>
  <si>
    <t>FixedRate</t>
  </si>
  <si>
    <t>SWAPS: EUR6ML</t>
  </si>
  <si>
    <t>NORMAL</t>
  </si>
  <si>
    <t>NATURAL</t>
  </si>
  <si>
    <t>31Y</t>
  </si>
  <si>
    <t>Periodicity</t>
  </si>
  <si>
    <t>LEGTYPE</t>
  </si>
  <si>
    <t>Leg1:Fixed</t>
  </si>
  <si>
    <t>LEVERAGE</t>
  </si>
  <si>
    <t>FORECASTCURVE</t>
  </si>
  <si>
    <t>COMPOUNDMETHOD</t>
  </si>
  <si>
    <t>NOTIONALEXCHANGE</t>
  </si>
  <si>
    <t>DISCOUNTCURVE</t>
  </si>
  <si>
    <t>VALUATIONCURRENCY</t>
  </si>
  <si>
    <t>CURRENCY</t>
  </si>
  <si>
    <t>ACCRUALFREQUENCY</t>
  </si>
  <si>
    <t>ACCRUALBUSINESSDAYADJUSTMENT</t>
  </si>
  <si>
    <t>ACCRUALCALENDAR</t>
  </si>
  <si>
    <t>ACCRUALDAYCOUNT</t>
  </si>
  <si>
    <t>PAYMENTFREQUENCY</t>
  </si>
  <si>
    <t>PAYMENTBUSINESSDAYADJUSTMENT</t>
  </si>
  <si>
    <t>PAYMENTCALENDAR</t>
  </si>
  <si>
    <t>PAYMENTLAG</t>
  </si>
  <si>
    <t>FIRSTSTUBDATE</t>
  </si>
  <si>
    <t>LASTSTUBDATE</t>
  </si>
  <si>
    <t>ROLLDAY</t>
  </si>
  <si>
    <t>STUBTYPE</t>
  </si>
  <si>
    <t>FIXINGBUSINESSDAYADJUSTMENT</t>
  </si>
  <si>
    <t>FIXINGCALENDAR</t>
  </si>
  <si>
    <t>FIXINGLAG</t>
  </si>
  <si>
    <t>FIXINGADVANCEORARREAR</t>
  </si>
  <si>
    <t>FIRSTSTUBCURVEINDEX</t>
  </si>
  <si>
    <t>LASTSTUBCURVEINDEX</t>
  </si>
  <si>
    <t>SWAP: EUR1ML</t>
  </si>
  <si>
    <t>SWAP: EUR12ML</t>
  </si>
  <si>
    <t xml:space="preserve"> … Dates</t>
  </si>
  <si>
    <t>EUR_SWAP_3ML</t>
  </si>
  <si>
    <t>EUR_SWAP_6ML</t>
  </si>
  <si>
    <t>EUR_SWAP_1ML</t>
  </si>
  <si>
    <t>EUR_SWAP_12ML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</si>
</sst>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64" formatCode="0.00000%"/>
    <numFmt numFmtId="165" formatCode="0.0000%"/>
    <numFmt numFmtId="166" formatCode="ddd\,\ d\-mmm\-yy"/>
    <numFmt numFmtId="167" formatCode="0.000%"/>
    <numFmt numFmtId="168" formatCode="#,##0.000"/>
    <numFmt numFmtId="169" formatCode="#,##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Times New Roman"/>
      <family val="1"/>
    </font>
    <font>
      <sz val="11"/>
      <color theme="0" tint="-0.34998626667073579"/>
      <name val="Calibri"/>
      <family val="2"/>
      <scheme val="minor"/>
    </font>
    <font>
      <b/>
      <sz val="11"/>
      <color rgb="FF66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0" fontId="12" fillId="0" borderId="0">
      <alignment vertical="center"/>
    </xf>
    <xf numFmtId="41" fontId="1" fillId="0" borderId="0" applyFont="0" applyFill="0" applyBorder="0" applyAlignment="0" applyProtection="0"/>
  </cellStyleXfs>
  <cellXfs count="211">
    <xf numFmtId="0" fontId="0" fillId="0" borderId="0" xfId="0"/>
    <xf numFmtId="0" fontId="3" fillId="0" borderId="0" xfId="0" applyFont="1"/>
    <xf numFmtId="0" fontId="0" fillId="2" borderId="1" xfId="0" applyFill="1" applyBorder="1"/>
    <xf numFmtId="0" fontId="4" fillId="2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2" borderId="0" xfId="0" applyFill="1" applyBorder="1"/>
    <xf numFmtId="0" fontId="0" fillId="2" borderId="6" xfId="0" applyFill="1" applyBorder="1"/>
    <xf numFmtId="0" fontId="4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8" fillId="2" borderId="9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5" xfId="0" applyFont="1" applyFill="1" applyBorder="1"/>
    <xf numFmtId="0" fontId="0" fillId="3" borderId="5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164" fontId="9" fillId="0" borderId="2" xfId="0" applyNumberFormat="1" applyFont="1" applyFill="1" applyBorder="1" applyAlignment="1">
      <alignment horizontal="center" vertical="center"/>
    </xf>
    <xf numFmtId="15" fontId="9" fillId="0" borderId="2" xfId="0" applyNumberFormat="1" applyFont="1" applyFill="1" applyBorder="1" applyAlignment="1">
      <alignment horizontal="center" vertical="center"/>
    </xf>
    <xf numFmtId="15" fontId="9" fillId="0" borderId="0" xfId="0" applyNumberFormat="1" applyFont="1" applyFill="1" applyBorder="1" applyAlignment="1">
      <alignment horizontal="center" vertical="center"/>
    </xf>
    <xf numFmtId="15" fontId="9" fillId="0" borderId="6" xfId="0" applyNumberFormat="1" applyFont="1" applyFill="1" applyBorder="1" applyAlignment="1">
      <alignment horizontal="center" vertical="center"/>
    </xf>
    <xf numFmtId="165" fontId="9" fillId="0" borderId="3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164" fontId="9" fillId="0" borderId="6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3" borderId="11" xfId="0" applyFont="1" applyFill="1" applyBorder="1"/>
    <xf numFmtId="0" fontId="0" fillId="3" borderId="11" xfId="0" applyFont="1" applyFill="1" applyBorder="1" applyAlignment="1">
      <alignment horizontal="left" vertical="center"/>
    </xf>
    <xf numFmtId="164" fontId="9" fillId="0" borderId="0" xfId="0" applyNumberFormat="1" applyFont="1" applyFill="1" applyBorder="1" applyAlignment="1">
      <alignment horizontal="center" vertical="center"/>
    </xf>
    <xf numFmtId="165" fontId="9" fillId="0" borderId="6" xfId="0" applyNumberFormat="1" applyFont="1" applyFill="1" applyBorder="1" applyAlignment="1">
      <alignment horizontal="center" vertical="center"/>
    </xf>
    <xf numFmtId="0" fontId="0" fillId="3" borderId="7" xfId="0" applyFill="1" applyBorder="1"/>
    <xf numFmtId="0" fontId="0" fillId="3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2" fillId="2" borderId="0" xfId="0" applyFont="1" applyFill="1"/>
    <xf numFmtId="0" fontId="0" fillId="3" borderId="5" xfId="0" applyFill="1" applyBorder="1" applyAlignment="1">
      <alignment horizontal="left" vertical="center"/>
    </xf>
    <xf numFmtId="0" fontId="5" fillId="0" borderId="0" xfId="0" applyFont="1"/>
    <xf numFmtId="0" fontId="7" fillId="3" borderId="7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0" borderId="5" xfId="0" applyFont="1" applyFill="1" applyBorder="1"/>
    <xf numFmtId="0" fontId="0" fillId="0" borderId="5" xfId="0" applyFont="1" applyFill="1" applyBorder="1" applyAlignment="1">
      <alignment horizontal="left" vertical="center"/>
    </xf>
    <xf numFmtId="0" fontId="0" fillId="0" borderId="11" xfId="0" applyFont="1" applyFill="1" applyBorder="1"/>
    <xf numFmtId="0" fontId="0" fillId="0" borderId="11" xfId="0" applyFont="1" applyFill="1" applyBorder="1" applyAlignment="1">
      <alignment horizontal="left" vertical="center"/>
    </xf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center" vertical="center"/>
    </xf>
    <xf numFmtId="164" fontId="10" fillId="0" borderId="6" xfId="0" applyNumberFormat="1" applyFont="1" applyFill="1" applyBorder="1" applyAlignment="1">
      <alignment horizontal="center" vertical="center"/>
    </xf>
    <xf numFmtId="0" fontId="10" fillId="2" borderId="0" xfId="0" applyFont="1" applyFill="1"/>
    <xf numFmtId="0" fontId="10" fillId="2" borderId="6" xfId="0" applyFont="1" applyFill="1" applyBorder="1"/>
    <xf numFmtId="0" fontId="10" fillId="0" borderId="0" xfId="0" applyFont="1"/>
    <xf numFmtId="0" fontId="0" fillId="0" borderId="5" xfId="0" applyBorder="1"/>
    <xf numFmtId="0" fontId="7" fillId="0" borderId="5" xfId="0" applyFont="1" applyFill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/>
    <xf numFmtId="0" fontId="0" fillId="0" borderId="7" xfId="0" applyBorder="1"/>
    <xf numFmtId="0" fontId="9" fillId="0" borderId="8" xfId="0" applyFont="1" applyFill="1" applyBorder="1" applyAlignment="1">
      <alignment horizontal="center" vertical="center"/>
    </xf>
    <xf numFmtId="164" fontId="9" fillId="0" borderId="9" xfId="0" applyNumberFormat="1" applyFont="1" applyFill="1" applyBorder="1" applyAlignment="1">
      <alignment horizontal="center" vertical="center"/>
    </xf>
    <xf numFmtId="15" fontId="9" fillId="0" borderId="9" xfId="0" applyNumberFormat="1" applyFont="1" applyFill="1" applyBorder="1" applyAlignment="1">
      <alignment horizontal="center" vertical="center"/>
    </xf>
    <xf numFmtId="15" fontId="9" fillId="0" borderId="10" xfId="0" applyNumberFormat="1" applyFont="1" applyFill="1" applyBorder="1" applyAlignment="1">
      <alignment horizontal="center" vertical="center"/>
    </xf>
    <xf numFmtId="164" fontId="9" fillId="0" borderId="1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 applyBorder="1" applyAlignment="1">
      <alignment horizontal="center" vertical="center"/>
    </xf>
    <xf numFmtId="0" fontId="0" fillId="2" borderId="16" xfId="0" applyFill="1" applyBorder="1"/>
    <xf numFmtId="0" fontId="8" fillId="3" borderId="5" xfId="0" applyFont="1" applyFill="1" applyBorder="1"/>
    <xf numFmtId="15" fontId="8" fillId="3" borderId="5" xfId="0" applyNumberFormat="1" applyFont="1" applyFill="1" applyBorder="1" applyAlignment="1">
      <alignment horizontal="left" vertical="center"/>
    </xf>
    <xf numFmtId="0" fontId="0" fillId="2" borderId="9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3" borderId="11" xfId="0" applyFont="1" applyFill="1" applyBorder="1"/>
    <xf numFmtId="15" fontId="8" fillId="3" borderId="11" xfId="0" applyNumberFormat="1" applyFont="1" applyFill="1" applyBorder="1" applyAlignment="1">
      <alignment horizontal="left" vertical="center"/>
    </xf>
    <xf numFmtId="15" fontId="9" fillId="3" borderId="1" xfId="0" applyNumberFormat="1" applyFont="1" applyFill="1" applyBorder="1" applyAlignment="1">
      <alignment horizontal="center" vertical="center"/>
    </xf>
    <xf numFmtId="15" fontId="9" fillId="3" borderId="2" xfId="1" quotePrefix="1" applyNumberFormat="1" applyFont="1" applyFill="1" applyBorder="1" applyAlignment="1">
      <alignment horizontal="center" vertical="center"/>
    </xf>
    <xf numFmtId="168" fontId="9" fillId="3" borderId="2" xfId="0" applyNumberFormat="1" applyFont="1" applyFill="1" applyBorder="1" applyAlignment="1">
      <alignment horizontal="center" vertical="center"/>
    </xf>
    <xf numFmtId="167" fontId="8" fillId="3" borderId="3" xfId="2" quotePrefix="1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5" fontId="9" fillId="3" borderId="2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5" fontId="9" fillId="3" borderId="0" xfId="1" quotePrefix="1" applyNumberFormat="1" applyFont="1" applyFill="1" applyBorder="1" applyAlignment="1">
      <alignment horizontal="center" vertical="center"/>
    </xf>
    <xf numFmtId="168" fontId="9" fillId="3" borderId="0" xfId="0" applyNumberFormat="1" applyFont="1" applyFill="1" applyBorder="1" applyAlignment="1">
      <alignment horizontal="center" vertical="center"/>
    </xf>
    <xf numFmtId="167" fontId="8" fillId="3" borderId="6" xfId="2" quotePrefix="1" applyNumberFormat="1" applyFont="1" applyFill="1" applyBorder="1" applyAlignment="1">
      <alignment horizontal="center" vertical="center"/>
    </xf>
    <xf numFmtId="165" fontId="9" fillId="3" borderId="0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66" fontId="7" fillId="3" borderId="11" xfId="0" applyNumberFormat="1" applyFont="1" applyFill="1" applyBorder="1" applyAlignment="1">
      <alignment horizontal="left" vertical="center"/>
    </xf>
    <xf numFmtId="15" fontId="9" fillId="3" borderId="0" xfId="1" applyNumberFormat="1" applyFont="1" applyFill="1" applyBorder="1" applyAlignment="1">
      <alignment horizontal="center" vertical="center"/>
    </xf>
    <xf numFmtId="167" fontId="8" fillId="3" borderId="6" xfId="2" applyNumberFormat="1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left"/>
    </xf>
    <xf numFmtId="0" fontId="8" fillId="3" borderId="7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/>
    </xf>
    <xf numFmtId="165" fontId="10" fillId="3" borderId="0" xfId="0" applyNumberFormat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2" borderId="16" xfId="0" applyFont="1" applyFill="1" applyBorder="1"/>
    <xf numFmtId="0" fontId="9" fillId="3" borderId="8" xfId="0" applyFont="1" applyFill="1" applyBorder="1" applyAlignment="1">
      <alignment horizontal="center" vertical="center"/>
    </xf>
    <xf numFmtId="15" fontId="9" fillId="3" borderId="9" xfId="1" applyNumberFormat="1" applyFont="1" applyFill="1" applyBorder="1" applyAlignment="1">
      <alignment horizontal="center" vertical="center"/>
    </xf>
    <xf numFmtId="168" fontId="9" fillId="3" borderId="9" xfId="0" applyNumberFormat="1" applyFont="1" applyFill="1" applyBorder="1" applyAlignment="1">
      <alignment horizontal="center" vertical="center"/>
    </xf>
    <xf numFmtId="167" fontId="8" fillId="3" borderId="10" xfId="2" applyNumberFormat="1" applyFont="1" applyFill="1" applyBorder="1" applyAlignment="1">
      <alignment horizontal="center" vertical="center"/>
    </xf>
    <xf numFmtId="165" fontId="9" fillId="3" borderId="9" xfId="0" applyNumberFormat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165" fontId="9" fillId="3" borderId="3" xfId="0" applyNumberFormat="1" applyFont="1" applyFill="1" applyBorder="1" applyAlignment="1">
      <alignment horizontal="center" vertical="center"/>
    </xf>
    <xf numFmtId="165" fontId="9" fillId="3" borderId="6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65" fontId="9" fillId="3" borderId="10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0" fillId="5" borderId="11" xfId="0" applyFont="1" applyFill="1" applyBorder="1" applyAlignment="1">
      <alignment horizontal="left" vertical="center"/>
    </xf>
    <xf numFmtId="166" fontId="7" fillId="5" borderId="7" xfId="0" applyNumberFormat="1" applyFont="1" applyFill="1" applyBorder="1" applyAlignment="1">
      <alignment horizontal="left" vertical="center"/>
    </xf>
    <xf numFmtId="4" fontId="0" fillId="0" borderId="0" xfId="0" applyNumberFormat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11" fillId="0" borderId="0" xfId="0" applyFont="1"/>
    <xf numFmtId="169" fontId="9" fillId="2" borderId="10" xfId="0" applyNumberFormat="1" applyFont="1" applyFill="1" applyBorder="1" applyAlignment="1">
      <alignment horizontal="center"/>
    </xf>
    <xf numFmtId="164" fontId="9" fillId="2" borderId="9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9" fillId="2" borderId="10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169" fontId="0" fillId="4" borderId="10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166" fontId="0" fillId="4" borderId="9" xfId="0" applyNumberFormat="1" applyFill="1" applyBorder="1" applyAlignment="1">
      <alignment horizontal="center" vertical="center"/>
    </xf>
    <xf numFmtId="166" fontId="0" fillId="4" borderId="8" xfId="0" quotePrefix="1" applyNumberFormat="1" applyFill="1" applyBorder="1" applyAlignment="1">
      <alignment horizontal="center" vertical="center"/>
    </xf>
    <xf numFmtId="166" fontId="9" fillId="2" borderId="10" xfId="0" applyNumberFormat="1" applyFont="1" applyFill="1" applyBorder="1" applyAlignment="1">
      <alignment horizontal="center" vertical="center"/>
    </xf>
    <xf numFmtId="166" fontId="9" fillId="2" borderId="9" xfId="0" applyNumberFormat="1" applyFont="1" applyFill="1" applyBorder="1" applyAlignment="1">
      <alignment horizontal="center" vertical="center"/>
    </xf>
    <xf numFmtId="166" fontId="9" fillId="2" borderId="8" xfId="0" applyNumberFormat="1" applyFont="1" applyFill="1" applyBorder="1" applyAlignment="1">
      <alignment horizontal="center" vertical="center"/>
    </xf>
    <xf numFmtId="169" fontId="9" fillId="2" borderId="6" xfId="0" applyNumberFormat="1" applyFont="1" applyFill="1" applyBorder="1" applyAlignment="1">
      <alignment horizontal="center"/>
    </xf>
    <xf numFmtId="164" fontId="9" fillId="2" borderId="0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169" fontId="0" fillId="4" borderId="6" xfId="0" applyNumberFormat="1" applyFill="1" applyBorder="1" applyAlignment="1">
      <alignment horizontal="center" vertical="center"/>
    </xf>
    <xf numFmtId="164" fontId="0" fillId="4" borderId="0" xfId="0" applyNumberFormat="1" applyFill="1" applyBorder="1" applyAlignment="1">
      <alignment horizontal="center" vertical="center"/>
    </xf>
    <xf numFmtId="3" fontId="0" fillId="4" borderId="0" xfId="0" applyNumberForma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166" fontId="0" fillId="4" borderId="0" xfId="0" applyNumberFormat="1" applyFill="1" applyBorder="1" applyAlignment="1">
      <alignment horizontal="center" vertical="center"/>
    </xf>
    <xf numFmtId="166" fontId="0" fillId="4" borderId="4" xfId="0" quotePrefix="1" applyNumberFormat="1" applyFill="1" applyBorder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/>
    </xf>
    <xf numFmtId="166" fontId="9" fillId="2" borderId="0" xfId="0" applyNumberFormat="1" applyFont="1" applyFill="1" applyBorder="1" applyAlignment="1">
      <alignment horizontal="center" vertical="center"/>
    </xf>
    <xf numFmtId="166" fontId="9" fillId="2" borderId="4" xfId="0" applyNumberFormat="1" applyFont="1" applyFill="1" applyBorder="1" applyAlignment="1">
      <alignment horizontal="center" vertical="center"/>
    </xf>
    <xf numFmtId="169" fontId="9" fillId="2" borderId="3" xfId="0" applyNumberFormat="1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69" fontId="0" fillId="4" borderId="3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166" fontId="0" fillId="4" borderId="2" xfId="0" applyNumberFormat="1" applyFill="1" applyBorder="1" applyAlignment="1">
      <alignment horizontal="center" vertical="center"/>
    </xf>
    <xf numFmtId="166" fontId="0" fillId="4" borderId="1" xfId="0" quotePrefix="1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9" fillId="2" borderId="3" xfId="0" applyNumberFormat="1" applyFont="1" applyFill="1" applyBorder="1" applyAlignment="1">
      <alignment horizontal="center" vertical="center"/>
    </xf>
    <xf numFmtId="166" fontId="9" fillId="2" borderId="2" xfId="0" applyNumberFormat="1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164" fontId="0" fillId="0" borderId="0" xfId="0" applyNumberFormat="1"/>
    <xf numFmtId="165" fontId="9" fillId="2" borderId="9" xfId="0" applyNumberFormat="1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165" fontId="9" fillId="2" borderId="6" xfId="0" applyNumberFormat="1" applyFont="1" applyFill="1" applyBorder="1" applyAlignment="1">
      <alignment horizontal="center" vertical="center"/>
    </xf>
    <xf numFmtId="165" fontId="9" fillId="2" borderId="2" xfId="0" applyNumberFormat="1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" fillId="0" borderId="0" xfId="0" applyFont="1" applyAlignment="1">
      <alignment horizontal="center" vertical="center"/>
    </xf>
    <xf numFmtId="15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Border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2" borderId="23" xfId="0" applyFill="1" applyBorder="1"/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/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3">
    <cellStyle name="Comma [0] 5" xfId="2"/>
    <cellStyle name="Normal" xfId="0" builtinId="0"/>
    <cellStyle name="標準_Input_OutPut20060417" xfId="1"/>
  </cellStyles>
  <dxfs count="0"/>
  <tableStyles count="0" defaultTableStyle="TableStyleMedium2" defaultPivotStyle="PivotStyleLight16"/>
  <colors>
    <mruColors>
      <color rgb="FF0000FF"/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EUR Forward Rates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CHART!$F$2</c:f>
              <c:strCache>
                <c:ptCount val="1"/>
                <c:pt idx="0">
                  <c:v>EUROIS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CHART!$E$3:$E$93</c:f>
              <c:numCache>
                <c:formatCode>d\-mmm\-yy</c:formatCode>
                <c:ptCount val="91"/>
                <c:pt idx="0">
                  <c:v>43987</c:v>
                </c:pt>
                <c:pt idx="1">
                  <c:v>44081</c:v>
                </c:pt>
                <c:pt idx="2">
                  <c:v>44172</c:v>
                </c:pt>
                <c:pt idx="3">
                  <c:v>44260</c:v>
                </c:pt>
                <c:pt idx="4">
                  <c:v>44354</c:v>
                </c:pt>
                <c:pt idx="5">
                  <c:v>44445</c:v>
                </c:pt>
                <c:pt idx="6">
                  <c:v>44536</c:v>
                </c:pt>
                <c:pt idx="7">
                  <c:v>44627</c:v>
                </c:pt>
                <c:pt idx="8">
                  <c:v>44718</c:v>
                </c:pt>
                <c:pt idx="9">
                  <c:v>44809</c:v>
                </c:pt>
                <c:pt idx="10">
                  <c:v>44900</c:v>
                </c:pt>
                <c:pt idx="11">
                  <c:v>44991</c:v>
                </c:pt>
                <c:pt idx="12">
                  <c:v>45082</c:v>
                </c:pt>
                <c:pt idx="13">
                  <c:v>45174</c:v>
                </c:pt>
                <c:pt idx="14">
                  <c:v>45265</c:v>
                </c:pt>
                <c:pt idx="15">
                  <c:v>45356</c:v>
                </c:pt>
                <c:pt idx="16">
                  <c:v>45448</c:v>
                </c:pt>
                <c:pt idx="17">
                  <c:v>45540</c:v>
                </c:pt>
                <c:pt idx="18">
                  <c:v>45631</c:v>
                </c:pt>
                <c:pt idx="19">
                  <c:v>45721</c:v>
                </c:pt>
                <c:pt idx="20">
                  <c:v>45813</c:v>
                </c:pt>
                <c:pt idx="21">
                  <c:v>45905</c:v>
                </c:pt>
                <c:pt idx="22">
                  <c:v>45996</c:v>
                </c:pt>
                <c:pt idx="23">
                  <c:v>46086</c:v>
                </c:pt>
                <c:pt idx="24">
                  <c:v>46178</c:v>
                </c:pt>
                <c:pt idx="25">
                  <c:v>46272</c:v>
                </c:pt>
                <c:pt idx="26">
                  <c:v>46363</c:v>
                </c:pt>
                <c:pt idx="27">
                  <c:v>46451</c:v>
                </c:pt>
                <c:pt idx="28">
                  <c:v>46545</c:v>
                </c:pt>
                <c:pt idx="29">
                  <c:v>46636</c:v>
                </c:pt>
                <c:pt idx="30">
                  <c:v>46727</c:v>
                </c:pt>
                <c:pt idx="31">
                  <c:v>46818</c:v>
                </c:pt>
                <c:pt idx="32">
                  <c:v>46909</c:v>
                </c:pt>
                <c:pt idx="33">
                  <c:v>47001</c:v>
                </c:pt>
                <c:pt idx="34">
                  <c:v>47092</c:v>
                </c:pt>
                <c:pt idx="35">
                  <c:v>47182</c:v>
                </c:pt>
                <c:pt idx="36">
                  <c:v>47274</c:v>
                </c:pt>
                <c:pt idx="37">
                  <c:v>47366</c:v>
                </c:pt>
                <c:pt idx="38">
                  <c:v>47457</c:v>
                </c:pt>
                <c:pt idx="39">
                  <c:v>47547</c:v>
                </c:pt>
                <c:pt idx="40">
                  <c:v>47639</c:v>
                </c:pt>
                <c:pt idx="41">
                  <c:v>47731</c:v>
                </c:pt>
                <c:pt idx="42">
                  <c:v>47822</c:v>
                </c:pt>
                <c:pt idx="43">
                  <c:v>47912</c:v>
                </c:pt>
                <c:pt idx="44">
                  <c:v>48004</c:v>
                </c:pt>
                <c:pt idx="45">
                  <c:v>48096</c:v>
                </c:pt>
                <c:pt idx="46">
                  <c:v>48187</c:v>
                </c:pt>
                <c:pt idx="47">
                  <c:v>48278</c:v>
                </c:pt>
                <c:pt idx="48">
                  <c:v>48372</c:v>
                </c:pt>
                <c:pt idx="49">
                  <c:v>48463</c:v>
                </c:pt>
                <c:pt idx="50">
                  <c:v>48554</c:v>
                </c:pt>
                <c:pt idx="51">
                  <c:v>48645</c:v>
                </c:pt>
                <c:pt idx="52">
                  <c:v>48736</c:v>
                </c:pt>
                <c:pt idx="53">
                  <c:v>48827</c:v>
                </c:pt>
                <c:pt idx="54">
                  <c:v>48918</c:v>
                </c:pt>
                <c:pt idx="55">
                  <c:v>49009</c:v>
                </c:pt>
                <c:pt idx="56">
                  <c:v>49100</c:v>
                </c:pt>
                <c:pt idx="57">
                  <c:v>49192</c:v>
                </c:pt>
                <c:pt idx="58">
                  <c:v>49283</c:v>
                </c:pt>
                <c:pt idx="59">
                  <c:v>49373</c:v>
                </c:pt>
                <c:pt idx="60">
                  <c:v>49465</c:v>
                </c:pt>
                <c:pt idx="61">
                  <c:v>49557</c:v>
                </c:pt>
                <c:pt idx="62">
                  <c:v>49648</c:v>
                </c:pt>
                <c:pt idx="63">
                  <c:v>49739</c:v>
                </c:pt>
                <c:pt idx="64">
                  <c:v>49831</c:v>
                </c:pt>
                <c:pt idx="65">
                  <c:v>49923</c:v>
                </c:pt>
                <c:pt idx="66">
                  <c:v>50014</c:v>
                </c:pt>
                <c:pt idx="67">
                  <c:v>50104</c:v>
                </c:pt>
                <c:pt idx="68">
                  <c:v>50196</c:v>
                </c:pt>
                <c:pt idx="69">
                  <c:v>50290</c:v>
                </c:pt>
                <c:pt idx="70">
                  <c:v>50381</c:v>
                </c:pt>
                <c:pt idx="71">
                  <c:v>50469</c:v>
                </c:pt>
                <c:pt idx="72">
                  <c:v>50563</c:v>
                </c:pt>
                <c:pt idx="73">
                  <c:v>50654</c:v>
                </c:pt>
                <c:pt idx="74">
                  <c:v>50745</c:v>
                </c:pt>
                <c:pt idx="75">
                  <c:v>50836</c:v>
                </c:pt>
                <c:pt idx="76">
                  <c:v>50927</c:v>
                </c:pt>
                <c:pt idx="77">
                  <c:v>51018</c:v>
                </c:pt>
                <c:pt idx="78">
                  <c:v>51109</c:v>
                </c:pt>
                <c:pt idx="79">
                  <c:v>51200</c:v>
                </c:pt>
                <c:pt idx="80">
                  <c:v>51292</c:v>
                </c:pt>
                <c:pt idx="81">
                  <c:v>51384</c:v>
                </c:pt>
                <c:pt idx="82">
                  <c:v>51475</c:v>
                </c:pt>
                <c:pt idx="83">
                  <c:v>51565</c:v>
                </c:pt>
                <c:pt idx="84">
                  <c:v>51657</c:v>
                </c:pt>
                <c:pt idx="85">
                  <c:v>51749</c:v>
                </c:pt>
                <c:pt idx="86">
                  <c:v>51840</c:v>
                </c:pt>
                <c:pt idx="87">
                  <c:v>51930</c:v>
                </c:pt>
                <c:pt idx="88">
                  <c:v>52022</c:v>
                </c:pt>
                <c:pt idx="89">
                  <c:v>52114</c:v>
                </c:pt>
                <c:pt idx="90">
                  <c:v>52205</c:v>
                </c:pt>
              </c:numCache>
            </c:numRef>
          </c:cat>
          <c:val>
            <c:numRef>
              <c:f>CHART!$F$3:$F$93</c:f>
              <c:numCache>
                <c:formatCode>0.00000%</c:formatCode>
                <c:ptCount val="91"/>
                <c:pt idx="0">
                  <c:v>-4.5800000000006946E-3</c:v>
                </c:pt>
                <c:pt idx="1">
                  <c:v>-4.6400000000623885E-3</c:v>
                </c:pt>
                <c:pt idx="2">
                  <c:v>-4.839999999863666E-3</c:v>
                </c:pt>
                <c:pt idx="3">
                  <c:v>-4.9101061654032796E-3</c:v>
                </c:pt>
                <c:pt idx="4">
                  <c:v>-4.9536122623816854E-3</c:v>
                </c:pt>
                <c:pt idx="5">
                  <c:v>-4.960127047213287E-3</c:v>
                </c:pt>
                <c:pt idx="6">
                  <c:v>-4.9319733613506674E-3</c:v>
                </c:pt>
                <c:pt idx="7">
                  <c:v>-4.8700632540699292E-3</c:v>
                </c:pt>
                <c:pt idx="8">
                  <c:v>-4.775315147309573E-3</c:v>
                </c:pt>
                <c:pt idx="9">
                  <c:v>-4.6486445570526223E-3</c:v>
                </c:pt>
                <c:pt idx="10">
                  <c:v>-4.4909530853321101E-3</c:v>
                </c:pt>
                <c:pt idx="11">
                  <c:v>-4.3032058604852864E-3</c:v>
                </c:pt>
                <c:pt idx="12">
                  <c:v>-4.0861315166251947E-3</c:v>
                </c:pt>
                <c:pt idx="13">
                  <c:v>-3.8506260304727175E-3</c:v>
                </c:pt>
                <c:pt idx="14">
                  <c:v>-3.6214323890870889E-3</c:v>
                </c:pt>
                <c:pt idx="15">
                  <c:v>-3.4050188251377855E-3</c:v>
                </c:pt>
                <c:pt idx="16">
                  <c:v>-3.2083481531102989E-3</c:v>
                </c:pt>
                <c:pt idx="17">
                  <c:v>-3.0169715124155829E-3</c:v>
                </c:pt>
                <c:pt idx="18">
                  <c:v>-2.8040259837243176E-3</c:v>
                </c:pt>
                <c:pt idx="19">
                  <c:v>-2.5660800819422998E-3</c:v>
                </c:pt>
                <c:pt idx="20">
                  <c:v>-2.2907508141575021E-3</c:v>
                </c:pt>
                <c:pt idx="21">
                  <c:v>-1.9932815630462459E-3</c:v>
                </c:pt>
                <c:pt idx="22">
                  <c:v>-1.7034181562492893E-3</c:v>
                </c:pt>
                <c:pt idx="23">
                  <c:v>-1.4240920791011131E-3</c:v>
                </c:pt>
                <c:pt idx="24">
                  <c:v>-1.1395306057160974E-3</c:v>
                </c:pt>
                <c:pt idx="25">
                  <c:v>-8.6533830193427901E-4</c:v>
                </c:pt>
                <c:pt idx="26">
                  <c:v>-6.0981706668340925E-4</c:v>
                </c:pt>
                <c:pt idx="27">
                  <c:v>-3.7485467210272372E-4</c:v>
                </c:pt>
                <c:pt idx="28">
                  <c:v>-1.4817917704854536E-4</c:v>
                </c:pt>
                <c:pt idx="29">
                  <c:v>7.3830283486854125E-5</c:v>
                </c:pt>
                <c:pt idx="30">
                  <c:v>3.1992730049163468E-4</c:v>
                </c:pt>
                <c:pt idx="31">
                  <c:v>5.9342476708588976E-4</c:v>
                </c:pt>
                <c:pt idx="32">
                  <c:v>8.9760648937663515E-4</c:v>
                </c:pt>
                <c:pt idx="33">
                  <c:v>1.2141368331517789E-3</c:v>
                </c:pt>
                <c:pt idx="34">
                  <c:v>1.507075828772506E-3</c:v>
                </c:pt>
                <c:pt idx="35">
                  <c:v>1.7737504995982147E-3</c:v>
                </c:pt>
                <c:pt idx="36">
                  <c:v>2.0194465449484321E-3</c:v>
                </c:pt>
                <c:pt idx="37">
                  <c:v>2.2377532718028501E-3</c:v>
                </c:pt>
                <c:pt idx="38">
                  <c:v>2.4276132114127804E-3</c:v>
                </c:pt>
                <c:pt idx="39">
                  <c:v>2.5875266136928094E-3</c:v>
                </c:pt>
                <c:pt idx="40">
                  <c:v>2.7197290964138445E-3</c:v>
                </c:pt>
                <c:pt idx="41">
                  <c:v>2.8497207300310899E-3</c:v>
                </c:pt>
                <c:pt idx="42">
                  <c:v>3.0151672366877237E-3</c:v>
                </c:pt>
                <c:pt idx="43">
                  <c:v>3.2191415550035804E-3</c:v>
                </c:pt>
                <c:pt idx="44">
                  <c:v>3.4734141197651069E-3</c:v>
                </c:pt>
                <c:pt idx="45">
                  <c:v>3.7374663320213124E-3</c:v>
                </c:pt>
                <c:pt idx="46">
                  <c:v>3.9528314385955318E-3</c:v>
                </c:pt>
                <c:pt idx="47">
                  <c:v>4.1215392902851488E-3</c:v>
                </c:pt>
                <c:pt idx="48">
                  <c:v>4.2416486208189975E-3</c:v>
                </c:pt>
                <c:pt idx="49">
                  <c:v>4.3260831102991289E-3</c:v>
                </c:pt>
                <c:pt idx="50">
                  <c:v>4.3995459306088889E-3</c:v>
                </c:pt>
                <c:pt idx="51">
                  <c:v>4.4619072085076671E-3</c:v>
                </c:pt>
                <c:pt idx="52">
                  <c:v>4.5129116516566424E-3</c:v>
                </c:pt>
                <c:pt idx="53">
                  <c:v>4.5523375207061172E-3</c:v>
                </c:pt>
                <c:pt idx="54">
                  <c:v>4.5799537853441407E-3</c:v>
                </c:pt>
                <c:pt idx="55">
                  <c:v>4.5955319122896222E-3</c:v>
                </c:pt>
                <c:pt idx="56">
                  <c:v>4.5988418925794776E-3</c:v>
                </c:pt>
                <c:pt idx="57">
                  <c:v>4.5894836599935625E-3</c:v>
                </c:pt>
                <c:pt idx="58">
                  <c:v>4.5674293691170898E-3</c:v>
                </c:pt>
                <c:pt idx="59">
                  <c:v>4.5328760953548672E-3</c:v>
                </c:pt>
                <c:pt idx="60">
                  <c:v>4.4842145845340395E-3</c:v>
                </c:pt>
                <c:pt idx="61">
                  <c:v>4.4255310869527349E-3</c:v>
                </c:pt>
                <c:pt idx="62">
                  <c:v>4.36225174222858E-3</c:v>
                </c:pt>
                <c:pt idx="63">
                  <c:v>4.2940969818332456E-3</c:v>
                </c:pt>
                <c:pt idx="64">
                  <c:v>4.2205388767089643E-3</c:v>
                </c:pt>
                <c:pt idx="65">
                  <c:v>4.1417890469282147E-3</c:v>
                </c:pt>
                <c:pt idx="66">
                  <c:v>4.0606698837033581E-3</c:v>
                </c:pt>
                <c:pt idx="67">
                  <c:v>3.9777388596570554E-3</c:v>
                </c:pt>
                <c:pt idx="68">
                  <c:v>3.8877250912430208E-3</c:v>
                </c:pt>
                <c:pt idx="69">
                  <c:v>3.7944221477618002E-3</c:v>
                </c:pt>
                <c:pt idx="70">
                  <c:v>3.7003721300728049E-3</c:v>
                </c:pt>
                <c:pt idx="71">
                  <c:v>3.6060412473661704E-3</c:v>
                </c:pt>
                <c:pt idx="72">
                  <c:v>3.5051850096817633E-3</c:v>
                </c:pt>
                <c:pt idx="73">
                  <c:v>3.4046481794652657E-3</c:v>
                </c:pt>
                <c:pt idx="74">
                  <c:v>3.3025487655818221E-3</c:v>
                </c:pt>
                <c:pt idx="75">
                  <c:v>3.1991863890797963E-3</c:v>
                </c:pt>
                <c:pt idx="76">
                  <c:v>3.094862518341731E-3</c:v>
                </c:pt>
                <c:pt idx="77">
                  <c:v>2.9898758683242843E-3</c:v>
                </c:pt>
                <c:pt idx="78">
                  <c:v>2.8845266819935217E-3</c:v>
                </c:pt>
                <c:pt idx="79">
                  <c:v>2.7791138620805282E-3</c:v>
                </c:pt>
                <c:pt idx="80">
                  <c:v>2.6727892259450084E-3</c:v>
                </c:pt>
                <c:pt idx="81">
                  <c:v>2.5653239240043938E-3</c:v>
                </c:pt>
                <c:pt idx="82">
                  <c:v>2.4560157697196203E-3</c:v>
                </c:pt>
                <c:pt idx="83">
                  <c:v>2.34506643743806E-3</c:v>
                </c:pt>
                <c:pt idx="84">
                  <c:v>2.2288494933697333E-3</c:v>
                </c:pt>
                <c:pt idx="85">
                  <c:v>2.1099193236545494E-3</c:v>
                </c:pt>
                <c:pt idx="86">
                  <c:v>1.9897313072379697E-3</c:v>
                </c:pt>
                <c:pt idx="87">
                  <c:v>1.8684840317382413E-3</c:v>
                </c:pt>
                <c:pt idx="88">
                  <c:v>1.7422139343178946E-3</c:v>
                </c:pt>
                <c:pt idx="89">
                  <c:v>1.6123085412634659E-3</c:v>
                </c:pt>
                <c:pt idx="90">
                  <c:v>1.4830990234316621E-3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2-4379-9F53-3342C1A906EB}"/>
            </c:ext>
          </c:extLst>
        </c:ser>
        <c:ser>
          <c:idx val="1"/>
          <c:order val="1"/>
          <c:tx>
            <c:strRef>
              <c:f>CHART!$G$2</c:f>
              <c:strCache>
                <c:ptCount val="1"/>
                <c:pt idx="0">
                  <c:v>EUR1ML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CHART!$E$3:$E$93</c:f>
              <c:numCache>
                <c:formatCode>d\-mmm\-yy</c:formatCode>
                <c:ptCount val="91"/>
                <c:pt idx="0">
                  <c:v>43987</c:v>
                </c:pt>
                <c:pt idx="1">
                  <c:v>44081</c:v>
                </c:pt>
                <c:pt idx="2">
                  <c:v>44172</c:v>
                </c:pt>
                <c:pt idx="3">
                  <c:v>44260</c:v>
                </c:pt>
                <c:pt idx="4">
                  <c:v>44354</c:v>
                </c:pt>
                <c:pt idx="5">
                  <c:v>44445</c:v>
                </c:pt>
                <c:pt idx="6">
                  <c:v>44536</c:v>
                </c:pt>
                <c:pt idx="7">
                  <c:v>44627</c:v>
                </c:pt>
                <c:pt idx="8">
                  <c:v>44718</c:v>
                </c:pt>
                <c:pt idx="9">
                  <c:v>44809</c:v>
                </c:pt>
                <c:pt idx="10">
                  <c:v>44900</c:v>
                </c:pt>
                <c:pt idx="11">
                  <c:v>44991</c:v>
                </c:pt>
                <c:pt idx="12">
                  <c:v>45082</c:v>
                </c:pt>
                <c:pt idx="13">
                  <c:v>45174</c:v>
                </c:pt>
                <c:pt idx="14">
                  <c:v>45265</c:v>
                </c:pt>
                <c:pt idx="15">
                  <c:v>45356</c:v>
                </c:pt>
                <c:pt idx="16">
                  <c:v>45448</c:v>
                </c:pt>
                <c:pt idx="17">
                  <c:v>45540</c:v>
                </c:pt>
                <c:pt idx="18">
                  <c:v>45631</c:v>
                </c:pt>
                <c:pt idx="19">
                  <c:v>45721</c:v>
                </c:pt>
                <c:pt idx="20">
                  <c:v>45813</c:v>
                </c:pt>
                <c:pt idx="21">
                  <c:v>45905</c:v>
                </c:pt>
                <c:pt idx="22">
                  <c:v>45996</c:v>
                </c:pt>
                <c:pt idx="23">
                  <c:v>46086</c:v>
                </c:pt>
                <c:pt idx="24">
                  <c:v>46178</c:v>
                </c:pt>
                <c:pt idx="25">
                  <c:v>46272</c:v>
                </c:pt>
                <c:pt idx="26">
                  <c:v>46363</c:v>
                </c:pt>
                <c:pt idx="27">
                  <c:v>46451</c:v>
                </c:pt>
                <c:pt idx="28">
                  <c:v>46545</c:v>
                </c:pt>
                <c:pt idx="29">
                  <c:v>46636</c:v>
                </c:pt>
                <c:pt idx="30">
                  <c:v>46727</c:v>
                </c:pt>
                <c:pt idx="31">
                  <c:v>46818</c:v>
                </c:pt>
                <c:pt idx="32">
                  <c:v>46909</c:v>
                </c:pt>
                <c:pt idx="33">
                  <c:v>47001</c:v>
                </c:pt>
                <c:pt idx="34">
                  <c:v>47092</c:v>
                </c:pt>
                <c:pt idx="35">
                  <c:v>47182</c:v>
                </c:pt>
                <c:pt idx="36">
                  <c:v>47274</c:v>
                </c:pt>
                <c:pt idx="37">
                  <c:v>47366</c:v>
                </c:pt>
                <c:pt idx="38">
                  <c:v>47457</c:v>
                </c:pt>
                <c:pt idx="39">
                  <c:v>47547</c:v>
                </c:pt>
                <c:pt idx="40">
                  <c:v>47639</c:v>
                </c:pt>
                <c:pt idx="41">
                  <c:v>47731</c:v>
                </c:pt>
                <c:pt idx="42">
                  <c:v>47822</c:v>
                </c:pt>
                <c:pt idx="43">
                  <c:v>47912</c:v>
                </c:pt>
                <c:pt idx="44">
                  <c:v>48004</c:v>
                </c:pt>
                <c:pt idx="45">
                  <c:v>48096</c:v>
                </c:pt>
                <c:pt idx="46">
                  <c:v>48187</c:v>
                </c:pt>
                <c:pt idx="47">
                  <c:v>48278</c:v>
                </c:pt>
                <c:pt idx="48">
                  <c:v>48372</c:v>
                </c:pt>
                <c:pt idx="49">
                  <c:v>48463</c:v>
                </c:pt>
                <c:pt idx="50">
                  <c:v>48554</c:v>
                </c:pt>
                <c:pt idx="51">
                  <c:v>48645</c:v>
                </c:pt>
                <c:pt idx="52">
                  <c:v>48736</c:v>
                </c:pt>
                <c:pt idx="53">
                  <c:v>48827</c:v>
                </c:pt>
                <c:pt idx="54">
                  <c:v>48918</c:v>
                </c:pt>
                <c:pt idx="55">
                  <c:v>49009</c:v>
                </c:pt>
                <c:pt idx="56">
                  <c:v>49100</c:v>
                </c:pt>
                <c:pt idx="57">
                  <c:v>49192</c:v>
                </c:pt>
                <c:pt idx="58">
                  <c:v>49283</c:v>
                </c:pt>
                <c:pt idx="59">
                  <c:v>49373</c:v>
                </c:pt>
                <c:pt idx="60">
                  <c:v>49465</c:v>
                </c:pt>
                <c:pt idx="61">
                  <c:v>49557</c:v>
                </c:pt>
                <c:pt idx="62">
                  <c:v>49648</c:v>
                </c:pt>
                <c:pt idx="63">
                  <c:v>49739</c:v>
                </c:pt>
                <c:pt idx="64">
                  <c:v>49831</c:v>
                </c:pt>
                <c:pt idx="65">
                  <c:v>49923</c:v>
                </c:pt>
                <c:pt idx="66">
                  <c:v>50014</c:v>
                </c:pt>
                <c:pt idx="67">
                  <c:v>50104</c:v>
                </c:pt>
                <c:pt idx="68">
                  <c:v>50196</c:v>
                </c:pt>
                <c:pt idx="69">
                  <c:v>50290</c:v>
                </c:pt>
                <c:pt idx="70">
                  <c:v>50381</c:v>
                </c:pt>
                <c:pt idx="71">
                  <c:v>50469</c:v>
                </c:pt>
                <c:pt idx="72">
                  <c:v>50563</c:v>
                </c:pt>
                <c:pt idx="73">
                  <c:v>50654</c:v>
                </c:pt>
                <c:pt idx="74">
                  <c:v>50745</c:v>
                </c:pt>
                <c:pt idx="75">
                  <c:v>50836</c:v>
                </c:pt>
                <c:pt idx="76">
                  <c:v>50927</c:v>
                </c:pt>
                <c:pt idx="77">
                  <c:v>51018</c:v>
                </c:pt>
                <c:pt idx="78">
                  <c:v>51109</c:v>
                </c:pt>
                <c:pt idx="79">
                  <c:v>51200</c:v>
                </c:pt>
                <c:pt idx="80">
                  <c:v>51292</c:v>
                </c:pt>
                <c:pt idx="81">
                  <c:v>51384</c:v>
                </c:pt>
                <c:pt idx="82">
                  <c:v>51475</c:v>
                </c:pt>
                <c:pt idx="83">
                  <c:v>51565</c:v>
                </c:pt>
                <c:pt idx="84">
                  <c:v>51657</c:v>
                </c:pt>
                <c:pt idx="85">
                  <c:v>51749</c:v>
                </c:pt>
                <c:pt idx="86">
                  <c:v>51840</c:v>
                </c:pt>
                <c:pt idx="87">
                  <c:v>51930</c:v>
                </c:pt>
                <c:pt idx="88">
                  <c:v>52022</c:v>
                </c:pt>
                <c:pt idx="89">
                  <c:v>52114</c:v>
                </c:pt>
                <c:pt idx="90">
                  <c:v>52205</c:v>
                </c:pt>
              </c:numCache>
            </c:numRef>
          </c:cat>
          <c:val>
            <c:numRef>
              <c:f>CHART!$G$3:$G$93</c:f>
              <c:numCache>
                <c:formatCode>0.00000%</c:formatCode>
                <c:ptCount val="91"/>
                <c:pt idx="0">
                  <c:v>-4.3013999999987895E-3</c:v>
                </c:pt>
                <c:pt idx="1">
                  <c:v>-4.5423393416204483E-3</c:v>
                </c:pt>
                <c:pt idx="2">
                  <c:v>-4.6886661197550715E-3</c:v>
                </c:pt>
                <c:pt idx="3">
                  <c:v>-4.7156599964094841E-3</c:v>
                </c:pt>
                <c:pt idx="4">
                  <c:v>-4.6261679840272846E-3</c:v>
                </c:pt>
                <c:pt idx="5">
                  <c:v>-4.4971673334682025E-3</c:v>
                </c:pt>
                <c:pt idx="6">
                  <c:v>-4.3775358016763426E-3</c:v>
                </c:pt>
                <c:pt idx="7">
                  <c:v>-4.2650372090892157E-3</c:v>
                </c:pt>
                <c:pt idx="8">
                  <c:v>-4.1609550042504577E-3</c:v>
                </c:pt>
                <c:pt idx="9">
                  <c:v>-4.0447121372394592E-3</c:v>
                </c:pt>
                <c:pt idx="10">
                  <c:v>-3.9035048098516466E-3</c:v>
                </c:pt>
                <c:pt idx="11">
                  <c:v>-3.7357195048505262E-3</c:v>
                </c:pt>
                <c:pt idx="12">
                  <c:v>-3.5471589319816818E-3</c:v>
                </c:pt>
                <c:pt idx="13">
                  <c:v>-3.3422183236686276E-3</c:v>
                </c:pt>
                <c:pt idx="14">
                  <c:v>-3.1316273519610602E-3</c:v>
                </c:pt>
                <c:pt idx="15">
                  <c:v>-2.9156647270125076E-3</c:v>
                </c:pt>
                <c:pt idx="16">
                  <c:v>-2.6920779659334758E-3</c:v>
                </c:pt>
                <c:pt idx="17">
                  <c:v>-2.4590274093687324E-3</c:v>
                </c:pt>
                <c:pt idx="18">
                  <c:v>-2.2164603942527632E-3</c:v>
                </c:pt>
                <c:pt idx="19">
                  <c:v>-1.9675941587330736E-3</c:v>
                </c:pt>
                <c:pt idx="20">
                  <c:v>-1.7035619559109751E-3</c:v>
                </c:pt>
                <c:pt idx="21">
                  <c:v>-1.4303432973217145E-3</c:v>
                </c:pt>
                <c:pt idx="22">
                  <c:v>-1.1518586009367524E-3</c:v>
                </c:pt>
                <c:pt idx="23">
                  <c:v>-8.7150962518528095E-4</c:v>
                </c:pt>
                <c:pt idx="24">
                  <c:v>-5.7896665238639663E-4</c:v>
                </c:pt>
                <c:pt idx="25">
                  <c:v>-2.8971350782609518E-4</c:v>
                </c:pt>
                <c:pt idx="26">
                  <c:v>-2.6855178099185999E-5</c:v>
                </c:pt>
                <c:pt idx="27">
                  <c:v>2.0069950213334785E-4</c:v>
                </c:pt>
                <c:pt idx="28">
                  <c:v>4.25778946845571E-4</c:v>
                </c:pt>
                <c:pt idx="29">
                  <c:v>6.5877432201414548E-4</c:v>
                </c:pt>
                <c:pt idx="30">
                  <c:v>9.2074875942615899E-4</c:v>
                </c:pt>
                <c:pt idx="31">
                  <c:v>1.2143464015242321E-3</c:v>
                </c:pt>
                <c:pt idx="32">
                  <c:v>1.5371123647943377E-3</c:v>
                </c:pt>
                <c:pt idx="33">
                  <c:v>1.8543799786068806E-3</c:v>
                </c:pt>
                <c:pt idx="34">
                  <c:v>2.1355839011392452E-3</c:v>
                </c:pt>
                <c:pt idx="35">
                  <c:v>2.3782492844331405E-3</c:v>
                </c:pt>
                <c:pt idx="36">
                  <c:v>2.5920298264149417E-3</c:v>
                </c:pt>
                <c:pt idx="37">
                  <c:v>2.7793204170035698E-3</c:v>
                </c:pt>
                <c:pt idx="38">
                  <c:v>2.9455821418830448E-3</c:v>
                </c:pt>
                <c:pt idx="39">
                  <c:v>3.0898170521067333E-3</c:v>
                </c:pt>
                <c:pt idx="40">
                  <c:v>3.2181798042654084E-3</c:v>
                </c:pt>
                <c:pt idx="41">
                  <c:v>3.3624471007993625E-3</c:v>
                </c:pt>
                <c:pt idx="42">
                  <c:v>3.5462464775437739E-3</c:v>
                </c:pt>
                <c:pt idx="43">
                  <c:v>3.7661085779569694E-3</c:v>
                </c:pt>
                <c:pt idx="44">
                  <c:v>4.0289756681709333E-3</c:v>
                </c:pt>
                <c:pt idx="45">
                  <c:v>4.2791724991439028E-3</c:v>
                </c:pt>
                <c:pt idx="46">
                  <c:v>4.4800768372637396E-3</c:v>
                </c:pt>
                <c:pt idx="47">
                  <c:v>4.6325453197435858E-3</c:v>
                </c:pt>
                <c:pt idx="48">
                  <c:v>4.7406544074485822E-3</c:v>
                </c:pt>
                <c:pt idx="49">
                  <c:v>4.8205857492781288E-3</c:v>
                </c:pt>
                <c:pt idx="50">
                  <c:v>4.8872474442200799E-3</c:v>
                </c:pt>
                <c:pt idx="51">
                  <c:v>4.9419824402262861E-3</c:v>
                </c:pt>
                <c:pt idx="52">
                  <c:v>4.9839296908310328E-3</c:v>
                </c:pt>
                <c:pt idx="53">
                  <c:v>5.0136669833305697E-3</c:v>
                </c:pt>
                <c:pt idx="54">
                  <c:v>5.0313552217620778E-3</c:v>
                </c:pt>
                <c:pt idx="55">
                  <c:v>5.03684647241212E-3</c:v>
                </c:pt>
                <c:pt idx="56">
                  <c:v>5.0299812356242026E-3</c:v>
                </c:pt>
                <c:pt idx="57">
                  <c:v>5.0106828448889676E-3</c:v>
                </c:pt>
                <c:pt idx="58">
                  <c:v>4.9791110798660717E-3</c:v>
                </c:pt>
                <c:pt idx="59">
                  <c:v>4.9359618843585126E-3</c:v>
                </c:pt>
                <c:pt idx="60">
                  <c:v>4.8795800938391965E-3</c:v>
                </c:pt>
                <c:pt idx="61">
                  <c:v>4.8165739145656318E-3</c:v>
                </c:pt>
                <c:pt idx="62">
                  <c:v>4.7514148954524498E-3</c:v>
                </c:pt>
                <c:pt idx="63">
                  <c:v>4.683912206023353E-3</c:v>
                </c:pt>
                <c:pt idx="64">
                  <c:v>4.6133518534439352E-3</c:v>
                </c:pt>
                <c:pt idx="65">
                  <c:v>4.5399403956394267E-3</c:v>
                </c:pt>
                <c:pt idx="66">
                  <c:v>4.4644070957680533E-3</c:v>
                </c:pt>
                <c:pt idx="67">
                  <c:v>4.3876397580859096E-3</c:v>
                </c:pt>
                <c:pt idx="68">
                  <c:v>4.3067471156326698E-3</c:v>
                </c:pt>
                <c:pt idx="69">
                  <c:v>4.2211610744043674E-3</c:v>
                </c:pt>
                <c:pt idx="70">
                  <c:v>4.1344244336807201E-3</c:v>
                </c:pt>
                <c:pt idx="71">
                  <c:v>4.0504182040179944E-3</c:v>
                </c:pt>
                <c:pt idx="72">
                  <c:v>3.957252670587167E-3</c:v>
                </c:pt>
                <c:pt idx="73">
                  <c:v>3.8632433111456844E-3</c:v>
                </c:pt>
                <c:pt idx="74">
                  <c:v>3.7677033740748686E-3</c:v>
                </c:pt>
                <c:pt idx="75">
                  <c:v>3.6685164088253765E-3</c:v>
                </c:pt>
                <c:pt idx="76">
                  <c:v>3.5687523311685771E-3</c:v>
                </c:pt>
                <c:pt idx="77">
                  <c:v>3.4661059624614796E-3</c:v>
                </c:pt>
                <c:pt idx="78">
                  <c:v>3.3604466020674597E-3</c:v>
                </c:pt>
                <c:pt idx="79">
                  <c:v>3.2521335496318885E-3</c:v>
                </c:pt>
                <c:pt idx="80">
                  <c:v>3.1402951300795044E-3</c:v>
                </c:pt>
                <c:pt idx="81">
                  <c:v>3.0259493358958138E-3</c:v>
                </c:pt>
                <c:pt idx="82">
                  <c:v>2.9099248404418237E-3</c:v>
                </c:pt>
                <c:pt idx="83">
                  <c:v>2.7933585163540634E-3</c:v>
                </c:pt>
                <c:pt idx="84">
                  <c:v>2.6717150609293608E-3</c:v>
                </c:pt>
                <c:pt idx="85">
                  <c:v>2.5478272500730555E-3</c:v>
                </c:pt>
                <c:pt idx="86">
                  <c:v>2.4220570482395586E-3</c:v>
                </c:pt>
                <c:pt idx="87">
                  <c:v>2.2959589528681983E-3</c:v>
                </c:pt>
                <c:pt idx="88">
                  <c:v>2.1650330164434449E-3</c:v>
                </c:pt>
                <c:pt idx="89">
                  <c:v>2.0312698186409979E-3</c:v>
                </c:pt>
                <c:pt idx="90">
                  <c:v>1.8958787605078222E-3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F2-4379-9F53-3342C1A906EB}"/>
            </c:ext>
          </c:extLst>
        </c:ser>
        <c:ser>
          <c:idx val="2"/>
          <c:order val="2"/>
          <c:tx>
            <c:strRef>
              <c:f>CHART!$H$2</c:f>
              <c:strCache>
                <c:ptCount val="1"/>
                <c:pt idx="0">
                  <c:v>EUR3ML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CHART!$E$3:$E$93</c:f>
              <c:numCache>
                <c:formatCode>d\-mmm\-yy</c:formatCode>
                <c:ptCount val="91"/>
                <c:pt idx="0">
                  <c:v>43987</c:v>
                </c:pt>
                <c:pt idx="1">
                  <c:v>44081</c:v>
                </c:pt>
                <c:pt idx="2">
                  <c:v>44172</c:v>
                </c:pt>
                <c:pt idx="3">
                  <c:v>44260</c:v>
                </c:pt>
                <c:pt idx="4">
                  <c:v>44354</c:v>
                </c:pt>
                <c:pt idx="5">
                  <c:v>44445</c:v>
                </c:pt>
                <c:pt idx="6">
                  <c:v>44536</c:v>
                </c:pt>
                <c:pt idx="7">
                  <c:v>44627</c:v>
                </c:pt>
                <c:pt idx="8">
                  <c:v>44718</c:v>
                </c:pt>
                <c:pt idx="9">
                  <c:v>44809</c:v>
                </c:pt>
                <c:pt idx="10">
                  <c:v>44900</c:v>
                </c:pt>
                <c:pt idx="11">
                  <c:v>44991</c:v>
                </c:pt>
                <c:pt idx="12">
                  <c:v>45082</c:v>
                </c:pt>
                <c:pt idx="13">
                  <c:v>45174</c:v>
                </c:pt>
                <c:pt idx="14">
                  <c:v>45265</c:v>
                </c:pt>
                <c:pt idx="15">
                  <c:v>45356</c:v>
                </c:pt>
                <c:pt idx="16">
                  <c:v>45448</c:v>
                </c:pt>
                <c:pt idx="17">
                  <c:v>45540</c:v>
                </c:pt>
                <c:pt idx="18">
                  <c:v>45631</c:v>
                </c:pt>
                <c:pt idx="19">
                  <c:v>45721</c:v>
                </c:pt>
                <c:pt idx="20">
                  <c:v>45813</c:v>
                </c:pt>
                <c:pt idx="21">
                  <c:v>45905</c:v>
                </c:pt>
                <c:pt idx="22">
                  <c:v>45996</c:v>
                </c:pt>
                <c:pt idx="23">
                  <c:v>46086</c:v>
                </c:pt>
                <c:pt idx="24">
                  <c:v>46178</c:v>
                </c:pt>
                <c:pt idx="25">
                  <c:v>46272</c:v>
                </c:pt>
                <c:pt idx="26">
                  <c:v>46363</c:v>
                </c:pt>
                <c:pt idx="27">
                  <c:v>46451</c:v>
                </c:pt>
                <c:pt idx="28">
                  <c:v>46545</c:v>
                </c:pt>
                <c:pt idx="29">
                  <c:v>46636</c:v>
                </c:pt>
                <c:pt idx="30">
                  <c:v>46727</c:v>
                </c:pt>
                <c:pt idx="31">
                  <c:v>46818</c:v>
                </c:pt>
                <c:pt idx="32">
                  <c:v>46909</c:v>
                </c:pt>
                <c:pt idx="33">
                  <c:v>47001</c:v>
                </c:pt>
                <c:pt idx="34">
                  <c:v>47092</c:v>
                </c:pt>
                <c:pt idx="35">
                  <c:v>47182</c:v>
                </c:pt>
                <c:pt idx="36">
                  <c:v>47274</c:v>
                </c:pt>
                <c:pt idx="37">
                  <c:v>47366</c:v>
                </c:pt>
                <c:pt idx="38">
                  <c:v>47457</c:v>
                </c:pt>
                <c:pt idx="39">
                  <c:v>47547</c:v>
                </c:pt>
                <c:pt idx="40">
                  <c:v>47639</c:v>
                </c:pt>
                <c:pt idx="41">
                  <c:v>47731</c:v>
                </c:pt>
                <c:pt idx="42">
                  <c:v>47822</c:v>
                </c:pt>
                <c:pt idx="43">
                  <c:v>47912</c:v>
                </c:pt>
                <c:pt idx="44">
                  <c:v>48004</c:v>
                </c:pt>
                <c:pt idx="45">
                  <c:v>48096</c:v>
                </c:pt>
                <c:pt idx="46">
                  <c:v>48187</c:v>
                </c:pt>
                <c:pt idx="47">
                  <c:v>48278</c:v>
                </c:pt>
                <c:pt idx="48">
                  <c:v>48372</c:v>
                </c:pt>
                <c:pt idx="49">
                  <c:v>48463</c:v>
                </c:pt>
                <c:pt idx="50">
                  <c:v>48554</c:v>
                </c:pt>
                <c:pt idx="51">
                  <c:v>48645</c:v>
                </c:pt>
                <c:pt idx="52">
                  <c:v>48736</c:v>
                </c:pt>
                <c:pt idx="53">
                  <c:v>48827</c:v>
                </c:pt>
                <c:pt idx="54">
                  <c:v>48918</c:v>
                </c:pt>
                <c:pt idx="55">
                  <c:v>49009</c:v>
                </c:pt>
                <c:pt idx="56">
                  <c:v>49100</c:v>
                </c:pt>
                <c:pt idx="57">
                  <c:v>49192</c:v>
                </c:pt>
                <c:pt idx="58">
                  <c:v>49283</c:v>
                </c:pt>
                <c:pt idx="59">
                  <c:v>49373</c:v>
                </c:pt>
                <c:pt idx="60">
                  <c:v>49465</c:v>
                </c:pt>
                <c:pt idx="61">
                  <c:v>49557</c:v>
                </c:pt>
                <c:pt idx="62">
                  <c:v>49648</c:v>
                </c:pt>
                <c:pt idx="63">
                  <c:v>49739</c:v>
                </c:pt>
                <c:pt idx="64">
                  <c:v>49831</c:v>
                </c:pt>
                <c:pt idx="65">
                  <c:v>49923</c:v>
                </c:pt>
                <c:pt idx="66">
                  <c:v>50014</c:v>
                </c:pt>
                <c:pt idx="67">
                  <c:v>50104</c:v>
                </c:pt>
                <c:pt idx="68">
                  <c:v>50196</c:v>
                </c:pt>
                <c:pt idx="69">
                  <c:v>50290</c:v>
                </c:pt>
                <c:pt idx="70">
                  <c:v>50381</c:v>
                </c:pt>
                <c:pt idx="71">
                  <c:v>50469</c:v>
                </c:pt>
                <c:pt idx="72">
                  <c:v>50563</c:v>
                </c:pt>
                <c:pt idx="73">
                  <c:v>50654</c:v>
                </c:pt>
                <c:pt idx="74">
                  <c:v>50745</c:v>
                </c:pt>
                <c:pt idx="75">
                  <c:v>50836</c:v>
                </c:pt>
                <c:pt idx="76">
                  <c:v>50927</c:v>
                </c:pt>
                <c:pt idx="77">
                  <c:v>51018</c:v>
                </c:pt>
                <c:pt idx="78">
                  <c:v>51109</c:v>
                </c:pt>
                <c:pt idx="79">
                  <c:v>51200</c:v>
                </c:pt>
                <c:pt idx="80">
                  <c:v>51292</c:v>
                </c:pt>
                <c:pt idx="81">
                  <c:v>51384</c:v>
                </c:pt>
                <c:pt idx="82">
                  <c:v>51475</c:v>
                </c:pt>
                <c:pt idx="83">
                  <c:v>51565</c:v>
                </c:pt>
                <c:pt idx="84">
                  <c:v>51657</c:v>
                </c:pt>
                <c:pt idx="85">
                  <c:v>51749</c:v>
                </c:pt>
                <c:pt idx="86">
                  <c:v>51840</c:v>
                </c:pt>
                <c:pt idx="87">
                  <c:v>51930</c:v>
                </c:pt>
                <c:pt idx="88">
                  <c:v>52022</c:v>
                </c:pt>
                <c:pt idx="89">
                  <c:v>52114</c:v>
                </c:pt>
                <c:pt idx="90">
                  <c:v>52205</c:v>
                </c:pt>
              </c:numCache>
            </c:numRef>
          </c:cat>
          <c:val>
            <c:numRef>
              <c:f>CHART!$H$3:$H$93</c:f>
              <c:numCache>
                <c:formatCode>0.00000%</c:formatCode>
                <c:ptCount val="91"/>
                <c:pt idx="0">
                  <c:v>-3.5408892751459756E-3</c:v>
                </c:pt>
                <c:pt idx="1">
                  <c:v>-3.6868413092177327E-3</c:v>
                </c:pt>
                <c:pt idx="2">
                  <c:v>-4.0198740059105651E-3</c:v>
                </c:pt>
                <c:pt idx="3">
                  <c:v>-4.0591399324802361E-3</c:v>
                </c:pt>
                <c:pt idx="4">
                  <c:v>-4.1559140418903342E-3</c:v>
                </c:pt>
                <c:pt idx="5">
                  <c:v>-4.1277761731459079E-3</c:v>
                </c:pt>
                <c:pt idx="6">
                  <c:v>-4.0408379533037071E-3</c:v>
                </c:pt>
                <c:pt idx="7">
                  <c:v>-3.928068777917116E-3</c:v>
                </c:pt>
                <c:pt idx="8">
                  <c:v>-3.7921805541666059E-3</c:v>
                </c:pt>
                <c:pt idx="9">
                  <c:v>-3.6331061171623186E-3</c:v>
                </c:pt>
                <c:pt idx="10">
                  <c:v>-3.4502179697395749E-3</c:v>
                </c:pt>
                <c:pt idx="11">
                  <c:v>-3.2396883365831634E-3</c:v>
                </c:pt>
                <c:pt idx="12">
                  <c:v>-3.0086391420152186E-3</c:v>
                </c:pt>
                <c:pt idx="13">
                  <c:v>-2.7805468109039781E-3</c:v>
                </c:pt>
                <c:pt idx="14">
                  <c:v>-2.5560855330125109E-3</c:v>
                </c:pt>
                <c:pt idx="15">
                  <c:v>-2.3345541923627871E-3</c:v>
                </c:pt>
                <c:pt idx="16">
                  <c:v>-2.1137437615296622E-3</c:v>
                </c:pt>
                <c:pt idx="17">
                  <c:v>-1.8843144038256303E-3</c:v>
                </c:pt>
                <c:pt idx="18">
                  <c:v>-1.6428885333302139E-3</c:v>
                </c:pt>
                <c:pt idx="19">
                  <c:v>-1.3895194871873442E-3</c:v>
                </c:pt>
                <c:pt idx="20">
                  <c:v>-1.1194935867664783E-3</c:v>
                </c:pt>
                <c:pt idx="21">
                  <c:v>-8.4353860190706164E-4</c:v>
                </c:pt>
                <c:pt idx="22">
                  <c:v>-5.649308149245231E-4</c:v>
                </c:pt>
                <c:pt idx="23">
                  <c:v>-2.7877331800543346E-4</c:v>
                </c:pt>
                <c:pt idx="24">
                  <c:v>1.2810003916186929E-5</c:v>
                </c:pt>
                <c:pt idx="25">
                  <c:v>2.9262135984805117E-4</c:v>
                </c:pt>
                <c:pt idx="26">
                  <c:v>5.4266633994449077E-4</c:v>
                </c:pt>
                <c:pt idx="27">
                  <c:v>7.6859628184812077E-4</c:v>
                </c:pt>
                <c:pt idx="28">
                  <c:v>9.9437369263907067E-4</c:v>
                </c:pt>
                <c:pt idx="29">
                  <c:v>1.2337375438315271E-3</c:v>
                </c:pt>
                <c:pt idx="30">
                  <c:v>1.5059582971127777E-3</c:v>
                </c:pt>
                <c:pt idx="31">
                  <c:v>1.8115419091358188E-3</c:v>
                </c:pt>
                <c:pt idx="32">
                  <c:v>2.141009259205759E-3</c:v>
                </c:pt>
                <c:pt idx="33">
                  <c:v>2.4431737318415326E-3</c:v>
                </c:pt>
                <c:pt idx="34">
                  <c:v>2.7116612943635754E-3</c:v>
                </c:pt>
                <c:pt idx="35">
                  <c:v>2.9474389933150575E-3</c:v>
                </c:pt>
                <c:pt idx="36">
                  <c:v>3.1495395201593334E-3</c:v>
                </c:pt>
                <c:pt idx="37">
                  <c:v>3.3294222069606542E-3</c:v>
                </c:pt>
                <c:pt idx="38">
                  <c:v>3.4886510987640861E-3</c:v>
                </c:pt>
                <c:pt idx="39">
                  <c:v>3.6274243269456916E-3</c:v>
                </c:pt>
                <c:pt idx="40">
                  <c:v>3.7571374571853393E-3</c:v>
                </c:pt>
                <c:pt idx="41">
                  <c:v>3.9143191079303976E-3</c:v>
                </c:pt>
                <c:pt idx="42">
                  <c:v>4.1102835181050816E-3</c:v>
                </c:pt>
                <c:pt idx="43">
                  <c:v>4.3445342839666902E-3</c:v>
                </c:pt>
                <c:pt idx="44">
                  <c:v>4.6098874375857055E-3</c:v>
                </c:pt>
                <c:pt idx="45">
                  <c:v>4.8426425111779284E-3</c:v>
                </c:pt>
                <c:pt idx="46">
                  <c:v>5.0267868434268467E-3</c:v>
                </c:pt>
                <c:pt idx="47">
                  <c:v>5.1644864197164086E-3</c:v>
                </c:pt>
                <c:pt idx="48">
                  <c:v>5.261911261150152E-3</c:v>
                </c:pt>
                <c:pt idx="49">
                  <c:v>5.3367634754725637E-3</c:v>
                </c:pt>
                <c:pt idx="50">
                  <c:v>5.3994013334494962E-3</c:v>
                </c:pt>
                <c:pt idx="51">
                  <c:v>5.4507037675535306E-3</c:v>
                </c:pt>
                <c:pt idx="52">
                  <c:v>5.4890351007389395E-3</c:v>
                </c:pt>
                <c:pt idx="53">
                  <c:v>5.5148961240521913E-3</c:v>
                </c:pt>
                <c:pt idx="54">
                  <c:v>5.5285725839859176E-3</c:v>
                </c:pt>
                <c:pt idx="55">
                  <c:v>5.5300941715143749E-3</c:v>
                </c:pt>
                <c:pt idx="56">
                  <c:v>5.5190242942048497E-3</c:v>
                </c:pt>
                <c:pt idx="57">
                  <c:v>5.4956938414677118E-3</c:v>
                </c:pt>
                <c:pt idx="58">
                  <c:v>5.4601237679287725E-3</c:v>
                </c:pt>
                <c:pt idx="59">
                  <c:v>5.4119426473130108E-3</c:v>
                </c:pt>
                <c:pt idx="60">
                  <c:v>5.3528713420627752E-3</c:v>
                </c:pt>
                <c:pt idx="61">
                  <c:v>5.289075524666835E-3</c:v>
                </c:pt>
                <c:pt idx="62">
                  <c:v>5.2231079816946607E-3</c:v>
                </c:pt>
                <c:pt idx="63">
                  <c:v>5.1542454482944302E-3</c:v>
                </c:pt>
                <c:pt idx="64">
                  <c:v>5.0823666981099237E-3</c:v>
                </c:pt>
                <c:pt idx="65">
                  <c:v>5.0082855112766984E-3</c:v>
                </c:pt>
                <c:pt idx="66">
                  <c:v>4.9325553522894952E-3</c:v>
                </c:pt>
                <c:pt idx="67">
                  <c:v>4.8539554562873361E-3</c:v>
                </c:pt>
                <c:pt idx="68">
                  <c:v>4.771798713217275E-3</c:v>
                </c:pt>
                <c:pt idx="69">
                  <c:v>4.6856665414913238E-3</c:v>
                </c:pt>
                <c:pt idx="70">
                  <c:v>4.5997794308697045E-3</c:v>
                </c:pt>
                <c:pt idx="71">
                  <c:v>4.5129594825501539E-3</c:v>
                </c:pt>
                <c:pt idx="72">
                  <c:v>4.418511207988556E-3</c:v>
                </c:pt>
                <c:pt idx="73">
                  <c:v>4.3250284604351508E-3</c:v>
                </c:pt>
                <c:pt idx="74">
                  <c:v>4.2291005680020963E-3</c:v>
                </c:pt>
                <c:pt idx="75">
                  <c:v>4.1290555449849621E-3</c:v>
                </c:pt>
                <c:pt idx="76">
                  <c:v>4.0274718754827517E-3</c:v>
                </c:pt>
                <c:pt idx="77">
                  <c:v>3.9239401723657448E-3</c:v>
                </c:pt>
                <c:pt idx="78">
                  <c:v>3.8174324071488627E-3</c:v>
                </c:pt>
                <c:pt idx="79">
                  <c:v>3.7065138279675893E-3</c:v>
                </c:pt>
                <c:pt idx="80">
                  <c:v>3.594691042987281E-3</c:v>
                </c:pt>
                <c:pt idx="81">
                  <c:v>3.4800525273922201E-3</c:v>
                </c:pt>
                <c:pt idx="82">
                  <c:v>3.3636237719252703E-3</c:v>
                </c:pt>
                <c:pt idx="83">
                  <c:v>3.2454731795859932E-3</c:v>
                </c:pt>
                <c:pt idx="84">
                  <c:v>3.1228669158288066E-3</c:v>
                </c:pt>
                <c:pt idx="85">
                  <c:v>2.998572843120318E-3</c:v>
                </c:pt>
                <c:pt idx="86">
                  <c:v>2.8726306831666644E-3</c:v>
                </c:pt>
                <c:pt idx="87">
                  <c:v>2.7449945384378184E-3</c:v>
                </c:pt>
                <c:pt idx="88">
                  <c:v>2.6127765609762783E-3</c:v>
                </c:pt>
                <c:pt idx="89">
                  <c:v>2.4788743019864426E-3</c:v>
                </c:pt>
                <c:pt idx="90">
                  <c:v>2.3441809137702985E-3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F2-4379-9F53-3342C1A906EB}"/>
            </c:ext>
          </c:extLst>
        </c:ser>
        <c:ser>
          <c:idx val="3"/>
          <c:order val="3"/>
          <c:tx>
            <c:strRef>
              <c:f>CHART!$I$2</c:f>
              <c:strCache>
                <c:ptCount val="1"/>
                <c:pt idx="0">
                  <c:v>EUR6ML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CHART!$E$3:$E$93</c:f>
              <c:numCache>
                <c:formatCode>d\-mmm\-yy</c:formatCode>
                <c:ptCount val="91"/>
                <c:pt idx="0">
                  <c:v>43987</c:v>
                </c:pt>
                <c:pt idx="1">
                  <c:v>44081</c:v>
                </c:pt>
                <c:pt idx="2">
                  <c:v>44172</c:v>
                </c:pt>
                <c:pt idx="3">
                  <c:v>44260</c:v>
                </c:pt>
                <c:pt idx="4">
                  <c:v>44354</c:v>
                </c:pt>
                <c:pt idx="5">
                  <c:v>44445</c:v>
                </c:pt>
                <c:pt idx="6">
                  <c:v>44536</c:v>
                </c:pt>
                <c:pt idx="7">
                  <c:v>44627</c:v>
                </c:pt>
                <c:pt idx="8">
                  <c:v>44718</c:v>
                </c:pt>
                <c:pt idx="9">
                  <c:v>44809</c:v>
                </c:pt>
                <c:pt idx="10">
                  <c:v>44900</c:v>
                </c:pt>
                <c:pt idx="11">
                  <c:v>44991</c:v>
                </c:pt>
                <c:pt idx="12">
                  <c:v>45082</c:v>
                </c:pt>
                <c:pt idx="13">
                  <c:v>45174</c:v>
                </c:pt>
                <c:pt idx="14">
                  <c:v>45265</c:v>
                </c:pt>
                <c:pt idx="15">
                  <c:v>45356</c:v>
                </c:pt>
                <c:pt idx="16">
                  <c:v>45448</c:v>
                </c:pt>
                <c:pt idx="17">
                  <c:v>45540</c:v>
                </c:pt>
                <c:pt idx="18">
                  <c:v>45631</c:v>
                </c:pt>
                <c:pt idx="19">
                  <c:v>45721</c:v>
                </c:pt>
                <c:pt idx="20">
                  <c:v>45813</c:v>
                </c:pt>
                <c:pt idx="21">
                  <c:v>45905</c:v>
                </c:pt>
                <c:pt idx="22">
                  <c:v>45996</c:v>
                </c:pt>
                <c:pt idx="23">
                  <c:v>46086</c:v>
                </c:pt>
                <c:pt idx="24">
                  <c:v>46178</c:v>
                </c:pt>
                <c:pt idx="25">
                  <c:v>46272</c:v>
                </c:pt>
                <c:pt idx="26">
                  <c:v>46363</c:v>
                </c:pt>
                <c:pt idx="27">
                  <c:v>46451</c:v>
                </c:pt>
                <c:pt idx="28">
                  <c:v>46545</c:v>
                </c:pt>
                <c:pt idx="29">
                  <c:v>46636</c:v>
                </c:pt>
                <c:pt idx="30">
                  <c:v>46727</c:v>
                </c:pt>
                <c:pt idx="31">
                  <c:v>46818</c:v>
                </c:pt>
                <c:pt idx="32">
                  <c:v>46909</c:v>
                </c:pt>
                <c:pt idx="33">
                  <c:v>47001</c:v>
                </c:pt>
                <c:pt idx="34">
                  <c:v>47092</c:v>
                </c:pt>
                <c:pt idx="35">
                  <c:v>47182</c:v>
                </c:pt>
                <c:pt idx="36">
                  <c:v>47274</c:v>
                </c:pt>
                <c:pt idx="37">
                  <c:v>47366</c:v>
                </c:pt>
                <c:pt idx="38">
                  <c:v>47457</c:v>
                </c:pt>
                <c:pt idx="39">
                  <c:v>47547</c:v>
                </c:pt>
                <c:pt idx="40">
                  <c:v>47639</c:v>
                </c:pt>
                <c:pt idx="41">
                  <c:v>47731</c:v>
                </c:pt>
                <c:pt idx="42">
                  <c:v>47822</c:v>
                </c:pt>
                <c:pt idx="43">
                  <c:v>47912</c:v>
                </c:pt>
                <c:pt idx="44">
                  <c:v>48004</c:v>
                </c:pt>
                <c:pt idx="45">
                  <c:v>48096</c:v>
                </c:pt>
                <c:pt idx="46">
                  <c:v>48187</c:v>
                </c:pt>
                <c:pt idx="47">
                  <c:v>48278</c:v>
                </c:pt>
                <c:pt idx="48">
                  <c:v>48372</c:v>
                </c:pt>
                <c:pt idx="49">
                  <c:v>48463</c:v>
                </c:pt>
                <c:pt idx="50">
                  <c:v>48554</c:v>
                </c:pt>
                <c:pt idx="51">
                  <c:v>48645</c:v>
                </c:pt>
                <c:pt idx="52">
                  <c:v>48736</c:v>
                </c:pt>
                <c:pt idx="53">
                  <c:v>48827</c:v>
                </c:pt>
                <c:pt idx="54">
                  <c:v>48918</c:v>
                </c:pt>
                <c:pt idx="55">
                  <c:v>49009</c:v>
                </c:pt>
                <c:pt idx="56">
                  <c:v>49100</c:v>
                </c:pt>
                <c:pt idx="57">
                  <c:v>49192</c:v>
                </c:pt>
                <c:pt idx="58">
                  <c:v>49283</c:v>
                </c:pt>
                <c:pt idx="59">
                  <c:v>49373</c:v>
                </c:pt>
                <c:pt idx="60">
                  <c:v>49465</c:v>
                </c:pt>
                <c:pt idx="61">
                  <c:v>49557</c:v>
                </c:pt>
                <c:pt idx="62">
                  <c:v>49648</c:v>
                </c:pt>
                <c:pt idx="63">
                  <c:v>49739</c:v>
                </c:pt>
                <c:pt idx="64">
                  <c:v>49831</c:v>
                </c:pt>
                <c:pt idx="65">
                  <c:v>49923</c:v>
                </c:pt>
                <c:pt idx="66">
                  <c:v>50014</c:v>
                </c:pt>
                <c:pt idx="67">
                  <c:v>50104</c:v>
                </c:pt>
                <c:pt idx="68">
                  <c:v>50196</c:v>
                </c:pt>
                <c:pt idx="69">
                  <c:v>50290</c:v>
                </c:pt>
                <c:pt idx="70">
                  <c:v>50381</c:v>
                </c:pt>
                <c:pt idx="71">
                  <c:v>50469</c:v>
                </c:pt>
                <c:pt idx="72">
                  <c:v>50563</c:v>
                </c:pt>
                <c:pt idx="73">
                  <c:v>50654</c:v>
                </c:pt>
                <c:pt idx="74">
                  <c:v>50745</c:v>
                </c:pt>
                <c:pt idx="75">
                  <c:v>50836</c:v>
                </c:pt>
                <c:pt idx="76">
                  <c:v>50927</c:v>
                </c:pt>
                <c:pt idx="77">
                  <c:v>51018</c:v>
                </c:pt>
                <c:pt idx="78">
                  <c:v>51109</c:v>
                </c:pt>
                <c:pt idx="79">
                  <c:v>51200</c:v>
                </c:pt>
                <c:pt idx="80">
                  <c:v>51292</c:v>
                </c:pt>
                <c:pt idx="81">
                  <c:v>51384</c:v>
                </c:pt>
                <c:pt idx="82">
                  <c:v>51475</c:v>
                </c:pt>
                <c:pt idx="83">
                  <c:v>51565</c:v>
                </c:pt>
                <c:pt idx="84">
                  <c:v>51657</c:v>
                </c:pt>
                <c:pt idx="85">
                  <c:v>51749</c:v>
                </c:pt>
                <c:pt idx="86">
                  <c:v>51840</c:v>
                </c:pt>
                <c:pt idx="87">
                  <c:v>51930</c:v>
                </c:pt>
                <c:pt idx="88">
                  <c:v>52022</c:v>
                </c:pt>
                <c:pt idx="89">
                  <c:v>52114</c:v>
                </c:pt>
                <c:pt idx="90">
                  <c:v>52205</c:v>
                </c:pt>
              </c:numCache>
            </c:numRef>
          </c:cat>
          <c:val>
            <c:numRef>
              <c:f>CHART!$I$3:$I$93</c:f>
              <c:numCache>
                <c:formatCode>0.00000%</c:formatCode>
                <c:ptCount val="91"/>
                <c:pt idx="0">
                  <c:v>-2.3624600000003789E-3</c:v>
                </c:pt>
                <c:pt idx="1">
                  <c:v>-3.0166666666666662E-3</c:v>
                </c:pt>
                <c:pt idx="2">
                  <c:v>-3.2946666666666667E-3</c:v>
                </c:pt>
                <c:pt idx="3">
                  <c:v>-3.3481913862595651E-3</c:v>
                </c:pt>
                <c:pt idx="4">
                  <c:v>-3.4008656921710755E-3</c:v>
                </c:pt>
                <c:pt idx="5">
                  <c:v>-3.3021585047938143E-3</c:v>
                </c:pt>
                <c:pt idx="6">
                  <c:v>-3.162130808273619E-3</c:v>
                </c:pt>
                <c:pt idx="7">
                  <c:v>-2.9608640182514608E-3</c:v>
                </c:pt>
                <c:pt idx="8">
                  <c:v>-2.744997962935352E-3</c:v>
                </c:pt>
                <c:pt idx="9">
                  <c:v>-2.569829997653796E-3</c:v>
                </c:pt>
                <c:pt idx="10">
                  <c:v>-2.4438458345237813E-3</c:v>
                </c:pt>
                <c:pt idx="11">
                  <c:v>-2.3566290513151135E-3</c:v>
                </c:pt>
                <c:pt idx="12">
                  <c:v>-2.2704487703594767E-3</c:v>
                </c:pt>
                <c:pt idx="13">
                  <c:v>-2.1445433537993597E-3</c:v>
                </c:pt>
                <c:pt idx="14">
                  <c:v>-1.9716591190437941E-3</c:v>
                </c:pt>
                <c:pt idx="15">
                  <c:v>-1.7524261627780942E-3</c:v>
                </c:pt>
                <c:pt idx="16">
                  <c:v>-1.5023905074537803E-3</c:v>
                </c:pt>
                <c:pt idx="17">
                  <c:v>-1.244230083477105E-3</c:v>
                </c:pt>
                <c:pt idx="18">
                  <c:v>-9.8415801891850495E-4</c:v>
                </c:pt>
                <c:pt idx="19">
                  <c:v>-7.2160774731904365E-4</c:v>
                </c:pt>
                <c:pt idx="20">
                  <c:v>-4.514419512722995E-4</c:v>
                </c:pt>
                <c:pt idx="21">
                  <c:v>-1.8347062772867267E-4</c:v>
                </c:pt>
                <c:pt idx="22">
                  <c:v>8.0178946279339978E-5</c:v>
                </c:pt>
                <c:pt idx="23">
                  <c:v>3.4022808323777348E-4</c:v>
                </c:pt>
                <c:pt idx="24">
                  <c:v>5.9951794814455716E-4</c:v>
                </c:pt>
                <c:pt idx="25">
                  <c:v>8.510398785965081E-4</c:v>
                </c:pt>
                <c:pt idx="26">
                  <c:v>1.0817415161693273E-3</c:v>
                </c:pt>
                <c:pt idx="27">
                  <c:v>1.2954562133016575E-3</c:v>
                </c:pt>
                <c:pt idx="28">
                  <c:v>1.5203193303144292E-3</c:v>
                </c:pt>
                <c:pt idx="29">
                  <c:v>1.7414472664531797E-3</c:v>
                </c:pt>
                <c:pt idx="30">
                  <c:v>1.9688822858583443E-3</c:v>
                </c:pt>
                <c:pt idx="31">
                  <c:v>2.2030282645282991E-3</c:v>
                </c:pt>
                <c:pt idx="32">
                  <c:v>2.4379930284043174E-3</c:v>
                </c:pt>
                <c:pt idx="33">
                  <c:v>2.6702461462930617E-3</c:v>
                </c:pt>
                <c:pt idx="34">
                  <c:v>2.8960561469266099E-3</c:v>
                </c:pt>
                <c:pt idx="35">
                  <c:v>3.1160140510819892E-3</c:v>
                </c:pt>
                <c:pt idx="36">
                  <c:v>3.3232564863367453E-3</c:v>
                </c:pt>
                <c:pt idx="37">
                  <c:v>3.4966481416805976E-3</c:v>
                </c:pt>
                <c:pt idx="38">
                  <c:v>3.6324290769518901E-3</c:v>
                </c:pt>
                <c:pt idx="39">
                  <c:v>3.7382614465172439E-3</c:v>
                </c:pt>
                <c:pt idx="40">
                  <c:v>3.8479351526473637E-3</c:v>
                </c:pt>
                <c:pt idx="41">
                  <c:v>3.9922570137486809E-3</c:v>
                </c:pt>
                <c:pt idx="42">
                  <c:v>4.1775683933839534E-3</c:v>
                </c:pt>
                <c:pt idx="43">
                  <c:v>4.3974254016843749E-3</c:v>
                </c:pt>
                <c:pt idx="44">
                  <c:v>4.6243787066916828E-3</c:v>
                </c:pt>
                <c:pt idx="45">
                  <c:v>4.8155479119698502E-3</c:v>
                </c:pt>
                <c:pt idx="46">
                  <c:v>4.961565754762024E-3</c:v>
                </c:pt>
                <c:pt idx="47">
                  <c:v>5.0674760609177973E-3</c:v>
                </c:pt>
                <c:pt idx="48">
                  <c:v>5.147896661778081E-3</c:v>
                </c:pt>
                <c:pt idx="49">
                  <c:v>5.2108834551562646E-3</c:v>
                </c:pt>
                <c:pt idx="50">
                  <c:v>5.2622780124751732E-3</c:v>
                </c:pt>
                <c:pt idx="51">
                  <c:v>5.3022771876652013E-3</c:v>
                </c:pt>
                <c:pt idx="52">
                  <c:v>5.3307508622350104E-3</c:v>
                </c:pt>
                <c:pt idx="53">
                  <c:v>5.3475119773283E-3</c:v>
                </c:pt>
                <c:pt idx="54">
                  <c:v>5.3525204496781744E-3</c:v>
                </c:pt>
                <c:pt idx="55">
                  <c:v>5.3458157607421978E-3</c:v>
                </c:pt>
                <c:pt idx="56">
                  <c:v>5.3276154323578994E-3</c:v>
                </c:pt>
                <c:pt idx="57">
                  <c:v>5.2977035587359984E-3</c:v>
                </c:pt>
                <c:pt idx="58">
                  <c:v>5.2564603691849371E-3</c:v>
                </c:pt>
                <c:pt idx="59">
                  <c:v>5.2045603040680134E-3</c:v>
                </c:pt>
                <c:pt idx="60">
                  <c:v>5.1438557173902133E-3</c:v>
                </c:pt>
                <c:pt idx="61">
                  <c:v>5.0796160564557267E-3</c:v>
                </c:pt>
                <c:pt idx="62">
                  <c:v>5.0134205060020772E-3</c:v>
                </c:pt>
                <c:pt idx="63">
                  <c:v>4.9444538624750451E-3</c:v>
                </c:pt>
                <c:pt idx="64">
                  <c:v>4.8720644532788075E-3</c:v>
                </c:pt>
                <c:pt idx="65">
                  <c:v>4.7971342291882515E-3</c:v>
                </c:pt>
                <c:pt idx="66">
                  <c:v>4.7202123043664588E-3</c:v>
                </c:pt>
                <c:pt idx="67">
                  <c:v>4.6411122535978963E-3</c:v>
                </c:pt>
                <c:pt idx="68">
                  <c:v>4.5575429472937429E-3</c:v>
                </c:pt>
                <c:pt idx="69">
                  <c:v>4.469751357303201E-3</c:v>
                </c:pt>
                <c:pt idx="70">
                  <c:v>4.3820154285334036E-3</c:v>
                </c:pt>
                <c:pt idx="71">
                  <c:v>4.2941718666723297E-3</c:v>
                </c:pt>
                <c:pt idx="72">
                  <c:v>4.1975227926037964E-3</c:v>
                </c:pt>
                <c:pt idx="73">
                  <c:v>4.1016725485679565E-3</c:v>
                </c:pt>
                <c:pt idx="74">
                  <c:v>4.0032374486730794E-3</c:v>
                </c:pt>
                <c:pt idx="75">
                  <c:v>3.9017491724765512E-3</c:v>
                </c:pt>
                <c:pt idx="76">
                  <c:v>3.7971356492755674E-3</c:v>
                </c:pt>
                <c:pt idx="77">
                  <c:v>3.689536408275879E-3</c:v>
                </c:pt>
                <c:pt idx="78">
                  <c:v>3.579542536902154E-3</c:v>
                </c:pt>
                <c:pt idx="79">
                  <c:v>3.4676764112467522E-3</c:v>
                </c:pt>
                <c:pt idx="80">
                  <c:v>3.352309492588228E-3</c:v>
                </c:pt>
                <c:pt idx="81">
                  <c:v>3.234089430431829E-3</c:v>
                </c:pt>
                <c:pt idx="82">
                  <c:v>3.1140757491785031E-3</c:v>
                </c:pt>
                <c:pt idx="83">
                  <c:v>2.9923242510263362E-3</c:v>
                </c:pt>
                <c:pt idx="84">
                  <c:v>2.865339260874236E-3</c:v>
                </c:pt>
                <c:pt idx="85">
                  <c:v>2.7363583899653312E-3</c:v>
                </c:pt>
                <c:pt idx="86">
                  <c:v>2.606166091560687E-3</c:v>
                </c:pt>
                <c:pt idx="87">
                  <c:v>2.4741600636159801E-3</c:v>
                </c:pt>
                <c:pt idx="88">
                  <c:v>2.3365616282832471E-3</c:v>
                </c:pt>
                <c:pt idx="89">
                  <c:v>2.1970462478166819E-3</c:v>
                </c:pt>
                <c:pt idx="90">
                  <c:v>2.056514618906657E-3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F2-4379-9F53-3342C1A906EB}"/>
            </c:ext>
          </c:extLst>
        </c:ser>
        <c:ser>
          <c:idx val="4"/>
          <c:order val="4"/>
          <c:tx>
            <c:strRef>
              <c:f>CHART!$J$2</c:f>
              <c:strCache>
                <c:ptCount val="1"/>
                <c:pt idx="0">
                  <c:v>EUR12ML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CHART!$E$3:$E$93</c:f>
              <c:numCache>
                <c:formatCode>d\-mmm\-yy</c:formatCode>
                <c:ptCount val="91"/>
                <c:pt idx="0">
                  <c:v>43987</c:v>
                </c:pt>
                <c:pt idx="1">
                  <c:v>44081</c:v>
                </c:pt>
                <c:pt idx="2">
                  <c:v>44172</c:v>
                </c:pt>
                <c:pt idx="3">
                  <c:v>44260</c:v>
                </c:pt>
                <c:pt idx="4">
                  <c:v>44354</c:v>
                </c:pt>
                <c:pt idx="5">
                  <c:v>44445</c:v>
                </c:pt>
                <c:pt idx="6">
                  <c:v>44536</c:v>
                </c:pt>
                <c:pt idx="7">
                  <c:v>44627</c:v>
                </c:pt>
                <c:pt idx="8">
                  <c:v>44718</c:v>
                </c:pt>
                <c:pt idx="9">
                  <c:v>44809</c:v>
                </c:pt>
                <c:pt idx="10">
                  <c:v>44900</c:v>
                </c:pt>
                <c:pt idx="11">
                  <c:v>44991</c:v>
                </c:pt>
                <c:pt idx="12">
                  <c:v>45082</c:v>
                </c:pt>
                <c:pt idx="13">
                  <c:v>45174</c:v>
                </c:pt>
                <c:pt idx="14">
                  <c:v>45265</c:v>
                </c:pt>
                <c:pt idx="15">
                  <c:v>45356</c:v>
                </c:pt>
                <c:pt idx="16">
                  <c:v>45448</c:v>
                </c:pt>
                <c:pt idx="17">
                  <c:v>45540</c:v>
                </c:pt>
                <c:pt idx="18">
                  <c:v>45631</c:v>
                </c:pt>
                <c:pt idx="19">
                  <c:v>45721</c:v>
                </c:pt>
                <c:pt idx="20">
                  <c:v>45813</c:v>
                </c:pt>
                <c:pt idx="21">
                  <c:v>45905</c:v>
                </c:pt>
                <c:pt idx="22">
                  <c:v>45996</c:v>
                </c:pt>
                <c:pt idx="23">
                  <c:v>46086</c:v>
                </c:pt>
                <c:pt idx="24">
                  <c:v>46178</c:v>
                </c:pt>
                <c:pt idx="25">
                  <c:v>46272</c:v>
                </c:pt>
                <c:pt idx="26">
                  <c:v>46363</c:v>
                </c:pt>
                <c:pt idx="27">
                  <c:v>46451</c:v>
                </c:pt>
                <c:pt idx="28">
                  <c:v>46545</c:v>
                </c:pt>
                <c:pt idx="29">
                  <c:v>46636</c:v>
                </c:pt>
                <c:pt idx="30">
                  <c:v>46727</c:v>
                </c:pt>
                <c:pt idx="31">
                  <c:v>46818</c:v>
                </c:pt>
                <c:pt idx="32">
                  <c:v>46909</c:v>
                </c:pt>
                <c:pt idx="33">
                  <c:v>47001</c:v>
                </c:pt>
                <c:pt idx="34">
                  <c:v>47092</c:v>
                </c:pt>
                <c:pt idx="35">
                  <c:v>47182</c:v>
                </c:pt>
                <c:pt idx="36">
                  <c:v>47274</c:v>
                </c:pt>
                <c:pt idx="37">
                  <c:v>47366</c:v>
                </c:pt>
                <c:pt idx="38">
                  <c:v>47457</c:v>
                </c:pt>
                <c:pt idx="39">
                  <c:v>47547</c:v>
                </c:pt>
                <c:pt idx="40">
                  <c:v>47639</c:v>
                </c:pt>
                <c:pt idx="41">
                  <c:v>47731</c:v>
                </c:pt>
                <c:pt idx="42">
                  <c:v>47822</c:v>
                </c:pt>
                <c:pt idx="43">
                  <c:v>47912</c:v>
                </c:pt>
                <c:pt idx="44">
                  <c:v>48004</c:v>
                </c:pt>
                <c:pt idx="45">
                  <c:v>48096</c:v>
                </c:pt>
                <c:pt idx="46">
                  <c:v>48187</c:v>
                </c:pt>
                <c:pt idx="47">
                  <c:v>48278</c:v>
                </c:pt>
                <c:pt idx="48">
                  <c:v>48372</c:v>
                </c:pt>
                <c:pt idx="49">
                  <c:v>48463</c:v>
                </c:pt>
                <c:pt idx="50">
                  <c:v>48554</c:v>
                </c:pt>
                <c:pt idx="51">
                  <c:v>48645</c:v>
                </c:pt>
                <c:pt idx="52">
                  <c:v>48736</c:v>
                </c:pt>
                <c:pt idx="53">
                  <c:v>48827</c:v>
                </c:pt>
                <c:pt idx="54">
                  <c:v>48918</c:v>
                </c:pt>
                <c:pt idx="55">
                  <c:v>49009</c:v>
                </c:pt>
                <c:pt idx="56">
                  <c:v>49100</c:v>
                </c:pt>
                <c:pt idx="57">
                  <c:v>49192</c:v>
                </c:pt>
                <c:pt idx="58">
                  <c:v>49283</c:v>
                </c:pt>
                <c:pt idx="59">
                  <c:v>49373</c:v>
                </c:pt>
                <c:pt idx="60">
                  <c:v>49465</c:v>
                </c:pt>
                <c:pt idx="61">
                  <c:v>49557</c:v>
                </c:pt>
                <c:pt idx="62">
                  <c:v>49648</c:v>
                </c:pt>
                <c:pt idx="63">
                  <c:v>49739</c:v>
                </c:pt>
                <c:pt idx="64">
                  <c:v>49831</c:v>
                </c:pt>
                <c:pt idx="65">
                  <c:v>49923</c:v>
                </c:pt>
                <c:pt idx="66">
                  <c:v>50014</c:v>
                </c:pt>
                <c:pt idx="67">
                  <c:v>50104</c:v>
                </c:pt>
                <c:pt idx="68">
                  <c:v>50196</c:v>
                </c:pt>
                <c:pt idx="69">
                  <c:v>50290</c:v>
                </c:pt>
                <c:pt idx="70">
                  <c:v>50381</c:v>
                </c:pt>
                <c:pt idx="71">
                  <c:v>50469</c:v>
                </c:pt>
                <c:pt idx="72">
                  <c:v>50563</c:v>
                </c:pt>
                <c:pt idx="73">
                  <c:v>50654</c:v>
                </c:pt>
                <c:pt idx="74">
                  <c:v>50745</c:v>
                </c:pt>
                <c:pt idx="75">
                  <c:v>50836</c:v>
                </c:pt>
                <c:pt idx="76">
                  <c:v>50927</c:v>
                </c:pt>
                <c:pt idx="77">
                  <c:v>51018</c:v>
                </c:pt>
                <c:pt idx="78">
                  <c:v>51109</c:v>
                </c:pt>
                <c:pt idx="79">
                  <c:v>51200</c:v>
                </c:pt>
                <c:pt idx="80">
                  <c:v>51292</c:v>
                </c:pt>
                <c:pt idx="81">
                  <c:v>51384</c:v>
                </c:pt>
                <c:pt idx="82">
                  <c:v>51475</c:v>
                </c:pt>
                <c:pt idx="83">
                  <c:v>51565</c:v>
                </c:pt>
                <c:pt idx="84">
                  <c:v>51657</c:v>
                </c:pt>
                <c:pt idx="85">
                  <c:v>51749</c:v>
                </c:pt>
                <c:pt idx="86">
                  <c:v>51840</c:v>
                </c:pt>
                <c:pt idx="87">
                  <c:v>51930</c:v>
                </c:pt>
                <c:pt idx="88">
                  <c:v>52022</c:v>
                </c:pt>
                <c:pt idx="89">
                  <c:v>52114</c:v>
                </c:pt>
                <c:pt idx="90">
                  <c:v>52205</c:v>
                </c:pt>
              </c:numCache>
            </c:numRef>
          </c:cat>
          <c:val>
            <c:numRef>
              <c:f>CHART!$J$3:$J$93</c:f>
              <c:numCache>
                <c:formatCode>0.00000%</c:formatCode>
                <c:ptCount val="91"/>
                <c:pt idx="0">
                  <c:v>-9.9999999999998116E-4</c:v>
                </c:pt>
                <c:pt idx="1">
                  <c:v>-1.6412975777435031E-3</c:v>
                </c:pt>
                <c:pt idx="2">
                  <c:v>-2.2251721904449134E-3</c:v>
                </c:pt>
                <c:pt idx="3">
                  <c:v>-2.6667921836471408E-3</c:v>
                </c:pt>
                <c:pt idx="4">
                  <c:v>-2.9373880981268595E-3</c:v>
                </c:pt>
                <c:pt idx="5">
                  <c:v>-2.9561023550575198E-3</c:v>
                </c:pt>
                <c:pt idx="6">
                  <c:v>-2.7812270228567667E-3</c:v>
                </c:pt>
                <c:pt idx="7">
                  <c:v>-2.4829700555553847E-3</c:v>
                </c:pt>
                <c:pt idx="8">
                  <c:v>-2.1315396470948686E-3</c:v>
                </c:pt>
                <c:pt idx="9">
                  <c:v>-1.7869737573290687E-3</c:v>
                </c:pt>
                <c:pt idx="10">
                  <c:v>-1.4643975380356571E-3</c:v>
                </c:pt>
                <c:pt idx="11">
                  <c:v>-1.1665421830246E-3</c:v>
                </c:pt>
                <c:pt idx="12">
                  <c:v>-8.9613848316000397E-4</c:v>
                </c:pt>
                <c:pt idx="13">
                  <c:v>-6.5115841266030522E-4</c:v>
                </c:pt>
                <c:pt idx="14">
                  <c:v>-4.2719356341991378E-4</c:v>
                </c:pt>
                <c:pt idx="15">
                  <c:v>-2.0892687488726334E-4</c:v>
                </c:pt>
                <c:pt idx="16">
                  <c:v>1.8707772493391912E-5</c:v>
                </c:pt>
                <c:pt idx="17">
                  <c:v>2.6382856164227291E-4</c:v>
                </c:pt>
                <c:pt idx="18">
                  <c:v>5.2273757514987749E-4</c:v>
                </c:pt>
                <c:pt idx="19">
                  <c:v>7.9099188027184836E-4</c:v>
                </c:pt>
                <c:pt idx="20">
                  <c:v>1.0737248367633791E-3</c:v>
                </c:pt>
                <c:pt idx="21">
                  <c:v>1.3606520036743535E-3</c:v>
                </c:pt>
                <c:pt idx="22">
                  <c:v>1.6426876820382652E-3</c:v>
                </c:pt>
                <c:pt idx="23">
                  <c:v>1.9137338268209931E-3</c:v>
                </c:pt>
                <c:pt idx="24">
                  <c:v>2.1763653083937385E-3</c:v>
                </c:pt>
                <c:pt idx="25">
                  <c:v>2.4261331972887218E-3</c:v>
                </c:pt>
                <c:pt idx="26">
                  <c:v>2.6601526302945E-3</c:v>
                </c:pt>
                <c:pt idx="27">
                  <c:v>2.8920036863269195E-3</c:v>
                </c:pt>
                <c:pt idx="28">
                  <c:v>3.1596143403923617E-3</c:v>
                </c:pt>
                <c:pt idx="29">
                  <c:v>3.4472289823026729E-3</c:v>
                </c:pt>
                <c:pt idx="30">
                  <c:v>3.7512029742046414E-3</c:v>
                </c:pt>
                <c:pt idx="31">
                  <c:v>4.054274011952695E-3</c:v>
                </c:pt>
                <c:pt idx="32">
                  <c:v>4.3391797370017629E-3</c:v>
                </c:pt>
                <c:pt idx="33">
                  <c:v>4.5943910302012232E-3</c:v>
                </c:pt>
                <c:pt idx="34">
                  <c:v>4.8146272332618388E-3</c:v>
                </c:pt>
                <c:pt idx="35">
                  <c:v>5.0051921655357608E-3</c:v>
                </c:pt>
                <c:pt idx="36">
                  <c:v>5.1763480406104541E-3</c:v>
                </c:pt>
                <c:pt idx="37">
                  <c:v>5.3294536093503033E-3</c:v>
                </c:pt>
                <c:pt idx="38">
                  <c:v>5.4756850888767455E-3</c:v>
                </c:pt>
                <c:pt idx="39">
                  <c:v>5.6294066338239239E-3</c:v>
                </c:pt>
                <c:pt idx="40">
                  <c:v>5.8104841351437351E-3</c:v>
                </c:pt>
                <c:pt idx="41">
                  <c:v>6.0253480111169449E-3</c:v>
                </c:pt>
                <c:pt idx="42">
                  <c:v>6.2565400471887023E-3</c:v>
                </c:pt>
                <c:pt idx="43">
                  <c:v>6.4823876243741106E-3</c:v>
                </c:pt>
                <c:pt idx="44">
                  <c:v>6.6887233649763839E-3</c:v>
                </c:pt>
                <c:pt idx="45">
                  <c:v>6.8528061953005495E-3</c:v>
                </c:pt>
                <c:pt idx="46">
                  <c:v>6.9764211873629689E-3</c:v>
                </c:pt>
                <c:pt idx="47">
                  <c:v>7.070130468584966E-3</c:v>
                </c:pt>
                <c:pt idx="48">
                  <c:v>7.1445898912202207E-3</c:v>
                </c:pt>
                <c:pt idx="49">
                  <c:v>7.2024794065436359E-3</c:v>
                </c:pt>
                <c:pt idx="50">
                  <c:v>7.2479498512798782E-3</c:v>
                </c:pt>
                <c:pt idx="51">
                  <c:v>7.2809448717718692E-3</c:v>
                </c:pt>
                <c:pt idx="52">
                  <c:v>7.3014080991589255E-3</c:v>
                </c:pt>
                <c:pt idx="53">
                  <c:v>7.3092953892051849E-3</c:v>
                </c:pt>
                <c:pt idx="54">
                  <c:v>7.3046165828853154E-3</c:v>
                </c:pt>
                <c:pt idx="55">
                  <c:v>7.2873964187156626E-3</c:v>
                </c:pt>
                <c:pt idx="56">
                  <c:v>7.2576596356969166E-3</c:v>
                </c:pt>
                <c:pt idx="57">
                  <c:v>7.2152680302219304E-3</c:v>
                </c:pt>
                <c:pt idx="58">
                  <c:v>7.1631823425506828E-3</c:v>
                </c:pt>
                <c:pt idx="59">
                  <c:v>7.1041770339055534E-3</c:v>
                </c:pt>
                <c:pt idx="60">
                  <c:v>7.0386692985253676E-3</c:v>
                </c:pt>
                <c:pt idx="61">
                  <c:v>6.9701080140439362E-3</c:v>
                </c:pt>
                <c:pt idx="62">
                  <c:v>6.899781238626247E-3</c:v>
                </c:pt>
                <c:pt idx="63">
                  <c:v>6.8269392496934011E-3</c:v>
                </c:pt>
                <c:pt idx="64">
                  <c:v>6.750721342638653E-3</c:v>
                </c:pt>
                <c:pt idx="65">
                  <c:v>6.6719032623018771E-3</c:v>
                </c:pt>
                <c:pt idx="66">
                  <c:v>6.5914098816524909E-3</c:v>
                </c:pt>
                <c:pt idx="67">
                  <c:v>6.5093594988153512E-3</c:v>
                </c:pt>
                <c:pt idx="68">
                  <c:v>6.4230124489596556E-3</c:v>
                </c:pt>
                <c:pt idx="69">
                  <c:v>6.3322231927847505E-3</c:v>
                </c:pt>
                <c:pt idx="70">
                  <c:v>6.2417906328701336E-3</c:v>
                </c:pt>
                <c:pt idx="71">
                  <c:v>6.1518737195933801E-3</c:v>
                </c:pt>
                <c:pt idx="72">
                  <c:v>6.0530523417452404E-3</c:v>
                </c:pt>
                <c:pt idx="73">
                  <c:v>5.9546043928610029E-3</c:v>
                </c:pt>
                <c:pt idx="74">
                  <c:v>5.8535567742893785E-3</c:v>
                </c:pt>
                <c:pt idx="75">
                  <c:v>5.7500950000124174E-3</c:v>
                </c:pt>
                <c:pt idx="76">
                  <c:v>5.6444045845046205E-3</c:v>
                </c:pt>
                <c:pt idx="77">
                  <c:v>5.5366189929106713E-3</c:v>
                </c:pt>
                <c:pt idx="78">
                  <c:v>5.4266418351388559E-3</c:v>
                </c:pt>
                <c:pt idx="79">
                  <c:v>5.3143132911704404E-3</c:v>
                </c:pt>
                <c:pt idx="80">
                  <c:v>5.1981970190385649E-3</c:v>
                </c:pt>
                <c:pt idx="81">
                  <c:v>5.0793859806228369E-3</c:v>
                </c:pt>
                <c:pt idx="82">
                  <c:v>4.9592665671251059E-3</c:v>
                </c:pt>
                <c:pt idx="83">
                  <c:v>4.8380261037148107E-3</c:v>
                </c:pt>
                <c:pt idx="84">
                  <c:v>4.711687276267737E-3</c:v>
                </c:pt>
                <c:pt idx="85">
                  <c:v>4.5829990037686962E-3</c:v>
                </c:pt>
                <c:pt idx="86">
                  <c:v>4.4533614624663424E-3</c:v>
                </c:pt>
                <c:pt idx="87">
                  <c:v>4.322782338759136E-3</c:v>
                </c:pt>
                <c:pt idx="88">
                  <c:v>4.1867981059958781E-3</c:v>
                </c:pt>
                <c:pt idx="89">
                  <c:v>4.048237888929657E-3</c:v>
                </c:pt>
                <c:pt idx="90">
                  <c:v>3.90872608184239E-3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F2-4379-9F53-3342C1A90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491487"/>
        <c:axId val="1330501471"/>
      </c:lineChart>
      <c:dateAx>
        <c:axId val="1330491487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501471"/>
        <c:crosses val="autoZero"/>
        <c:auto val="1"/>
        <c:lblOffset val="100"/>
        <c:baseTimeUnit val="months"/>
      </c:dateAx>
      <c:valAx>
        <c:axId val="133050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49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0</xdr:row>
      <xdr:rowOff>190499</xdr:rowOff>
    </xdr:from>
    <xdr:to>
      <xdr:col>18</xdr:col>
      <xdr:colOff>447675</xdr:colOff>
      <xdr:row>16</xdr:row>
      <xdr:rowOff>161924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U100"/>
  <sheetViews>
    <sheetView showGridLines="0" workbookViewId="0"/>
  </sheetViews>
  <sheetFormatPr defaultRowHeight="15" x14ac:dyDescent="0.25"/>
  <cols>
    <col min="2" max="2" width="20.7109375" customWidth="1"/>
    <col min="3" max="3" width="9.140625" style="118"/>
    <col min="6" max="6" width="21.42578125" bestFit="1" customWidth="1"/>
    <col min="7" max="7" width="9.140625" style="118"/>
    <col min="10" max="10" width="21.42578125" bestFit="1" customWidth="1"/>
    <col min="11" max="11" width="9.140625" style="118"/>
    <col min="14" max="14" width="21.42578125" bestFit="1" customWidth="1"/>
    <col min="18" max="18" width="21.42578125" bestFit="1" customWidth="1"/>
  </cols>
  <sheetData>
    <row r="1" spans="2:21" x14ac:dyDescent="0.25">
      <c r="E1" t="s">
        <v>4</v>
      </c>
      <c r="I1" t="s">
        <v>4</v>
      </c>
      <c r="M1" t="s">
        <v>4</v>
      </c>
    </row>
    <row r="2" spans="2:21" s="124" customFormat="1" x14ac:dyDescent="0.25">
      <c r="B2" s="124" t="s">
        <v>34</v>
      </c>
      <c r="C2" s="125"/>
      <c r="E2" s="124" t="s">
        <v>4</v>
      </c>
      <c r="F2" s="124" t="s">
        <v>97</v>
      </c>
      <c r="G2" s="125"/>
      <c r="I2" s="124" t="s">
        <v>4</v>
      </c>
      <c r="J2" s="124" t="s">
        <v>126</v>
      </c>
      <c r="K2" s="125"/>
      <c r="M2" s="124" t="s">
        <v>4</v>
      </c>
      <c r="N2" s="124" t="s">
        <v>134</v>
      </c>
      <c r="O2" s="125"/>
      <c r="Q2" s="124" t="s">
        <v>4</v>
      </c>
      <c r="R2" s="124" t="s">
        <v>135</v>
      </c>
      <c r="S2" s="125"/>
      <c r="U2" s="124" t="s">
        <v>4</v>
      </c>
    </row>
    <row r="3" spans="2:21" s="198" customFormat="1" x14ac:dyDescent="0.25">
      <c r="B3" s="198" t="str">
        <f>_xll.meLWOCurveGeneratorCreate(B2,B6,B7:C13,B15,B16:C32,B34,B35:C38,B40,B41:C44)</f>
        <v>EUR_OIS:1</v>
      </c>
      <c r="C3" s="199"/>
      <c r="F3" s="198" t="str">
        <f>_xll.meLWOCurveGeneratorCreate(F2,F6,F7:G20,F22,F23:G25,F27,F28:G32,F34,F35:G40,F42,F43:G49,F51,F52:G65)</f>
        <v>EUR_SWAP_3M:1</v>
      </c>
      <c r="G3" s="199"/>
      <c r="J3" s="198" t="str">
        <f>_xll.meLWOCurveGeneratorCreate(J2,J6,J7:K20,J22,J23:K25,J27,J28:K32,J34,J35:K40,J42,J43:K43,J45,J46:K59)</f>
        <v>EUR_SWAP_6M:1</v>
      </c>
      <c r="K3" s="199"/>
      <c r="N3" s="198" t="str">
        <f>_xll.meLWOCurveGeneratorCreate(N2,N6,N7:O20,N22,N23:O25,N27,N28:O32,N34,N35:O40,N42,N43:O49,N51,N52:O65)</f>
        <v>EUR_SWAP_1M:1</v>
      </c>
      <c r="O3" s="199"/>
      <c r="R3" s="198" t="str">
        <f>_xll.meLWOCurveGeneratorCreate(R2,R6,R7:S20,R22,R23:S25,R27,R28:S32,R34,R35:S40,R42,R43:S49,R51,R52:S65)</f>
        <v>EUR_SWAP_12M:1</v>
      </c>
      <c r="S3" s="199"/>
    </row>
    <row r="4" spans="2:21" x14ac:dyDescent="0.25">
      <c r="E4" t="s">
        <v>4</v>
      </c>
      <c r="I4" t="s">
        <v>4</v>
      </c>
      <c r="M4" t="s">
        <v>4</v>
      </c>
      <c r="O4" s="118"/>
      <c r="Q4" t="s">
        <v>4</v>
      </c>
      <c r="S4" s="118"/>
      <c r="U4" t="s">
        <v>4</v>
      </c>
    </row>
    <row r="5" spans="2:21" x14ac:dyDescent="0.25">
      <c r="O5" s="118"/>
      <c r="S5" s="118"/>
    </row>
    <row r="6" spans="2:21" x14ac:dyDescent="0.25">
      <c r="B6" t="s">
        <v>20</v>
      </c>
      <c r="E6" t="s">
        <v>4</v>
      </c>
      <c r="F6" t="s">
        <v>20</v>
      </c>
      <c r="I6" t="s">
        <v>4</v>
      </c>
      <c r="J6" t="s">
        <v>20</v>
      </c>
      <c r="M6" t="s">
        <v>4</v>
      </c>
      <c r="N6" t="s">
        <v>20</v>
      </c>
      <c r="O6" s="118"/>
      <c r="Q6" t="s">
        <v>4</v>
      </c>
      <c r="R6" t="s">
        <v>20</v>
      </c>
      <c r="S6" s="118"/>
      <c r="U6" t="s">
        <v>4</v>
      </c>
    </row>
    <row r="7" spans="2:21" x14ac:dyDescent="0.25">
      <c r="B7" t="s">
        <v>12</v>
      </c>
      <c r="C7" s="118" t="s">
        <v>1</v>
      </c>
      <c r="E7" t="s">
        <v>4</v>
      </c>
      <c r="F7" t="s">
        <v>12</v>
      </c>
      <c r="G7" s="118" t="s">
        <v>84</v>
      </c>
      <c r="I7" t="s">
        <v>4</v>
      </c>
      <c r="J7" t="s">
        <v>12</v>
      </c>
      <c r="K7" s="118" t="s">
        <v>84</v>
      </c>
      <c r="M7" t="s">
        <v>4</v>
      </c>
      <c r="N7" t="s">
        <v>12</v>
      </c>
      <c r="O7" s="118" t="s">
        <v>84</v>
      </c>
      <c r="Q7" t="s">
        <v>4</v>
      </c>
      <c r="R7" t="s">
        <v>12</v>
      </c>
      <c r="S7" s="118" t="s">
        <v>84</v>
      </c>
      <c r="U7" t="s">
        <v>4</v>
      </c>
    </row>
    <row r="8" spans="2:21" x14ac:dyDescent="0.25">
      <c r="B8" t="s">
        <v>15</v>
      </c>
      <c r="C8" s="118" t="s">
        <v>16</v>
      </c>
      <c r="E8" t="s">
        <v>4</v>
      </c>
      <c r="F8" t="s">
        <v>15</v>
      </c>
      <c r="G8" s="118" t="s">
        <v>75</v>
      </c>
      <c r="I8" t="s">
        <v>4</v>
      </c>
      <c r="J8" t="s">
        <v>15</v>
      </c>
      <c r="K8" s="121" t="s">
        <v>122</v>
      </c>
      <c r="M8" t="s">
        <v>4</v>
      </c>
      <c r="N8" t="s">
        <v>15</v>
      </c>
      <c r="O8" s="121" t="s">
        <v>128</v>
      </c>
      <c r="Q8" t="s">
        <v>4</v>
      </c>
      <c r="R8" t="s">
        <v>15</v>
      </c>
      <c r="S8" s="121" t="s">
        <v>39</v>
      </c>
      <c r="U8" t="s">
        <v>4</v>
      </c>
    </row>
    <row r="9" spans="2:21" x14ac:dyDescent="0.25">
      <c r="B9" t="s">
        <v>17</v>
      </c>
      <c r="C9" s="118" t="s">
        <v>1</v>
      </c>
      <c r="E9" t="s">
        <v>4</v>
      </c>
      <c r="F9" t="s">
        <v>17</v>
      </c>
      <c r="G9" s="118" t="s">
        <v>85</v>
      </c>
      <c r="I9" t="s">
        <v>4</v>
      </c>
      <c r="J9" t="s">
        <v>17</v>
      </c>
      <c r="K9" s="121" t="s">
        <v>123</v>
      </c>
      <c r="M9" t="s">
        <v>4</v>
      </c>
      <c r="N9" t="s">
        <v>17</v>
      </c>
      <c r="O9" s="121" t="s">
        <v>136</v>
      </c>
      <c r="Q9" t="s">
        <v>4</v>
      </c>
      <c r="R9" t="s">
        <v>17</v>
      </c>
      <c r="S9" s="121" t="s">
        <v>137</v>
      </c>
      <c r="U9" t="s">
        <v>4</v>
      </c>
    </row>
    <row r="10" spans="2:21" x14ac:dyDescent="0.25">
      <c r="B10" t="s">
        <v>24</v>
      </c>
      <c r="C10" s="118" t="s">
        <v>19</v>
      </c>
      <c r="E10" t="s">
        <v>4</v>
      </c>
      <c r="F10" t="s">
        <v>24</v>
      </c>
      <c r="G10" s="118" t="s">
        <v>86</v>
      </c>
      <c r="I10" t="s">
        <v>4</v>
      </c>
      <c r="J10" t="s">
        <v>24</v>
      </c>
      <c r="K10" s="121" t="s">
        <v>123</v>
      </c>
      <c r="M10" t="s">
        <v>4</v>
      </c>
      <c r="N10" t="s">
        <v>24</v>
      </c>
      <c r="O10" s="121" t="s">
        <v>136</v>
      </c>
      <c r="Q10" t="s">
        <v>4</v>
      </c>
      <c r="R10" t="s">
        <v>24</v>
      </c>
      <c r="S10" s="121" t="s">
        <v>137</v>
      </c>
      <c r="U10" t="s">
        <v>4</v>
      </c>
    </row>
    <row r="11" spans="2:21" x14ac:dyDescent="0.25">
      <c r="B11" t="s">
        <v>10</v>
      </c>
      <c r="C11" s="118" t="s">
        <v>11</v>
      </c>
      <c r="E11" t="s">
        <v>4</v>
      </c>
      <c r="F11" t="s">
        <v>10</v>
      </c>
      <c r="G11" s="118" t="s">
        <v>11</v>
      </c>
      <c r="I11" t="s">
        <v>4</v>
      </c>
      <c r="J11" t="s">
        <v>10</v>
      </c>
      <c r="K11" s="118" t="s">
        <v>11</v>
      </c>
      <c r="M11" t="s">
        <v>4</v>
      </c>
      <c r="N11" t="s">
        <v>10</v>
      </c>
      <c r="O11" s="118" t="s">
        <v>11</v>
      </c>
      <c r="Q11" t="s">
        <v>4</v>
      </c>
      <c r="R11" t="s">
        <v>10</v>
      </c>
      <c r="S11" s="118" t="s">
        <v>11</v>
      </c>
      <c r="U11" t="s">
        <v>4</v>
      </c>
    </row>
    <row r="12" spans="2:21" x14ac:dyDescent="0.25">
      <c r="B12" t="s">
        <v>26</v>
      </c>
      <c r="C12" s="118" t="s">
        <v>27</v>
      </c>
      <c r="E12" t="s">
        <v>4</v>
      </c>
      <c r="F12" t="s">
        <v>26</v>
      </c>
      <c r="G12" s="118" t="s">
        <v>88</v>
      </c>
      <c r="I12" t="s">
        <v>4</v>
      </c>
      <c r="J12" t="s">
        <v>26</v>
      </c>
      <c r="K12" s="118" t="s">
        <v>91</v>
      </c>
      <c r="M12" t="s">
        <v>4</v>
      </c>
      <c r="N12" t="s">
        <v>26</v>
      </c>
      <c r="O12" s="118" t="s">
        <v>88</v>
      </c>
      <c r="Q12" t="s">
        <v>4</v>
      </c>
      <c r="R12" t="s">
        <v>26</v>
      </c>
      <c r="S12" s="118" t="s">
        <v>88</v>
      </c>
      <c r="U12" t="s">
        <v>4</v>
      </c>
    </row>
    <row r="13" spans="2:21" x14ac:dyDescent="0.25">
      <c r="B13" t="s">
        <v>28</v>
      </c>
      <c r="C13" s="118" t="s">
        <v>27</v>
      </c>
      <c r="E13" t="s">
        <v>4</v>
      </c>
      <c r="F13" t="s">
        <v>28</v>
      </c>
      <c r="G13" s="118" t="s">
        <v>88</v>
      </c>
      <c r="I13" t="s">
        <v>4</v>
      </c>
      <c r="J13" t="s">
        <v>28</v>
      </c>
      <c r="K13" s="118" t="s">
        <v>91</v>
      </c>
      <c r="M13" t="s">
        <v>4</v>
      </c>
      <c r="N13" t="s">
        <v>28</v>
      </c>
      <c r="O13" s="118" t="s">
        <v>88</v>
      </c>
      <c r="Q13" t="s">
        <v>4</v>
      </c>
      <c r="R13" t="s">
        <v>28</v>
      </c>
      <c r="S13" s="118" t="s">
        <v>88</v>
      </c>
      <c r="U13" t="s">
        <v>4</v>
      </c>
    </row>
    <row r="14" spans="2:21" x14ac:dyDescent="0.25">
      <c r="E14" t="s">
        <v>4</v>
      </c>
      <c r="F14" t="s">
        <v>89</v>
      </c>
      <c r="G14" s="118" t="s">
        <v>90</v>
      </c>
      <c r="I14" t="s">
        <v>4</v>
      </c>
      <c r="J14" t="s">
        <v>94</v>
      </c>
      <c r="K14" s="118" t="s">
        <v>91</v>
      </c>
      <c r="M14" t="s">
        <v>4</v>
      </c>
      <c r="N14" t="s">
        <v>89</v>
      </c>
      <c r="O14" s="121" t="s">
        <v>90</v>
      </c>
      <c r="Q14" t="s">
        <v>4</v>
      </c>
      <c r="R14" t="s">
        <v>89</v>
      </c>
      <c r="S14" s="121" t="s">
        <v>90</v>
      </c>
      <c r="U14" t="s">
        <v>4</v>
      </c>
    </row>
    <row r="15" spans="2:21" x14ac:dyDescent="0.25">
      <c r="B15" t="s">
        <v>1</v>
      </c>
      <c r="E15" t="s">
        <v>4</v>
      </c>
      <c r="F15" t="s">
        <v>92</v>
      </c>
      <c r="G15" s="118" t="s">
        <v>93</v>
      </c>
      <c r="I15" t="s">
        <v>4</v>
      </c>
      <c r="J15" t="s">
        <v>89</v>
      </c>
      <c r="K15" s="121" t="b">
        <v>1</v>
      </c>
      <c r="M15" t="s">
        <v>4</v>
      </c>
      <c r="N15" t="s">
        <v>92</v>
      </c>
      <c r="O15" s="121" t="b">
        <v>0</v>
      </c>
      <c r="Q15" t="s">
        <v>4</v>
      </c>
      <c r="R15" t="s">
        <v>92</v>
      </c>
      <c r="S15" s="121" t="b">
        <v>0</v>
      </c>
      <c r="U15" t="s">
        <v>4</v>
      </c>
    </row>
    <row r="16" spans="2:21" x14ac:dyDescent="0.25">
      <c r="B16" t="s">
        <v>31</v>
      </c>
      <c r="C16" s="118" t="s">
        <v>32</v>
      </c>
      <c r="E16" t="s">
        <v>4</v>
      </c>
      <c r="F16" t="s">
        <v>94</v>
      </c>
      <c r="G16" s="118" t="s">
        <v>88</v>
      </c>
      <c r="I16" t="s">
        <v>4</v>
      </c>
      <c r="J16" t="s">
        <v>92</v>
      </c>
      <c r="K16" s="121" t="b">
        <v>0</v>
      </c>
      <c r="M16" t="s">
        <v>4</v>
      </c>
      <c r="N16" t="s">
        <v>94</v>
      </c>
      <c r="O16" s="118" t="s">
        <v>88</v>
      </c>
      <c r="Q16" t="s">
        <v>4</v>
      </c>
      <c r="R16" t="s">
        <v>94</v>
      </c>
      <c r="S16" s="118" t="s">
        <v>88</v>
      </c>
      <c r="U16" t="s">
        <v>4</v>
      </c>
    </row>
    <row r="17" spans="2:21" x14ac:dyDescent="0.25">
      <c r="B17" t="s">
        <v>35</v>
      </c>
      <c r="C17" s="118" t="s">
        <v>36</v>
      </c>
      <c r="E17" t="s">
        <v>4</v>
      </c>
      <c r="F17" t="s">
        <v>96</v>
      </c>
      <c r="G17" s="118" t="s">
        <v>1</v>
      </c>
      <c r="I17" t="s">
        <v>4</v>
      </c>
      <c r="J17" t="s">
        <v>74</v>
      </c>
      <c r="K17" s="118" t="s">
        <v>98</v>
      </c>
      <c r="M17" t="s">
        <v>4</v>
      </c>
      <c r="N17" t="s">
        <v>96</v>
      </c>
      <c r="O17" s="118" t="s">
        <v>1</v>
      </c>
      <c r="Q17" t="s">
        <v>4</v>
      </c>
      <c r="R17" t="s">
        <v>96</v>
      </c>
      <c r="S17" s="118" t="s">
        <v>1</v>
      </c>
      <c r="U17" t="s">
        <v>4</v>
      </c>
    </row>
    <row r="18" spans="2:21" x14ac:dyDescent="0.25">
      <c r="B18" t="s">
        <v>38</v>
      </c>
      <c r="C18" s="118" t="s">
        <v>39</v>
      </c>
      <c r="E18" t="s">
        <v>4</v>
      </c>
      <c r="F18" t="s">
        <v>74</v>
      </c>
      <c r="G18" s="118" t="s">
        <v>98</v>
      </c>
      <c r="I18" t="s">
        <v>4</v>
      </c>
      <c r="J18" t="s">
        <v>96</v>
      </c>
      <c r="K18" s="118" t="s">
        <v>1</v>
      </c>
      <c r="M18" t="s">
        <v>4</v>
      </c>
      <c r="N18" t="s">
        <v>74</v>
      </c>
      <c r="O18" s="118" t="s">
        <v>98</v>
      </c>
      <c r="Q18" t="s">
        <v>4</v>
      </c>
      <c r="R18" t="s">
        <v>74</v>
      </c>
      <c r="S18" s="118" t="s">
        <v>98</v>
      </c>
      <c r="U18" t="s">
        <v>4</v>
      </c>
    </row>
    <row r="19" spans="2:21" x14ac:dyDescent="0.25">
      <c r="B19" t="s">
        <v>41</v>
      </c>
      <c r="C19" s="118" t="s">
        <v>42</v>
      </c>
      <c r="E19" t="s">
        <v>4</v>
      </c>
      <c r="F19" t="s">
        <v>99</v>
      </c>
      <c r="G19" s="118" t="b">
        <v>1</v>
      </c>
      <c r="I19" t="s">
        <v>4</v>
      </c>
      <c r="J19" t="s">
        <v>99</v>
      </c>
      <c r="K19" s="118" t="b">
        <v>1</v>
      </c>
      <c r="M19" t="s">
        <v>4</v>
      </c>
      <c r="N19" t="s">
        <v>99</v>
      </c>
      <c r="O19" s="118" t="b">
        <v>1</v>
      </c>
      <c r="Q19" t="s">
        <v>4</v>
      </c>
      <c r="R19" t="s">
        <v>99</v>
      </c>
      <c r="S19" s="118" t="b">
        <v>1</v>
      </c>
      <c r="U19" t="s">
        <v>4</v>
      </c>
    </row>
    <row r="20" spans="2:21" x14ac:dyDescent="0.25">
      <c r="B20" t="s">
        <v>43</v>
      </c>
      <c r="C20" s="118" t="s">
        <v>44</v>
      </c>
      <c r="E20" t="s">
        <v>4</v>
      </c>
      <c r="F20" t="s">
        <v>100</v>
      </c>
      <c r="G20" s="118" t="b">
        <v>1</v>
      </c>
      <c r="I20" t="s">
        <v>4</v>
      </c>
      <c r="J20" t="s">
        <v>100</v>
      </c>
      <c r="K20" s="118" t="b">
        <v>1</v>
      </c>
      <c r="M20" t="s">
        <v>4</v>
      </c>
      <c r="N20" t="s">
        <v>100</v>
      </c>
      <c r="O20" s="118" t="b">
        <v>1</v>
      </c>
      <c r="Q20" t="s">
        <v>4</v>
      </c>
      <c r="R20" t="s">
        <v>100</v>
      </c>
      <c r="S20" s="118" t="b">
        <v>1</v>
      </c>
      <c r="U20" t="s">
        <v>4</v>
      </c>
    </row>
    <row r="21" spans="2:21" x14ac:dyDescent="0.25">
      <c r="B21" t="s">
        <v>45</v>
      </c>
      <c r="C21" s="118" t="s">
        <v>46</v>
      </c>
      <c r="E21" t="s">
        <v>4</v>
      </c>
      <c r="I21" t="s">
        <v>4</v>
      </c>
      <c r="M21" t="s">
        <v>4</v>
      </c>
      <c r="O21" s="118"/>
      <c r="Q21" t="s">
        <v>4</v>
      </c>
      <c r="S21" s="118"/>
      <c r="U21" t="s">
        <v>4</v>
      </c>
    </row>
    <row r="22" spans="2:21" x14ac:dyDescent="0.25">
      <c r="B22" t="s">
        <v>48</v>
      </c>
      <c r="C22" s="118" t="s">
        <v>49</v>
      </c>
      <c r="E22" t="s">
        <v>4</v>
      </c>
      <c r="F22" t="s">
        <v>101</v>
      </c>
      <c r="I22" t="s">
        <v>4</v>
      </c>
      <c r="J22" t="s">
        <v>101</v>
      </c>
      <c r="M22" t="s">
        <v>4</v>
      </c>
      <c r="N22" t="s">
        <v>101</v>
      </c>
      <c r="O22" s="118"/>
      <c r="Q22" t="s">
        <v>4</v>
      </c>
      <c r="R22" t="s">
        <v>101</v>
      </c>
      <c r="S22" s="118"/>
      <c r="U22" t="s">
        <v>4</v>
      </c>
    </row>
    <row r="23" spans="2:21" x14ac:dyDescent="0.25">
      <c r="B23" t="s">
        <v>51</v>
      </c>
      <c r="C23" s="118">
        <v>31</v>
      </c>
      <c r="E23" t="s">
        <v>4</v>
      </c>
      <c r="F23" t="s">
        <v>72</v>
      </c>
      <c r="G23" s="118" t="s">
        <v>32</v>
      </c>
      <c r="I23" t="s">
        <v>4</v>
      </c>
      <c r="J23" t="s">
        <v>72</v>
      </c>
      <c r="K23" s="118" t="s">
        <v>32</v>
      </c>
      <c r="M23" t="s">
        <v>4</v>
      </c>
      <c r="N23" t="s">
        <v>72</v>
      </c>
      <c r="O23" s="118" t="s">
        <v>32</v>
      </c>
      <c r="Q23" t="s">
        <v>4</v>
      </c>
      <c r="R23" t="s">
        <v>72</v>
      </c>
      <c r="S23" s="118" t="s">
        <v>32</v>
      </c>
      <c r="U23" t="s">
        <v>4</v>
      </c>
    </row>
    <row r="24" spans="2:21" x14ac:dyDescent="0.25">
      <c r="B24" t="s">
        <v>53</v>
      </c>
      <c r="C24" s="118" t="b">
        <v>1</v>
      </c>
      <c r="E24" t="s">
        <v>4</v>
      </c>
      <c r="F24" t="s">
        <v>102</v>
      </c>
      <c r="G24" s="118" t="s">
        <v>36</v>
      </c>
      <c r="I24" t="s">
        <v>4</v>
      </c>
      <c r="J24" t="s">
        <v>102</v>
      </c>
      <c r="K24" s="118" t="s">
        <v>36</v>
      </c>
      <c r="M24" t="s">
        <v>4</v>
      </c>
      <c r="N24" t="s">
        <v>102</v>
      </c>
      <c r="O24" s="118" t="s">
        <v>36</v>
      </c>
      <c r="Q24" t="s">
        <v>4</v>
      </c>
      <c r="R24" t="s">
        <v>102</v>
      </c>
      <c r="S24" s="118" t="s">
        <v>36</v>
      </c>
      <c r="U24" t="s">
        <v>4</v>
      </c>
    </row>
    <row r="25" spans="2:21" x14ac:dyDescent="0.25">
      <c r="B25" t="s">
        <v>55</v>
      </c>
      <c r="C25" s="118" t="s">
        <v>56</v>
      </c>
      <c r="E25" t="s">
        <v>4</v>
      </c>
      <c r="F25" t="s">
        <v>103</v>
      </c>
      <c r="G25" s="118" t="s">
        <v>104</v>
      </c>
      <c r="I25" t="s">
        <v>4</v>
      </c>
      <c r="J25" t="s">
        <v>103</v>
      </c>
      <c r="K25" s="118" t="s">
        <v>104</v>
      </c>
      <c r="M25" t="s">
        <v>4</v>
      </c>
      <c r="N25" t="s">
        <v>103</v>
      </c>
      <c r="O25" s="118" t="s">
        <v>104</v>
      </c>
      <c r="Q25" t="s">
        <v>4</v>
      </c>
      <c r="R25" t="s">
        <v>103</v>
      </c>
      <c r="S25" s="118" t="s">
        <v>104</v>
      </c>
      <c r="U25" t="s">
        <v>4</v>
      </c>
    </row>
    <row r="26" spans="2:21" x14ac:dyDescent="0.25">
      <c r="B26" t="s">
        <v>58</v>
      </c>
      <c r="C26" s="118" t="s">
        <v>59</v>
      </c>
      <c r="E26" t="s">
        <v>4</v>
      </c>
      <c r="I26" t="s">
        <v>4</v>
      </c>
      <c r="M26" t="s">
        <v>4</v>
      </c>
      <c r="O26" s="118"/>
      <c r="Q26" t="s">
        <v>4</v>
      </c>
      <c r="S26" s="118"/>
      <c r="U26" t="s">
        <v>4</v>
      </c>
    </row>
    <row r="27" spans="2:21" x14ac:dyDescent="0.25">
      <c r="B27" t="s">
        <v>61</v>
      </c>
      <c r="C27" s="118" t="s">
        <v>62</v>
      </c>
      <c r="E27" t="s">
        <v>4</v>
      </c>
      <c r="F27" t="s">
        <v>81</v>
      </c>
      <c r="I27" t="s">
        <v>4</v>
      </c>
      <c r="J27" t="s">
        <v>81</v>
      </c>
      <c r="M27" t="s">
        <v>4</v>
      </c>
      <c r="N27" t="s">
        <v>81</v>
      </c>
      <c r="O27" s="118"/>
      <c r="Q27" t="s">
        <v>4</v>
      </c>
      <c r="R27" t="s">
        <v>81</v>
      </c>
      <c r="S27" s="118"/>
      <c r="U27" t="s">
        <v>4</v>
      </c>
    </row>
    <row r="28" spans="2:21" x14ac:dyDescent="0.25">
      <c r="B28" t="s">
        <v>63</v>
      </c>
      <c r="C28" s="118" t="s">
        <v>64</v>
      </c>
      <c r="E28" t="s">
        <v>4</v>
      </c>
      <c r="F28" t="s">
        <v>72</v>
      </c>
      <c r="G28" s="118" t="s">
        <v>32</v>
      </c>
      <c r="I28" t="s">
        <v>4</v>
      </c>
      <c r="J28" t="s">
        <v>72</v>
      </c>
      <c r="K28" s="118" t="s">
        <v>32</v>
      </c>
      <c r="M28" t="s">
        <v>4</v>
      </c>
      <c r="N28" t="s">
        <v>72</v>
      </c>
      <c r="O28" s="118" t="s">
        <v>32</v>
      </c>
      <c r="Q28" t="s">
        <v>4</v>
      </c>
      <c r="R28" t="s">
        <v>72</v>
      </c>
      <c r="S28" s="118" t="s">
        <v>32</v>
      </c>
      <c r="U28" t="s">
        <v>4</v>
      </c>
    </row>
    <row r="29" spans="2:21" x14ac:dyDescent="0.25">
      <c r="B29" t="s">
        <v>65</v>
      </c>
      <c r="C29" s="118">
        <v>1E-10</v>
      </c>
      <c r="E29" t="s">
        <v>4</v>
      </c>
      <c r="F29" t="s">
        <v>73</v>
      </c>
      <c r="G29" s="118" t="s">
        <v>36</v>
      </c>
      <c r="I29" t="s">
        <v>4</v>
      </c>
      <c r="J29" t="s">
        <v>73</v>
      </c>
      <c r="K29" s="118" t="s">
        <v>36</v>
      </c>
      <c r="M29" t="s">
        <v>4</v>
      </c>
      <c r="N29" t="s">
        <v>73</v>
      </c>
      <c r="O29" s="118" t="s">
        <v>36</v>
      </c>
      <c r="Q29" t="s">
        <v>4</v>
      </c>
      <c r="R29" t="s">
        <v>73</v>
      </c>
      <c r="S29" s="118" t="s">
        <v>36</v>
      </c>
      <c r="U29" t="s">
        <v>4</v>
      </c>
    </row>
    <row r="30" spans="2:21" x14ac:dyDescent="0.25">
      <c r="B30" t="s">
        <v>66</v>
      </c>
      <c r="C30" s="118">
        <v>1000</v>
      </c>
      <c r="E30" t="s">
        <v>4</v>
      </c>
      <c r="F30" t="s">
        <v>74</v>
      </c>
      <c r="G30" s="118" t="s">
        <v>105</v>
      </c>
      <c r="I30" t="s">
        <v>4</v>
      </c>
      <c r="J30" t="s">
        <v>74</v>
      </c>
      <c r="K30" s="118" t="s">
        <v>105</v>
      </c>
      <c r="M30" t="s">
        <v>4</v>
      </c>
      <c r="N30" t="s">
        <v>74</v>
      </c>
      <c r="O30" s="118" t="s">
        <v>105</v>
      </c>
      <c r="Q30" t="s">
        <v>4</v>
      </c>
      <c r="R30" t="s">
        <v>74</v>
      </c>
      <c r="S30" s="118" t="s">
        <v>105</v>
      </c>
      <c r="U30" t="s">
        <v>4</v>
      </c>
    </row>
    <row r="31" spans="2:21" x14ac:dyDescent="0.25">
      <c r="B31" t="s">
        <v>67</v>
      </c>
      <c r="C31" s="118" t="s">
        <v>68</v>
      </c>
      <c r="E31" t="s">
        <v>4</v>
      </c>
      <c r="F31" t="s">
        <v>106</v>
      </c>
      <c r="G31" s="118">
        <v>2</v>
      </c>
      <c r="I31" t="s">
        <v>4</v>
      </c>
      <c r="J31" t="s">
        <v>106</v>
      </c>
      <c r="K31" s="118">
        <v>2</v>
      </c>
      <c r="M31" t="s">
        <v>4</v>
      </c>
      <c r="N31" t="s">
        <v>106</v>
      </c>
      <c r="O31" s="118">
        <v>2</v>
      </c>
      <c r="Q31" t="s">
        <v>4</v>
      </c>
      <c r="R31" t="s">
        <v>106</v>
      </c>
      <c r="S31" s="118">
        <v>2</v>
      </c>
      <c r="U31" t="s">
        <v>4</v>
      </c>
    </row>
    <row r="32" spans="2:21" x14ac:dyDescent="0.25">
      <c r="B32" t="s">
        <v>69</v>
      </c>
      <c r="C32" s="118" t="b">
        <v>1</v>
      </c>
      <c r="E32" t="s">
        <v>4</v>
      </c>
      <c r="F32" t="s">
        <v>76</v>
      </c>
      <c r="G32" s="118" t="s">
        <v>49</v>
      </c>
      <c r="I32" t="s">
        <v>4</v>
      </c>
      <c r="J32" t="s">
        <v>76</v>
      </c>
      <c r="K32" s="118" t="s">
        <v>49</v>
      </c>
      <c r="M32" t="s">
        <v>4</v>
      </c>
      <c r="N32" t="s">
        <v>76</v>
      </c>
      <c r="O32" s="118" t="s">
        <v>49</v>
      </c>
      <c r="Q32" t="s">
        <v>4</v>
      </c>
      <c r="R32" t="s">
        <v>76</v>
      </c>
      <c r="S32" s="118" t="s">
        <v>49</v>
      </c>
      <c r="U32" t="s">
        <v>4</v>
      </c>
    </row>
    <row r="33" spans="2:21" x14ac:dyDescent="0.25">
      <c r="E33" t="s">
        <v>4</v>
      </c>
      <c r="I33" t="s">
        <v>4</v>
      </c>
      <c r="M33" t="s">
        <v>4</v>
      </c>
      <c r="O33" s="118"/>
      <c r="Q33" t="s">
        <v>4</v>
      </c>
      <c r="S33" s="118"/>
      <c r="U33" t="s">
        <v>4</v>
      </c>
    </row>
    <row r="34" spans="2:21" x14ac:dyDescent="0.25">
      <c r="B34" t="s">
        <v>70</v>
      </c>
      <c r="D34" t="s">
        <v>71</v>
      </c>
      <c r="E34" t="s">
        <v>4</v>
      </c>
      <c r="F34" t="s">
        <v>107</v>
      </c>
      <c r="I34" t="s">
        <v>4</v>
      </c>
      <c r="J34" t="s">
        <v>107</v>
      </c>
      <c r="M34" t="s">
        <v>4</v>
      </c>
      <c r="N34" t="s">
        <v>107</v>
      </c>
      <c r="O34" s="118"/>
      <c r="Q34" t="s">
        <v>4</v>
      </c>
      <c r="R34" t="s">
        <v>107</v>
      </c>
      <c r="S34" s="118"/>
      <c r="U34" t="s">
        <v>4</v>
      </c>
    </row>
    <row r="35" spans="2:21" x14ac:dyDescent="0.25">
      <c r="B35" t="s">
        <v>72</v>
      </c>
      <c r="C35" s="118" t="s">
        <v>32</v>
      </c>
      <c r="E35" t="s">
        <v>4</v>
      </c>
      <c r="F35" t="s">
        <v>72</v>
      </c>
      <c r="G35" s="118" t="s">
        <v>32</v>
      </c>
      <c r="I35" t="s">
        <v>4</v>
      </c>
      <c r="J35" t="s">
        <v>72</v>
      </c>
      <c r="K35" s="118" t="s">
        <v>32</v>
      </c>
      <c r="M35" t="s">
        <v>4</v>
      </c>
      <c r="N35" t="s">
        <v>72</v>
      </c>
      <c r="O35" s="118" t="s">
        <v>32</v>
      </c>
      <c r="Q35" t="s">
        <v>4</v>
      </c>
      <c r="R35" t="s">
        <v>72</v>
      </c>
      <c r="S35" s="118" t="s">
        <v>32</v>
      </c>
      <c r="U35" t="s">
        <v>4</v>
      </c>
    </row>
    <row r="36" spans="2:21" x14ac:dyDescent="0.25">
      <c r="B36" t="s">
        <v>73</v>
      </c>
      <c r="C36" s="118" t="s">
        <v>36</v>
      </c>
      <c r="E36" t="s">
        <v>4</v>
      </c>
      <c r="F36" t="s">
        <v>102</v>
      </c>
      <c r="G36" s="118" t="s">
        <v>36</v>
      </c>
      <c r="I36" t="s">
        <v>4</v>
      </c>
      <c r="J36" t="s">
        <v>102</v>
      </c>
      <c r="K36" s="118" t="s">
        <v>36</v>
      </c>
      <c r="M36" t="s">
        <v>4</v>
      </c>
      <c r="N36" t="s">
        <v>102</v>
      </c>
      <c r="O36" s="118" t="s">
        <v>36</v>
      </c>
      <c r="Q36" t="s">
        <v>4</v>
      </c>
      <c r="R36" t="s">
        <v>102</v>
      </c>
      <c r="S36" s="118" t="s">
        <v>36</v>
      </c>
      <c r="U36" t="s">
        <v>4</v>
      </c>
    </row>
    <row r="37" spans="2:21" x14ac:dyDescent="0.25">
      <c r="B37" t="s">
        <v>74</v>
      </c>
      <c r="C37" s="118" t="s">
        <v>75</v>
      </c>
      <c r="E37" t="s">
        <v>4</v>
      </c>
      <c r="F37" t="s">
        <v>108</v>
      </c>
      <c r="G37" s="118">
        <v>2</v>
      </c>
      <c r="I37" t="s">
        <v>4</v>
      </c>
      <c r="J37" t="s">
        <v>108</v>
      </c>
      <c r="K37" s="118">
        <v>2</v>
      </c>
      <c r="M37" t="s">
        <v>4</v>
      </c>
      <c r="N37" t="s">
        <v>108</v>
      </c>
      <c r="O37" s="118">
        <v>2</v>
      </c>
      <c r="Q37" t="s">
        <v>4</v>
      </c>
      <c r="R37" t="s">
        <v>108</v>
      </c>
      <c r="S37" s="118">
        <v>2</v>
      </c>
      <c r="U37" t="s">
        <v>4</v>
      </c>
    </row>
    <row r="38" spans="2:21" x14ac:dyDescent="0.25">
      <c r="B38" t="s">
        <v>76</v>
      </c>
      <c r="C38" s="118" t="s">
        <v>49</v>
      </c>
      <c r="E38" t="s">
        <v>4</v>
      </c>
      <c r="F38" t="s">
        <v>76</v>
      </c>
      <c r="G38" s="118" t="s">
        <v>49</v>
      </c>
      <c r="I38" t="s">
        <v>4</v>
      </c>
      <c r="J38" t="s">
        <v>76</v>
      </c>
      <c r="K38" s="118" t="s">
        <v>49</v>
      </c>
      <c r="M38" t="s">
        <v>4</v>
      </c>
      <c r="N38" t="s">
        <v>76</v>
      </c>
      <c r="O38" s="118" t="s">
        <v>49</v>
      </c>
      <c r="Q38" t="s">
        <v>4</v>
      </c>
      <c r="R38" t="s">
        <v>76</v>
      </c>
      <c r="S38" s="118" t="s">
        <v>49</v>
      </c>
      <c r="U38" t="s">
        <v>4</v>
      </c>
    </row>
    <row r="39" spans="2:21" x14ac:dyDescent="0.25">
      <c r="E39" t="s">
        <v>4</v>
      </c>
      <c r="F39" t="s">
        <v>109</v>
      </c>
      <c r="G39" s="118" t="b">
        <v>1</v>
      </c>
      <c r="I39" t="s">
        <v>4</v>
      </c>
      <c r="J39" t="s">
        <v>109</v>
      </c>
      <c r="K39" s="118" t="b">
        <v>1</v>
      </c>
      <c r="M39" t="s">
        <v>4</v>
      </c>
      <c r="N39" t="s">
        <v>109</v>
      </c>
      <c r="O39" s="118" t="b">
        <v>1</v>
      </c>
      <c r="Q39" t="s">
        <v>4</v>
      </c>
      <c r="R39" t="s">
        <v>109</v>
      </c>
      <c r="S39" s="118" t="b">
        <v>1</v>
      </c>
      <c r="U39" t="s">
        <v>4</v>
      </c>
    </row>
    <row r="40" spans="2:21" x14ac:dyDescent="0.25">
      <c r="B40" t="s">
        <v>3</v>
      </c>
      <c r="D40" t="s">
        <v>77</v>
      </c>
      <c r="E40" t="s">
        <v>4</v>
      </c>
      <c r="F40" t="s">
        <v>110</v>
      </c>
      <c r="G40" s="118">
        <v>2</v>
      </c>
      <c r="I40" t="s">
        <v>4</v>
      </c>
      <c r="J40" t="s">
        <v>110</v>
      </c>
      <c r="K40" s="118">
        <v>2</v>
      </c>
      <c r="M40" t="s">
        <v>4</v>
      </c>
      <c r="N40" t="s">
        <v>110</v>
      </c>
      <c r="O40" s="118">
        <v>2</v>
      </c>
      <c r="Q40" t="s">
        <v>4</v>
      </c>
      <c r="R40" t="s">
        <v>110</v>
      </c>
      <c r="S40" s="118">
        <v>2</v>
      </c>
      <c r="U40" t="s">
        <v>4</v>
      </c>
    </row>
    <row r="41" spans="2:21" x14ac:dyDescent="0.25">
      <c r="B41" t="s">
        <v>31</v>
      </c>
      <c r="C41" s="118" t="s">
        <v>32</v>
      </c>
      <c r="E41" t="s">
        <v>4</v>
      </c>
      <c r="I41" t="s">
        <v>4</v>
      </c>
      <c r="M41" t="s">
        <v>4</v>
      </c>
      <c r="O41" s="118"/>
      <c r="Q41" t="s">
        <v>4</v>
      </c>
      <c r="S41" s="118"/>
      <c r="U41" t="s">
        <v>4</v>
      </c>
    </row>
    <row r="42" spans="2:21" x14ac:dyDescent="0.25">
      <c r="B42" t="s">
        <v>78</v>
      </c>
      <c r="C42" s="118" t="s">
        <v>79</v>
      </c>
      <c r="E42" t="s">
        <v>4</v>
      </c>
      <c r="F42" t="s">
        <v>82</v>
      </c>
      <c r="I42" t="s">
        <v>4</v>
      </c>
      <c r="J42" t="s">
        <v>82</v>
      </c>
      <c r="M42" t="s">
        <v>4</v>
      </c>
      <c r="N42" t="s">
        <v>82</v>
      </c>
      <c r="O42" s="118"/>
      <c r="Q42" t="s">
        <v>4</v>
      </c>
      <c r="R42" t="s">
        <v>82</v>
      </c>
      <c r="S42" s="118"/>
      <c r="U42" t="s">
        <v>4</v>
      </c>
    </row>
    <row r="43" spans="2:21" x14ac:dyDescent="0.25">
      <c r="B43" t="s">
        <v>80</v>
      </c>
      <c r="C43" s="118" t="s">
        <v>39</v>
      </c>
      <c r="E43" t="s">
        <v>4</v>
      </c>
      <c r="F43" t="s">
        <v>31</v>
      </c>
      <c r="G43" s="118" t="s">
        <v>32</v>
      </c>
      <c r="I43" t="s">
        <v>4</v>
      </c>
      <c r="J43" t="s">
        <v>31</v>
      </c>
      <c r="K43" s="118" t="s">
        <v>32</v>
      </c>
      <c r="M43" t="s">
        <v>4</v>
      </c>
      <c r="N43" t="s">
        <v>31</v>
      </c>
      <c r="O43" s="118" t="s">
        <v>32</v>
      </c>
      <c r="Q43" t="s">
        <v>4</v>
      </c>
      <c r="R43" t="s">
        <v>31</v>
      </c>
      <c r="S43" s="118" t="s">
        <v>32</v>
      </c>
      <c r="U43" t="s">
        <v>4</v>
      </c>
    </row>
    <row r="44" spans="2:21" x14ac:dyDescent="0.25">
      <c r="B44" t="s">
        <v>48</v>
      </c>
      <c r="C44" s="118" t="s">
        <v>49</v>
      </c>
      <c r="E44" t="s">
        <v>4</v>
      </c>
      <c r="F44" t="s">
        <v>35</v>
      </c>
      <c r="G44" s="118" t="s">
        <v>36</v>
      </c>
      <c r="I44" t="s">
        <v>4</v>
      </c>
      <c r="M44" t="s">
        <v>4</v>
      </c>
      <c r="N44" t="s">
        <v>35</v>
      </c>
      <c r="O44" s="118" t="s">
        <v>36</v>
      </c>
      <c r="Q44" t="s">
        <v>4</v>
      </c>
      <c r="R44" t="s">
        <v>35</v>
      </c>
      <c r="S44" s="118" t="s">
        <v>36</v>
      </c>
      <c r="U44" t="s">
        <v>4</v>
      </c>
    </row>
    <row r="45" spans="2:21" x14ac:dyDescent="0.25">
      <c r="E45" t="s">
        <v>4</v>
      </c>
      <c r="F45" t="s">
        <v>43</v>
      </c>
      <c r="G45" s="118" t="s">
        <v>112</v>
      </c>
      <c r="I45" t="s">
        <v>4</v>
      </c>
      <c r="J45" t="s">
        <v>3</v>
      </c>
      <c r="M45" t="s">
        <v>4</v>
      </c>
      <c r="N45" t="s">
        <v>43</v>
      </c>
      <c r="O45" s="118" t="s">
        <v>112</v>
      </c>
      <c r="Q45" t="s">
        <v>4</v>
      </c>
      <c r="R45" t="s">
        <v>43</v>
      </c>
      <c r="S45" s="118" t="s">
        <v>112</v>
      </c>
      <c r="U45" t="s">
        <v>4</v>
      </c>
    </row>
    <row r="46" spans="2:21" x14ac:dyDescent="0.25">
      <c r="E46" t="s">
        <v>4</v>
      </c>
      <c r="F46" t="s">
        <v>48</v>
      </c>
      <c r="G46" s="118" t="s">
        <v>49</v>
      </c>
      <c r="I46" t="s">
        <v>4</v>
      </c>
      <c r="J46" t="s">
        <v>72</v>
      </c>
      <c r="K46" s="118" t="s">
        <v>32</v>
      </c>
      <c r="M46" t="s">
        <v>4</v>
      </c>
      <c r="N46" t="s">
        <v>48</v>
      </c>
      <c r="O46" s="118" t="s">
        <v>49</v>
      </c>
      <c r="Q46" t="s">
        <v>4</v>
      </c>
      <c r="R46" t="s">
        <v>48</v>
      </c>
      <c r="S46" s="118" t="s">
        <v>49</v>
      </c>
      <c r="U46" t="s">
        <v>4</v>
      </c>
    </row>
    <row r="47" spans="2:21" x14ac:dyDescent="0.25">
      <c r="E47" t="s">
        <v>4</v>
      </c>
      <c r="F47" t="s">
        <v>113</v>
      </c>
      <c r="G47" s="118">
        <v>0.03</v>
      </c>
      <c r="I47" t="s">
        <v>4</v>
      </c>
      <c r="J47" t="s">
        <v>102</v>
      </c>
      <c r="K47" s="118" t="s">
        <v>79</v>
      </c>
      <c r="M47" t="s">
        <v>4</v>
      </c>
      <c r="N47" t="s">
        <v>113</v>
      </c>
      <c r="O47" s="118">
        <v>0.03</v>
      </c>
      <c r="Q47" t="s">
        <v>4</v>
      </c>
      <c r="R47" t="s">
        <v>113</v>
      </c>
      <c r="S47" s="118">
        <v>0.03</v>
      </c>
      <c r="U47" t="s">
        <v>4</v>
      </c>
    </row>
    <row r="48" spans="2:21" x14ac:dyDescent="0.25">
      <c r="E48" t="s">
        <v>4</v>
      </c>
      <c r="F48" t="s">
        <v>109</v>
      </c>
      <c r="G48" s="118" t="b">
        <v>0</v>
      </c>
      <c r="I48" t="s">
        <v>4</v>
      </c>
      <c r="J48" t="s">
        <v>114</v>
      </c>
      <c r="K48" s="118" t="s">
        <v>36</v>
      </c>
      <c r="M48" t="s">
        <v>4</v>
      </c>
      <c r="N48" t="s">
        <v>109</v>
      </c>
      <c r="O48" s="118" t="b">
        <v>0</v>
      </c>
      <c r="Q48" t="s">
        <v>4</v>
      </c>
      <c r="R48" t="s">
        <v>109</v>
      </c>
      <c r="S48" s="118" t="b">
        <v>0</v>
      </c>
      <c r="U48" t="s">
        <v>4</v>
      </c>
    </row>
    <row r="49" spans="5:21" x14ac:dyDescent="0.25">
      <c r="E49" t="s">
        <v>4</v>
      </c>
      <c r="F49" t="s">
        <v>110</v>
      </c>
      <c r="G49" s="118">
        <v>2</v>
      </c>
      <c r="I49" t="s">
        <v>4</v>
      </c>
      <c r="J49" t="s">
        <v>74</v>
      </c>
      <c r="K49" s="118" t="s">
        <v>115</v>
      </c>
      <c r="M49" t="s">
        <v>4</v>
      </c>
      <c r="N49" t="s">
        <v>110</v>
      </c>
      <c r="O49" s="118">
        <v>2</v>
      </c>
      <c r="Q49" t="s">
        <v>4</v>
      </c>
      <c r="R49" t="s">
        <v>110</v>
      </c>
      <c r="S49" s="118">
        <v>2</v>
      </c>
      <c r="U49" t="s">
        <v>4</v>
      </c>
    </row>
    <row r="50" spans="5:21" x14ac:dyDescent="0.25">
      <c r="E50" t="s">
        <v>4</v>
      </c>
      <c r="I50" t="s">
        <v>4</v>
      </c>
      <c r="J50" t="s">
        <v>116</v>
      </c>
      <c r="K50" s="118" t="s">
        <v>127</v>
      </c>
      <c r="M50" t="s">
        <v>4</v>
      </c>
      <c r="O50" s="118"/>
      <c r="Q50" t="s">
        <v>4</v>
      </c>
      <c r="S50" s="118"/>
      <c r="U50" t="s">
        <v>4</v>
      </c>
    </row>
    <row r="51" spans="5:21" x14ac:dyDescent="0.25">
      <c r="E51" t="s">
        <v>4</v>
      </c>
      <c r="F51" t="s">
        <v>3</v>
      </c>
      <c r="I51" t="s">
        <v>4</v>
      </c>
      <c r="J51" t="s">
        <v>118</v>
      </c>
      <c r="K51" s="118" t="s">
        <v>91</v>
      </c>
      <c r="M51" t="s">
        <v>4</v>
      </c>
      <c r="N51" t="s">
        <v>3</v>
      </c>
      <c r="O51" s="118"/>
      <c r="Q51" t="s">
        <v>4</v>
      </c>
      <c r="R51" t="s">
        <v>3</v>
      </c>
      <c r="S51" s="118"/>
      <c r="U51" t="s">
        <v>4</v>
      </c>
    </row>
    <row r="52" spans="5:21" x14ac:dyDescent="0.25">
      <c r="E52" t="s">
        <v>4</v>
      </c>
      <c r="F52" t="s">
        <v>72</v>
      </c>
      <c r="G52" s="118" t="s">
        <v>32</v>
      </c>
      <c r="I52" t="s">
        <v>4</v>
      </c>
      <c r="J52" t="s">
        <v>111</v>
      </c>
      <c r="K52" s="118" t="b">
        <v>1</v>
      </c>
      <c r="M52" t="s">
        <v>4</v>
      </c>
      <c r="N52" t="s">
        <v>72</v>
      </c>
      <c r="O52" s="118" t="s">
        <v>32</v>
      </c>
      <c r="Q52" t="s">
        <v>4</v>
      </c>
      <c r="R52" t="s">
        <v>72</v>
      </c>
      <c r="S52" s="118" t="s">
        <v>32</v>
      </c>
      <c r="U52" t="s">
        <v>4</v>
      </c>
    </row>
    <row r="53" spans="5:21" x14ac:dyDescent="0.25">
      <c r="E53" t="s">
        <v>4</v>
      </c>
      <c r="F53" t="s">
        <v>102</v>
      </c>
      <c r="G53" s="118" t="s">
        <v>79</v>
      </c>
      <c r="I53" t="s">
        <v>4</v>
      </c>
      <c r="J53" t="s">
        <v>119</v>
      </c>
      <c r="K53" s="118">
        <v>31</v>
      </c>
      <c r="M53" t="s">
        <v>4</v>
      </c>
      <c r="N53" t="s">
        <v>102</v>
      </c>
      <c r="O53" s="118" t="s">
        <v>79</v>
      </c>
      <c r="Q53" t="s">
        <v>4</v>
      </c>
      <c r="R53" t="s">
        <v>102</v>
      </c>
      <c r="S53" s="118" t="s">
        <v>79</v>
      </c>
      <c r="U53" t="s">
        <v>4</v>
      </c>
    </row>
    <row r="54" spans="5:21" x14ac:dyDescent="0.25">
      <c r="E54" t="s">
        <v>4</v>
      </c>
      <c r="F54" t="s">
        <v>114</v>
      </c>
      <c r="G54" s="118" t="s">
        <v>36</v>
      </c>
      <c r="I54" t="s">
        <v>4</v>
      </c>
      <c r="J54" t="s">
        <v>106</v>
      </c>
      <c r="K54" s="118">
        <v>2</v>
      </c>
      <c r="M54" t="s">
        <v>4</v>
      </c>
      <c r="N54" t="s">
        <v>114</v>
      </c>
      <c r="O54" s="118" t="s">
        <v>36</v>
      </c>
      <c r="Q54" t="s">
        <v>4</v>
      </c>
      <c r="R54" t="s">
        <v>114</v>
      </c>
      <c r="S54" s="118" t="s">
        <v>36</v>
      </c>
      <c r="U54" t="s">
        <v>4</v>
      </c>
    </row>
    <row r="55" spans="5:21" x14ac:dyDescent="0.25">
      <c r="E55" t="s">
        <v>4</v>
      </c>
      <c r="F55" t="s">
        <v>74</v>
      </c>
      <c r="G55" s="118" t="s">
        <v>115</v>
      </c>
      <c r="I55" t="s">
        <v>4</v>
      </c>
      <c r="J55" t="s">
        <v>76</v>
      </c>
      <c r="K55" s="118" t="s">
        <v>49</v>
      </c>
      <c r="M55" t="s">
        <v>4</v>
      </c>
      <c r="N55" t="s">
        <v>74</v>
      </c>
      <c r="O55" s="118" t="s">
        <v>39</v>
      </c>
      <c r="Q55" t="s">
        <v>4</v>
      </c>
      <c r="R55" t="s">
        <v>74</v>
      </c>
      <c r="S55" s="118" t="s">
        <v>39</v>
      </c>
      <c r="U55" t="s">
        <v>4</v>
      </c>
    </row>
    <row r="56" spans="5:21" x14ac:dyDescent="0.25">
      <c r="E56" t="s">
        <v>4</v>
      </c>
      <c r="F56" t="s">
        <v>116</v>
      </c>
      <c r="G56" s="118" t="s">
        <v>117</v>
      </c>
      <c r="I56" t="s">
        <v>4</v>
      </c>
      <c r="J56" t="s">
        <v>120</v>
      </c>
      <c r="K56" s="118" t="b">
        <v>1</v>
      </c>
      <c r="M56" t="s">
        <v>4</v>
      </c>
      <c r="N56" t="s">
        <v>116</v>
      </c>
      <c r="O56" s="123" t="s">
        <v>128</v>
      </c>
      <c r="Q56" t="s">
        <v>4</v>
      </c>
      <c r="R56" t="s">
        <v>116</v>
      </c>
      <c r="S56" s="123" t="s">
        <v>39</v>
      </c>
      <c r="U56" t="s">
        <v>4</v>
      </c>
    </row>
    <row r="57" spans="5:21" x14ac:dyDescent="0.25">
      <c r="E57" t="s">
        <v>4</v>
      </c>
      <c r="F57" t="s">
        <v>118</v>
      </c>
      <c r="G57" s="118" t="s">
        <v>91</v>
      </c>
      <c r="I57" t="s">
        <v>4</v>
      </c>
      <c r="J57" t="s">
        <v>121</v>
      </c>
      <c r="K57" s="118" t="b">
        <v>1</v>
      </c>
      <c r="M57" t="s">
        <v>4</v>
      </c>
      <c r="N57" t="s">
        <v>118</v>
      </c>
      <c r="O57" s="118" t="s">
        <v>91</v>
      </c>
      <c r="Q57" t="s">
        <v>4</v>
      </c>
      <c r="R57" t="s">
        <v>118</v>
      </c>
      <c r="S57" s="118" t="s">
        <v>91</v>
      </c>
      <c r="U57" t="s">
        <v>4</v>
      </c>
    </row>
    <row r="58" spans="5:21" x14ac:dyDescent="0.25">
      <c r="E58" t="s">
        <v>4</v>
      </c>
      <c r="F58" t="s">
        <v>111</v>
      </c>
      <c r="G58" s="118" t="b">
        <v>1</v>
      </c>
      <c r="I58" t="s">
        <v>4</v>
      </c>
      <c r="J58" t="s">
        <v>65</v>
      </c>
      <c r="K58" s="118">
        <v>1.0000000000000001E-9</v>
      </c>
      <c r="M58" t="s">
        <v>4</v>
      </c>
      <c r="N58" t="s">
        <v>111</v>
      </c>
      <c r="O58" s="118" t="b">
        <v>1</v>
      </c>
      <c r="Q58" t="s">
        <v>4</v>
      </c>
      <c r="R58" t="s">
        <v>111</v>
      </c>
      <c r="S58" s="118" t="b">
        <v>1</v>
      </c>
      <c r="U58" t="s">
        <v>4</v>
      </c>
    </row>
    <row r="59" spans="5:21" x14ac:dyDescent="0.25">
      <c r="E59" t="s">
        <v>4</v>
      </c>
      <c r="F59" t="s">
        <v>119</v>
      </c>
      <c r="G59" s="118">
        <v>31</v>
      </c>
      <c r="I59" t="s">
        <v>4</v>
      </c>
      <c r="J59" t="s">
        <v>66</v>
      </c>
      <c r="K59" s="118">
        <v>1000</v>
      </c>
      <c r="M59" t="s">
        <v>4</v>
      </c>
      <c r="N59" t="s">
        <v>119</v>
      </c>
      <c r="O59" s="118">
        <v>31</v>
      </c>
      <c r="Q59" t="s">
        <v>4</v>
      </c>
      <c r="R59" t="s">
        <v>119</v>
      </c>
      <c r="S59" s="118">
        <v>31</v>
      </c>
      <c r="U59" t="s">
        <v>4</v>
      </c>
    </row>
    <row r="60" spans="5:21" x14ac:dyDescent="0.25">
      <c r="E60" t="s">
        <v>4</v>
      </c>
      <c r="F60" t="s">
        <v>106</v>
      </c>
      <c r="G60" s="118">
        <v>2</v>
      </c>
      <c r="I60" t="s">
        <v>4</v>
      </c>
      <c r="M60" t="s">
        <v>4</v>
      </c>
      <c r="N60" t="s">
        <v>106</v>
      </c>
      <c r="O60" s="118">
        <v>2</v>
      </c>
      <c r="Q60" t="s">
        <v>4</v>
      </c>
      <c r="R60" t="s">
        <v>106</v>
      </c>
      <c r="S60" s="118">
        <v>2</v>
      </c>
      <c r="U60" t="s">
        <v>4</v>
      </c>
    </row>
    <row r="61" spans="5:21" x14ac:dyDescent="0.25">
      <c r="E61" t="s">
        <v>4</v>
      </c>
      <c r="F61" t="s">
        <v>76</v>
      </c>
      <c r="G61" s="118" t="s">
        <v>49</v>
      </c>
      <c r="I61" t="s">
        <v>4</v>
      </c>
      <c r="M61" t="s">
        <v>4</v>
      </c>
      <c r="N61" t="s">
        <v>76</v>
      </c>
      <c r="O61" s="118" t="s">
        <v>49</v>
      </c>
      <c r="Q61" t="s">
        <v>4</v>
      </c>
      <c r="R61" t="s">
        <v>76</v>
      </c>
      <c r="S61" s="118" t="s">
        <v>49</v>
      </c>
      <c r="U61" t="s">
        <v>4</v>
      </c>
    </row>
    <row r="62" spans="5:21" x14ac:dyDescent="0.25">
      <c r="E62" t="s">
        <v>4</v>
      </c>
      <c r="F62" t="s">
        <v>120</v>
      </c>
      <c r="G62" s="118" t="b">
        <v>1</v>
      </c>
      <c r="I62" t="s">
        <v>4</v>
      </c>
      <c r="M62" t="s">
        <v>4</v>
      </c>
      <c r="N62" t="s">
        <v>120</v>
      </c>
      <c r="O62" s="118" t="b">
        <v>1</v>
      </c>
      <c r="Q62" t="s">
        <v>4</v>
      </c>
      <c r="R62" t="s">
        <v>120</v>
      </c>
      <c r="S62" s="118" t="b">
        <v>1</v>
      </c>
      <c r="U62" t="s">
        <v>4</v>
      </c>
    </row>
    <row r="63" spans="5:21" x14ac:dyDescent="0.25">
      <c r="E63" t="s">
        <v>4</v>
      </c>
      <c r="F63" t="s">
        <v>121</v>
      </c>
      <c r="G63" s="118" t="b">
        <v>1</v>
      </c>
      <c r="I63" t="s">
        <v>4</v>
      </c>
      <c r="M63" t="s">
        <v>4</v>
      </c>
      <c r="N63" t="s">
        <v>121</v>
      </c>
      <c r="O63" s="118" t="b">
        <v>1</v>
      </c>
      <c r="Q63" t="s">
        <v>4</v>
      </c>
      <c r="R63" t="s">
        <v>121</v>
      </c>
      <c r="S63" s="118" t="b">
        <v>1</v>
      </c>
      <c r="U63" t="s">
        <v>4</v>
      </c>
    </row>
    <row r="64" spans="5:21" x14ac:dyDescent="0.25">
      <c r="E64" t="s">
        <v>4</v>
      </c>
      <c r="F64" t="s">
        <v>65</v>
      </c>
      <c r="G64" s="118">
        <v>1.0000000000000001E-9</v>
      </c>
      <c r="I64" t="s">
        <v>4</v>
      </c>
      <c r="M64" t="s">
        <v>4</v>
      </c>
      <c r="N64" t="s">
        <v>65</v>
      </c>
      <c r="O64" s="118">
        <v>1.0000000000000001E-9</v>
      </c>
      <c r="Q64" t="s">
        <v>4</v>
      </c>
      <c r="R64" t="s">
        <v>65</v>
      </c>
      <c r="S64" s="118">
        <v>1.0000000000000001E-9</v>
      </c>
      <c r="U64" t="s">
        <v>4</v>
      </c>
    </row>
    <row r="65" spans="5:21" x14ac:dyDescent="0.25">
      <c r="E65" t="s">
        <v>4</v>
      </c>
      <c r="F65" t="s">
        <v>66</v>
      </c>
      <c r="G65" s="118">
        <v>1000</v>
      </c>
      <c r="I65" t="s">
        <v>4</v>
      </c>
      <c r="M65" t="s">
        <v>4</v>
      </c>
      <c r="N65" t="s">
        <v>66</v>
      </c>
      <c r="O65" s="118">
        <v>1000</v>
      </c>
      <c r="Q65" t="s">
        <v>4</v>
      </c>
      <c r="R65" t="s">
        <v>66</v>
      </c>
      <c r="S65" s="118">
        <v>1000</v>
      </c>
      <c r="U65" t="s">
        <v>4</v>
      </c>
    </row>
    <row r="66" spans="5:21" x14ac:dyDescent="0.25">
      <c r="E66" t="s">
        <v>4</v>
      </c>
      <c r="I66" t="s">
        <v>4</v>
      </c>
      <c r="M66" t="s">
        <v>4</v>
      </c>
    </row>
    <row r="67" spans="5:21" x14ac:dyDescent="0.25">
      <c r="E67" t="s">
        <v>4</v>
      </c>
      <c r="I67" t="s">
        <v>4</v>
      </c>
      <c r="M67" t="s">
        <v>4</v>
      </c>
    </row>
    <row r="68" spans="5:21" x14ac:dyDescent="0.25">
      <c r="E68" t="s">
        <v>4</v>
      </c>
      <c r="I68" t="s">
        <v>4</v>
      </c>
      <c r="M68" t="s">
        <v>4</v>
      </c>
    </row>
    <row r="69" spans="5:21" x14ac:dyDescent="0.25">
      <c r="E69" t="s">
        <v>4</v>
      </c>
      <c r="I69" t="s">
        <v>4</v>
      </c>
      <c r="M69" t="s">
        <v>4</v>
      </c>
    </row>
    <row r="70" spans="5:21" x14ac:dyDescent="0.25">
      <c r="E70" t="s">
        <v>4</v>
      </c>
      <c r="I70" t="s">
        <v>4</v>
      </c>
      <c r="M70" t="s">
        <v>4</v>
      </c>
    </row>
    <row r="71" spans="5:21" x14ac:dyDescent="0.25">
      <c r="E71" t="s">
        <v>4</v>
      </c>
      <c r="I71" t="s">
        <v>4</v>
      </c>
      <c r="M71" t="s">
        <v>4</v>
      </c>
    </row>
    <row r="72" spans="5:21" x14ac:dyDescent="0.25">
      <c r="E72" t="s">
        <v>4</v>
      </c>
      <c r="I72" t="s">
        <v>4</v>
      </c>
      <c r="M72" t="s">
        <v>4</v>
      </c>
    </row>
    <row r="73" spans="5:21" x14ac:dyDescent="0.25">
      <c r="E73" t="s">
        <v>4</v>
      </c>
      <c r="I73" t="s">
        <v>4</v>
      </c>
      <c r="M73" t="s">
        <v>4</v>
      </c>
    </row>
    <row r="74" spans="5:21" x14ac:dyDescent="0.25">
      <c r="E74" t="s">
        <v>4</v>
      </c>
      <c r="I74" t="s">
        <v>4</v>
      </c>
      <c r="M74" t="s">
        <v>4</v>
      </c>
    </row>
    <row r="75" spans="5:21" x14ac:dyDescent="0.25">
      <c r="E75" t="s">
        <v>4</v>
      </c>
      <c r="I75" t="s">
        <v>4</v>
      </c>
      <c r="M75" t="s">
        <v>4</v>
      </c>
    </row>
    <row r="76" spans="5:21" x14ac:dyDescent="0.25">
      <c r="E76" t="s">
        <v>4</v>
      </c>
      <c r="I76" t="s">
        <v>4</v>
      </c>
      <c r="M76" t="s">
        <v>4</v>
      </c>
    </row>
    <row r="77" spans="5:21" x14ac:dyDescent="0.25">
      <c r="E77" t="s">
        <v>4</v>
      </c>
      <c r="I77" t="s">
        <v>4</v>
      </c>
      <c r="M77" t="s">
        <v>4</v>
      </c>
    </row>
    <row r="78" spans="5:21" x14ac:dyDescent="0.25">
      <c r="E78" t="s">
        <v>4</v>
      </c>
      <c r="I78" t="s">
        <v>4</v>
      </c>
      <c r="M78" t="s">
        <v>4</v>
      </c>
    </row>
    <row r="79" spans="5:21" x14ac:dyDescent="0.25">
      <c r="E79" t="s">
        <v>4</v>
      </c>
      <c r="I79" t="s">
        <v>4</v>
      </c>
      <c r="M79" t="s">
        <v>4</v>
      </c>
    </row>
    <row r="80" spans="5:21" x14ac:dyDescent="0.25">
      <c r="E80" t="s">
        <v>4</v>
      </c>
      <c r="I80" t="s">
        <v>4</v>
      </c>
      <c r="M80" t="s">
        <v>4</v>
      </c>
    </row>
    <row r="81" spans="5:13" x14ac:dyDescent="0.25">
      <c r="E81" t="s">
        <v>4</v>
      </c>
      <c r="I81" t="s">
        <v>4</v>
      </c>
      <c r="M81" t="s">
        <v>4</v>
      </c>
    </row>
    <row r="82" spans="5:13" x14ac:dyDescent="0.25">
      <c r="E82" t="s">
        <v>4</v>
      </c>
      <c r="I82" t="s">
        <v>4</v>
      </c>
      <c r="M82" t="s">
        <v>4</v>
      </c>
    </row>
    <row r="83" spans="5:13" x14ac:dyDescent="0.25">
      <c r="E83" t="s">
        <v>4</v>
      </c>
      <c r="I83" t="s">
        <v>4</v>
      </c>
      <c r="M83" t="s">
        <v>4</v>
      </c>
    </row>
    <row r="84" spans="5:13" x14ac:dyDescent="0.25">
      <c r="E84" t="s">
        <v>4</v>
      </c>
      <c r="I84" t="s">
        <v>4</v>
      </c>
      <c r="M84" t="s">
        <v>4</v>
      </c>
    </row>
    <row r="85" spans="5:13" x14ac:dyDescent="0.25">
      <c r="E85" t="s">
        <v>4</v>
      </c>
      <c r="I85" t="s">
        <v>4</v>
      </c>
      <c r="M85" t="s">
        <v>4</v>
      </c>
    </row>
    <row r="86" spans="5:13" x14ac:dyDescent="0.25">
      <c r="E86" t="s">
        <v>4</v>
      </c>
      <c r="I86" t="s">
        <v>4</v>
      </c>
      <c r="M86" t="s">
        <v>4</v>
      </c>
    </row>
    <row r="87" spans="5:13" x14ac:dyDescent="0.25">
      <c r="E87" t="s">
        <v>4</v>
      </c>
      <c r="I87" t="s">
        <v>4</v>
      </c>
      <c r="M87" t="s">
        <v>4</v>
      </c>
    </row>
    <row r="88" spans="5:13" x14ac:dyDescent="0.25">
      <c r="E88" t="s">
        <v>4</v>
      </c>
      <c r="I88" t="s">
        <v>4</v>
      </c>
      <c r="M88" t="s">
        <v>4</v>
      </c>
    </row>
    <row r="89" spans="5:13" x14ac:dyDescent="0.25">
      <c r="E89" t="s">
        <v>4</v>
      </c>
      <c r="I89" t="s">
        <v>4</v>
      </c>
      <c r="M89" t="s">
        <v>4</v>
      </c>
    </row>
    <row r="90" spans="5:13" x14ac:dyDescent="0.25">
      <c r="E90" t="s">
        <v>4</v>
      </c>
      <c r="I90" t="s">
        <v>4</v>
      </c>
      <c r="M90" t="s">
        <v>4</v>
      </c>
    </row>
    <row r="91" spans="5:13" x14ac:dyDescent="0.25">
      <c r="E91" t="s">
        <v>4</v>
      </c>
      <c r="I91" t="s">
        <v>4</v>
      </c>
      <c r="M91" t="s">
        <v>4</v>
      </c>
    </row>
    <row r="92" spans="5:13" x14ac:dyDescent="0.25">
      <c r="E92" t="s">
        <v>4</v>
      </c>
      <c r="I92" t="s">
        <v>4</v>
      </c>
      <c r="M92" t="s">
        <v>4</v>
      </c>
    </row>
    <row r="93" spans="5:13" x14ac:dyDescent="0.25">
      <c r="E93" t="s">
        <v>4</v>
      </c>
      <c r="I93" t="s">
        <v>4</v>
      </c>
      <c r="M93" t="s">
        <v>4</v>
      </c>
    </row>
    <row r="94" spans="5:13" x14ac:dyDescent="0.25">
      <c r="E94" t="s">
        <v>4</v>
      </c>
      <c r="I94" t="s">
        <v>4</v>
      </c>
      <c r="M94" t="s">
        <v>4</v>
      </c>
    </row>
    <row r="95" spans="5:13" x14ac:dyDescent="0.25">
      <c r="E95" t="s">
        <v>4</v>
      </c>
      <c r="I95" t="s">
        <v>4</v>
      </c>
      <c r="M95" t="s">
        <v>4</v>
      </c>
    </row>
    <row r="96" spans="5:13" x14ac:dyDescent="0.25">
      <c r="E96" t="s">
        <v>4</v>
      </c>
      <c r="I96" t="s">
        <v>4</v>
      </c>
      <c r="M96" t="s">
        <v>4</v>
      </c>
    </row>
    <row r="97" spans="5:13" x14ac:dyDescent="0.25">
      <c r="E97" t="s">
        <v>4</v>
      </c>
      <c r="I97" t="s">
        <v>4</v>
      </c>
      <c r="M97" t="s">
        <v>4</v>
      </c>
    </row>
    <row r="98" spans="5:13" x14ac:dyDescent="0.25">
      <c r="E98" t="s">
        <v>4</v>
      </c>
      <c r="I98" t="s">
        <v>4</v>
      </c>
      <c r="M98" t="s">
        <v>4</v>
      </c>
    </row>
    <row r="99" spans="5:13" x14ac:dyDescent="0.25">
      <c r="E99" t="s">
        <v>4</v>
      </c>
      <c r="I99" t="s">
        <v>4</v>
      </c>
      <c r="M99" t="s">
        <v>4</v>
      </c>
    </row>
    <row r="100" spans="5:13" x14ac:dyDescent="0.25">
      <c r="E100" t="s">
        <v>4</v>
      </c>
      <c r="I100" t="s">
        <v>4</v>
      </c>
      <c r="M100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2:P31"/>
  <sheetViews>
    <sheetView showGridLines="0" workbookViewId="0"/>
  </sheetViews>
  <sheetFormatPr defaultRowHeight="15" x14ac:dyDescent="0.25"/>
  <cols>
    <col min="2" max="2" width="34.140625" bestFit="1" customWidth="1"/>
    <col min="3" max="4" width="17.42578125" style="120" bestFit="1" customWidth="1"/>
    <col min="6" max="6" width="34.140625" bestFit="1" customWidth="1"/>
    <col min="7" max="8" width="17.42578125" style="120" bestFit="1" customWidth="1"/>
    <col min="10" max="10" width="34.140625" bestFit="1" customWidth="1"/>
    <col min="11" max="12" width="17.42578125" style="120" bestFit="1" customWidth="1"/>
    <col min="14" max="14" width="34.140625" bestFit="1" customWidth="1"/>
    <col min="15" max="16" width="17.42578125" style="120" bestFit="1" customWidth="1"/>
  </cols>
  <sheetData>
    <row r="2" spans="2:16" s="119" customFormat="1" x14ac:dyDescent="0.25">
      <c r="B2" s="119" t="s">
        <v>231</v>
      </c>
      <c r="C2" s="191"/>
      <c r="D2" s="191"/>
      <c r="F2" s="119" t="s">
        <v>232</v>
      </c>
      <c r="G2" s="191"/>
      <c r="H2" s="191"/>
      <c r="J2" s="119" t="s">
        <v>233</v>
      </c>
      <c r="K2" s="191"/>
      <c r="L2" s="191"/>
      <c r="N2" s="119" t="s">
        <v>234</v>
      </c>
      <c r="O2" s="191"/>
      <c r="P2" s="191"/>
    </row>
    <row r="3" spans="2:16" s="39" customFormat="1" x14ac:dyDescent="0.25">
      <c r="B3" s="39" t="str">
        <f>_xll.meLWOSwapGeneratorCreate(B2,B6:D31)</f>
        <v>EUR_SWAP_3ML:1</v>
      </c>
      <c r="C3" s="200"/>
      <c r="D3" s="200"/>
      <c r="F3" s="39" t="str">
        <f>_xll.meLWOSwapGeneratorCreate(F2,F6:H31)</f>
        <v>EUR_SWAP_6ML:1</v>
      </c>
      <c r="G3" s="200"/>
      <c r="H3" s="200"/>
      <c r="J3" s="39" t="str">
        <f>_xll.meLWOSwapGeneratorCreate(J2,J6:L31)</f>
        <v>EUR_SWAP_1ML:1</v>
      </c>
      <c r="K3" s="200"/>
      <c r="L3" s="200"/>
      <c r="N3" s="39" t="str">
        <f>_xll.meLWOSwapGeneratorCreate(N2,N6:P31)</f>
        <v>EUR_SWAP_12ML:1</v>
      </c>
      <c r="O3" s="200"/>
      <c r="P3" s="200"/>
    </row>
    <row r="6" spans="2:16" x14ac:dyDescent="0.25">
      <c r="B6" s="201" t="s">
        <v>201</v>
      </c>
      <c r="C6" s="202" t="s">
        <v>202</v>
      </c>
      <c r="D6" s="203" t="s">
        <v>192</v>
      </c>
      <c r="F6" s="201" t="s">
        <v>201</v>
      </c>
      <c r="G6" s="202" t="s">
        <v>202</v>
      </c>
      <c r="H6" s="203" t="s">
        <v>192</v>
      </c>
      <c r="J6" s="201" t="s">
        <v>201</v>
      </c>
      <c r="K6" s="202" t="s">
        <v>202</v>
      </c>
      <c r="L6" s="203" t="s">
        <v>192</v>
      </c>
      <c r="N6" s="201" t="s">
        <v>201</v>
      </c>
      <c r="O6" s="202" t="s">
        <v>202</v>
      </c>
      <c r="P6" s="203" t="s">
        <v>192</v>
      </c>
    </row>
    <row r="7" spans="2:16" x14ac:dyDescent="0.25">
      <c r="B7" s="204" t="s">
        <v>203</v>
      </c>
      <c r="C7" s="73">
        <v>1</v>
      </c>
      <c r="D7" s="205">
        <v>1</v>
      </c>
      <c r="F7" s="204" t="s">
        <v>203</v>
      </c>
      <c r="G7" s="73">
        <v>1</v>
      </c>
      <c r="H7" s="205">
        <v>1</v>
      </c>
      <c r="J7" s="204" t="s">
        <v>203</v>
      </c>
      <c r="K7" s="73">
        <v>1</v>
      </c>
      <c r="L7" s="205">
        <v>1</v>
      </c>
      <c r="N7" s="204" t="s">
        <v>203</v>
      </c>
      <c r="O7" s="73">
        <v>1</v>
      </c>
      <c r="P7" s="205">
        <v>1</v>
      </c>
    </row>
    <row r="8" spans="2:16" x14ac:dyDescent="0.25">
      <c r="B8" s="204" t="s">
        <v>204</v>
      </c>
      <c r="C8" s="73" t="s">
        <v>50</v>
      </c>
      <c r="D8" s="205" t="s">
        <v>129</v>
      </c>
      <c r="F8" s="204" t="s">
        <v>204</v>
      </c>
      <c r="G8" s="73" t="s">
        <v>50</v>
      </c>
      <c r="H8" s="205" t="s">
        <v>123</v>
      </c>
      <c r="J8" s="204" t="s">
        <v>204</v>
      </c>
      <c r="K8" s="73" t="s">
        <v>50</v>
      </c>
      <c r="L8" s="209" t="s">
        <v>136</v>
      </c>
      <c r="N8" s="204" t="s">
        <v>204</v>
      </c>
      <c r="O8" s="73" t="s">
        <v>50</v>
      </c>
      <c r="P8" s="209" t="s">
        <v>137</v>
      </c>
    </row>
    <row r="9" spans="2:16" x14ac:dyDescent="0.25">
      <c r="B9" s="204" t="s">
        <v>205</v>
      </c>
      <c r="C9" s="73" t="s">
        <v>64</v>
      </c>
      <c r="D9" s="205" t="s">
        <v>64</v>
      </c>
      <c r="F9" s="204" t="s">
        <v>205</v>
      </c>
      <c r="G9" s="73" t="s">
        <v>64</v>
      </c>
      <c r="H9" s="205" t="s">
        <v>68</v>
      </c>
      <c r="J9" s="204" t="s">
        <v>205</v>
      </c>
      <c r="K9" s="73" t="s">
        <v>64</v>
      </c>
      <c r="L9" s="205" t="s">
        <v>64</v>
      </c>
      <c r="N9" s="204" t="s">
        <v>205</v>
      </c>
      <c r="O9" s="73" t="s">
        <v>64</v>
      </c>
      <c r="P9" s="205" t="s">
        <v>64</v>
      </c>
    </row>
    <row r="10" spans="2:16" x14ac:dyDescent="0.25">
      <c r="B10" s="204" t="s">
        <v>206</v>
      </c>
      <c r="C10" s="73" t="s">
        <v>64</v>
      </c>
      <c r="D10" s="205" t="s">
        <v>64</v>
      </c>
      <c r="F10" s="204" t="s">
        <v>206</v>
      </c>
      <c r="G10" s="73" t="s">
        <v>64</v>
      </c>
      <c r="H10" s="205" t="s">
        <v>64</v>
      </c>
      <c r="J10" s="204" t="s">
        <v>206</v>
      </c>
      <c r="K10" s="73" t="s">
        <v>64</v>
      </c>
      <c r="L10" s="205" t="s">
        <v>64</v>
      </c>
      <c r="N10" s="204" t="s">
        <v>206</v>
      </c>
      <c r="O10" s="73" t="s">
        <v>64</v>
      </c>
      <c r="P10" s="205" t="s">
        <v>64</v>
      </c>
    </row>
    <row r="11" spans="2:16" x14ac:dyDescent="0.25">
      <c r="B11" s="204" t="s">
        <v>207</v>
      </c>
      <c r="C11" s="73" t="s">
        <v>172</v>
      </c>
      <c r="D11" s="205" t="s">
        <v>172</v>
      </c>
      <c r="F11" s="204" t="s">
        <v>207</v>
      </c>
      <c r="G11" s="73" t="s">
        <v>172</v>
      </c>
      <c r="H11" s="205" t="s">
        <v>172</v>
      </c>
      <c r="J11" s="204" t="s">
        <v>207</v>
      </c>
      <c r="K11" s="73" t="s">
        <v>172</v>
      </c>
      <c r="L11" s="205" t="s">
        <v>172</v>
      </c>
      <c r="N11" s="204" t="s">
        <v>207</v>
      </c>
      <c r="O11" s="73" t="s">
        <v>172</v>
      </c>
      <c r="P11" s="205" t="s">
        <v>172</v>
      </c>
    </row>
    <row r="12" spans="2:16" x14ac:dyDescent="0.25">
      <c r="B12" s="204" t="s">
        <v>208</v>
      </c>
      <c r="C12" s="73" t="s">
        <v>11</v>
      </c>
      <c r="D12" s="205" t="s">
        <v>11</v>
      </c>
      <c r="F12" s="204" t="s">
        <v>208</v>
      </c>
      <c r="G12" s="73" t="s">
        <v>11</v>
      </c>
      <c r="H12" s="205" t="s">
        <v>11</v>
      </c>
      <c r="J12" s="204" t="s">
        <v>208</v>
      </c>
      <c r="K12" s="73" t="s">
        <v>11</v>
      </c>
      <c r="L12" s="205" t="s">
        <v>11</v>
      </c>
      <c r="N12" s="204" t="s">
        <v>208</v>
      </c>
      <c r="O12" s="73" t="s">
        <v>11</v>
      </c>
      <c r="P12" s="205" t="s">
        <v>11</v>
      </c>
    </row>
    <row r="13" spans="2:16" x14ac:dyDescent="0.25">
      <c r="B13" s="204" t="s">
        <v>209</v>
      </c>
      <c r="C13" s="73" t="s">
        <v>11</v>
      </c>
      <c r="D13" s="205" t="s">
        <v>11</v>
      </c>
      <c r="F13" s="204" t="s">
        <v>209</v>
      </c>
      <c r="G13" s="73" t="s">
        <v>11</v>
      </c>
      <c r="H13" s="205" t="s">
        <v>11</v>
      </c>
      <c r="J13" s="204" t="s">
        <v>209</v>
      </c>
      <c r="K13" s="73" t="s">
        <v>11</v>
      </c>
      <c r="L13" s="205" t="s">
        <v>11</v>
      </c>
      <c r="N13" s="204" t="s">
        <v>209</v>
      </c>
      <c r="O13" s="73" t="s">
        <v>11</v>
      </c>
      <c r="P13" s="205" t="s">
        <v>11</v>
      </c>
    </row>
    <row r="14" spans="2:16" x14ac:dyDescent="0.25">
      <c r="B14" s="204" t="s">
        <v>210</v>
      </c>
      <c r="C14" s="73" t="s">
        <v>115</v>
      </c>
      <c r="D14" s="205" t="s">
        <v>117</v>
      </c>
      <c r="F14" s="204" t="s">
        <v>210</v>
      </c>
      <c r="G14" s="73" t="s">
        <v>115</v>
      </c>
      <c r="H14" s="205" t="s">
        <v>127</v>
      </c>
      <c r="J14" s="204" t="s">
        <v>210</v>
      </c>
      <c r="K14" s="73" t="s">
        <v>115</v>
      </c>
      <c r="L14" s="209" t="s">
        <v>128</v>
      </c>
      <c r="N14" s="204" t="s">
        <v>210</v>
      </c>
      <c r="O14" s="73" t="s">
        <v>115</v>
      </c>
      <c r="P14" s="209" t="s">
        <v>39</v>
      </c>
    </row>
    <row r="15" spans="2:16" x14ac:dyDescent="0.25">
      <c r="B15" s="204" t="s">
        <v>211</v>
      </c>
      <c r="C15" s="73" t="s">
        <v>49</v>
      </c>
      <c r="D15" s="205" t="s">
        <v>49</v>
      </c>
      <c r="F15" s="204" t="s">
        <v>211</v>
      </c>
      <c r="G15" s="73" t="s">
        <v>49</v>
      </c>
      <c r="H15" s="205" t="s">
        <v>49</v>
      </c>
      <c r="J15" s="204" t="s">
        <v>211</v>
      </c>
      <c r="K15" s="73" t="s">
        <v>49</v>
      </c>
      <c r="L15" s="205" t="s">
        <v>49</v>
      </c>
      <c r="N15" s="204" t="s">
        <v>211</v>
      </c>
      <c r="O15" s="73" t="s">
        <v>49</v>
      </c>
      <c r="P15" s="205" t="s">
        <v>49</v>
      </c>
    </row>
    <row r="16" spans="2:16" x14ac:dyDescent="0.25">
      <c r="B16" s="204" t="s">
        <v>212</v>
      </c>
      <c r="C16" s="73" t="s">
        <v>32</v>
      </c>
      <c r="D16" s="205" t="s">
        <v>32</v>
      </c>
      <c r="F16" s="204" t="s">
        <v>212</v>
      </c>
      <c r="G16" s="73" t="s">
        <v>32</v>
      </c>
      <c r="H16" s="205" t="s">
        <v>32</v>
      </c>
      <c r="J16" s="204" t="s">
        <v>212</v>
      </c>
      <c r="K16" s="73" t="s">
        <v>32</v>
      </c>
      <c r="L16" s="205" t="s">
        <v>32</v>
      </c>
      <c r="N16" s="204" t="s">
        <v>212</v>
      </c>
      <c r="O16" s="73" t="s">
        <v>32</v>
      </c>
      <c r="P16" s="205" t="s">
        <v>32</v>
      </c>
    </row>
    <row r="17" spans="2:16" x14ac:dyDescent="0.25">
      <c r="B17" s="204" t="s">
        <v>213</v>
      </c>
      <c r="C17" s="73" t="s">
        <v>79</v>
      </c>
      <c r="D17" s="205" t="s">
        <v>36</v>
      </c>
      <c r="F17" s="204" t="s">
        <v>213</v>
      </c>
      <c r="G17" s="73" t="s">
        <v>79</v>
      </c>
      <c r="H17" s="205" t="s">
        <v>36</v>
      </c>
      <c r="J17" s="204" t="s">
        <v>213</v>
      </c>
      <c r="K17" s="73" t="s">
        <v>79</v>
      </c>
      <c r="L17" s="205" t="s">
        <v>36</v>
      </c>
      <c r="N17" s="204" t="s">
        <v>213</v>
      </c>
      <c r="O17" s="73" t="s">
        <v>79</v>
      </c>
      <c r="P17" s="205" t="s">
        <v>36</v>
      </c>
    </row>
    <row r="18" spans="2:16" x14ac:dyDescent="0.25">
      <c r="B18" s="204" t="s">
        <v>214</v>
      </c>
      <c r="C18" s="73" t="s">
        <v>50</v>
      </c>
      <c r="D18" s="205" t="s">
        <v>50</v>
      </c>
      <c r="F18" s="204" t="s">
        <v>214</v>
      </c>
      <c r="G18" s="73" t="s">
        <v>50</v>
      </c>
      <c r="H18" s="205" t="s">
        <v>50</v>
      </c>
      <c r="J18" s="204" t="s">
        <v>214</v>
      </c>
      <c r="K18" s="73" t="s">
        <v>50</v>
      </c>
      <c r="L18" s="205" t="s">
        <v>50</v>
      </c>
      <c r="N18" s="204" t="s">
        <v>214</v>
      </c>
      <c r="O18" s="73" t="s">
        <v>50</v>
      </c>
      <c r="P18" s="205" t="s">
        <v>50</v>
      </c>
    </row>
    <row r="19" spans="2:16" x14ac:dyDescent="0.25">
      <c r="B19" s="204" t="s">
        <v>215</v>
      </c>
      <c r="C19" s="73" t="s">
        <v>49</v>
      </c>
      <c r="D19" s="205" t="s">
        <v>49</v>
      </c>
      <c r="F19" s="204" t="s">
        <v>215</v>
      </c>
      <c r="G19" s="73" t="s">
        <v>49</v>
      </c>
      <c r="H19" s="205" t="s">
        <v>49</v>
      </c>
      <c r="J19" s="204" t="s">
        <v>215</v>
      </c>
      <c r="K19" s="73" t="s">
        <v>49</v>
      </c>
      <c r="L19" s="205" t="s">
        <v>49</v>
      </c>
      <c r="N19" s="204" t="s">
        <v>215</v>
      </c>
      <c r="O19" s="73" t="s">
        <v>49</v>
      </c>
      <c r="P19" s="205" t="s">
        <v>49</v>
      </c>
    </row>
    <row r="20" spans="2:16" x14ac:dyDescent="0.25">
      <c r="B20" s="204" t="s">
        <v>216</v>
      </c>
      <c r="C20" s="73" t="s">
        <v>32</v>
      </c>
      <c r="D20" s="205" t="s">
        <v>32</v>
      </c>
      <c r="F20" s="204" t="s">
        <v>216</v>
      </c>
      <c r="G20" s="73" t="s">
        <v>32</v>
      </c>
      <c r="H20" s="205" t="s">
        <v>32</v>
      </c>
      <c r="J20" s="204" t="s">
        <v>216</v>
      </c>
      <c r="K20" s="73" t="s">
        <v>32</v>
      </c>
      <c r="L20" s="205" t="s">
        <v>32</v>
      </c>
      <c r="N20" s="204" t="s">
        <v>216</v>
      </c>
      <c r="O20" s="73" t="s">
        <v>32</v>
      </c>
      <c r="P20" s="205" t="s">
        <v>32</v>
      </c>
    </row>
    <row r="21" spans="2:16" x14ac:dyDescent="0.25">
      <c r="B21" s="204" t="s">
        <v>217</v>
      </c>
      <c r="C21" s="73" t="s">
        <v>194</v>
      </c>
      <c r="D21" s="205" t="s">
        <v>194</v>
      </c>
      <c r="F21" s="204" t="s">
        <v>217</v>
      </c>
      <c r="G21" s="73" t="s">
        <v>194</v>
      </c>
      <c r="H21" s="205" t="s">
        <v>194</v>
      </c>
      <c r="J21" s="204" t="s">
        <v>217</v>
      </c>
      <c r="K21" s="73" t="s">
        <v>194</v>
      </c>
      <c r="L21" s="205" t="s">
        <v>194</v>
      </c>
      <c r="N21" s="204" t="s">
        <v>217</v>
      </c>
      <c r="O21" s="73" t="s">
        <v>194</v>
      </c>
      <c r="P21" s="205" t="s">
        <v>194</v>
      </c>
    </row>
    <row r="22" spans="2:16" x14ac:dyDescent="0.25">
      <c r="B22" s="204" t="s">
        <v>218</v>
      </c>
      <c r="C22" s="73" t="s">
        <v>50</v>
      </c>
      <c r="D22" s="205" t="s">
        <v>50</v>
      </c>
      <c r="F22" s="204" t="s">
        <v>218</v>
      </c>
      <c r="G22" s="73" t="s">
        <v>50</v>
      </c>
      <c r="H22" s="205" t="s">
        <v>50</v>
      </c>
      <c r="J22" s="204" t="s">
        <v>218</v>
      </c>
      <c r="K22" s="73" t="s">
        <v>50</v>
      </c>
      <c r="L22" s="205" t="s">
        <v>50</v>
      </c>
      <c r="N22" s="204" t="s">
        <v>218</v>
      </c>
      <c r="O22" s="73" t="s">
        <v>50</v>
      </c>
      <c r="P22" s="205" t="s">
        <v>50</v>
      </c>
    </row>
    <row r="23" spans="2:16" x14ac:dyDescent="0.25">
      <c r="B23" s="204" t="s">
        <v>219</v>
      </c>
      <c r="C23" s="73" t="s">
        <v>50</v>
      </c>
      <c r="D23" s="205" t="s">
        <v>50</v>
      </c>
      <c r="F23" s="204" t="s">
        <v>219</v>
      </c>
      <c r="G23" s="73" t="s">
        <v>50</v>
      </c>
      <c r="H23" s="205" t="s">
        <v>50</v>
      </c>
      <c r="J23" s="204" t="s">
        <v>219</v>
      </c>
      <c r="K23" s="73" t="s">
        <v>50</v>
      </c>
      <c r="L23" s="205" t="s">
        <v>50</v>
      </c>
      <c r="N23" s="204" t="s">
        <v>219</v>
      </c>
      <c r="O23" s="73" t="s">
        <v>50</v>
      </c>
      <c r="P23" s="205" t="s">
        <v>50</v>
      </c>
    </row>
    <row r="24" spans="2:16" x14ac:dyDescent="0.25">
      <c r="B24" s="204" t="s">
        <v>220</v>
      </c>
      <c r="C24" s="73" t="s">
        <v>197</v>
      </c>
      <c r="D24" s="205" t="s">
        <v>197</v>
      </c>
      <c r="F24" s="204" t="s">
        <v>220</v>
      </c>
      <c r="G24" s="73" t="s">
        <v>197</v>
      </c>
      <c r="H24" s="205" t="s">
        <v>197</v>
      </c>
      <c r="J24" s="204" t="s">
        <v>220</v>
      </c>
      <c r="K24" s="73" t="s">
        <v>197</v>
      </c>
      <c r="L24" s="205" t="s">
        <v>197</v>
      </c>
      <c r="N24" s="204" t="s">
        <v>220</v>
      </c>
      <c r="O24" s="73" t="s">
        <v>197</v>
      </c>
      <c r="P24" s="205" t="s">
        <v>197</v>
      </c>
    </row>
    <row r="25" spans="2:16" x14ac:dyDescent="0.25">
      <c r="B25" s="204" t="s">
        <v>221</v>
      </c>
      <c r="C25" s="73" t="s">
        <v>193</v>
      </c>
      <c r="D25" s="205" t="s">
        <v>193</v>
      </c>
      <c r="F25" s="204" t="s">
        <v>221</v>
      </c>
      <c r="G25" s="73" t="s">
        <v>193</v>
      </c>
      <c r="H25" s="205" t="s">
        <v>193</v>
      </c>
      <c r="J25" s="204" t="s">
        <v>221</v>
      </c>
      <c r="K25" s="73" t="s">
        <v>193</v>
      </c>
      <c r="L25" s="205" t="s">
        <v>193</v>
      </c>
      <c r="N25" s="204" t="s">
        <v>221</v>
      </c>
      <c r="O25" s="73" t="s">
        <v>193</v>
      </c>
      <c r="P25" s="205" t="s">
        <v>193</v>
      </c>
    </row>
    <row r="26" spans="2:16" x14ac:dyDescent="0.25">
      <c r="B26" s="204" t="s">
        <v>222</v>
      </c>
      <c r="C26" s="73" t="s">
        <v>50</v>
      </c>
      <c r="D26" s="205" t="s">
        <v>49</v>
      </c>
      <c r="F26" s="204" t="s">
        <v>222</v>
      </c>
      <c r="G26" s="73" t="s">
        <v>50</v>
      </c>
      <c r="H26" s="205" t="s">
        <v>49</v>
      </c>
      <c r="J26" s="204" t="s">
        <v>222</v>
      </c>
      <c r="K26" s="73" t="s">
        <v>50</v>
      </c>
      <c r="L26" s="205" t="s">
        <v>49</v>
      </c>
      <c r="N26" s="204" t="s">
        <v>222</v>
      </c>
      <c r="O26" s="73" t="s">
        <v>50</v>
      </c>
      <c r="P26" s="205" t="s">
        <v>49</v>
      </c>
    </row>
    <row r="27" spans="2:16" x14ac:dyDescent="0.25">
      <c r="B27" s="204" t="s">
        <v>223</v>
      </c>
      <c r="C27" s="73" t="s">
        <v>50</v>
      </c>
      <c r="D27" s="205" t="s">
        <v>32</v>
      </c>
      <c r="F27" s="204" t="s">
        <v>223</v>
      </c>
      <c r="G27" s="73" t="s">
        <v>50</v>
      </c>
      <c r="H27" s="205" t="s">
        <v>32</v>
      </c>
      <c r="J27" s="204" t="s">
        <v>223</v>
      </c>
      <c r="K27" s="73" t="s">
        <v>50</v>
      </c>
      <c r="L27" s="205" t="s">
        <v>32</v>
      </c>
      <c r="N27" s="204" t="s">
        <v>223</v>
      </c>
      <c r="O27" s="73" t="s">
        <v>50</v>
      </c>
      <c r="P27" s="205" t="s">
        <v>32</v>
      </c>
    </row>
    <row r="28" spans="2:16" x14ac:dyDescent="0.25">
      <c r="B28" s="204" t="s">
        <v>224</v>
      </c>
      <c r="C28" s="73" t="s">
        <v>50</v>
      </c>
      <c r="D28" s="205" t="s">
        <v>194</v>
      </c>
      <c r="F28" s="204" t="s">
        <v>224</v>
      </c>
      <c r="G28" s="73" t="s">
        <v>50</v>
      </c>
      <c r="H28" s="205" t="s">
        <v>194</v>
      </c>
      <c r="J28" s="204" t="s">
        <v>224</v>
      </c>
      <c r="K28" s="73" t="s">
        <v>50</v>
      </c>
      <c r="L28" s="205" t="s">
        <v>194</v>
      </c>
      <c r="N28" s="204" t="s">
        <v>224</v>
      </c>
      <c r="O28" s="73" t="s">
        <v>50</v>
      </c>
      <c r="P28" s="205" t="s">
        <v>194</v>
      </c>
    </row>
    <row r="29" spans="2:16" x14ac:dyDescent="0.25">
      <c r="B29" s="204" t="s">
        <v>225</v>
      </c>
      <c r="C29" s="73" t="s">
        <v>50</v>
      </c>
      <c r="D29" s="205" t="s">
        <v>50</v>
      </c>
      <c r="F29" s="204" t="s">
        <v>225</v>
      </c>
      <c r="G29" s="73" t="s">
        <v>50</v>
      </c>
      <c r="H29" s="205" t="s">
        <v>50</v>
      </c>
      <c r="J29" s="204" t="s">
        <v>225</v>
      </c>
      <c r="K29" s="73" t="s">
        <v>50</v>
      </c>
      <c r="L29" s="205" t="s">
        <v>50</v>
      </c>
      <c r="N29" s="204" t="s">
        <v>225</v>
      </c>
      <c r="O29" s="73" t="s">
        <v>50</v>
      </c>
      <c r="P29" s="205" t="s">
        <v>50</v>
      </c>
    </row>
    <row r="30" spans="2:16" x14ac:dyDescent="0.25">
      <c r="B30" s="204" t="s">
        <v>226</v>
      </c>
      <c r="C30" s="73" t="s">
        <v>50</v>
      </c>
      <c r="D30" s="205" t="s">
        <v>198</v>
      </c>
      <c r="F30" s="204" t="s">
        <v>226</v>
      </c>
      <c r="G30" s="73" t="s">
        <v>50</v>
      </c>
      <c r="H30" s="205" t="s">
        <v>198</v>
      </c>
      <c r="J30" s="204" t="s">
        <v>226</v>
      </c>
      <c r="K30" s="73" t="s">
        <v>50</v>
      </c>
      <c r="L30" s="205" t="s">
        <v>198</v>
      </c>
      <c r="N30" s="204" t="s">
        <v>226</v>
      </c>
      <c r="O30" s="73" t="s">
        <v>50</v>
      </c>
      <c r="P30" s="205" t="s">
        <v>198</v>
      </c>
    </row>
    <row r="31" spans="2:16" x14ac:dyDescent="0.25">
      <c r="B31" s="206" t="s">
        <v>227</v>
      </c>
      <c r="C31" s="207" t="s">
        <v>50</v>
      </c>
      <c r="D31" s="208" t="s">
        <v>198</v>
      </c>
      <c r="F31" s="206" t="s">
        <v>227</v>
      </c>
      <c r="G31" s="207" t="s">
        <v>50</v>
      </c>
      <c r="H31" s="208" t="s">
        <v>198</v>
      </c>
      <c r="J31" s="206" t="s">
        <v>227</v>
      </c>
      <c r="K31" s="207" t="s">
        <v>50</v>
      </c>
      <c r="L31" s="208" t="s">
        <v>198</v>
      </c>
      <c r="N31" s="206" t="s">
        <v>227</v>
      </c>
      <c r="O31" s="207" t="s">
        <v>50</v>
      </c>
      <c r="P31" s="208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4" tint="0.39997558519241921"/>
  </sheetPr>
  <dimension ref="B2:R87"/>
  <sheetViews>
    <sheetView showGridLines="0" workbookViewId="0"/>
  </sheetViews>
  <sheetFormatPr defaultRowHeight="15" x14ac:dyDescent="0.25"/>
  <cols>
    <col min="1" max="1" width="4.7109375" customWidth="1"/>
    <col min="2" max="2" width="2.7109375" customWidth="1"/>
    <col min="3" max="3" width="30.7109375" customWidth="1"/>
    <col min="4" max="4" width="34.28515625" bestFit="1" customWidth="1"/>
    <col min="5" max="5" width="2.7109375" customWidth="1"/>
    <col min="6" max="10" width="15.7109375" customWidth="1"/>
    <col min="11" max="11" width="2.7109375" customWidth="1"/>
    <col min="12" max="13" width="15.7109375" customWidth="1"/>
    <col min="14" max="14" width="2.7109375" customWidth="1"/>
    <col min="15" max="16" width="15.7109375" customWidth="1"/>
    <col min="17" max="17" width="2.7109375" customWidth="1"/>
  </cols>
  <sheetData>
    <row r="2" spans="2:18" x14ac:dyDescent="0.25">
      <c r="B2" s="1"/>
    </row>
    <row r="3" spans="2:18" x14ac:dyDescent="0.25">
      <c r="B3" s="2"/>
      <c r="C3" s="3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</row>
    <row r="4" spans="2:18" x14ac:dyDescent="0.25">
      <c r="B4" s="7"/>
      <c r="C4" s="11" t="s">
        <v>0</v>
      </c>
      <c r="D4" s="12"/>
      <c r="E4" s="9"/>
      <c r="F4" s="13" t="s">
        <v>1</v>
      </c>
      <c r="G4" s="14"/>
      <c r="H4" s="14"/>
      <c r="I4" s="14"/>
      <c r="J4" s="14"/>
      <c r="K4" s="14"/>
      <c r="L4" s="13" t="s">
        <v>2</v>
      </c>
      <c r="M4" s="13"/>
      <c r="N4" s="14"/>
      <c r="O4" s="13" t="s">
        <v>3</v>
      </c>
      <c r="P4" s="14"/>
      <c r="Q4" s="10"/>
    </row>
    <row r="5" spans="2:18" x14ac:dyDescent="0.25">
      <c r="B5" s="7" t="s">
        <v>4</v>
      </c>
      <c r="C5" s="12"/>
      <c r="D5" s="12"/>
      <c r="E5" s="9" t="s">
        <v>4</v>
      </c>
      <c r="F5" s="15" t="s">
        <v>5</v>
      </c>
      <c r="G5" s="15" t="s">
        <v>6</v>
      </c>
      <c r="H5" s="15" t="s">
        <v>7</v>
      </c>
      <c r="I5" s="15" t="s">
        <v>8</v>
      </c>
      <c r="J5" s="15" t="s">
        <v>9</v>
      </c>
      <c r="K5" s="9"/>
      <c r="L5" s="15" t="s">
        <v>5</v>
      </c>
      <c r="M5" s="15" t="s">
        <v>6</v>
      </c>
      <c r="N5" s="9"/>
      <c r="O5" s="15" t="s">
        <v>5</v>
      </c>
      <c r="P5" s="15" t="s">
        <v>6</v>
      </c>
      <c r="Q5" s="10"/>
    </row>
    <row r="6" spans="2:18" x14ac:dyDescent="0.25">
      <c r="B6" s="7"/>
      <c r="C6" s="17" t="s">
        <v>10</v>
      </c>
      <c r="D6" s="18" t="s">
        <v>11</v>
      </c>
      <c r="E6" s="9" t="s">
        <v>4</v>
      </c>
      <c r="F6" s="19" t="s">
        <v>138</v>
      </c>
      <c r="G6" s="20">
        <v>-4.5799999999999999E-3</v>
      </c>
      <c r="H6" s="21"/>
      <c r="I6" s="22"/>
      <c r="J6" s="23" t="b">
        <v>1</v>
      </c>
      <c r="K6" s="14"/>
      <c r="L6" s="19" t="s">
        <v>143</v>
      </c>
      <c r="M6" s="24">
        <v>9.1E-4</v>
      </c>
      <c r="N6" s="9"/>
      <c r="O6" s="25" t="s">
        <v>143</v>
      </c>
      <c r="P6" s="26">
        <v>-3.9900000000000005E-3</v>
      </c>
      <c r="Q6" s="10"/>
      <c r="R6" s="27"/>
    </row>
    <row r="7" spans="2:18" x14ac:dyDescent="0.25">
      <c r="B7" s="7"/>
      <c r="C7" s="28" t="s">
        <v>12</v>
      </c>
      <c r="D7" s="29" t="s">
        <v>1</v>
      </c>
      <c r="E7" s="9" t="s">
        <v>4</v>
      </c>
      <c r="F7" s="25" t="s">
        <v>139</v>
      </c>
      <c r="G7" s="30">
        <v>-4.64E-3</v>
      </c>
      <c r="H7" s="22">
        <v>44034</v>
      </c>
      <c r="I7" s="22">
        <v>44089</v>
      </c>
      <c r="J7" s="23" t="b">
        <v>1</v>
      </c>
      <c r="K7" s="14"/>
      <c r="L7" s="25" t="s">
        <v>144</v>
      </c>
      <c r="M7" s="31">
        <v>8.9000000000000006E-4</v>
      </c>
      <c r="N7" s="9"/>
      <c r="O7" s="25" t="s">
        <v>144</v>
      </c>
      <c r="P7" s="26">
        <v>-4.0200000000000001E-3</v>
      </c>
      <c r="Q7" s="10"/>
      <c r="R7" s="27"/>
    </row>
    <row r="8" spans="2:18" x14ac:dyDescent="0.25">
      <c r="B8" s="7"/>
      <c r="C8" s="28" t="s">
        <v>15</v>
      </c>
      <c r="D8" s="29" t="s">
        <v>16</v>
      </c>
      <c r="E8" s="9" t="s">
        <v>4</v>
      </c>
      <c r="F8" s="25" t="s">
        <v>140</v>
      </c>
      <c r="G8" s="30">
        <v>-4.7499999999999999E-3</v>
      </c>
      <c r="H8" s="22">
        <v>44090</v>
      </c>
      <c r="I8" s="22">
        <v>44138</v>
      </c>
      <c r="J8" s="23" t="b">
        <v>1</v>
      </c>
      <c r="K8" s="14"/>
      <c r="L8" s="25" t="s">
        <v>62</v>
      </c>
      <c r="M8" s="31">
        <v>9.1999999999999992E-4</v>
      </c>
      <c r="N8" s="14"/>
      <c r="O8" s="25" t="s">
        <v>62</v>
      </c>
      <c r="P8" s="26">
        <v>-3.8500000000000001E-3</v>
      </c>
      <c r="Q8" s="10"/>
      <c r="R8" s="27"/>
    </row>
    <row r="9" spans="2:18" x14ac:dyDescent="0.25">
      <c r="B9" s="7"/>
      <c r="C9" s="33" t="s">
        <v>18</v>
      </c>
      <c r="D9" s="127">
        <f ca="1">TODAY()</f>
        <v>43987</v>
      </c>
      <c r="E9" s="9" t="s">
        <v>4</v>
      </c>
      <c r="F9" s="25" t="s">
        <v>141</v>
      </c>
      <c r="G9" s="30">
        <v>-4.8399999999999997E-3</v>
      </c>
      <c r="H9" s="22">
        <v>44139</v>
      </c>
      <c r="I9" s="22">
        <v>44180</v>
      </c>
      <c r="J9" s="23" t="b">
        <v>1</v>
      </c>
      <c r="K9" s="14"/>
      <c r="L9" s="25" t="s">
        <v>145</v>
      </c>
      <c r="M9" s="31">
        <v>9.3000000000000005E-4</v>
      </c>
      <c r="N9" s="14"/>
      <c r="O9" s="25" t="s">
        <v>145</v>
      </c>
      <c r="P9" s="26">
        <v>-3.5599999999999998E-3</v>
      </c>
      <c r="Q9" s="10"/>
      <c r="R9" s="27"/>
    </row>
    <row r="10" spans="2:18" x14ac:dyDescent="0.25">
      <c r="B10" s="7"/>
      <c r="C10" s="12"/>
      <c r="D10" s="12"/>
      <c r="E10" s="9" t="s">
        <v>4</v>
      </c>
      <c r="F10" s="25" t="s">
        <v>142</v>
      </c>
      <c r="G10" s="30">
        <v>-4.8799999999999998E-3</v>
      </c>
      <c r="H10" s="22">
        <v>44181</v>
      </c>
      <c r="I10" s="22">
        <v>44222</v>
      </c>
      <c r="J10" s="23" t="b">
        <v>1</v>
      </c>
      <c r="K10" s="14"/>
      <c r="L10" s="25" t="s">
        <v>146</v>
      </c>
      <c r="M10" s="31">
        <v>9.5E-4</v>
      </c>
      <c r="N10" s="14"/>
      <c r="O10" s="25" t="s">
        <v>146</v>
      </c>
      <c r="P10" s="26">
        <v>-3.2000000000000002E-3</v>
      </c>
      <c r="Q10" s="10"/>
      <c r="R10" s="27"/>
    </row>
    <row r="11" spans="2:18" x14ac:dyDescent="0.25">
      <c r="B11" s="7"/>
      <c r="C11" s="9"/>
      <c r="D11" s="9"/>
      <c r="E11" s="9" t="s">
        <v>4</v>
      </c>
      <c r="F11" s="25"/>
      <c r="G11" s="30"/>
      <c r="H11" s="22"/>
      <c r="I11" s="22"/>
      <c r="J11" s="23"/>
      <c r="K11" s="14"/>
      <c r="L11" s="25" t="s">
        <v>147</v>
      </c>
      <c r="M11" s="31">
        <v>9.5999999999999992E-4</v>
      </c>
      <c r="N11" s="14"/>
      <c r="O11" s="25" t="s">
        <v>147</v>
      </c>
      <c r="P11" s="26">
        <v>-2.7800000000000004E-3</v>
      </c>
      <c r="Q11" s="10"/>
      <c r="R11" s="27"/>
    </row>
    <row r="12" spans="2:18" x14ac:dyDescent="0.25">
      <c r="B12" s="7"/>
      <c r="C12" s="37" t="s">
        <v>21</v>
      </c>
      <c r="D12" s="12"/>
      <c r="E12" s="9" t="s">
        <v>4</v>
      </c>
      <c r="F12" s="25"/>
      <c r="G12" s="30"/>
      <c r="H12" s="22"/>
      <c r="I12" s="22"/>
      <c r="J12" s="23"/>
      <c r="K12" s="14"/>
      <c r="L12" s="25" t="s">
        <v>148</v>
      </c>
      <c r="M12" s="31">
        <v>9.6999999999999994E-4</v>
      </c>
      <c r="N12" s="14"/>
      <c r="O12" s="25" t="s">
        <v>148</v>
      </c>
      <c r="P12" s="26">
        <v>-2.32E-3</v>
      </c>
      <c r="Q12" s="10"/>
      <c r="R12" s="27"/>
    </row>
    <row r="13" spans="2:18" x14ac:dyDescent="0.25">
      <c r="B13" s="7"/>
      <c r="C13" s="8" t="s">
        <v>22</v>
      </c>
      <c r="D13" s="38" t="s">
        <v>23</v>
      </c>
      <c r="E13" s="9" t="s">
        <v>4</v>
      </c>
      <c r="F13" s="25"/>
      <c r="G13" s="30"/>
      <c r="H13" s="22"/>
      <c r="I13" s="22"/>
      <c r="J13" s="23"/>
      <c r="K13" s="14"/>
      <c r="L13" s="25" t="s">
        <v>149</v>
      </c>
      <c r="M13" s="31">
        <v>9.7999999999999997E-4</v>
      </c>
      <c r="N13" s="14"/>
      <c r="O13" s="25" t="s">
        <v>149</v>
      </c>
      <c r="P13" s="26">
        <v>-1.8500000000000001E-3</v>
      </c>
      <c r="Q13" s="10"/>
      <c r="R13" s="27"/>
    </row>
    <row r="14" spans="2:18" x14ac:dyDescent="0.25">
      <c r="B14" s="7"/>
      <c r="C14" s="32" t="s">
        <v>25</v>
      </c>
      <c r="D14" s="40" t="str">
        <f ca="1">_xll.meLWOCurveMarketDataCreate(D13,C4,C6:D9,F4,F6:J31,L4,L6:M31,O4,O6:P31)</f>
        <v>EUR_OIS_CURVE_MARKETDATA:0</v>
      </c>
      <c r="E14" s="9" t="s">
        <v>4</v>
      </c>
      <c r="F14" s="25"/>
      <c r="G14" s="30"/>
      <c r="H14" s="22"/>
      <c r="I14" s="22"/>
      <c r="J14" s="23"/>
      <c r="K14" s="14"/>
      <c r="L14" s="25" t="s">
        <v>150</v>
      </c>
      <c r="M14" s="31">
        <v>9.8999999999999999E-4</v>
      </c>
      <c r="N14" s="14"/>
      <c r="O14" s="25" t="s">
        <v>150</v>
      </c>
      <c r="P14" s="26">
        <v>-1.3500000000000001E-3</v>
      </c>
      <c r="Q14" s="10"/>
      <c r="R14" s="27"/>
    </row>
    <row r="15" spans="2:18" x14ac:dyDescent="0.25">
      <c r="B15" s="7"/>
      <c r="C15" s="41"/>
      <c r="D15" s="12"/>
      <c r="E15" s="9" t="s">
        <v>4</v>
      </c>
      <c r="F15" s="25"/>
      <c r="G15" s="30"/>
      <c r="H15" s="22"/>
      <c r="I15" s="22"/>
      <c r="J15" s="23"/>
      <c r="K15" s="14"/>
      <c r="L15" s="25" t="s">
        <v>151</v>
      </c>
      <c r="M15" s="31">
        <v>9.8999999999999999E-4</v>
      </c>
      <c r="N15" s="14"/>
      <c r="O15" s="25" t="s">
        <v>151</v>
      </c>
      <c r="P15" s="26">
        <v>-8.699999999999999E-4</v>
      </c>
      <c r="Q15" s="10"/>
      <c r="R15" s="27"/>
    </row>
    <row r="16" spans="2:18" x14ac:dyDescent="0.25">
      <c r="B16" s="7"/>
      <c r="C16" s="41"/>
      <c r="D16" s="12"/>
      <c r="E16" s="9" t="s">
        <v>4</v>
      </c>
      <c r="F16" s="25"/>
      <c r="G16" s="30"/>
      <c r="H16" s="22"/>
      <c r="I16" s="22"/>
      <c r="J16" s="23"/>
      <c r="K16" s="14"/>
      <c r="L16" s="25" t="s">
        <v>152</v>
      </c>
      <c r="M16" s="31">
        <v>9.8999999999999999E-4</v>
      </c>
      <c r="N16" s="14"/>
      <c r="O16" s="25" t="s">
        <v>152</v>
      </c>
      <c r="P16" s="26">
        <v>-4.2000000000000002E-4</v>
      </c>
      <c r="Q16" s="10"/>
      <c r="R16" s="27"/>
    </row>
    <row r="17" spans="2:18" x14ac:dyDescent="0.25">
      <c r="B17" s="7"/>
      <c r="C17" s="41"/>
      <c r="D17" s="12"/>
      <c r="E17" s="9" t="s">
        <v>4</v>
      </c>
      <c r="F17" s="25"/>
      <c r="G17" s="30"/>
      <c r="H17" s="22"/>
      <c r="I17" s="22"/>
      <c r="J17" s="23"/>
      <c r="K17" s="14"/>
      <c r="L17" s="25" t="s">
        <v>153</v>
      </c>
      <c r="M17" s="31">
        <v>9.8999999999999999E-4</v>
      </c>
      <c r="N17" s="14"/>
      <c r="O17" s="25" t="s">
        <v>153</v>
      </c>
      <c r="P17" s="26">
        <v>3.0000000000000001E-5</v>
      </c>
      <c r="Q17" s="10"/>
      <c r="R17" s="27"/>
    </row>
    <row r="18" spans="2:18" x14ac:dyDescent="0.25">
      <c r="B18" s="7"/>
      <c r="C18" s="41"/>
      <c r="D18" s="12"/>
      <c r="E18" s="9" t="s">
        <v>4</v>
      </c>
      <c r="F18" s="25"/>
      <c r="G18" s="30"/>
      <c r="H18" s="22"/>
      <c r="I18" s="22"/>
      <c r="J18" s="23"/>
      <c r="K18" s="14"/>
      <c r="L18" s="25" t="s">
        <v>154</v>
      </c>
      <c r="M18" s="31">
        <v>9.7999999999999997E-4</v>
      </c>
      <c r="N18" s="14"/>
      <c r="O18" s="25" t="s">
        <v>154</v>
      </c>
      <c r="P18" s="26">
        <v>1.1200000000000001E-3</v>
      </c>
      <c r="Q18" s="10"/>
      <c r="R18" s="27"/>
    </row>
    <row r="19" spans="2:18" x14ac:dyDescent="0.25">
      <c r="B19" s="7"/>
      <c r="C19" s="41"/>
      <c r="D19" s="12"/>
      <c r="E19" s="9" t="s">
        <v>4</v>
      </c>
      <c r="F19" s="25"/>
      <c r="G19" s="30"/>
      <c r="H19" s="22"/>
      <c r="I19" s="22"/>
      <c r="J19" s="23"/>
      <c r="K19" s="14"/>
      <c r="L19" s="25" t="s">
        <v>155</v>
      </c>
      <c r="M19" s="31">
        <v>9.6999999999999994E-4</v>
      </c>
      <c r="N19" s="14"/>
      <c r="O19" s="25" t="s">
        <v>155</v>
      </c>
      <c r="P19" s="26">
        <v>1.99E-3</v>
      </c>
      <c r="Q19" s="10"/>
      <c r="R19" s="27"/>
    </row>
    <row r="20" spans="2:18" x14ac:dyDescent="0.25">
      <c r="B20" s="7"/>
      <c r="C20" s="42" t="s">
        <v>29</v>
      </c>
      <c r="D20" s="12"/>
      <c r="E20" s="9" t="s">
        <v>4</v>
      </c>
      <c r="F20" s="25"/>
      <c r="G20" s="30"/>
      <c r="H20" s="22"/>
      <c r="I20" s="22"/>
      <c r="J20" s="23"/>
      <c r="K20" s="14"/>
      <c r="L20" s="25" t="s">
        <v>156</v>
      </c>
      <c r="M20" s="31">
        <v>9.5999999999999992E-4</v>
      </c>
      <c r="N20" s="14"/>
      <c r="O20" s="25" t="s">
        <v>156</v>
      </c>
      <c r="P20" s="26">
        <v>2.0699999999999998E-3</v>
      </c>
      <c r="Q20" s="10"/>
      <c r="R20" s="27"/>
    </row>
    <row r="21" spans="2:18" x14ac:dyDescent="0.25">
      <c r="B21" s="7"/>
      <c r="C21" s="43" t="s">
        <v>22</v>
      </c>
      <c r="D21" s="44" t="s">
        <v>30</v>
      </c>
      <c r="E21" s="9" t="s">
        <v>4</v>
      </c>
      <c r="F21" s="25"/>
      <c r="G21" s="30"/>
      <c r="H21" s="22"/>
      <c r="I21" s="22"/>
      <c r="J21" s="23"/>
      <c r="K21" s="14"/>
      <c r="L21" s="25" t="s">
        <v>157</v>
      </c>
      <c r="M21" s="31">
        <v>9.5E-4</v>
      </c>
      <c r="N21" s="14"/>
      <c r="O21" s="25" t="s">
        <v>157</v>
      </c>
      <c r="P21" s="26">
        <v>1.83E-3</v>
      </c>
      <c r="Q21" s="10"/>
      <c r="R21" s="27"/>
    </row>
    <row r="22" spans="2:18" x14ac:dyDescent="0.25">
      <c r="B22" s="7"/>
      <c r="C22" s="45" t="s">
        <v>33</v>
      </c>
      <c r="D22" s="126" t="str">
        <f>Templates.EUR.OIS</f>
        <v>EUR_OIS:1</v>
      </c>
      <c r="E22" s="9" t="s">
        <v>4</v>
      </c>
      <c r="F22" s="25"/>
      <c r="G22" s="30"/>
      <c r="H22" s="22"/>
      <c r="I22" s="22"/>
      <c r="J22" s="23"/>
      <c r="K22" s="14"/>
      <c r="L22" s="25" t="s">
        <v>199</v>
      </c>
      <c r="M22" s="31">
        <v>9.5E-4</v>
      </c>
      <c r="N22" s="14"/>
      <c r="O22" s="25" t="s">
        <v>199</v>
      </c>
      <c r="P22" s="26">
        <v>1.83E-3</v>
      </c>
      <c r="Q22" s="10"/>
      <c r="R22" s="27"/>
    </row>
    <row r="23" spans="2:18" x14ac:dyDescent="0.25">
      <c r="B23" s="7"/>
      <c r="C23" s="45" t="s">
        <v>37</v>
      </c>
      <c r="D23" s="46" t="s">
        <v>14</v>
      </c>
      <c r="E23" s="9" t="s">
        <v>4</v>
      </c>
      <c r="F23" s="25"/>
      <c r="G23" s="30"/>
      <c r="H23" s="22"/>
      <c r="I23" s="22"/>
      <c r="J23" s="23"/>
      <c r="K23" s="14"/>
      <c r="L23" s="25"/>
      <c r="M23" s="31"/>
      <c r="N23" s="14"/>
      <c r="O23" s="25"/>
      <c r="P23" s="26"/>
      <c r="Q23" s="10"/>
      <c r="R23" s="27"/>
    </row>
    <row r="24" spans="2:18" x14ac:dyDescent="0.25">
      <c r="B24" s="7"/>
      <c r="C24" s="47" t="s">
        <v>40</v>
      </c>
      <c r="D24" s="48"/>
      <c r="E24" s="9" t="s">
        <v>4</v>
      </c>
      <c r="F24" s="25"/>
      <c r="G24" s="30"/>
      <c r="H24" s="22"/>
      <c r="I24" s="22"/>
      <c r="J24" s="23"/>
      <c r="K24" s="14"/>
      <c r="L24" s="49"/>
      <c r="M24" s="50"/>
      <c r="N24" s="51"/>
      <c r="O24" s="49"/>
      <c r="P24" s="50"/>
      <c r="Q24" s="52"/>
      <c r="R24" s="53"/>
    </row>
    <row r="25" spans="2:18" x14ac:dyDescent="0.25">
      <c r="B25" s="7"/>
      <c r="C25" s="9"/>
      <c r="D25" s="9"/>
      <c r="E25" s="9" t="s">
        <v>4</v>
      </c>
      <c r="F25" s="25"/>
      <c r="G25" s="30"/>
      <c r="H25" s="22"/>
      <c r="I25" s="22"/>
      <c r="J25" s="23"/>
      <c r="K25" s="14"/>
      <c r="L25" s="25"/>
      <c r="M25" s="26"/>
      <c r="N25" s="14"/>
      <c r="O25" s="25"/>
      <c r="P25" s="26"/>
      <c r="Q25" s="10"/>
    </row>
    <row r="26" spans="2:18" x14ac:dyDescent="0.25">
      <c r="B26" s="7"/>
      <c r="C26" s="9"/>
      <c r="D26" s="9"/>
      <c r="E26" s="9" t="s">
        <v>4</v>
      </c>
      <c r="F26" s="25"/>
      <c r="G26" s="30"/>
      <c r="H26" s="22"/>
      <c r="I26" s="22"/>
      <c r="J26" s="23"/>
      <c r="K26" s="14"/>
      <c r="L26" s="25"/>
      <c r="M26" s="26"/>
      <c r="N26" s="14"/>
      <c r="O26" s="25"/>
      <c r="P26" s="26"/>
      <c r="Q26" s="10"/>
    </row>
    <row r="27" spans="2:18" x14ac:dyDescent="0.25">
      <c r="B27" s="7"/>
      <c r="C27" s="42" t="s">
        <v>47</v>
      </c>
      <c r="D27" s="9"/>
      <c r="E27" s="9" t="s">
        <v>4</v>
      </c>
      <c r="F27" s="25"/>
      <c r="G27" s="30"/>
      <c r="H27" s="22"/>
      <c r="I27" s="22"/>
      <c r="J27" s="23"/>
      <c r="K27" s="14"/>
      <c r="L27" s="25"/>
      <c r="M27" s="26"/>
      <c r="N27" s="14"/>
      <c r="O27" s="25"/>
      <c r="P27" s="26"/>
      <c r="Q27" s="10"/>
    </row>
    <row r="28" spans="2:18" x14ac:dyDescent="0.25">
      <c r="B28" s="7"/>
      <c r="C28" s="54" t="s">
        <v>22</v>
      </c>
      <c r="D28" s="55" t="str">
        <f t="array" aca="1" ref="D28:D31" ca="1">_xll.meLWOCurveCalibrate(D21,D22,D14,D23,D24)</f>
        <v>EUR_OIS_CURVE:0</v>
      </c>
      <c r="E28" s="9" t="s">
        <v>4</v>
      </c>
      <c r="F28" s="25"/>
      <c r="G28" s="30"/>
      <c r="H28" s="22"/>
      <c r="I28" s="22"/>
      <c r="J28" s="23"/>
      <c r="K28" s="14"/>
      <c r="L28" s="25"/>
      <c r="M28" s="26"/>
      <c r="N28" s="14"/>
      <c r="O28" s="25"/>
      <c r="P28" s="26"/>
      <c r="Q28" s="10"/>
    </row>
    <row r="29" spans="2:18" x14ac:dyDescent="0.25">
      <c r="B29" s="7"/>
      <c r="C29" s="58" t="s">
        <v>52</v>
      </c>
      <c r="D29" s="56" t="str">
        <f ca="1"/>
        <v>EURYC</v>
      </c>
      <c r="E29" s="9" t="s">
        <v>4</v>
      </c>
      <c r="F29" s="25"/>
      <c r="G29" s="30"/>
      <c r="H29" s="22"/>
      <c r="I29" s="22"/>
      <c r="J29" s="23"/>
      <c r="K29" s="14"/>
      <c r="L29" s="25"/>
      <c r="M29" s="26"/>
      <c r="N29" s="14"/>
      <c r="O29" s="25"/>
      <c r="P29" s="26"/>
      <c r="Q29" s="10"/>
    </row>
    <row r="30" spans="2:18" x14ac:dyDescent="0.25">
      <c r="B30" s="7"/>
      <c r="C30" s="58" t="s">
        <v>54</v>
      </c>
      <c r="D30" s="56" t="str">
        <f ca="1"/>
        <v>OIS:EUROIS:EURDF:EURDF_EURCSA:EURDF_NOCSA</v>
      </c>
      <c r="E30" s="9" t="s">
        <v>4</v>
      </c>
      <c r="F30" s="25"/>
      <c r="G30" s="30"/>
      <c r="H30" s="22"/>
      <c r="I30" s="22"/>
      <c r="J30" s="23"/>
      <c r="K30" s="14"/>
      <c r="L30" s="25"/>
      <c r="M30" s="26"/>
      <c r="N30" s="14"/>
      <c r="O30" s="25"/>
      <c r="P30" s="26"/>
      <c r="Q30" s="10"/>
    </row>
    <row r="31" spans="2:18" x14ac:dyDescent="0.25">
      <c r="B31" s="7"/>
      <c r="C31" s="59" t="s">
        <v>57</v>
      </c>
      <c r="D31" s="57" t="str">
        <f ca="1"/>
        <v>0.01700 sec</v>
      </c>
      <c r="E31" s="9" t="s">
        <v>4</v>
      </c>
      <c r="F31" s="60"/>
      <c r="G31" s="61"/>
      <c r="H31" s="62"/>
      <c r="I31" s="62"/>
      <c r="J31" s="63"/>
      <c r="K31" s="14"/>
      <c r="L31" s="60"/>
      <c r="M31" s="64"/>
      <c r="N31" s="14"/>
      <c r="O31" s="60"/>
      <c r="P31" s="64"/>
      <c r="Q31" s="10"/>
    </row>
    <row r="32" spans="2:18" x14ac:dyDescent="0.25">
      <c r="B32" s="7"/>
      <c r="C32" s="65" t="s">
        <v>60</v>
      </c>
      <c r="D32" s="66" t="b">
        <f ca="1">_xll.meLWOExists(D28,"Curve")</f>
        <v>1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</row>
    <row r="33" spans="2:17" x14ac:dyDescent="0.25">
      <c r="B33" s="7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</row>
    <row r="34" spans="2:17" x14ac:dyDescent="0.25">
      <c r="B34" s="7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</row>
    <row r="35" spans="2:17" x14ac:dyDescent="0.25">
      <c r="B35" s="7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0"/>
    </row>
    <row r="36" spans="2:17" x14ac:dyDescent="0.25">
      <c r="B36" s="7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</row>
    <row r="37" spans="2:17" x14ac:dyDescent="0.25">
      <c r="B37" s="7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</row>
    <row r="38" spans="2:17" x14ac:dyDescent="0.25">
      <c r="B38" s="7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</row>
    <row r="39" spans="2:17" x14ac:dyDescent="0.25">
      <c r="B39" s="7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</row>
    <row r="40" spans="2:17" x14ac:dyDescent="0.25">
      <c r="B40" s="7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</row>
    <row r="41" spans="2:17" x14ac:dyDescent="0.25">
      <c r="B41" s="7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0"/>
    </row>
    <row r="42" spans="2:17" x14ac:dyDescent="0.25">
      <c r="B42" s="7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</row>
    <row r="43" spans="2:17" x14ac:dyDescent="0.25">
      <c r="B43" s="7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0"/>
    </row>
    <row r="44" spans="2:17" x14ac:dyDescent="0.25">
      <c r="B44" s="7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</row>
    <row r="45" spans="2:17" x14ac:dyDescent="0.25">
      <c r="B45" s="7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</row>
    <row r="46" spans="2:17" x14ac:dyDescent="0.25">
      <c r="B46" s="7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</row>
    <row r="47" spans="2:17" x14ac:dyDescent="0.25">
      <c r="B47" s="7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</row>
    <row r="48" spans="2:17" x14ac:dyDescent="0.25">
      <c r="B48" s="7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10"/>
    </row>
    <row r="49" spans="2:17" x14ac:dyDescent="0.25">
      <c r="B49" s="7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0"/>
    </row>
    <row r="50" spans="2:17" x14ac:dyDescent="0.25">
      <c r="B50" s="7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</row>
    <row r="51" spans="2:17" x14ac:dyDescent="0.25">
      <c r="B51" s="7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0"/>
    </row>
    <row r="52" spans="2:17" x14ac:dyDescent="0.25">
      <c r="B52" s="7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10"/>
    </row>
    <row r="53" spans="2:17" x14ac:dyDescent="0.25">
      <c r="B53" s="7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0"/>
    </row>
    <row r="54" spans="2:17" x14ac:dyDescent="0.25">
      <c r="B54" s="7"/>
      <c r="C54" s="41"/>
      <c r="D54" s="12"/>
      <c r="E54" s="9"/>
      <c r="F54" s="9"/>
      <c r="G54" s="9"/>
      <c r="H54" s="9"/>
      <c r="I54" s="9"/>
      <c r="J54" s="9"/>
      <c r="K54" s="14"/>
      <c r="L54" s="9"/>
      <c r="M54" s="9"/>
      <c r="N54" s="14"/>
      <c r="O54" s="9"/>
      <c r="P54" s="9"/>
      <c r="Q54" s="10"/>
    </row>
    <row r="55" spans="2:17" x14ac:dyDescent="0.25">
      <c r="B55" s="7"/>
      <c r="C55" s="41"/>
      <c r="D55" s="12"/>
      <c r="E55" s="9"/>
      <c r="F55" s="9"/>
      <c r="G55" s="9"/>
      <c r="H55" s="9"/>
      <c r="I55" s="9"/>
      <c r="J55" s="9"/>
      <c r="K55" s="14"/>
      <c r="L55" s="9"/>
      <c r="M55" s="9"/>
      <c r="N55" s="14"/>
      <c r="O55" s="9"/>
      <c r="P55" s="9"/>
      <c r="Q55" s="10"/>
    </row>
    <row r="56" spans="2:17" x14ac:dyDescent="0.25">
      <c r="B56" s="7"/>
      <c r="C56" s="41"/>
      <c r="D56" s="12"/>
      <c r="E56" s="9"/>
      <c r="F56" s="9"/>
      <c r="G56" s="9"/>
      <c r="H56" s="9"/>
      <c r="I56" s="9"/>
      <c r="J56" s="9"/>
      <c r="K56" s="14"/>
      <c r="L56" s="9"/>
      <c r="M56" s="9"/>
      <c r="N56" s="14"/>
      <c r="O56" s="9"/>
      <c r="P56" s="9"/>
      <c r="Q56" s="10"/>
    </row>
    <row r="57" spans="2:17" x14ac:dyDescent="0.25">
      <c r="B57" s="7"/>
      <c r="C57" s="41"/>
      <c r="D57" s="12"/>
      <c r="E57" s="9"/>
      <c r="F57" s="9"/>
      <c r="G57" s="9"/>
      <c r="H57" s="9"/>
      <c r="I57" s="9"/>
      <c r="J57" s="9"/>
      <c r="K57" s="14"/>
      <c r="L57" s="9"/>
      <c r="M57" s="9"/>
      <c r="N57" s="14"/>
      <c r="O57" s="9"/>
      <c r="P57" s="9"/>
      <c r="Q57" s="10"/>
    </row>
    <row r="58" spans="2:17" x14ac:dyDescent="0.25">
      <c r="B58" s="7"/>
      <c r="C58" s="41"/>
      <c r="D58" s="12"/>
      <c r="E58" s="9"/>
      <c r="F58" s="9"/>
      <c r="G58" s="9"/>
      <c r="H58" s="9"/>
      <c r="I58" s="9"/>
      <c r="J58" s="9"/>
      <c r="K58" s="14"/>
      <c r="L58" s="9"/>
      <c r="M58" s="9"/>
      <c r="N58" s="14"/>
      <c r="O58" s="9"/>
      <c r="P58" s="9"/>
      <c r="Q58" s="10"/>
    </row>
    <row r="59" spans="2:17" x14ac:dyDescent="0.25">
      <c r="B59" s="7"/>
      <c r="C59" s="41"/>
      <c r="D59" s="12"/>
      <c r="E59" s="9"/>
      <c r="F59" s="9"/>
      <c r="G59" s="9"/>
      <c r="H59" s="9"/>
      <c r="I59" s="9"/>
      <c r="J59" s="9"/>
      <c r="K59" s="14"/>
      <c r="L59" s="9"/>
      <c r="M59" s="9"/>
      <c r="N59" s="14"/>
      <c r="O59" s="9"/>
      <c r="P59" s="9"/>
      <c r="Q59" s="10"/>
    </row>
    <row r="60" spans="2:17" x14ac:dyDescent="0.25">
      <c r="B60" s="7"/>
      <c r="C60" s="41"/>
      <c r="D60" s="12"/>
      <c r="E60" s="9"/>
      <c r="F60" s="9"/>
      <c r="G60" s="9"/>
      <c r="H60" s="9"/>
      <c r="I60" s="9"/>
      <c r="J60" s="9"/>
      <c r="K60" s="14"/>
      <c r="L60" s="9"/>
      <c r="M60" s="9"/>
      <c r="N60" s="14"/>
      <c r="O60" s="9"/>
      <c r="P60" s="9"/>
      <c r="Q60" s="10"/>
    </row>
    <row r="61" spans="2:17" x14ac:dyDescent="0.25">
      <c r="B61" s="7"/>
      <c r="C61" s="41"/>
      <c r="D61" s="12"/>
      <c r="E61" s="9"/>
      <c r="F61" s="9"/>
      <c r="G61" s="9"/>
      <c r="H61" s="9"/>
      <c r="I61" s="9"/>
      <c r="J61" s="9"/>
      <c r="K61" s="14"/>
      <c r="L61" s="9"/>
      <c r="M61" s="9"/>
      <c r="N61" s="14"/>
      <c r="O61" s="9"/>
      <c r="P61" s="9"/>
      <c r="Q61" s="10"/>
    </row>
    <row r="62" spans="2:17" x14ac:dyDescent="0.25">
      <c r="B62" s="7"/>
      <c r="C62" s="41"/>
      <c r="D62" s="12"/>
      <c r="E62" s="9"/>
      <c r="F62" s="9"/>
      <c r="G62" s="9"/>
      <c r="H62" s="9"/>
      <c r="I62" s="9"/>
      <c r="J62" s="9"/>
      <c r="K62" s="14"/>
      <c r="L62" s="9"/>
      <c r="M62" s="9"/>
      <c r="N62" s="14"/>
      <c r="O62" s="9"/>
      <c r="P62" s="9"/>
      <c r="Q62" s="10"/>
    </row>
    <row r="63" spans="2:17" x14ac:dyDescent="0.25">
      <c r="B63" s="7"/>
      <c r="C63" s="41"/>
      <c r="D63" s="12"/>
      <c r="E63" s="9"/>
      <c r="F63" s="9"/>
      <c r="G63" s="9"/>
      <c r="H63" s="9"/>
      <c r="I63" s="9"/>
      <c r="J63" s="9"/>
      <c r="K63" s="14"/>
      <c r="L63" s="9"/>
      <c r="M63" s="9"/>
      <c r="N63" s="14"/>
      <c r="O63" s="9"/>
      <c r="P63" s="9"/>
      <c r="Q63" s="10"/>
    </row>
    <row r="64" spans="2:17" x14ac:dyDescent="0.25">
      <c r="B64" s="7"/>
      <c r="C64" s="41"/>
      <c r="D64" s="12"/>
      <c r="E64" s="9"/>
      <c r="F64" s="9"/>
      <c r="G64" s="9"/>
      <c r="H64" s="9"/>
      <c r="I64" s="9"/>
      <c r="J64" s="9"/>
      <c r="K64" s="14"/>
      <c r="L64" s="9"/>
      <c r="M64" s="9"/>
      <c r="N64" s="14"/>
      <c r="O64" s="9"/>
      <c r="P64" s="9"/>
      <c r="Q64" s="10"/>
    </row>
    <row r="65" spans="2:17" x14ac:dyDescent="0.25">
      <c r="B65" s="7"/>
      <c r="C65" s="41"/>
      <c r="D65" s="12"/>
      <c r="E65" s="9"/>
      <c r="F65" s="9"/>
      <c r="G65" s="9"/>
      <c r="H65" s="9"/>
      <c r="I65" s="9"/>
      <c r="J65" s="9"/>
      <c r="K65" s="14"/>
      <c r="L65" s="9"/>
      <c r="M65" s="9"/>
      <c r="N65" s="14"/>
      <c r="O65" s="9"/>
      <c r="P65" s="9"/>
      <c r="Q65" s="10"/>
    </row>
    <row r="66" spans="2:17" x14ac:dyDescent="0.25">
      <c r="B66" s="7"/>
      <c r="C66" s="41"/>
      <c r="D66" s="12"/>
      <c r="E66" s="9"/>
      <c r="F66" s="9"/>
      <c r="G66" s="9"/>
      <c r="H66" s="9"/>
      <c r="I66" s="9"/>
      <c r="J66" s="9"/>
      <c r="K66" s="14"/>
      <c r="L66" s="9"/>
      <c r="M66" s="9"/>
      <c r="N66" s="14"/>
      <c r="O66" s="9"/>
      <c r="P66" s="9"/>
      <c r="Q66" s="10"/>
    </row>
    <row r="67" spans="2:17" x14ac:dyDescent="0.25">
      <c r="B67" s="7"/>
      <c r="C67" s="41"/>
      <c r="D67" s="12"/>
      <c r="E67" s="9"/>
      <c r="F67" s="9"/>
      <c r="G67" s="9"/>
      <c r="H67" s="9"/>
      <c r="I67" s="9"/>
      <c r="J67" s="9"/>
      <c r="K67" s="14"/>
      <c r="L67" s="9"/>
      <c r="M67" s="9"/>
      <c r="N67" s="14"/>
      <c r="O67" s="9"/>
      <c r="P67" s="9"/>
      <c r="Q67" s="10"/>
    </row>
    <row r="68" spans="2:17" x14ac:dyDescent="0.25">
      <c r="B68" s="7"/>
      <c r="C68" s="41"/>
      <c r="D68" s="12"/>
      <c r="E68" s="9"/>
      <c r="F68" s="9"/>
      <c r="G68" s="9"/>
      <c r="H68" s="9"/>
      <c r="I68" s="9"/>
      <c r="J68" s="9"/>
      <c r="K68" s="14"/>
      <c r="L68" s="9"/>
      <c r="M68" s="9"/>
      <c r="N68" s="14"/>
      <c r="O68" s="9"/>
      <c r="P68" s="9"/>
      <c r="Q68" s="10"/>
    </row>
    <row r="69" spans="2:17" x14ac:dyDescent="0.25">
      <c r="B69" s="7"/>
      <c r="C69" s="41"/>
      <c r="D69" s="12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0"/>
    </row>
    <row r="70" spans="2:17" x14ac:dyDescent="0.25">
      <c r="B70" s="7"/>
      <c r="C70" s="41"/>
      <c r="D70" s="12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0"/>
    </row>
    <row r="71" spans="2:17" x14ac:dyDescent="0.25">
      <c r="B71" s="7"/>
      <c r="C71" s="41"/>
      <c r="D71" s="12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0"/>
    </row>
    <row r="72" spans="2:17" x14ac:dyDescent="0.25">
      <c r="B72" s="7"/>
      <c r="C72" s="41"/>
      <c r="D72" s="12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0"/>
    </row>
    <row r="73" spans="2:17" x14ac:dyDescent="0.25">
      <c r="B73" s="7"/>
      <c r="C73" s="41"/>
      <c r="D73" s="12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10"/>
    </row>
    <row r="74" spans="2:17" x14ac:dyDescent="0.25">
      <c r="B74" s="7"/>
      <c r="C74" s="41"/>
      <c r="D74" s="12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10"/>
    </row>
    <row r="75" spans="2:17" x14ac:dyDescent="0.25">
      <c r="B75" s="7"/>
      <c r="C75" s="41"/>
      <c r="D75" s="12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</row>
    <row r="76" spans="2:17" x14ac:dyDescent="0.25">
      <c r="B76" s="7"/>
      <c r="C76" s="41"/>
      <c r="D76" s="12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10"/>
    </row>
    <row r="77" spans="2:17" x14ac:dyDescent="0.25">
      <c r="B77" s="7"/>
      <c r="C77" s="41"/>
      <c r="D77" s="12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</row>
    <row r="78" spans="2:17" x14ac:dyDescent="0.25">
      <c r="B78" s="7"/>
      <c r="C78" s="41"/>
      <c r="D78" s="12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</row>
    <row r="79" spans="2:17" x14ac:dyDescent="0.25">
      <c r="B79" s="7"/>
      <c r="C79" s="41"/>
      <c r="D79" s="12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10"/>
    </row>
    <row r="80" spans="2:17" x14ac:dyDescent="0.25">
      <c r="B80" s="7"/>
      <c r="C80" s="41"/>
      <c r="D80" s="12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10"/>
    </row>
    <row r="81" spans="2:17" x14ac:dyDescent="0.25">
      <c r="B81" s="7"/>
      <c r="C81" s="41"/>
      <c r="D81" s="12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10"/>
    </row>
    <row r="82" spans="2:17" x14ac:dyDescent="0.25">
      <c r="B82" s="7"/>
      <c r="C82" s="41"/>
      <c r="D82" s="12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10"/>
    </row>
    <row r="83" spans="2:17" x14ac:dyDescent="0.25">
      <c r="B83" s="7"/>
      <c r="C83" s="41"/>
      <c r="D83" s="12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</row>
    <row r="84" spans="2:17" x14ac:dyDescent="0.25">
      <c r="B84" s="7"/>
      <c r="C84" s="41"/>
      <c r="D84" s="12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10"/>
    </row>
    <row r="85" spans="2:17" x14ac:dyDescent="0.25">
      <c r="B85" s="7"/>
      <c r="C85" s="41"/>
      <c r="D85" s="12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10"/>
    </row>
    <row r="86" spans="2:17" x14ac:dyDescent="0.25">
      <c r="B86" s="7"/>
      <c r="C86" s="41"/>
      <c r="D86" s="12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10"/>
    </row>
    <row r="87" spans="2:17" x14ac:dyDescent="0.25">
      <c r="B87" s="34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4" tint="0.39997558519241921"/>
  </sheetPr>
  <dimension ref="B3:R109"/>
  <sheetViews>
    <sheetView showGridLines="0" workbookViewId="0"/>
  </sheetViews>
  <sheetFormatPr defaultRowHeight="15" x14ac:dyDescent="0.25"/>
  <cols>
    <col min="1" max="1" width="4.7109375" customWidth="1"/>
    <col min="2" max="2" width="2.7109375" customWidth="1"/>
    <col min="3" max="3" width="30.7109375" customWidth="1"/>
    <col min="4" max="4" width="41.5703125" bestFit="1" customWidth="1"/>
    <col min="5" max="5" width="2.7109375" customWidth="1"/>
    <col min="6" max="7" width="10.7109375" customWidth="1"/>
    <col min="8" max="8" width="2.7109375" customWidth="1"/>
    <col min="9" max="13" width="12.7109375" customWidth="1"/>
    <col min="14" max="14" width="2.7109375" customWidth="1"/>
    <col min="15" max="17" width="12.7109375" customWidth="1"/>
    <col min="18" max="18" width="2.7109375" customWidth="1"/>
  </cols>
  <sheetData>
    <row r="3" spans="2:18" x14ac:dyDescent="0.25">
      <c r="B3" s="69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1"/>
    </row>
    <row r="4" spans="2:18" x14ac:dyDescent="0.25">
      <c r="B4" s="72"/>
      <c r="C4" s="13" t="s">
        <v>0</v>
      </c>
      <c r="D4" s="14"/>
      <c r="E4" s="9"/>
      <c r="F4" s="13" t="s">
        <v>81</v>
      </c>
      <c r="G4" s="14"/>
      <c r="H4" s="9"/>
      <c r="I4" s="13" t="s">
        <v>82</v>
      </c>
      <c r="J4" s="73"/>
      <c r="K4" s="14"/>
      <c r="L4" s="14"/>
      <c r="M4" s="14"/>
      <c r="N4" s="9"/>
      <c r="O4" s="13" t="s">
        <v>3</v>
      </c>
      <c r="P4" s="9"/>
      <c r="Q4" s="9"/>
      <c r="R4" s="74"/>
    </row>
    <row r="5" spans="2:18" x14ac:dyDescent="0.25">
      <c r="B5" s="72"/>
      <c r="C5" s="75" t="s">
        <v>10</v>
      </c>
      <c r="D5" s="76" t="s">
        <v>11</v>
      </c>
      <c r="E5" s="9" t="s">
        <v>4</v>
      </c>
      <c r="F5" s="12" t="s">
        <v>5</v>
      </c>
      <c r="G5" s="12" t="s">
        <v>6</v>
      </c>
      <c r="H5" s="41"/>
      <c r="I5" s="77" t="s">
        <v>5</v>
      </c>
      <c r="J5" s="77" t="s">
        <v>7</v>
      </c>
      <c r="K5" s="77" t="s">
        <v>8</v>
      </c>
      <c r="L5" s="77" t="s">
        <v>6</v>
      </c>
      <c r="M5" s="77" t="s">
        <v>83</v>
      </c>
      <c r="N5" s="41"/>
      <c r="O5" s="78" t="s">
        <v>5</v>
      </c>
      <c r="P5" s="12" t="s">
        <v>6</v>
      </c>
      <c r="Q5" s="12" t="s">
        <v>9</v>
      </c>
      <c r="R5" s="74"/>
    </row>
    <row r="6" spans="2:18" x14ac:dyDescent="0.25">
      <c r="B6" s="72"/>
      <c r="C6" s="79" t="s">
        <v>12</v>
      </c>
      <c r="D6" s="80" t="s">
        <v>84</v>
      </c>
      <c r="E6" s="9" t="s">
        <v>4</v>
      </c>
      <c r="F6" s="19" t="s">
        <v>130</v>
      </c>
      <c r="G6" s="24">
        <v>-3.5471000000000001E-3</v>
      </c>
      <c r="H6" s="9"/>
      <c r="I6" s="81" t="s">
        <v>158</v>
      </c>
      <c r="J6" s="82">
        <f ca="1">_xll.meDateIMMNext(D8)</f>
        <v>44090</v>
      </c>
      <c r="K6" s="82">
        <f ca="1">_xll.meDateIMMNext(J6)</f>
        <v>44181</v>
      </c>
      <c r="L6" s="83">
        <v>100.37</v>
      </c>
      <c r="M6" s="84">
        <v>5.0000000000000001E-3</v>
      </c>
      <c r="N6" s="9"/>
      <c r="O6" s="85" t="s">
        <v>62</v>
      </c>
      <c r="P6" s="86">
        <v>-3.8500000000000001E-3</v>
      </c>
      <c r="Q6" s="87" t="b">
        <v>1</v>
      </c>
      <c r="R6" s="74"/>
    </row>
    <row r="7" spans="2:18" x14ac:dyDescent="0.25">
      <c r="B7" s="72"/>
      <c r="C7" s="79" t="s">
        <v>15</v>
      </c>
      <c r="D7" s="80" t="s">
        <v>75</v>
      </c>
      <c r="E7" s="9" t="s">
        <v>4</v>
      </c>
      <c r="F7" s="129"/>
      <c r="G7" s="130"/>
      <c r="H7" s="9"/>
      <c r="I7" s="88" t="s">
        <v>159</v>
      </c>
      <c r="J7" s="89">
        <f ca="1">_xll.meDateIMMNext(J6)</f>
        <v>44181</v>
      </c>
      <c r="K7" s="89">
        <f ca="1">_xll.meDateIMMNext(J7)</f>
        <v>44272</v>
      </c>
      <c r="L7" s="90">
        <v>100.405</v>
      </c>
      <c r="M7" s="91">
        <v>5.0000000000000001E-3</v>
      </c>
      <c r="N7" s="9"/>
      <c r="O7" s="88" t="s">
        <v>145</v>
      </c>
      <c r="P7" s="92">
        <v>-3.5599999999999998E-3</v>
      </c>
      <c r="Q7" s="93" t="b">
        <v>1</v>
      </c>
      <c r="R7" s="74"/>
    </row>
    <row r="8" spans="2:18" x14ac:dyDescent="0.25">
      <c r="B8" s="72"/>
      <c r="C8" s="79" t="s">
        <v>18</v>
      </c>
      <c r="D8" s="94">
        <f ca="1">AsOfDate</f>
        <v>43987</v>
      </c>
      <c r="E8" s="9" t="s">
        <v>4</v>
      </c>
      <c r="F8" s="25"/>
      <c r="G8" s="31"/>
      <c r="H8" s="9"/>
      <c r="I8" s="88" t="s">
        <v>160</v>
      </c>
      <c r="J8" s="95">
        <f ca="1">_xll.meDateIMMNext(J7)</f>
        <v>44272</v>
      </c>
      <c r="K8" s="95">
        <f ca="1">_xll.meDateIMMNext(J8)</f>
        <v>44363</v>
      </c>
      <c r="L8" s="90">
        <v>100.405</v>
      </c>
      <c r="M8" s="96">
        <v>5.0000000000000001E-3</v>
      </c>
      <c r="N8" s="9"/>
      <c r="O8" s="88" t="s">
        <v>146</v>
      </c>
      <c r="P8" s="92">
        <v>-3.2000000000000002E-3</v>
      </c>
      <c r="Q8" s="93" t="b">
        <v>1</v>
      </c>
      <c r="R8" s="74"/>
    </row>
    <row r="9" spans="2:18" x14ac:dyDescent="0.25">
      <c r="B9" s="72"/>
      <c r="C9" s="16"/>
      <c r="D9" s="97"/>
      <c r="E9" s="9" t="s">
        <v>4</v>
      </c>
      <c r="F9" s="25"/>
      <c r="G9" s="31"/>
      <c r="H9" s="9"/>
      <c r="I9" s="88" t="s">
        <v>161</v>
      </c>
      <c r="J9" s="95">
        <f ca="1">_xll.meDateIMMNext(J8)</f>
        <v>44363</v>
      </c>
      <c r="K9" s="95">
        <f ca="1">_xll.meDateIMMNext(J9)</f>
        <v>44454</v>
      </c>
      <c r="L9" s="90">
        <v>100.41500000000001</v>
      </c>
      <c r="M9" s="96">
        <v>5.0000000000000001E-3</v>
      </c>
      <c r="N9" s="9"/>
      <c r="O9" s="88" t="s">
        <v>147</v>
      </c>
      <c r="P9" s="92">
        <v>-2.7800000000000004E-3</v>
      </c>
      <c r="Q9" s="93" t="b">
        <v>1</v>
      </c>
      <c r="R9" s="74"/>
    </row>
    <row r="10" spans="2:18" x14ac:dyDescent="0.25">
      <c r="B10" s="72"/>
      <c r="C10" s="32"/>
      <c r="D10" s="98"/>
      <c r="E10" s="9" t="s">
        <v>4</v>
      </c>
      <c r="F10" s="68"/>
      <c r="G10" s="64"/>
      <c r="H10" s="9"/>
      <c r="I10" s="88"/>
      <c r="J10" s="95"/>
      <c r="K10" s="95"/>
      <c r="L10" s="90"/>
      <c r="M10" s="96"/>
      <c r="N10" s="9"/>
      <c r="O10" s="88" t="s">
        <v>148</v>
      </c>
      <c r="P10" s="92">
        <v>-2.32E-3</v>
      </c>
      <c r="Q10" s="93" t="b">
        <v>1</v>
      </c>
      <c r="R10" s="74"/>
    </row>
    <row r="11" spans="2:18" x14ac:dyDescent="0.25">
      <c r="B11" s="72"/>
      <c r="C11" s="9"/>
      <c r="D11" s="9"/>
      <c r="E11" s="9" t="s">
        <v>4</v>
      </c>
      <c r="F11" s="9"/>
      <c r="G11" s="9"/>
      <c r="H11" s="9"/>
      <c r="I11" s="88"/>
      <c r="J11" s="95"/>
      <c r="K11" s="95"/>
      <c r="L11" s="90"/>
      <c r="M11" s="96"/>
      <c r="N11" s="9"/>
      <c r="O11" s="88" t="s">
        <v>149</v>
      </c>
      <c r="P11" s="92">
        <v>-1.8500000000000001E-3</v>
      </c>
      <c r="Q11" s="93" t="b">
        <v>1</v>
      </c>
      <c r="R11" s="74"/>
    </row>
    <row r="12" spans="2:18" x14ac:dyDescent="0.25">
      <c r="B12" s="72"/>
      <c r="C12" s="37" t="s">
        <v>21</v>
      </c>
      <c r="D12" s="12"/>
      <c r="E12" s="9" t="s">
        <v>4</v>
      </c>
      <c r="F12" s="9"/>
      <c r="G12" s="9"/>
      <c r="H12" s="9"/>
      <c r="I12" s="88"/>
      <c r="J12" s="95"/>
      <c r="K12" s="95"/>
      <c r="L12" s="90"/>
      <c r="M12" s="96"/>
      <c r="N12" s="9"/>
      <c r="O12" s="88" t="s">
        <v>150</v>
      </c>
      <c r="P12" s="92">
        <v>-1.3500000000000001E-3</v>
      </c>
      <c r="Q12" s="93" t="b">
        <v>1</v>
      </c>
      <c r="R12" s="74"/>
    </row>
    <row r="13" spans="2:18" x14ac:dyDescent="0.25">
      <c r="B13" s="72"/>
      <c r="C13" s="8" t="s">
        <v>22</v>
      </c>
      <c r="D13" s="38" t="s">
        <v>87</v>
      </c>
      <c r="E13" s="9" t="s">
        <v>4</v>
      </c>
      <c r="F13" s="9"/>
      <c r="G13" s="9"/>
      <c r="H13" s="9"/>
      <c r="I13" s="88"/>
      <c r="J13" s="95"/>
      <c r="K13" s="95"/>
      <c r="L13" s="90"/>
      <c r="M13" s="96"/>
      <c r="N13" s="9"/>
      <c r="O13" s="88" t="s">
        <v>151</v>
      </c>
      <c r="P13" s="92">
        <v>-8.699999999999999E-4</v>
      </c>
      <c r="Q13" s="93" t="b">
        <v>1</v>
      </c>
      <c r="R13" s="74"/>
    </row>
    <row r="14" spans="2:18" x14ac:dyDescent="0.25">
      <c r="B14" s="72"/>
      <c r="C14" s="32" t="s">
        <v>25</v>
      </c>
      <c r="D14" s="40" t="str">
        <f ca="1">_xll.meLWOCurveMarketDataCreate(D13,C4,C5:D10,F4,F6:G10,I4,I6:M31,O4,O6:Q31)</f>
        <v>EUR_SWAP_3M_CURVE_MARKETDATA:1</v>
      </c>
      <c r="E14" s="9" t="s">
        <v>4</v>
      </c>
      <c r="F14" s="9"/>
      <c r="G14" s="9"/>
      <c r="H14" s="9"/>
      <c r="I14" s="88"/>
      <c r="J14" s="95"/>
      <c r="K14" s="95"/>
      <c r="L14" s="90"/>
      <c r="M14" s="96"/>
      <c r="N14" s="9"/>
      <c r="O14" s="88" t="s">
        <v>152</v>
      </c>
      <c r="P14" s="92">
        <v>-4.2000000000000002E-4</v>
      </c>
      <c r="Q14" s="93" t="b">
        <v>1</v>
      </c>
      <c r="R14" s="74"/>
    </row>
    <row r="15" spans="2:18" x14ac:dyDescent="0.25">
      <c r="B15" s="72"/>
      <c r="C15" s="9"/>
      <c r="D15" s="9"/>
      <c r="E15" s="9" t="s">
        <v>4</v>
      </c>
      <c r="F15" s="9"/>
      <c r="G15" s="9"/>
      <c r="H15" s="9"/>
      <c r="I15" s="88"/>
      <c r="J15" s="95"/>
      <c r="K15" s="95"/>
      <c r="L15" s="90"/>
      <c r="M15" s="96"/>
      <c r="N15" s="9"/>
      <c r="O15" s="88" t="s">
        <v>153</v>
      </c>
      <c r="P15" s="92">
        <v>3.0000000000000001E-5</v>
      </c>
      <c r="Q15" s="93" t="b">
        <v>1</v>
      </c>
      <c r="R15" s="74"/>
    </row>
    <row r="16" spans="2:18" x14ac:dyDescent="0.25">
      <c r="B16" s="72"/>
      <c r="C16" s="9"/>
      <c r="D16" s="9"/>
      <c r="E16" s="9" t="s">
        <v>4</v>
      </c>
      <c r="F16" s="9"/>
      <c r="G16" s="9"/>
      <c r="H16" s="9"/>
      <c r="I16" s="88"/>
      <c r="J16" s="95"/>
      <c r="K16" s="95"/>
      <c r="L16" s="90"/>
      <c r="M16" s="96"/>
      <c r="N16" s="9"/>
      <c r="O16" s="88" t="s">
        <v>154</v>
      </c>
      <c r="P16" s="92">
        <v>1.1200000000000001E-3</v>
      </c>
      <c r="Q16" s="93" t="b">
        <v>1</v>
      </c>
      <c r="R16" s="74"/>
    </row>
    <row r="17" spans="2:18" x14ac:dyDescent="0.25">
      <c r="B17" s="72"/>
      <c r="C17" s="9"/>
      <c r="D17" s="9"/>
      <c r="E17" s="9" t="s">
        <v>4</v>
      </c>
      <c r="F17" s="9"/>
      <c r="G17" s="9"/>
      <c r="H17" s="9"/>
      <c r="I17" s="88"/>
      <c r="J17" s="95"/>
      <c r="K17" s="95"/>
      <c r="L17" s="90"/>
      <c r="M17" s="96"/>
      <c r="N17" s="9"/>
      <c r="O17" s="88" t="s">
        <v>155</v>
      </c>
      <c r="P17" s="92">
        <v>1.99E-3</v>
      </c>
      <c r="Q17" s="93" t="b">
        <v>1</v>
      </c>
      <c r="R17" s="74"/>
    </row>
    <row r="18" spans="2:18" x14ac:dyDescent="0.25">
      <c r="B18" s="72"/>
      <c r="C18" s="9"/>
      <c r="D18" s="9"/>
      <c r="E18" s="9"/>
      <c r="F18" s="9"/>
      <c r="G18" s="9"/>
      <c r="H18" s="9"/>
      <c r="I18" s="88"/>
      <c r="J18" s="95"/>
      <c r="K18" s="95"/>
      <c r="L18" s="90"/>
      <c r="M18" s="96"/>
      <c r="N18" s="9"/>
      <c r="O18" s="88" t="s">
        <v>156</v>
      </c>
      <c r="P18" s="92">
        <v>2.0699999999999998E-3</v>
      </c>
      <c r="Q18" s="93" t="b">
        <v>1</v>
      </c>
      <c r="R18" s="74"/>
    </row>
    <row r="19" spans="2:18" x14ac:dyDescent="0.25">
      <c r="B19" s="72"/>
      <c r="C19" s="9"/>
      <c r="D19" s="9"/>
      <c r="E19" s="9" t="s">
        <v>4</v>
      </c>
      <c r="F19" s="9"/>
      <c r="G19" s="9"/>
      <c r="H19" s="9"/>
      <c r="I19" s="88"/>
      <c r="J19" s="95"/>
      <c r="K19" s="95"/>
      <c r="L19" s="90"/>
      <c r="M19" s="96"/>
      <c r="N19" s="9"/>
      <c r="O19" s="88" t="s">
        <v>157</v>
      </c>
      <c r="P19" s="92">
        <v>1.83E-3</v>
      </c>
      <c r="Q19" s="93" t="b">
        <v>1</v>
      </c>
      <c r="R19" s="74"/>
    </row>
    <row r="20" spans="2:18" x14ac:dyDescent="0.25">
      <c r="B20" s="72"/>
      <c r="C20" s="42" t="s">
        <v>29</v>
      </c>
      <c r="D20" s="99"/>
      <c r="E20" s="9" t="s">
        <v>4</v>
      </c>
      <c r="F20" s="9"/>
      <c r="G20" s="9"/>
      <c r="H20" s="9"/>
      <c r="I20" s="88"/>
      <c r="J20" s="95"/>
      <c r="K20" s="95"/>
      <c r="L20" s="90"/>
      <c r="M20" s="96"/>
      <c r="N20" s="9"/>
      <c r="O20" s="88" t="s">
        <v>199</v>
      </c>
      <c r="P20" s="92">
        <v>1.83E-3</v>
      </c>
      <c r="Q20" s="93" t="b">
        <v>1</v>
      </c>
      <c r="R20" s="74"/>
    </row>
    <row r="21" spans="2:18" x14ac:dyDescent="0.25">
      <c r="B21" s="72"/>
      <c r="C21" s="43" t="s">
        <v>22</v>
      </c>
      <c r="D21" s="44" t="s">
        <v>95</v>
      </c>
      <c r="E21" s="9" t="s">
        <v>4</v>
      </c>
      <c r="F21" s="9"/>
      <c r="G21" s="9"/>
      <c r="H21" s="9"/>
      <c r="I21" s="88"/>
      <c r="J21" s="95"/>
      <c r="K21" s="95"/>
      <c r="L21" s="90"/>
      <c r="M21" s="96"/>
      <c r="N21" s="9"/>
      <c r="O21" s="88"/>
      <c r="P21" s="92"/>
      <c r="Q21" s="93"/>
      <c r="R21" s="74"/>
    </row>
    <row r="22" spans="2:18" x14ac:dyDescent="0.25">
      <c r="B22" s="72"/>
      <c r="C22" s="45" t="s">
        <v>33</v>
      </c>
      <c r="D22" s="126" t="str">
        <f>Templates.EUR.3M</f>
        <v>EUR_SWAP_3M:1</v>
      </c>
      <c r="E22" s="9" t="s">
        <v>4</v>
      </c>
      <c r="F22" s="9"/>
      <c r="G22" s="9"/>
      <c r="H22" s="9"/>
      <c r="I22" s="88"/>
      <c r="J22" s="95"/>
      <c r="K22" s="95"/>
      <c r="L22" s="90"/>
      <c r="M22" s="96"/>
      <c r="N22" s="9"/>
      <c r="O22" s="100"/>
      <c r="P22" s="101"/>
      <c r="Q22" s="102"/>
      <c r="R22" s="103"/>
    </row>
    <row r="23" spans="2:18" x14ac:dyDescent="0.25">
      <c r="B23" s="72"/>
      <c r="C23" s="45" t="s">
        <v>37</v>
      </c>
      <c r="D23" s="46" t="s">
        <v>14</v>
      </c>
      <c r="E23" s="9" t="s">
        <v>4</v>
      </c>
      <c r="F23" s="9"/>
      <c r="G23" s="9"/>
      <c r="H23" s="9"/>
      <c r="I23" s="88"/>
      <c r="J23" s="95"/>
      <c r="K23" s="95"/>
      <c r="L23" s="90"/>
      <c r="M23" s="96"/>
      <c r="N23" s="9"/>
      <c r="O23" s="88"/>
      <c r="P23" s="92"/>
      <c r="Q23" s="93"/>
      <c r="R23" s="74"/>
    </row>
    <row r="24" spans="2:18" x14ac:dyDescent="0.25">
      <c r="B24" s="72"/>
      <c r="C24" s="47" t="s">
        <v>40</v>
      </c>
      <c r="D24" s="48"/>
      <c r="E24" s="9" t="s">
        <v>4</v>
      </c>
      <c r="F24" s="9"/>
      <c r="G24" s="9"/>
      <c r="H24" s="9"/>
      <c r="I24" s="88"/>
      <c r="J24" s="95"/>
      <c r="K24" s="95"/>
      <c r="L24" s="90"/>
      <c r="M24" s="96"/>
      <c r="N24" s="9"/>
      <c r="O24" s="88"/>
      <c r="P24" s="92"/>
      <c r="Q24" s="93"/>
      <c r="R24" s="74"/>
    </row>
    <row r="25" spans="2:18" x14ac:dyDescent="0.25">
      <c r="B25" s="72"/>
      <c r="C25" s="9"/>
      <c r="D25" s="9"/>
      <c r="E25" s="9" t="s">
        <v>4</v>
      </c>
      <c r="F25" s="9"/>
      <c r="G25" s="9"/>
      <c r="H25" s="9"/>
      <c r="I25" s="88"/>
      <c r="J25" s="95"/>
      <c r="K25" s="95"/>
      <c r="L25" s="90"/>
      <c r="M25" s="96"/>
      <c r="N25" s="9"/>
      <c r="O25" s="88"/>
      <c r="P25" s="92"/>
      <c r="Q25" s="93"/>
      <c r="R25" s="74"/>
    </row>
    <row r="26" spans="2:18" x14ac:dyDescent="0.25">
      <c r="B26" s="72"/>
      <c r="C26" s="9"/>
      <c r="D26" s="9"/>
      <c r="E26" s="9" t="s">
        <v>4</v>
      </c>
      <c r="F26" s="9"/>
      <c r="G26" s="9"/>
      <c r="H26" s="9"/>
      <c r="I26" s="88"/>
      <c r="J26" s="95"/>
      <c r="K26" s="95"/>
      <c r="L26" s="90"/>
      <c r="M26" s="96"/>
      <c r="N26" s="9"/>
      <c r="O26" s="88"/>
      <c r="P26" s="92"/>
      <c r="Q26" s="93"/>
      <c r="R26" s="74"/>
    </row>
    <row r="27" spans="2:18" x14ac:dyDescent="0.25">
      <c r="B27" s="72"/>
      <c r="C27" s="42" t="s">
        <v>47</v>
      </c>
      <c r="D27" s="9"/>
      <c r="E27" s="9" t="s">
        <v>4</v>
      </c>
      <c r="F27" s="9"/>
      <c r="G27" s="9"/>
      <c r="H27" s="9"/>
      <c r="I27" s="88"/>
      <c r="J27" s="95"/>
      <c r="K27" s="95"/>
      <c r="L27" s="90"/>
      <c r="M27" s="96"/>
      <c r="N27" s="9"/>
      <c r="O27" s="88"/>
      <c r="P27" s="92"/>
      <c r="Q27" s="93"/>
      <c r="R27" s="74"/>
    </row>
    <row r="28" spans="2:18" x14ac:dyDescent="0.25">
      <c r="B28" s="72"/>
      <c r="C28" s="54" t="s">
        <v>22</v>
      </c>
      <c r="D28" s="55" t="str">
        <f t="array" aca="1" ref="D28:D31" ca="1">IF(doesExistEUROIS,_xll.meLWOCurveCalibrate(D21,D22,D14,D23,D24),"LOAD EUROIS")</f>
        <v>EUR_SWAP_3M_CURVE:1</v>
      </c>
      <c r="E28" s="9" t="s">
        <v>4</v>
      </c>
      <c r="F28" s="9"/>
      <c r="G28" s="9"/>
      <c r="H28" s="9"/>
      <c r="I28" s="88"/>
      <c r="J28" s="95"/>
      <c r="K28" s="95"/>
      <c r="L28" s="90"/>
      <c r="M28" s="96"/>
      <c r="N28" s="9"/>
      <c r="O28" s="88"/>
      <c r="P28" s="92"/>
      <c r="Q28" s="93"/>
      <c r="R28" s="74"/>
    </row>
    <row r="29" spans="2:18" x14ac:dyDescent="0.25">
      <c r="B29" s="72"/>
      <c r="C29" s="58" t="s">
        <v>52</v>
      </c>
      <c r="D29" s="56" t="str">
        <f ca="1"/>
        <v>EURYC</v>
      </c>
      <c r="E29" s="9" t="s">
        <v>4</v>
      </c>
      <c r="F29" s="9"/>
      <c r="G29" s="9"/>
      <c r="H29" s="9"/>
      <c r="I29" s="88"/>
      <c r="J29" s="95"/>
      <c r="K29" s="95"/>
      <c r="L29" s="90"/>
      <c r="M29" s="96"/>
      <c r="N29" s="9"/>
      <c r="O29" s="88"/>
      <c r="P29" s="92"/>
      <c r="Q29" s="93"/>
      <c r="R29" s="74"/>
    </row>
    <row r="30" spans="2:18" x14ac:dyDescent="0.25">
      <c r="B30" s="72"/>
      <c r="C30" s="58" t="s">
        <v>54</v>
      </c>
      <c r="D30" s="56" t="str">
        <f ca="1"/>
        <v>STD:EUR3ML</v>
      </c>
      <c r="E30" s="9" t="s">
        <v>4</v>
      </c>
      <c r="F30" s="9"/>
      <c r="G30" s="9"/>
      <c r="H30" s="9"/>
      <c r="I30" s="88"/>
      <c r="J30" s="95"/>
      <c r="K30" s="95"/>
      <c r="L30" s="90"/>
      <c r="M30" s="96"/>
      <c r="N30" s="9"/>
      <c r="O30" s="88"/>
      <c r="P30" s="92"/>
      <c r="Q30" s="93"/>
      <c r="R30" s="74"/>
    </row>
    <row r="31" spans="2:18" x14ac:dyDescent="0.25">
      <c r="B31" s="72"/>
      <c r="C31" s="59" t="s">
        <v>57</v>
      </c>
      <c r="D31" s="57" t="str">
        <f ca="1"/>
        <v>0.01000 sec</v>
      </c>
      <c r="E31" s="9" t="s">
        <v>4</v>
      </c>
      <c r="F31" s="9"/>
      <c r="G31" s="9"/>
      <c r="H31" s="9"/>
      <c r="I31" s="104"/>
      <c r="J31" s="105"/>
      <c r="K31" s="105"/>
      <c r="L31" s="106"/>
      <c r="M31" s="107"/>
      <c r="N31" s="9"/>
      <c r="O31" s="104"/>
      <c r="P31" s="108"/>
      <c r="Q31" s="109"/>
      <c r="R31" s="74"/>
    </row>
    <row r="32" spans="2:18" x14ac:dyDescent="0.25">
      <c r="B32" s="72"/>
      <c r="C32" s="65" t="s">
        <v>60</v>
      </c>
      <c r="D32" s="66" t="b">
        <f ca="1">_xll.meLWOExists(D28,"Curve")</f>
        <v>1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74"/>
    </row>
    <row r="33" spans="2:18" x14ac:dyDescent="0.25">
      <c r="B33" s="7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74"/>
    </row>
    <row r="34" spans="2:18" x14ac:dyDescent="0.25">
      <c r="B34" s="7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74"/>
    </row>
    <row r="35" spans="2:18" x14ac:dyDescent="0.25">
      <c r="B35" s="7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74"/>
    </row>
    <row r="36" spans="2:18" x14ac:dyDescent="0.25">
      <c r="B36" s="72"/>
      <c r="C36" s="9"/>
      <c r="D36" s="9"/>
      <c r="E36" s="9" t="s">
        <v>4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74"/>
    </row>
    <row r="37" spans="2:18" x14ac:dyDescent="0.25">
      <c r="B37" s="72"/>
      <c r="C37" s="9"/>
      <c r="D37" s="9"/>
      <c r="E37" s="9" t="s">
        <v>4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74"/>
    </row>
    <row r="38" spans="2:18" x14ac:dyDescent="0.25">
      <c r="B38" s="72"/>
      <c r="C38" s="9"/>
      <c r="D38" s="9"/>
      <c r="E38" s="9" t="s">
        <v>4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74"/>
    </row>
    <row r="39" spans="2:18" x14ac:dyDescent="0.25">
      <c r="B39" s="72"/>
      <c r="C39" s="9"/>
      <c r="D39" s="9"/>
      <c r="E39" s="9" t="s">
        <v>4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74"/>
    </row>
    <row r="40" spans="2:18" x14ac:dyDescent="0.25">
      <c r="B40" s="7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74"/>
    </row>
    <row r="41" spans="2:18" x14ac:dyDescent="0.25">
      <c r="B41" s="7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74"/>
    </row>
    <row r="42" spans="2:18" x14ac:dyDescent="0.25">
      <c r="B42" s="7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74"/>
    </row>
    <row r="43" spans="2:18" x14ac:dyDescent="0.25">
      <c r="B43" s="7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74"/>
    </row>
    <row r="44" spans="2:18" x14ac:dyDescent="0.25">
      <c r="B44" s="7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74"/>
    </row>
    <row r="45" spans="2:18" x14ac:dyDescent="0.25">
      <c r="B45" s="7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74"/>
    </row>
    <row r="46" spans="2:18" x14ac:dyDescent="0.25">
      <c r="B46" s="7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74"/>
    </row>
    <row r="47" spans="2:18" x14ac:dyDescent="0.25">
      <c r="B47" s="7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74"/>
    </row>
    <row r="48" spans="2:18" x14ac:dyDescent="0.25">
      <c r="B48" s="7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74"/>
    </row>
    <row r="49" spans="2:18" x14ac:dyDescent="0.25">
      <c r="B49" s="7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74"/>
    </row>
    <row r="50" spans="2:18" x14ac:dyDescent="0.25">
      <c r="B50" s="7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74"/>
    </row>
    <row r="51" spans="2:18" x14ac:dyDescent="0.25">
      <c r="B51" s="7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74"/>
    </row>
    <row r="52" spans="2:18" x14ac:dyDescent="0.25">
      <c r="B52" s="7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74"/>
    </row>
    <row r="53" spans="2:18" x14ac:dyDescent="0.25">
      <c r="B53" s="7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74"/>
    </row>
    <row r="54" spans="2:18" x14ac:dyDescent="0.25">
      <c r="B54" s="7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74"/>
    </row>
    <row r="55" spans="2:18" x14ac:dyDescent="0.25">
      <c r="B55" s="72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74"/>
    </row>
    <row r="56" spans="2:18" x14ac:dyDescent="0.25">
      <c r="B56" s="72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74"/>
    </row>
    <row r="57" spans="2:18" x14ac:dyDescent="0.25">
      <c r="B57" s="72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74"/>
    </row>
    <row r="58" spans="2:18" x14ac:dyDescent="0.25">
      <c r="B58" s="72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74"/>
    </row>
    <row r="59" spans="2:18" x14ac:dyDescent="0.25">
      <c r="B59" s="7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74"/>
    </row>
    <row r="60" spans="2:18" x14ac:dyDescent="0.25">
      <c r="B60" s="7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74"/>
    </row>
    <row r="61" spans="2:18" x14ac:dyDescent="0.25">
      <c r="B61" s="7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74"/>
    </row>
    <row r="62" spans="2:18" x14ac:dyDescent="0.25">
      <c r="B62" s="7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74"/>
    </row>
    <row r="63" spans="2:18" x14ac:dyDescent="0.25">
      <c r="B63" s="7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74"/>
    </row>
    <row r="64" spans="2:18" x14ac:dyDescent="0.25">
      <c r="B64" s="7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74"/>
    </row>
    <row r="65" spans="2:18" x14ac:dyDescent="0.25">
      <c r="B65" s="7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74"/>
    </row>
    <row r="66" spans="2:18" x14ac:dyDescent="0.25">
      <c r="B66" s="7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74"/>
    </row>
    <row r="67" spans="2:18" x14ac:dyDescent="0.25">
      <c r="B67" s="7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74"/>
    </row>
    <row r="68" spans="2:18" x14ac:dyDescent="0.25">
      <c r="B68" s="7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74"/>
    </row>
    <row r="69" spans="2:18" x14ac:dyDescent="0.25">
      <c r="B69" s="7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74"/>
    </row>
    <row r="70" spans="2:18" x14ac:dyDescent="0.25">
      <c r="B70" s="7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74"/>
    </row>
    <row r="71" spans="2:18" x14ac:dyDescent="0.25">
      <c r="B71" s="7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74"/>
    </row>
    <row r="72" spans="2:18" x14ac:dyDescent="0.25">
      <c r="B72" s="7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74"/>
    </row>
    <row r="73" spans="2:18" x14ac:dyDescent="0.25">
      <c r="B73" s="7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74"/>
    </row>
    <row r="74" spans="2:18" x14ac:dyDescent="0.25">
      <c r="B74" s="7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74"/>
    </row>
    <row r="75" spans="2:18" x14ac:dyDescent="0.25">
      <c r="B75" s="7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74"/>
    </row>
    <row r="76" spans="2:18" x14ac:dyDescent="0.25">
      <c r="B76" s="7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74"/>
    </row>
    <row r="77" spans="2:18" x14ac:dyDescent="0.25">
      <c r="B77" s="7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74"/>
    </row>
    <row r="78" spans="2:18" x14ac:dyDescent="0.25">
      <c r="B78" s="7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74"/>
    </row>
    <row r="79" spans="2:18" x14ac:dyDescent="0.25">
      <c r="B79" s="7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74"/>
    </row>
    <row r="80" spans="2:18" x14ac:dyDescent="0.25">
      <c r="B80" s="7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74"/>
    </row>
    <row r="81" spans="2:18" x14ac:dyDescent="0.25">
      <c r="B81" s="7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74"/>
    </row>
    <row r="82" spans="2:18" x14ac:dyDescent="0.25">
      <c r="B82" s="7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74"/>
    </row>
    <row r="83" spans="2:18" x14ac:dyDescent="0.25">
      <c r="B83" s="7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74"/>
    </row>
    <row r="84" spans="2:18" x14ac:dyDescent="0.25">
      <c r="B84" s="7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74"/>
    </row>
    <row r="85" spans="2:18" x14ac:dyDescent="0.25">
      <c r="B85" s="7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74"/>
    </row>
    <row r="86" spans="2:18" x14ac:dyDescent="0.25">
      <c r="B86" s="7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74"/>
    </row>
    <row r="87" spans="2:18" x14ac:dyDescent="0.25">
      <c r="B87" s="7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74"/>
    </row>
    <row r="88" spans="2:18" x14ac:dyDescent="0.25">
      <c r="B88" s="7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74"/>
    </row>
    <row r="89" spans="2:18" x14ac:dyDescent="0.25">
      <c r="B89" s="7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74"/>
    </row>
    <row r="90" spans="2:18" x14ac:dyDescent="0.25">
      <c r="B90" s="7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74"/>
    </row>
    <row r="91" spans="2:18" x14ac:dyDescent="0.25">
      <c r="B91" s="7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74"/>
    </row>
    <row r="92" spans="2:18" x14ac:dyDescent="0.25">
      <c r="B92" s="7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74"/>
    </row>
    <row r="93" spans="2:18" x14ac:dyDescent="0.25">
      <c r="B93" s="7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74"/>
    </row>
    <row r="94" spans="2:18" x14ac:dyDescent="0.25">
      <c r="B94" s="7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74"/>
    </row>
    <row r="95" spans="2:18" x14ac:dyDescent="0.25">
      <c r="B95" s="7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74"/>
    </row>
    <row r="96" spans="2:18" x14ac:dyDescent="0.25">
      <c r="B96" s="7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74"/>
    </row>
    <row r="97" spans="2:18" x14ac:dyDescent="0.25">
      <c r="B97" s="7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74"/>
    </row>
    <row r="98" spans="2:18" x14ac:dyDescent="0.25">
      <c r="B98" s="7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74"/>
    </row>
    <row r="99" spans="2:18" x14ac:dyDescent="0.25">
      <c r="B99" s="7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74"/>
    </row>
    <row r="100" spans="2:18" x14ac:dyDescent="0.25">
      <c r="B100" s="7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74"/>
    </row>
    <row r="101" spans="2:18" x14ac:dyDescent="0.25">
      <c r="B101" s="7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74"/>
    </row>
    <row r="102" spans="2:18" x14ac:dyDescent="0.25">
      <c r="B102" s="7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74"/>
    </row>
    <row r="103" spans="2:18" x14ac:dyDescent="0.25">
      <c r="B103" s="7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74"/>
    </row>
    <row r="104" spans="2:18" x14ac:dyDescent="0.25">
      <c r="B104" s="7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74"/>
    </row>
    <row r="105" spans="2:18" x14ac:dyDescent="0.25">
      <c r="B105" s="7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74"/>
    </row>
    <row r="106" spans="2:18" x14ac:dyDescent="0.25">
      <c r="B106" s="7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74"/>
    </row>
    <row r="107" spans="2:18" x14ac:dyDescent="0.25">
      <c r="B107" s="7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74"/>
    </row>
    <row r="108" spans="2:18" x14ac:dyDescent="0.25">
      <c r="B108" s="7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74"/>
    </row>
    <row r="109" spans="2:18" x14ac:dyDescent="0.25">
      <c r="B109" s="110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4" tint="0.39997558519241921"/>
  </sheetPr>
  <dimension ref="B3:O109"/>
  <sheetViews>
    <sheetView showGridLines="0" workbookViewId="0"/>
  </sheetViews>
  <sheetFormatPr defaultRowHeight="15" x14ac:dyDescent="0.25"/>
  <cols>
    <col min="1" max="1" width="4.7109375" customWidth="1"/>
    <col min="2" max="2" width="2.7109375" customWidth="1"/>
    <col min="3" max="3" width="30.7109375" customWidth="1"/>
    <col min="4" max="4" width="40.5703125" bestFit="1" customWidth="1"/>
    <col min="5" max="5" width="2.7109375" customWidth="1"/>
    <col min="6" max="7" width="10.7109375" customWidth="1"/>
    <col min="8" max="8" width="2.7109375" customWidth="1"/>
    <col min="9" max="10" width="10.7109375" customWidth="1"/>
    <col min="11" max="11" width="2.7109375" customWidth="1"/>
    <col min="12" max="14" width="12.7109375" customWidth="1"/>
    <col min="15" max="15" width="2.7109375" customWidth="1"/>
  </cols>
  <sheetData>
    <row r="3" spans="2:15" x14ac:dyDescent="0.25">
      <c r="B3" s="69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2:15" x14ac:dyDescent="0.25">
      <c r="B4" s="72"/>
      <c r="C4" s="13" t="s">
        <v>0</v>
      </c>
      <c r="D4" s="14"/>
      <c r="E4" s="9"/>
      <c r="F4" s="13" t="s">
        <v>81</v>
      </c>
      <c r="G4" s="14"/>
      <c r="H4" s="9"/>
      <c r="I4" s="13" t="s">
        <v>107</v>
      </c>
      <c r="J4" s="14"/>
      <c r="K4" s="9"/>
      <c r="L4" s="13" t="s">
        <v>3</v>
      </c>
      <c r="M4" s="9"/>
      <c r="N4" s="9"/>
      <c r="O4" s="74"/>
    </row>
    <row r="5" spans="2:15" x14ac:dyDescent="0.25">
      <c r="B5" s="72"/>
      <c r="C5" s="75" t="s">
        <v>10</v>
      </c>
      <c r="D5" s="76" t="s">
        <v>11</v>
      </c>
      <c r="E5" s="9" t="s">
        <v>4</v>
      </c>
      <c r="F5" s="12" t="s">
        <v>5</v>
      </c>
      <c r="G5" s="12" t="s">
        <v>6</v>
      </c>
      <c r="H5" s="41"/>
      <c r="I5" s="12" t="s">
        <v>5</v>
      </c>
      <c r="J5" s="12" t="s">
        <v>6</v>
      </c>
      <c r="K5" s="41"/>
      <c r="L5" s="78" t="s">
        <v>5</v>
      </c>
      <c r="M5" s="12" t="s">
        <v>6</v>
      </c>
      <c r="N5" s="12" t="s">
        <v>9</v>
      </c>
      <c r="O5" s="74"/>
    </row>
    <row r="6" spans="2:15" x14ac:dyDescent="0.25">
      <c r="B6" s="72"/>
      <c r="C6" s="79" t="s">
        <v>12</v>
      </c>
      <c r="D6" s="80" t="s">
        <v>84</v>
      </c>
      <c r="E6" s="9" t="s">
        <v>4</v>
      </c>
      <c r="F6" s="19" t="s">
        <v>133</v>
      </c>
      <c r="G6" s="24">
        <v>-2.3857000000000001E-3</v>
      </c>
      <c r="H6" s="9"/>
      <c r="I6" s="85" t="s">
        <v>162</v>
      </c>
      <c r="J6" s="113">
        <v>-2.5600000000000002E-3</v>
      </c>
      <c r="K6" s="9"/>
      <c r="L6" s="85" t="s">
        <v>144</v>
      </c>
      <c r="M6" s="86">
        <v>-3.0999999999999999E-3</v>
      </c>
      <c r="N6" s="87" t="b">
        <v>1</v>
      </c>
      <c r="O6" s="74"/>
    </row>
    <row r="7" spans="2:15" x14ac:dyDescent="0.25">
      <c r="B7" s="72"/>
      <c r="C7" s="79" t="s">
        <v>15</v>
      </c>
      <c r="D7" s="80" t="s">
        <v>122</v>
      </c>
      <c r="E7" s="9" t="s">
        <v>4</v>
      </c>
      <c r="F7" s="25"/>
      <c r="G7" s="31"/>
      <c r="H7" s="9"/>
      <c r="I7" s="88" t="s">
        <v>163</v>
      </c>
      <c r="J7" s="114">
        <v>-2.8299999999999996E-3</v>
      </c>
      <c r="K7" s="9"/>
      <c r="L7" s="88" t="s">
        <v>62</v>
      </c>
      <c r="M7" s="92">
        <v>-2.9399999999999999E-3</v>
      </c>
      <c r="N7" s="93" t="b">
        <v>1</v>
      </c>
      <c r="O7" s="74"/>
    </row>
    <row r="8" spans="2:15" x14ac:dyDescent="0.25">
      <c r="B8" s="72"/>
      <c r="C8" s="79" t="s">
        <v>18</v>
      </c>
      <c r="D8" s="94">
        <f ca="1">AsOfDate</f>
        <v>43987</v>
      </c>
      <c r="E8" s="9" t="s">
        <v>4</v>
      </c>
      <c r="F8" s="129"/>
      <c r="G8" s="130"/>
      <c r="H8" s="9"/>
      <c r="I8" s="88" t="s">
        <v>164</v>
      </c>
      <c r="J8" s="114">
        <v>-3.0299999999999997E-3</v>
      </c>
      <c r="K8" s="9"/>
      <c r="L8" s="88" t="s">
        <v>145</v>
      </c>
      <c r="M8" s="92">
        <v>-2.7400000000000002E-3</v>
      </c>
      <c r="N8" s="93" t="b">
        <v>1</v>
      </c>
      <c r="O8" s="74"/>
    </row>
    <row r="9" spans="2:15" x14ac:dyDescent="0.25">
      <c r="B9" s="72"/>
      <c r="C9" s="16"/>
      <c r="D9" s="97"/>
      <c r="E9" s="9" t="s">
        <v>4</v>
      </c>
      <c r="F9" s="25"/>
      <c r="G9" s="31"/>
      <c r="H9" s="9"/>
      <c r="I9" s="88" t="s">
        <v>165</v>
      </c>
      <c r="J9" s="114">
        <v>-3.14E-3</v>
      </c>
      <c r="K9" s="9"/>
      <c r="L9" s="88" t="s">
        <v>146</v>
      </c>
      <c r="M9" s="92">
        <v>-2.4399999999999999E-3</v>
      </c>
      <c r="N9" s="93" t="b">
        <v>1</v>
      </c>
      <c r="O9" s="74"/>
    </row>
    <row r="10" spans="2:15" x14ac:dyDescent="0.25">
      <c r="B10" s="72"/>
      <c r="C10" s="32"/>
      <c r="D10" s="98"/>
      <c r="E10" s="9" t="s">
        <v>4</v>
      </c>
      <c r="F10" s="68"/>
      <c r="G10" s="64"/>
      <c r="H10" s="9"/>
      <c r="I10" s="88" t="s">
        <v>166</v>
      </c>
      <c r="J10" s="114">
        <v>-3.2200000000000002E-3</v>
      </c>
      <c r="K10" s="9"/>
      <c r="L10" s="88" t="s">
        <v>147</v>
      </c>
      <c r="M10" s="92">
        <v>-2.0599999999999998E-3</v>
      </c>
      <c r="N10" s="93" t="b">
        <v>1</v>
      </c>
      <c r="O10" s="74"/>
    </row>
    <row r="11" spans="2:15" x14ac:dyDescent="0.25">
      <c r="B11" s="72"/>
      <c r="C11" s="9"/>
      <c r="D11" s="9"/>
      <c r="E11" s="9" t="s">
        <v>4</v>
      </c>
      <c r="F11" s="9"/>
      <c r="G11" s="9"/>
      <c r="H11" s="9"/>
      <c r="I11" s="88" t="s">
        <v>167</v>
      </c>
      <c r="J11" s="114">
        <v>-3.3E-3</v>
      </c>
      <c r="K11" s="9"/>
      <c r="L11" s="88" t="s">
        <v>148</v>
      </c>
      <c r="M11" s="92">
        <v>-1.64E-3</v>
      </c>
      <c r="N11" s="93" t="b">
        <v>1</v>
      </c>
      <c r="O11" s="74"/>
    </row>
    <row r="12" spans="2:15" x14ac:dyDescent="0.25">
      <c r="B12" s="72"/>
      <c r="C12" s="37" t="s">
        <v>21</v>
      </c>
      <c r="D12" s="12"/>
      <c r="E12" s="9" t="s">
        <v>4</v>
      </c>
      <c r="F12" s="9"/>
      <c r="G12" s="9"/>
      <c r="H12" s="9"/>
      <c r="I12" s="88"/>
      <c r="J12" s="114"/>
      <c r="K12" s="9"/>
      <c r="L12" s="88" t="s">
        <v>149</v>
      </c>
      <c r="M12" s="92">
        <v>-1.2099999999999999E-3</v>
      </c>
      <c r="N12" s="93" t="b">
        <v>1</v>
      </c>
      <c r="O12" s="74"/>
    </row>
    <row r="13" spans="2:15" x14ac:dyDescent="0.25">
      <c r="B13" s="72"/>
      <c r="C13" s="8" t="s">
        <v>22</v>
      </c>
      <c r="D13" s="38" t="s">
        <v>124</v>
      </c>
      <c r="E13" s="9" t="s">
        <v>4</v>
      </c>
      <c r="F13" s="9"/>
      <c r="G13" s="9"/>
      <c r="H13" s="9"/>
      <c r="I13" s="88"/>
      <c r="J13" s="114"/>
      <c r="K13" s="9"/>
      <c r="L13" s="88" t="s">
        <v>150</v>
      </c>
      <c r="M13" s="92">
        <v>-7.6999999999999996E-4</v>
      </c>
      <c r="N13" s="93" t="b">
        <v>1</v>
      </c>
      <c r="O13" s="74"/>
    </row>
    <row r="14" spans="2:15" x14ac:dyDescent="0.25">
      <c r="B14" s="72"/>
      <c r="C14" s="32" t="s">
        <v>25</v>
      </c>
      <c r="D14" s="40" t="str">
        <f ca="1">_xll.meLWOCurveMarketDataCreate(D13,C4,C5:D10,F4,F6:G10,I4,I6:J31,L4,L6:N31)</f>
        <v>EUR_SWAP_6M_CURVE_MARKETDATA:1</v>
      </c>
      <c r="E14" s="9" t="s">
        <v>4</v>
      </c>
      <c r="F14" s="9"/>
      <c r="G14" s="9"/>
      <c r="H14" s="9"/>
      <c r="I14" s="88"/>
      <c r="J14" s="114"/>
      <c r="K14" s="9"/>
      <c r="L14" s="88" t="s">
        <v>151</v>
      </c>
      <c r="M14" s="92">
        <v>-3.4000000000000002E-4</v>
      </c>
      <c r="N14" s="93" t="b">
        <v>1</v>
      </c>
      <c r="O14" s="74"/>
    </row>
    <row r="15" spans="2:15" x14ac:dyDescent="0.25">
      <c r="B15" s="72"/>
      <c r="C15" s="9"/>
      <c r="D15" s="9"/>
      <c r="E15" s="9" t="s">
        <v>4</v>
      </c>
      <c r="F15" s="9"/>
      <c r="G15" s="9"/>
      <c r="H15" s="9"/>
      <c r="I15" s="88"/>
      <c r="J15" s="114"/>
      <c r="K15" s="9"/>
      <c r="L15" s="88" t="s">
        <v>152</v>
      </c>
      <c r="M15" s="92">
        <v>6.0000000000000002E-5</v>
      </c>
      <c r="N15" s="93" t="b">
        <v>1</v>
      </c>
      <c r="O15" s="74"/>
    </row>
    <row r="16" spans="2:15" x14ac:dyDescent="0.25">
      <c r="B16" s="72"/>
      <c r="C16" s="9"/>
      <c r="D16" s="9"/>
      <c r="E16" s="9" t="s">
        <v>4</v>
      </c>
      <c r="F16" s="9"/>
      <c r="G16" s="9"/>
      <c r="H16" s="9"/>
      <c r="I16" s="88"/>
      <c r="J16" s="114"/>
      <c r="K16" s="9"/>
      <c r="L16" s="88" t="s">
        <v>153</v>
      </c>
      <c r="M16" s="92">
        <v>4.6000000000000001E-4</v>
      </c>
      <c r="N16" s="93" t="b">
        <v>1</v>
      </c>
      <c r="O16" s="74"/>
    </row>
    <row r="17" spans="2:15" x14ac:dyDescent="0.25">
      <c r="B17" s="72"/>
      <c r="C17" s="9"/>
      <c r="D17" s="9"/>
      <c r="E17" s="9" t="s">
        <v>4</v>
      </c>
      <c r="F17" s="9"/>
      <c r="G17" s="9"/>
      <c r="H17" s="9"/>
      <c r="I17" s="88"/>
      <c r="J17" s="114"/>
      <c r="K17" s="9"/>
      <c r="L17" s="88" t="s">
        <v>154</v>
      </c>
      <c r="M17" s="92">
        <v>1.4299999999999998E-3</v>
      </c>
      <c r="N17" s="93" t="b">
        <v>1</v>
      </c>
      <c r="O17" s="74"/>
    </row>
    <row r="18" spans="2:15" x14ac:dyDescent="0.25">
      <c r="B18" s="72"/>
      <c r="C18" s="9"/>
      <c r="D18" s="9"/>
      <c r="E18" s="9" t="s">
        <v>4</v>
      </c>
      <c r="F18" s="9"/>
      <c r="G18" s="9"/>
      <c r="H18" s="9"/>
      <c r="I18" s="88"/>
      <c r="J18" s="114"/>
      <c r="K18" s="9"/>
      <c r="L18" s="88" t="s">
        <v>155</v>
      </c>
      <c r="M18" s="92">
        <v>2.1800000000000001E-3</v>
      </c>
      <c r="N18" s="93" t="b">
        <v>1</v>
      </c>
      <c r="O18" s="74"/>
    </row>
    <row r="19" spans="2:15" x14ac:dyDescent="0.25">
      <c r="B19" s="72"/>
      <c r="C19" s="9"/>
      <c r="D19" s="9"/>
      <c r="E19" s="9" t="s">
        <v>4</v>
      </c>
      <c r="F19" s="9"/>
      <c r="G19" s="9"/>
      <c r="H19" s="9"/>
      <c r="I19" s="88"/>
      <c r="J19" s="114"/>
      <c r="K19" s="9"/>
      <c r="L19" s="88" t="s">
        <v>156</v>
      </c>
      <c r="M19" s="92">
        <v>2.1800000000000001E-3</v>
      </c>
      <c r="N19" s="93" t="b">
        <v>1</v>
      </c>
      <c r="O19" s="74"/>
    </row>
    <row r="20" spans="2:15" x14ac:dyDescent="0.25">
      <c r="B20" s="72"/>
      <c r="C20" s="42" t="s">
        <v>29</v>
      </c>
      <c r="D20" s="12"/>
      <c r="E20" s="9" t="s">
        <v>4</v>
      </c>
      <c r="F20" s="9"/>
      <c r="G20" s="9"/>
      <c r="H20" s="9"/>
      <c r="I20" s="88"/>
      <c r="J20" s="114"/>
      <c r="K20" s="9"/>
      <c r="L20" s="88" t="s">
        <v>157</v>
      </c>
      <c r="M20" s="92">
        <v>1.89E-3</v>
      </c>
      <c r="N20" s="93" t="b">
        <v>1</v>
      </c>
      <c r="O20" s="74"/>
    </row>
    <row r="21" spans="2:15" x14ac:dyDescent="0.25">
      <c r="B21" s="72"/>
      <c r="C21" s="43" t="s">
        <v>22</v>
      </c>
      <c r="D21" s="44" t="s">
        <v>125</v>
      </c>
      <c r="E21" s="9" t="s">
        <v>4</v>
      </c>
      <c r="F21" s="9"/>
      <c r="G21" s="9"/>
      <c r="H21" s="9"/>
      <c r="I21" s="88"/>
      <c r="J21" s="114"/>
      <c r="K21" s="9"/>
      <c r="L21" s="88" t="s">
        <v>199</v>
      </c>
      <c r="M21" s="92">
        <v>1.89E-3</v>
      </c>
      <c r="N21" s="93" t="b">
        <v>1</v>
      </c>
      <c r="O21" s="74"/>
    </row>
    <row r="22" spans="2:15" x14ac:dyDescent="0.25">
      <c r="B22" s="72"/>
      <c r="C22" s="45" t="s">
        <v>33</v>
      </c>
      <c r="D22" s="126" t="str">
        <f>Templates.EUR.6M</f>
        <v>EUR_SWAP_6M:1</v>
      </c>
      <c r="E22" s="9" t="s">
        <v>4</v>
      </c>
      <c r="F22" s="9"/>
      <c r="G22" s="9"/>
      <c r="H22" s="9"/>
      <c r="I22" s="88"/>
      <c r="J22" s="114"/>
      <c r="K22" s="9"/>
      <c r="L22" s="88"/>
      <c r="M22" s="92"/>
      <c r="N22" s="93"/>
      <c r="O22" s="74"/>
    </row>
    <row r="23" spans="2:15" x14ac:dyDescent="0.25">
      <c r="B23" s="72"/>
      <c r="C23" s="45" t="s">
        <v>37</v>
      </c>
      <c r="D23" s="46" t="s">
        <v>14</v>
      </c>
      <c r="E23" s="9" t="s">
        <v>4</v>
      </c>
      <c r="F23" s="9"/>
      <c r="G23" s="9"/>
      <c r="H23" s="9"/>
      <c r="I23" s="88"/>
      <c r="J23" s="114"/>
      <c r="K23" s="9"/>
      <c r="L23" s="100"/>
      <c r="M23" s="101"/>
      <c r="N23" s="102"/>
      <c r="O23" s="103"/>
    </row>
    <row r="24" spans="2:15" x14ac:dyDescent="0.25">
      <c r="B24" s="72"/>
      <c r="C24" s="47" t="s">
        <v>40</v>
      </c>
      <c r="D24" s="48"/>
      <c r="E24" s="9" t="s">
        <v>4</v>
      </c>
      <c r="F24" s="9"/>
      <c r="G24" s="9"/>
      <c r="H24" s="9"/>
      <c r="I24" s="88"/>
      <c r="J24" s="114"/>
      <c r="K24" s="9"/>
      <c r="L24" s="88"/>
      <c r="M24" s="92"/>
      <c r="N24" s="115"/>
      <c r="O24" s="74"/>
    </row>
    <row r="25" spans="2:15" x14ac:dyDescent="0.25">
      <c r="B25" s="72"/>
      <c r="C25" s="9"/>
      <c r="D25" s="9"/>
      <c r="E25" s="9" t="s">
        <v>4</v>
      </c>
      <c r="F25" s="9"/>
      <c r="G25" s="9"/>
      <c r="H25" s="9"/>
      <c r="I25" s="88"/>
      <c r="J25" s="114"/>
      <c r="K25" s="9"/>
      <c r="L25" s="88"/>
      <c r="M25" s="92"/>
      <c r="N25" s="115"/>
      <c r="O25" s="74"/>
    </row>
    <row r="26" spans="2:15" x14ac:dyDescent="0.25">
      <c r="B26" s="72"/>
      <c r="C26" s="9"/>
      <c r="D26" s="9"/>
      <c r="E26" s="9" t="s">
        <v>4</v>
      </c>
      <c r="F26" s="9"/>
      <c r="G26" s="9"/>
      <c r="H26" s="9"/>
      <c r="I26" s="88"/>
      <c r="J26" s="114"/>
      <c r="K26" s="9"/>
      <c r="L26" s="88"/>
      <c r="M26" s="92"/>
      <c r="N26" s="115"/>
      <c r="O26" s="74"/>
    </row>
    <row r="27" spans="2:15" x14ac:dyDescent="0.25">
      <c r="B27" s="72"/>
      <c r="C27" s="42" t="s">
        <v>47</v>
      </c>
      <c r="D27" s="9"/>
      <c r="E27" s="9" t="s">
        <v>4</v>
      </c>
      <c r="F27" s="9"/>
      <c r="G27" s="9"/>
      <c r="H27" s="9"/>
      <c r="I27" s="88"/>
      <c r="J27" s="114"/>
      <c r="K27" s="9"/>
      <c r="L27" s="88"/>
      <c r="M27" s="92"/>
      <c r="N27" s="115"/>
      <c r="O27" s="74"/>
    </row>
    <row r="28" spans="2:15" x14ac:dyDescent="0.25">
      <c r="B28" s="72"/>
      <c r="C28" s="54" t="s">
        <v>22</v>
      </c>
      <c r="D28" s="55" t="str">
        <f t="array" aca="1" ref="D28:D31" ca="1">IF(doesExistEUR3M,_xll.meLWOCurveCalibrate(D21,D22,D14,D23,D24),"LOAD EUR3M")</f>
        <v>EUR_SWAP_6M_CURVE:1</v>
      </c>
      <c r="E28" s="9" t="s">
        <v>4</v>
      </c>
      <c r="F28" s="9"/>
      <c r="G28" s="9"/>
      <c r="H28" s="9"/>
      <c r="I28" s="88"/>
      <c r="J28" s="114"/>
      <c r="K28" s="9"/>
      <c r="L28" s="88"/>
      <c r="M28" s="92"/>
      <c r="N28" s="115"/>
      <c r="O28" s="74"/>
    </row>
    <row r="29" spans="2:15" x14ac:dyDescent="0.25">
      <c r="B29" s="72"/>
      <c r="C29" s="58" t="s">
        <v>52</v>
      </c>
      <c r="D29" s="56" t="str">
        <f ca="1"/>
        <v>EURYC</v>
      </c>
      <c r="E29" s="9" t="s">
        <v>4</v>
      </c>
      <c r="F29" s="9"/>
      <c r="G29" s="9"/>
      <c r="H29" s="9"/>
      <c r="I29" s="88"/>
      <c r="J29" s="114"/>
      <c r="K29" s="9"/>
      <c r="L29" s="88"/>
      <c r="M29" s="92"/>
      <c r="N29" s="115"/>
      <c r="O29" s="74"/>
    </row>
    <row r="30" spans="2:15" x14ac:dyDescent="0.25">
      <c r="B30" s="72"/>
      <c r="C30" s="58" t="s">
        <v>54</v>
      </c>
      <c r="D30" s="56" t="str">
        <f ca="1"/>
        <v>EUR6ML</v>
      </c>
      <c r="E30" s="9" t="s">
        <v>4</v>
      </c>
      <c r="F30" s="9"/>
      <c r="G30" s="9"/>
      <c r="H30" s="9"/>
      <c r="I30" s="88"/>
      <c r="J30" s="114"/>
      <c r="K30" s="9"/>
      <c r="L30" s="88"/>
      <c r="M30" s="92"/>
      <c r="N30" s="115"/>
      <c r="O30" s="74"/>
    </row>
    <row r="31" spans="2:15" x14ac:dyDescent="0.25">
      <c r="B31" s="72"/>
      <c r="C31" s="59" t="s">
        <v>57</v>
      </c>
      <c r="D31" s="57" t="str">
        <f ca="1"/>
        <v>0.00800 sec</v>
      </c>
      <c r="E31" s="9"/>
      <c r="F31" s="9"/>
      <c r="G31" s="9"/>
      <c r="H31" s="9"/>
      <c r="I31" s="104"/>
      <c r="J31" s="116"/>
      <c r="K31" s="9"/>
      <c r="L31" s="104"/>
      <c r="M31" s="108"/>
      <c r="N31" s="117"/>
      <c r="O31" s="74"/>
    </row>
    <row r="32" spans="2:15" x14ac:dyDescent="0.25">
      <c r="B32" s="72"/>
      <c r="C32" s="65" t="s">
        <v>60</v>
      </c>
      <c r="D32" s="66" t="b">
        <f ca="1">_xll.meLWOExists(D28,"Curve")</f>
        <v>1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74"/>
    </row>
    <row r="33" spans="2:15" x14ac:dyDescent="0.25">
      <c r="B33" s="7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74"/>
    </row>
    <row r="34" spans="2:15" x14ac:dyDescent="0.25">
      <c r="B34" s="7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74"/>
    </row>
    <row r="35" spans="2:15" x14ac:dyDescent="0.25">
      <c r="B35" s="7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74"/>
    </row>
    <row r="36" spans="2:15" x14ac:dyDescent="0.25">
      <c r="B36" s="7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74"/>
    </row>
    <row r="37" spans="2:15" x14ac:dyDescent="0.25">
      <c r="B37" s="7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74"/>
    </row>
    <row r="38" spans="2:15" x14ac:dyDescent="0.25">
      <c r="B38" s="7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74"/>
    </row>
    <row r="39" spans="2:15" x14ac:dyDescent="0.25">
      <c r="B39" s="7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74"/>
    </row>
    <row r="40" spans="2:15" x14ac:dyDescent="0.25">
      <c r="B40" s="7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74"/>
    </row>
    <row r="41" spans="2:15" x14ac:dyDescent="0.25">
      <c r="B41" s="7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74"/>
    </row>
    <row r="42" spans="2:15" x14ac:dyDescent="0.25">
      <c r="B42" s="7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74"/>
    </row>
    <row r="43" spans="2:15" x14ac:dyDescent="0.25">
      <c r="B43" s="7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74"/>
    </row>
    <row r="44" spans="2:15" x14ac:dyDescent="0.25">
      <c r="B44" s="7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74"/>
    </row>
    <row r="45" spans="2:15" x14ac:dyDescent="0.25">
      <c r="B45" s="7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74"/>
    </row>
    <row r="46" spans="2:15" x14ac:dyDescent="0.25">
      <c r="B46" s="7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74"/>
    </row>
    <row r="47" spans="2:15" x14ac:dyDescent="0.25">
      <c r="B47" s="7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74"/>
    </row>
    <row r="48" spans="2:15" x14ac:dyDescent="0.25">
      <c r="B48" s="7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74"/>
    </row>
    <row r="49" spans="2:15" x14ac:dyDescent="0.25">
      <c r="B49" s="7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74"/>
    </row>
    <row r="50" spans="2:15" x14ac:dyDescent="0.25">
      <c r="B50" s="7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74"/>
    </row>
    <row r="51" spans="2:15" x14ac:dyDescent="0.25">
      <c r="B51" s="7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74"/>
    </row>
    <row r="52" spans="2:15" x14ac:dyDescent="0.25">
      <c r="B52" s="7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74"/>
    </row>
    <row r="53" spans="2:15" x14ac:dyDescent="0.25">
      <c r="B53" s="7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74"/>
    </row>
    <row r="54" spans="2:15" x14ac:dyDescent="0.25">
      <c r="B54" s="7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74"/>
    </row>
    <row r="55" spans="2:15" x14ac:dyDescent="0.25">
      <c r="B55" s="72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74"/>
    </row>
    <row r="56" spans="2:15" x14ac:dyDescent="0.25">
      <c r="B56" s="72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74"/>
    </row>
    <row r="57" spans="2:15" x14ac:dyDescent="0.25">
      <c r="B57" s="72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74"/>
    </row>
    <row r="58" spans="2:15" x14ac:dyDescent="0.25">
      <c r="B58" s="72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74"/>
    </row>
    <row r="59" spans="2:15" x14ac:dyDescent="0.25">
      <c r="B59" s="7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74"/>
    </row>
    <row r="60" spans="2:15" x14ac:dyDescent="0.25">
      <c r="B60" s="7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74"/>
    </row>
    <row r="61" spans="2:15" x14ac:dyDescent="0.25">
      <c r="B61" s="7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74"/>
    </row>
    <row r="62" spans="2:15" x14ac:dyDescent="0.25">
      <c r="B62" s="7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74"/>
    </row>
    <row r="63" spans="2:15" x14ac:dyDescent="0.25">
      <c r="B63" s="7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74"/>
    </row>
    <row r="64" spans="2:15" x14ac:dyDescent="0.25">
      <c r="B64" s="7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74"/>
    </row>
    <row r="65" spans="2:15" x14ac:dyDescent="0.25">
      <c r="B65" s="7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74"/>
    </row>
    <row r="66" spans="2:15" x14ac:dyDescent="0.25">
      <c r="B66" s="7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74"/>
    </row>
    <row r="67" spans="2:15" x14ac:dyDescent="0.25">
      <c r="B67" s="7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74"/>
    </row>
    <row r="68" spans="2:15" x14ac:dyDescent="0.25">
      <c r="B68" s="7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74"/>
    </row>
    <row r="69" spans="2:15" x14ac:dyDescent="0.25">
      <c r="B69" s="7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74"/>
    </row>
    <row r="70" spans="2:15" x14ac:dyDescent="0.25">
      <c r="B70" s="7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74"/>
    </row>
    <row r="71" spans="2:15" x14ac:dyDescent="0.25">
      <c r="B71" s="7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74"/>
    </row>
    <row r="72" spans="2:15" x14ac:dyDescent="0.25">
      <c r="B72" s="7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74"/>
    </row>
    <row r="73" spans="2:15" x14ac:dyDescent="0.25">
      <c r="B73" s="7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74"/>
    </row>
    <row r="74" spans="2:15" x14ac:dyDescent="0.25">
      <c r="B74" s="7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74"/>
    </row>
    <row r="75" spans="2:15" x14ac:dyDescent="0.25">
      <c r="B75" s="7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74"/>
    </row>
    <row r="76" spans="2:15" x14ac:dyDescent="0.25">
      <c r="B76" s="7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74"/>
    </row>
    <row r="77" spans="2:15" x14ac:dyDescent="0.25">
      <c r="B77" s="7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74"/>
    </row>
    <row r="78" spans="2:15" x14ac:dyDescent="0.25">
      <c r="B78" s="7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74"/>
    </row>
    <row r="79" spans="2:15" x14ac:dyDescent="0.25">
      <c r="B79" s="7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74"/>
    </row>
    <row r="80" spans="2:15" x14ac:dyDescent="0.25">
      <c r="B80" s="7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74"/>
    </row>
    <row r="81" spans="2:15" x14ac:dyDescent="0.25">
      <c r="B81" s="7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74"/>
    </row>
    <row r="82" spans="2:15" x14ac:dyDescent="0.25">
      <c r="B82" s="7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74"/>
    </row>
    <row r="83" spans="2:15" x14ac:dyDescent="0.25">
      <c r="B83" s="7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74"/>
    </row>
    <row r="84" spans="2:15" x14ac:dyDescent="0.25">
      <c r="B84" s="7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74"/>
    </row>
    <row r="85" spans="2:15" x14ac:dyDescent="0.25">
      <c r="B85" s="7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74"/>
    </row>
    <row r="86" spans="2:15" x14ac:dyDescent="0.25">
      <c r="B86" s="7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74"/>
    </row>
    <row r="87" spans="2:15" x14ac:dyDescent="0.25">
      <c r="B87" s="7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74"/>
    </row>
    <row r="88" spans="2:15" x14ac:dyDescent="0.25">
      <c r="B88" s="7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74"/>
    </row>
    <row r="89" spans="2:15" x14ac:dyDescent="0.25">
      <c r="B89" s="7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74"/>
    </row>
    <row r="90" spans="2:15" x14ac:dyDescent="0.25">
      <c r="B90" s="7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74"/>
    </row>
    <row r="91" spans="2:15" x14ac:dyDescent="0.25">
      <c r="B91" s="7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74"/>
    </row>
    <row r="92" spans="2:15" x14ac:dyDescent="0.25">
      <c r="B92" s="7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74"/>
    </row>
    <row r="93" spans="2:15" x14ac:dyDescent="0.25">
      <c r="B93" s="7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74"/>
    </row>
    <row r="94" spans="2:15" x14ac:dyDescent="0.25">
      <c r="B94" s="7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74"/>
    </row>
    <row r="95" spans="2:15" x14ac:dyDescent="0.25">
      <c r="B95" s="7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74"/>
    </row>
    <row r="96" spans="2:15" x14ac:dyDescent="0.25">
      <c r="B96" s="7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74"/>
    </row>
    <row r="97" spans="2:15" x14ac:dyDescent="0.25">
      <c r="B97" s="7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74"/>
    </row>
    <row r="98" spans="2:15" x14ac:dyDescent="0.25">
      <c r="B98" s="7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74"/>
    </row>
    <row r="99" spans="2:15" x14ac:dyDescent="0.25">
      <c r="B99" s="7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74"/>
    </row>
    <row r="100" spans="2:15" x14ac:dyDescent="0.25">
      <c r="B100" s="7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74"/>
    </row>
    <row r="101" spans="2:15" x14ac:dyDescent="0.25">
      <c r="B101" s="7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74"/>
    </row>
    <row r="102" spans="2:15" x14ac:dyDescent="0.25">
      <c r="B102" s="7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74"/>
    </row>
    <row r="103" spans="2:15" x14ac:dyDescent="0.25">
      <c r="B103" s="7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74"/>
    </row>
    <row r="104" spans="2:15" x14ac:dyDescent="0.25">
      <c r="B104" s="7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74"/>
    </row>
    <row r="105" spans="2:15" x14ac:dyDescent="0.25">
      <c r="B105" s="7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74"/>
    </row>
    <row r="106" spans="2:15" x14ac:dyDescent="0.25">
      <c r="B106" s="7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74"/>
    </row>
    <row r="107" spans="2:15" x14ac:dyDescent="0.25">
      <c r="B107" s="7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74"/>
    </row>
    <row r="108" spans="2:15" x14ac:dyDescent="0.25">
      <c r="B108" s="7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74"/>
    </row>
    <row r="109" spans="2:15" x14ac:dyDescent="0.25">
      <c r="B109" s="110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4" tint="0.39997558519241921"/>
  </sheetPr>
  <dimension ref="B3:L109"/>
  <sheetViews>
    <sheetView showGridLines="0" workbookViewId="0"/>
  </sheetViews>
  <sheetFormatPr defaultRowHeight="15" x14ac:dyDescent="0.25"/>
  <cols>
    <col min="1" max="1" width="4.7109375" customWidth="1"/>
    <col min="2" max="2" width="2.7109375" customWidth="1"/>
    <col min="3" max="3" width="30.7109375" customWidth="1"/>
    <col min="4" max="4" width="41.5703125" bestFit="1" customWidth="1"/>
    <col min="5" max="5" width="2.7109375" customWidth="1"/>
    <col min="6" max="7" width="10.7109375" customWidth="1"/>
    <col min="8" max="8" width="2.7109375" customWidth="1"/>
    <col min="9" max="11" width="12.7109375" customWidth="1"/>
    <col min="12" max="12" width="2.7109375" customWidth="1"/>
  </cols>
  <sheetData>
    <row r="3" spans="2:12" x14ac:dyDescent="0.25">
      <c r="B3" s="69"/>
      <c r="C3" s="70"/>
      <c r="D3" s="70"/>
      <c r="E3" s="70"/>
      <c r="F3" s="70"/>
      <c r="G3" s="70"/>
      <c r="H3" s="70"/>
      <c r="I3" s="70"/>
      <c r="J3" s="195"/>
      <c r="K3" s="70"/>
      <c r="L3" s="71"/>
    </row>
    <row r="4" spans="2:12" x14ac:dyDescent="0.25">
      <c r="B4" s="72"/>
      <c r="C4" s="13" t="s">
        <v>0</v>
      </c>
      <c r="D4" s="14"/>
      <c r="E4" s="9"/>
      <c r="F4" s="13" t="s">
        <v>81</v>
      </c>
      <c r="G4" s="14"/>
      <c r="H4" s="9"/>
      <c r="I4" s="13" t="s">
        <v>3</v>
      </c>
      <c r="J4" s="67"/>
      <c r="K4" s="9"/>
      <c r="L4" s="74"/>
    </row>
    <row r="5" spans="2:12" x14ac:dyDescent="0.25">
      <c r="B5" s="72"/>
      <c r="C5" s="75" t="s">
        <v>10</v>
      </c>
      <c r="D5" s="76" t="s">
        <v>11</v>
      </c>
      <c r="E5" s="9" t="s">
        <v>4</v>
      </c>
      <c r="F5" s="12" t="s">
        <v>5</v>
      </c>
      <c r="G5" s="12" t="s">
        <v>6</v>
      </c>
      <c r="H5" s="41"/>
      <c r="I5" s="78" t="s">
        <v>5</v>
      </c>
      <c r="J5" s="12" t="s">
        <v>6</v>
      </c>
      <c r="K5" s="12" t="s">
        <v>9</v>
      </c>
      <c r="L5" s="74"/>
    </row>
    <row r="6" spans="2:12" x14ac:dyDescent="0.25">
      <c r="B6" s="72"/>
      <c r="C6" s="79" t="s">
        <v>12</v>
      </c>
      <c r="D6" s="80" t="s">
        <v>84</v>
      </c>
      <c r="E6" s="9" t="s">
        <v>4</v>
      </c>
      <c r="F6" s="19" t="s">
        <v>131</v>
      </c>
      <c r="G6" s="24">
        <v>-4.3014000000000004E-3</v>
      </c>
      <c r="H6" s="9"/>
      <c r="I6" s="85" t="s">
        <v>143</v>
      </c>
      <c r="J6" s="86">
        <v>-4.6499999999999996E-3</v>
      </c>
      <c r="K6" s="87" t="b">
        <v>1</v>
      </c>
      <c r="L6" s="74"/>
    </row>
    <row r="7" spans="2:12" x14ac:dyDescent="0.25">
      <c r="B7" s="72"/>
      <c r="C7" s="79" t="s">
        <v>15</v>
      </c>
      <c r="D7" s="80" t="s">
        <v>128</v>
      </c>
      <c r="E7" s="9" t="s">
        <v>4</v>
      </c>
      <c r="F7" s="25"/>
      <c r="G7" s="31"/>
      <c r="H7" s="9"/>
      <c r="I7" s="88" t="s">
        <v>144</v>
      </c>
      <c r="J7" s="92">
        <v>-4.5500000000000002E-3</v>
      </c>
      <c r="K7" s="93" t="b">
        <v>1</v>
      </c>
      <c r="L7" s="74"/>
    </row>
    <row r="8" spans="2:12" x14ac:dyDescent="0.25">
      <c r="B8" s="72"/>
      <c r="C8" s="79" t="s">
        <v>18</v>
      </c>
      <c r="D8" s="94">
        <f ca="1">AsOfDate</f>
        <v>43987</v>
      </c>
      <c r="E8" s="9" t="s">
        <v>4</v>
      </c>
      <c r="F8" s="25"/>
      <c r="G8" s="31"/>
      <c r="H8" s="9"/>
      <c r="I8" s="88" t="s">
        <v>62</v>
      </c>
      <c r="J8" s="92">
        <v>-4.3499999999999997E-3</v>
      </c>
      <c r="K8" s="93" t="b">
        <v>1</v>
      </c>
      <c r="L8" s="74"/>
    </row>
    <row r="9" spans="2:12" x14ac:dyDescent="0.25">
      <c r="B9" s="72"/>
      <c r="C9" s="16"/>
      <c r="D9" s="97"/>
      <c r="E9" s="9" t="s">
        <v>4</v>
      </c>
      <c r="F9" s="25"/>
      <c r="G9" s="31"/>
      <c r="H9" s="9"/>
      <c r="I9" s="88" t="s">
        <v>145</v>
      </c>
      <c r="J9" s="92">
        <v>-4.0599999999999994E-3</v>
      </c>
      <c r="K9" s="93" t="b">
        <v>1</v>
      </c>
      <c r="L9" s="74"/>
    </row>
    <row r="10" spans="2:12" x14ac:dyDescent="0.25">
      <c r="B10" s="72"/>
      <c r="C10" s="32"/>
      <c r="D10" s="98"/>
      <c r="E10" s="9" t="s">
        <v>4</v>
      </c>
      <c r="F10" s="68"/>
      <c r="G10" s="64"/>
      <c r="H10" s="9"/>
      <c r="I10" s="88" t="s">
        <v>146</v>
      </c>
      <c r="J10" s="92">
        <v>-3.7000000000000002E-3</v>
      </c>
      <c r="K10" s="93" t="b">
        <v>1</v>
      </c>
      <c r="L10" s="74"/>
    </row>
    <row r="11" spans="2:12" x14ac:dyDescent="0.25">
      <c r="B11" s="72"/>
      <c r="C11" s="9"/>
      <c r="D11" s="9"/>
      <c r="E11" s="9" t="s">
        <v>4</v>
      </c>
      <c r="F11" s="9"/>
      <c r="G11" s="9"/>
      <c r="H11" s="9"/>
      <c r="I11" s="88" t="s">
        <v>147</v>
      </c>
      <c r="J11" s="92">
        <v>-3.2800000000000004E-3</v>
      </c>
      <c r="K11" s="93" t="b">
        <v>1</v>
      </c>
      <c r="L11" s="74"/>
    </row>
    <row r="12" spans="2:12" x14ac:dyDescent="0.25">
      <c r="B12" s="72"/>
      <c r="C12" s="37" t="s">
        <v>21</v>
      </c>
      <c r="D12" s="12"/>
      <c r="E12" s="9" t="s">
        <v>4</v>
      </c>
      <c r="F12" s="9"/>
      <c r="G12" s="9"/>
      <c r="H12" s="9"/>
      <c r="I12" s="88" t="s">
        <v>148</v>
      </c>
      <c r="J12" s="92">
        <v>-2.82E-3</v>
      </c>
      <c r="K12" s="93" t="b">
        <v>1</v>
      </c>
      <c r="L12" s="74"/>
    </row>
    <row r="13" spans="2:12" x14ac:dyDescent="0.25">
      <c r="B13" s="72"/>
      <c r="C13" s="8" t="s">
        <v>22</v>
      </c>
      <c r="D13" s="38" t="s">
        <v>169</v>
      </c>
      <c r="E13" s="9" t="s">
        <v>4</v>
      </c>
      <c r="F13" s="9"/>
      <c r="G13" s="9"/>
      <c r="H13" s="9"/>
      <c r="I13" s="88" t="s">
        <v>149</v>
      </c>
      <c r="J13" s="92">
        <v>-2.3500000000000001E-3</v>
      </c>
      <c r="K13" s="93" t="b">
        <v>1</v>
      </c>
      <c r="L13" s="74"/>
    </row>
    <row r="14" spans="2:12" x14ac:dyDescent="0.25">
      <c r="B14" s="72"/>
      <c r="C14" s="32" t="s">
        <v>25</v>
      </c>
      <c r="D14" s="40" t="str">
        <f ca="1">_xll.meLWOCurveMarketDataCreate(D13,C4,C5:D10,F4,F6:G10,I4,I6:K31)</f>
        <v>EUR_SWAP_1M_CURVE_MARKETDATA:0</v>
      </c>
      <c r="E14" s="9" t="s">
        <v>4</v>
      </c>
      <c r="F14" s="9"/>
      <c r="G14" s="9"/>
      <c r="H14" s="9"/>
      <c r="I14" s="88" t="s">
        <v>150</v>
      </c>
      <c r="J14" s="92">
        <v>-1.8500000000000001E-3</v>
      </c>
      <c r="K14" s="93" t="b">
        <v>1</v>
      </c>
      <c r="L14" s="74"/>
    </row>
    <row r="15" spans="2:12" x14ac:dyDescent="0.25">
      <c r="B15" s="72"/>
      <c r="C15" s="9"/>
      <c r="D15" s="9"/>
      <c r="E15" s="9" t="s">
        <v>4</v>
      </c>
      <c r="F15" s="9"/>
      <c r="G15" s="9"/>
      <c r="H15" s="9"/>
      <c r="I15" s="88" t="s">
        <v>151</v>
      </c>
      <c r="J15" s="92">
        <v>-1.3699999999999999E-3</v>
      </c>
      <c r="K15" s="93" t="b">
        <v>1</v>
      </c>
      <c r="L15" s="74"/>
    </row>
    <row r="16" spans="2:12" x14ac:dyDescent="0.25">
      <c r="B16" s="72"/>
      <c r="C16" s="9"/>
      <c r="D16" s="9"/>
      <c r="E16" s="9" t="s">
        <v>4</v>
      </c>
      <c r="F16" s="9"/>
      <c r="G16" s="9"/>
      <c r="H16" s="9"/>
      <c r="I16" s="88" t="s">
        <v>152</v>
      </c>
      <c r="J16" s="92">
        <v>-9.2000000000000003E-4</v>
      </c>
      <c r="K16" s="93" t="b">
        <v>1</v>
      </c>
      <c r="L16" s="74"/>
    </row>
    <row r="17" spans="2:12" x14ac:dyDescent="0.25">
      <c r="B17" s="72"/>
      <c r="C17" s="9"/>
      <c r="D17" s="9"/>
      <c r="E17" s="9" t="s">
        <v>4</v>
      </c>
      <c r="F17" s="9"/>
      <c r="G17" s="9"/>
      <c r="H17" s="9"/>
      <c r="I17" s="88" t="s">
        <v>153</v>
      </c>
      <c r="J17" s="92">
        <v>-4.6999999999999999E-4</v>
      </c>
      <c r="K17" s="93" t="b">
        <v>1</v>
      </c>
      <c r="L17" s="74"/>
    </row>
    <row r="18" spans="2:12" x14ac:dyDescent="0.25">
      <c r="B18" s="72"/>
      <c r="C18" s="9"/>
      <c r="D18" s="9"/>
      <c r="E18" s="9"/>
      <c r="F18" s="9"/>
      <c r="G18" s="9"/>
      <c r="H18" s="9"/>
      <c r="I18" s="88" t="s">
        <v>154</v>
      </c>
      <c r="J18" s="92">
        <v>6.2000000000000011E-4</v>
      </c>
      <c r="K18" s="93" t="b">
        <v>1</v>
      </c>
      <c r="L18" s="74"/>
    </row>
    <row r="19" spans="2:12" x14ac:dyDescent="0.25">
      <c r="B19" s="72"/>
      <c r="C19" s="9"/>
      <c r="D19" s="9"/>
      <c r="E19" s="9" t="s">
        <v>4</v>
      </c>
      <c r="F19" s="9"/>
      <c r="G19" s="9"/>
      <c r="H19" s="9"/>
      <c r="I19" s="88" t="s">
        <v>155</v>
      </c>
      <c r="J19" s="92">
        <v>1.49E-3</v>
      </c>
      <c r="K19" s="93" t="b">
        <v>1</v>
      </c>
      <c r="L19" s="74"/>
    </row>
    <row r="20" spans="2:12" x14ac:dyDescent="0.25">
      <c r="B20" s="72"/>
      <c r="C20" s="42" t="s">
        <v>29</v>
      </c>
      <c r="D20" s="99"/>
      <c r="E20" s="9" t="s">
        <v>4</v>
      </c>
      <c r="F20" s="9"/>
      <c r="G20" s="9"/>
      <c r="H20" s="9"/>
      <c r="I20" s="88" t="s">
        <v>156</v>
      </c>
      <c r="J20" s="92">
        <v>1.5699999999999998E-3</v>
      </c>
      <c r="K20" s="93" t="b">
        <v>1</v>
      </c>
      <c r="L20" s="74"/>
    </row>
    <row r="21" spans="2:12" x14ac:dyDescent="0.25">
      <c r="B21" s="72"/>
      <c r="C21" s="43" t="s">
        <v>22</v>
      </c>
      <c r="D21" s="44" t="s">
        <v>168</v>
      </c>
      <c r="E21" s="9" t="s">
        <v>4</v>
      </c>
      <c r="F21" s="9"/>
      <c r="G21" s="9"/>
      <c r="H21" s="9"/>
      <c r="I21" s="88" t="s">
        <v>157</v>
      </c>
      <c r="J21" s="92">
        <v>1.33E-3</v>
      </c>
      <c r="K21" s="93" t="b">
        <v>1</v>
      </c>
      <c r="L21" s="74"/>
    </row>
    <row r="22" spans="2:12" x14ac:dyDescent="0.25">
      <c r="B22" s="72"/>
      <c r="C22" s="45" t="s">
        <v>33</v>
      </c>
      <c r="D22" s="126" t="str">
        <f>Templates.EUR.1M</f>
        <v>EUR_SWAP_1M:1</v>
      </c>
      <c r="E22" s="9" t="s">
        <v>4</v>
      </c>
      <c r="F22" s="9"/>
      <c r="G22" s="9"/>
      <c r="H22" s="9"/>
      <c r="I22" s="100" t="s">
        <v>199</v>
      </c>
      <c r="J22" s="101">
        <v>1.33E-3</v>
      </c>
      <c r="K22" s="102" t="b">
        <v>1</v>
      </c>
      <c r="L22" s="103"/>
    </row>
    <row r="23" spans="2:12" x14ac:dyDescent="0.25">
      <c r="B23" s="72"/>
      <c r="C23" s="45" t="s">
        <v>37</v>
      </c>
      <c r="D23" s="46" t="s">
        <v>14</v>
      </c>
      <c r="E23" s="9" t="s">
        <v>4</v>
      </c>
      <c r="F23" s="9"/>
      <c r="G23" s="9"/>
      <c r="H23" s="9"/>
      <c r="I23" s="88"/>
      <c r="J23" s="92"/>
      <c r="K23" s="93"/>
      <c r="L23" s="74"/>
    </row>
    <row r="24" spans="2:12" x14ac:dyDescent="0.25">
      <c r="B24" s="72"/>
      <c r="C24" s="47" t="s">
        <v>40</v>
      </c>
      <c r="D24" s="48"/>
      <c r="E24" s="9" t="s">
        <v>4</v>
      </c>
      <c r="F24" s="9"/>
      <c r="G24" s="9"/>
      <c r="H24" s="9"/>
      <c r="I24" s="88"/>
      <c r="J24" s="92"/>
      <c r="K24" s="93"/>
      <c r="L24" s="74"/>
    </row>
    <row r="25" spans="2:12" x14ac:dyDescent="0.25">
      <c r="B25" s="72"/>
      <c r="C25" s="9"/>
      <c r="D25" s="9"/>
      <c r="E25" s="9" t="s">
        <v>4</v>
      </c>
      <c r="F25" s="9"/>
      <c r="G25" s="9"/>
      <c r="H25" s="9"/>
      <c r="I25" s="88"/>
      <c r="J25" s="92"/>
      <c r="K25" s="93"/>
      <c r="L25" s="74"/>
    </row>
    <row r="26" spans="2:12" x14ac:dyDescent="0.25">
      <c r="B26" s="72"/>
      <c r="C26" s="9"/>
      <c r="D26" s="9"/>
      <c r="E26" s="9" t="s">
        <v>4</v>
      </c>
      <c r="F26" s="9"/>
      <c r="G26" s="9"/>
      <c r="H26" s="9"/>
      <c r="I26" s="88"/>
      <c r="J26" s="92"/>
      <c r="K26" s="93"/>
      <c r="L26" s="74"/>
    </row>
    <row r="27" spans="2:12" x14ac:dyDescent="0.25">
      <c r="B27" s="72"/>
      <c r="C27" s="42" t="s">
        <v>47</v>
      </c>
      <c r="D27" s="9"/>
      <c r="E27" s="9" t="s">
        <v>4</v>
      </c>
      <c r="F27" s="9"/>
      <c r="G27" s="9"/>
      <c r="H27" s="9"/>
      <c r="I27" s="88"/>
      <c r="J27" s="92"/>
      <c r="K27" s="93"/>
      <c r="L27" s="74"/>
    </row>
    <row r="28" spans="2:12" x14ac:dyDescent="0.25">
      <c r="B28" s="72"/>
      <c r="C28" s="54" t="s">
        <v>22</v>
      </c>
      <c r="D28" s="55" t="str">
        <f t="array" aca="1" ref="D28:D31" ca="1">IF(doesExistEUR6M,_xll.meLWOCurveCalibrate(D21,D22,D14,D23,D24),"LOAD EUR6M")</f>
        <v>EUR_SWAP_1M_CURVE:1</v>
      </c>
      <c r="E28" s="9" t="s">
        <v>4</v>
      </c>
      <c r="F28" s="9"/>
      <c r="G28" s="9"/>
      <c r="H28" s="9"/>
      <c r="I28" s="88"/>
      <c r="J28" s="92"/>
      <c r="K28" s="93"/>
      <c r="L28" s="74"/>
    </row>
    <row r="29" spans="2:12" x14ac:dyDescent="0.25">
      <c r="B29" s="72"/>
      <c r="C29" s="58" t="s">
        <v>52</v>
      </c>
      <c r="D29" s="56" t="str">
        <f ca="1"/>
        <v>EURYC</v>
      </c>
      <c r="E29" s="9" t="s">
        <v>4</v>
      </c>
      <c r="F29" s="9"/>
      <c r="G29" s="9"/>
      <c r="H29" s="9"/>
      <c r="I29" s="88"/>
      <c r="J29" s="92"/>
      <c r="K29" s="93"/>
      <c r="L29" s="74"/>
    </row>
    <row r="30" spans="2:12" x14ac:dyDescent="0.25">
      <c r="B30" s="72"/>
      <c r="C30" s="58" t="s">
        <v>54</v>
      </c>
      <c r="D30" s="56" t="str">
        <f ca="1"/>
        <v>EUR1ML</v>
      </c>
      <c r="E30" s="9" t="s">
        <v>4</v>
      </c>
      <c r="F30" s="9"/>
      <c r="G30" s="9"/>
      <c r="H30" s="9"/>
      <c r="I30" s="88"/>
      <c r="J30" s="92"/>
      <c r="K30" s="93"/>
      <c r="L30" s="74"/>
    </row>
    <row r="31" spans="2:12" x14ac:dyDescent="0.25">
      <c r="B31" s="72"/>
      <c r="C31" s="59" t="s">
        <v>57</v>
      </c>
      <c r="D31" s="57" t="str">
        <f ca="1"/>
        <v>0.01800 sec</v>
      </c>
      <c r="E31" s="9" t="s">
        <v>4</v>
      </c>
      <c r="F31" s="9"/>
      <c r="G31" s="9"/>
      <c r="H31" s="9"/>
      <c r="I31" s="104"/>
      <c r="J31" s="108"/>
      <c r="K31" s="109"/>
      <c r="L31" s="74"/>
    </row>
    <row r="32" spans="2:12" x14ac:dyDescent="0.25">
      <c r="B32" s="72"/>
      <c r="C32" s="65" t="s">
        <v>60</v>
      </c>
      <c r="D32" s="66" t="b">
        <f ca="1">_xll.meLWOExists(D28,"Curve")</f>
        <v>1</v>
      </c>
      <c r="E32" s="9"/>
      <c r="F32" s="9"/>
      <c r="G32" s="9"/>
      <c r="H32" s="9"/>
      <c r="I32" s="9"/>
      <c r="J32" s="9"/>
      <c r="K32" s="9"/>
      <c r="L32" s="74"/>
    </row>
    <row r="33" spans="2:12" x14ac:dyDescent="0.25">
      <c r="B33" s="72"/>
      <c r="C33" s="9"/>
      <c r="D33" s="9"/>
      <c r="E33" s="9"/>
      <c r="F33" s="9"/>
      <c r="G33" s="9"/>
      <c r="H33" s="9"/>
      <c r="I33" s="9"/>
      <c r="J33" s="9"/>
      <c r="K33" s="9"/>
      <c r="L33" s="74"/>
    </row>
    <row r="34" spans="2:12" x14ac:dyDescent="0.25">
      <c r="B34" s="72"/>
      <c r="C34" s="9"/>
      <c r="D34" s="9"/>
      <c r="E34" s="9"/>
      <c r="F34" s="9"/>
      <c r="G34" s="9"/>
      <c r="H34" s="9"/>
      <c r="I34" s="9"/>
      <c r="J34" s="9"/>
      <c r="K34" s="9"/>
      <c r="L34" s="74"/>
    </row>
    <row r="35" spans="2:12" x14ac:dyDescent="0.25">
      <c r="B35" s="72"/>
      <c r="C35" s="9"/>
      <c r="D35" s="9"/>
      <c r="E35" s="9"/>
      <c r="F35" s="9"/>
      <c r="G35" s="9"/>
      <c r="H35" s="9"/>
      <c r="I35" s="9"/>
      <c r="J35" s="9"/>
      <c r="K35" s="9"/>
      <c r="L35" s="74"/>
    </row>
    <row r="36" spans="2:12" x14ac:dyDescent="0.25">
      <c r="B36" s="72"/>
      <c r="C36" s="9"/>
      <c r="D36" s="9"/>
      <c r="E36" s="9" t="s">
        <v>4</v>
      </c>
      <c r="F36" s="9"/>
      <c r="G36" s="9"/>
      <c r="H36" s="9"/>
      <c r="I36" s="9"/>
      <c r="J36" s="9"/>
      <c r="K36" s="9"/>
      <c r="L36" s="74"/>
    </row>
    <row r="37" spans="2:12" x14ac:dyDescent="0.25">
      <c r="B37" s="72"/>
      <c r="C37" s="9"/>
      <c r="D37" s="9"/>
      <c r="E37" s="9" t="s">
        <v>4</v>
      </c>
      <c r="F37" s="9"/>
      <c r="G37" s="9"/>
      <c r="H37" s="9"/>
      <c r="I37" s="9"/>
      <c r="J37" s="9"/>
      <c r="K37" s="9"/>
      <c r="L37" s="74"/>
    </row>
    <row r="38" spans="2:12" x14ac:dyDescent="0.25">
      <c r="B38" s="72"/>
      <c r="C38" s="9"/>
      <c r="D38" s="9"/>
      <c r="E38" s="9" t="s">
        <v>4</v>
      </c>
      <c r="F38" s="9"/>
      <c r="G38" s="9"/>
      <c r="H38" s="9"/>
      <c r="I38" s="9"/>
      <c r="J38" s="9"/>
      <c r="K38" s="9"/>
      <c r="L38" s="74"/>
    </row>
    <row r="39" spans="2:12" x14ac:dyDescent="0.25">
      <c r="B39" s="72"/>
      <c r="C39" s="9"/>
      <c r="D39" s="9"/>
      <c r="E39" s="9" t="s">
        <v>4</v>
      </c>
      <c r="F39" s="9"/>
      <c r="G39" s="9"/>
      <c r="H39" s="9"/>
      <c r="I39" s="9"/>
      <c r="J39" s="9"/>
      <c r="K39" s="9"/>
      <c r="L39" s="74"/>
    </row>
    <row r="40" spans="2:12" x14ac:dyDescent="0.25">
      <c r="B40" s="72"/>
      <c r="C40" s="9"/>
      <c r="D40" s="9"/>
      <c r="E40" s="9"/>
      <c r="F40" s="9"/>
      <c r="G40" s="9"/>
      <c r="H40" s="9"/>
      <c r="I40" s="9"/>
      <c r="J40" s="9"/>
      <c r="K40" s="9"/>
      <c r="L40" s="74"/>
    </row>
    <row r="41" spans="2:12" x14ac:dyDescent="0.25">
      <c r="B41" s="72"/>
      <c r="C41" s="9"/>
      <c r="D41" s="9"/>
      <c r="E41" s="9"/>
      <c r="F41" s="9"/>
      <c r="G41" s="9"/>
      <c r="H41" s="9"/>
      <c r="I41" s="9"/>
      <c r="J41" s="9"/>
      <c r="K41" s="9"/>
      <c r="L41" s="74"/>
    </row>
    <row r="42" spans="2:12" x14ac:dyDescent="0.25">
      <c r="B42" s="72"/>
      <c r="C42" s="9"/>
      <c r="D42" s="9"/>
      <c r="E42" s="9"/>
      <c r="F42" s="9"/>
      <c r="G42" s="9"/>
      <c r="H42" s="9"/>
      <c r="I42" s="9"/>
      <c r="J42" s="9"/>
      <c r="K42" s="9"/>
      <c r="L42" s="74"/>
    </row>
    <row r="43" spans="2:12" x14ac:dyDescent="0.25">
      <c r="B43" s="72"/>
      <c r="C43" s="9"/>
      <c r="D43" s="9"/>
      <c r="E43" s="9"/>
      <c r="F43" s="9"/>
      <c r="G43" s="9"/>
      <c r="H43" s="9"/>
      <c r="I43" s="9"/>
      <c r="J43" s="9"/>
      <c r="K43" s="9"/>
      <c r="L43" s="74"/>
    </row>
    <row r="44" spans="2:12" x14ac:dyDescent="0.25">
      <c r="B44" s="72"/>
      <c r="C44" s="9"/>
      <c r="D44" s="9"/>
      <c r="E44" s="9"/>
      <c r="F44" s="9"/>
      <c r="G44" s="9"/>
      <c r="H44" s="9"/>
      <c r="I44" s="9"/>
      <c r="J44" s="9"/>
      <c r="K44" s="9"/>
      <c r="L44" s="74"/>
    </row>
    <row r="45" spans="2:12" x14ac:dyDescent="0.25">
      <c r="B45" s="72"/>
      <c r="C45" s="9"/>
      <c r="D45" s="9"/>
      <c r="E45" s="9"/>
      <c r="F45" s="9"/>
      <c r="G45" s="9"/>
      <c r="H45" s="9"/>
      <c r="I45" s="9"/>
      <c r="J45" s="9"/>
      <c r="K45" s="9"/>
      <c r="L45" s="74"/>
    </row>
    <row r="46" spans="2:12" x14ac:dyDescent="0.25">
      <c r="B46" s="72"/>
      <c r="C46" s="9"/>
      <c r="D46" s="9"/>
      <c r="E46" s="9"/>
      <c r="F46" s="9"/>
      <c r="G46" s="9"/>
      <c r="H46" s="9"/>
      <c r="I46" s="9"/>
      <c r="J46" s="9"/>
      <c r="K46" s="9"/>
      <c r="L46" s="74"/>
    </row>
    <row r="47" spans="2:12" x14ac:dyDescent="0.25">
      <c r="B47" s="72"/>
      <c r="C47" s="9"/>
      <c r="D47" s="9"/>
      <c r="E47" s="9"/>
      <c r="F47" s="9"/>
      <c r="G47" s="9"/>
      <c r="H47" s="9"/>
      <c r="I47" s="9"/>
      <c r="J47" s="9"/>
      <c r="K47" s="9"/>
      <c r="L47" s="74"/>
    </row>
    <row r="48" spans="2:12" x14ac:dyDescent="0.25">
      <c r="B48" s="72"/>
      <c r="C48" s="9"/>
      <c r="D48" s="9"/>
      <c r="E48" s="9"/>
      <c r="F48" s="9"/>
      <c r="G48" s="9"/>
      <c r="H48" s="9"/>
      <c r="I48" s="9"/>
      <c r="J48" s="9"/>
      <c r="K48" s="9"/>
      <c r="L48" s="74"/>
    </row>
    <row r="49" spans="2:12" x14ac:dyDescent="0.25">
      <c r="B49" s="72"/>
      <c r="C49" s="9"/>
      <c r="D49" s="9"/>
      <c r="E49" s="9"/>
      <c r="F49" s="9"/>
      <c r="G49" s="9"/>
      <c r="H49" s="9"/>
      <c r="I49" s="9"/>
      <c r="J49" s="9"/>
      <c r="K49" s="9"/>
      <c r="L49" s="74"/>
    </row>
    <row r="50" spans="2:12" x14ac:dyDescent="0.25">
      <c r="B50" s="72"/>
      <c r="C50" s="9"/>
      <c r="D50" s="9"/>
      <c r="E50" s="9"/>
      <c r="F50" s="9"/>
      <c r="G50" s="9"/>
      <c r="H50" s="9"/>
      <c r="I50" s="9"/>
      <c r="J50" s="9"/>
      <c r="K50" s="9"/>
      <c r="L50" s="74"/>
    </row>
    <row r="51" spans="2:12" x14ac:dyDescent="0.25">
      <c r="B51" s="72"/>
      <c r="C51" s="9"/>
      <c r="D51" s="9"/>
      <c r="E51" s="9"/>
      <c r="F51" s="9"/>
      <c r="G51" s="9"/>
      <c r="H51" s="9"/>
      <c r="I51" s="9"/>
      <c r="J51" s="9"/>
      <c r="K51" s="9"/>
      <c r="L51" s="74"/>
    </row>
    <row r="52" spans="2:12" x14ac:dyDescent="0.25">
      <c r="B52" s="72"/>
      <c r="C52" s="9"/>
      <c r="D52" s="9"/>
      <c r="E52" s="9"/>
      <c r="F52" s="9"/>
      <c r="G52" s="9"/>
      <c r="H52" s="9"/>
      <c r="I52" s="9"/>
      <c r="J52" s="9"/>
      <c r="K52" s="9"/>
      <c r="L52" s="74"/>
    </row>
    <row r="53" spans="2:12" x14ac:dyDescent="0.25">
      <c r="B53" s="72"/>
      <c r="C53" s="9"/>
      <c r="D53" s="9"/>
      <c r="E53" s="9"/>
      <c r="F53" s="9"/>
      <c r="G53" s="9"/>
      <c r="H53" s="9"/>
      <c r="I53" s="9"/>
      <c r="J53" s="9"/>
      <c r="K53" s="9"/>
      <c r="L53" s="74"/>
    </row>
    <row r="54" spans="2:12" x14ac:dyDescent="0.25">
      <c r="B54" s="72"/>
      <c r="C54" s="9"/>
      <c r="D54" s="9"/>
      <c r="E54" s="9"/>
      <c r="F54" s="9"/>
      <c r="G54" s="9"/>
      <c r="H54" s="9"/>
      <c r="I54" s="9"/>
      <c r="J54" s="9"/>
      <c r="K54" s="9"/>
      <c r="L54" s="74"/>
    </row>
    <row r="55" spans="2:12" x14ac:dyDescent="0.25">
      <c r="B55" s="72"/>
      <c r="C55" s="9"/>
      <c r="D55" s="9"/>
      <c r="E55" s="9"/>
      <c r="F55" s="9"/>
      <c r="G55" s="9"/>
      <c r="H55" s="9"/>
      <c r="I55" s="9"/>
      <c r="J55" s="9"/>
      <c r="K55" s="9"/>
      <c r="L55" s="74"/>
    </row>
    <row r="56" spans="2:12" x14ac:dyDescent="0.25">
      <c r="B56" s="72"/>
      <c r="C56" s="9"/>
      <c r="D56" s="9"/>
      <c r="E56" s="9"/>
      <c r="F56" s="9"/>
      <c r="G56" s="9"/>
      <c r="H56" s="9"/>
      <c r="I56" s="9"/>
      <c r="J56" s="9"/>
      <c r="K56" s="9"/>
      <c r="L56" s="74"/>
    </row>
    <row r="57" spans="2:12" x14ac:dyDescent="0.25">
      <c r="B57" s="72"/>
      <c r="C57" s="9"/>
      <c r="D57" s="9"/>
      <c r="E57" s="9"/>
      <c r="F57" s="9"/>
      <c r="G57" s="9"/>
      <c r="H57" s="9"/>
      <c r="I57" s="9"/>
      <c r="J57" s="9"/>
      <c r="K57" s="9"/>
      <c r="L57" s="74"/>
    </row>
    <row r="58" spans="2:12" x14ac:dyDescent="0.25">
      <c r="B58" s="72"/>
      <c r="C58" s="9"/>
      <c r="D58" s="9"/>
      <c r="E58" s="9"/>
      <c r="F58" s="9"/>
      <c r="G58" s="9"/>
      <c r="H58" s="9"/>
      <c r="I58" s="9"/>
      <c r="J58" s="9"/>
      <c r="K58" s="9"/>
      <c r="L58" s="74"/>
    </row>
    <row r="59" spans="2:12" x14ac:dyDescent="0.25">
      <c r="B59" s="72"/>
      <c r="C59" s="9"/>
      <c r="D59" s="9"/>
      <c r="E59" s="9"/>
      <c r="F59" s="9"/>
      <c r="G59" s="9"/>
      <c r="H59" s="9"/>
      <c r="I59" s="9"/>
      <c r="J59" s="9"/>
      <c r="K59" s="9"/>
      <c r="L59" s="74"/>
    </row>
    <row r="60" spans="2:12" x14ac:dyDescent="0.25">
      <c r="B60" s="72"/>
      <c r="C60" s="9"/>
      <c r="D60" s="9"/>
      <c r="E60" s="9"/>
      <c r="F60" s="9"/>
      <c r="G60" s="9"/>
      <c r="H60" s="9"/>
      <c r="I60" s="9"/>
      <c r="J60" s="9"/>
      <c r="K60" s="9"/>
      <c r="L60" s="74"/>
    </row>
    <row r="61" spans="2:12" x14ac:dyDescent="0.25">
      <c r="B61" s="72"/>
      <c r="C61" s="9"/>
      <c r="D61" s="9"/>
      <c r="E61" s="9"/>
      <c r="F61" s="9"/>
      <c r="G61" s="9"/>
      <c r="H61" s="9"/>
      <c r="I61" s="9"/>
      <c r="J61" s="9"/>
      <c r="K61" s="9"/>
      <c r="L61" s="74"/>
    </row>
    <row r="62" spans="2:12" x14ac:dyDescent="0.25">
      <c r="B62" s="72"/>
      <c r="C62" s="9"/>
      <c r="D62" s="9"/>
      <c r="E62" s="9"/>
      <c r="F62" s="9"/>
      <c r="G62" s="9"/>
      <c r="H62" s="9"/>
      <c r="I62" s="9"/>
      <c r="J62" s="9"/>
      <c r="K62" s="9"/>
      <c r="L62" s="74"/>
    </row>
    <row r="63" spans="2:12" x14ac:dyDescent="0.25">
      <c r="B63" s="72"/>
      <c r="C63" s="9"/>
      <c r="D63" s="9"/>
      <c r="E63" s="9"/>
      <c r="F63" s="9"/>
      <c r="G63" s="9"/>
      <c r="H63" s="9"/>
      <c r="I63" s="9"/>
      <c r="J63" s="9"/>
      <c r="K63" s="9"/>
      <c r="L63" s="74"/>
    </row>
    <row r="64" spans="2:12" x14ac:dyDescent="0.25">
      <c r="B64" s="72"/>
      <c r="C64" s="9"/>
      <c r="D64" s="9"/>
      <c r="E64" s="9"/>
      <c r="F64" s="9"/>
      <c r="G64" s="9"/>
      <c r="H64" s="9"/>
      <c r="I64" s="9"/>
      <c r="J64" s="9"/>
      <c r="K64" s="9"/>
      <c r="L64" s="74"/>
    </row>
    <row r="65" spans="2:12" x14ac:dyDescent="0.25">
      <c r="B65" s="72"/>
      <c r="C65" s="9"/>
      <c r="D65" s="9"/>
      <c r="E65" s="9"/>
      <c r="F65" s="9"/>
      <c r="G65" s="9"/>
      <c r="H65" s="9"/>
      <c r="I65" s="9"/>
      <c r="J65" s="9"/>
      <c r="K65" s="9"/>
      <c r="L65" s="74"/>
    </row>
    <row r="66" spans="2:12" x14ac:dyDescent="0.25">
      <c r="B66" s="72"/>
      <c r="C66" s="9"/>
      <c r="D66" s="9"/>
      <c r="E66" s="9"/>
      <c r="F66" s="9"/>
      <c r="G66" s="9"/>
      <c r="H66" s="9"/>
      <c r="I66" s="9"/>
      <c r="J66" s="9"/>
      <c r="K66" s="9"/>
      <c r="L66" s="74"/>
    </row>
    <row r="67" spans="2:12" x14ac:dyDescent="0.25">
      <c r="B67" s="72"/>
      <c r="C67" s="9"/>
      <c r="D67" s="9"/>
      <c r="E67" s="9"/>
      <c r="F67" s="9"/>
      <c r="G67" s="9"/>
      <c r="H67" s="9"/>
      <c r="I67" s="9"/>
      <c r="J67" s="9"/>
      <c r="K67" s="9"/>
      <c r="L67" s="74"/>
    </row>
    <row r="68" spans="2:12" x14ac:dyDescent="0.25">
      <c r="B68" s="72"/>
      <c r="C68" s="9"/>
      <c r="D68" s="9"/>
      <c r="E68" s="9"/>
      <c r="F68" s="9"/>
      <c r="G68" s="9"/>
      <c r="H68" s="9"/>
      <c r="I68" s="9"/>
      <c r="J68" s="9"/>
      <c r="K68" s="9"/>
      <c r="L68" s="74"/>
    </row>
    <row r="69" spans="2:12" x14ac:dyDescent="0.25">
      <c r="B69" s="72"/>
      <c r="C69" s="9"/>
      <c r="D69" s="9"/>
      <c r="E69" s="9"/>
      <c r="F69" s="9"/>
      <c r="G69" s="9"/>
      <c r="H69" s="9"/>
      <c r="I69" s="9"/>
      <c r="J69" s="9"/>
      <c r="K69" s="9"/>
      <c r="L69" s="74"/>
    </row>
    <row r="70" spans="2:12" x14ac:dyDescent="0.25">
      <c r="B70" s="72"/>
      <c r="C70" s="9"/>
      <c r="D70" s="9"/>
      <c r="E70" s="9"/>
      <c r="F70" s="9"/>
      <c r="G70" s="9"/>
      <c r="H70" s="9"/>
      <c r="I70" s="9"/>
      <c r="J70" s="9"/>
      <c r="K70" s="9"/>
      <c r="L70" s="74"/>
    </row>
    <row r="71" spans="2:12" x14ac:dyDescent="0.25">
      <c r="B71" s="72"/>
      <c r="C71" s="9"/>
      <c r="D71" s="9"/>
      <c r="E71" s="9"/>
      <c r="F71" s="9"/>
      <c r="G71" s="9"/>
      <c r="H71" s="9"/>
      <c r="I71" s="9"/>
      <c r="J71" s="9"/>
      <c r="K71" s="9"/>
      <c r="L71" s="74"/>
    </row>
    <row r="72" spans="2:12" x14ac:dyDescent="0.25">
      <c r="B72" s="72"/>
      <c r="C72" s="9"/>
      <c r="D72" s="9"/>
      <c r="E72" s="9"/>
      <c r="F72" s="9"/>
      <c r="G72" s="9"/>
      <c r="H72" s="9"/>
      <c r="I72" s="9"/>
      <c r="J72" s="9"/>
      <c r="K72" s="9"/>
      <c r="L72" s="74"/>
    </row>
    <row r="73" spans="2:12" x14ac:dyDescent="0.25">
      <c r="B73" s="72"/>
      <c r="C73" s="9"/>
      <c r="D73" s="9"/>
      <c r="E73" s="9"/>
      <c r="F73" s="9"/>
      <c r="G73" s="9"/>
      <c r="H73" s="9"/>
      <c r="I73" s="9"/>
      <c r="J73" s="9"/>
      <c r="K73" s="9"/>
      <c r="L73" s="74"/>
    </row>
    <row r="74" spans="2:12" x14ac:dyDescent="0.25">
      <c r="B74" s="72"/>
      <c r="C74" s="9"/>
      <c r="D74" s="9"/>
      <c r="E74" s="9"/>
      <c r="F74" s="9"/>
      <c r="G74" s="9"/>
      <c r="H74" s="9"/>
      <c r="I74" s="9"/>
      <c r="J74" s="9"/>
      <c r="K74" s="9"/>
      <c r="L74" s="74"/>
    </row>
    <row r="75" spans="2:12" x14ac:dyDescent="0.25">
      <c r="B75" s="72"/>
      <c r="C75" s="9"/>
      <c r="D75" s="9"/>
      <c r="E75" s="9"/>
      <c r="F75" s="9"/>
      <c r="G75" s="9"/>
      <c r="H75" s="9"/>
      <c r="I75" s="9"/>
      <c r="J75" s="9"/>
      <c r="K75" s="9"/>
      <c r="L75" s="74"/>
    </row>
    <row r="76" spans="2:12" x14ac:dyDescent="0.25">
      <c r="B76" s="72"/>
      <c r="C76" s="9"/>
      <c r="D76" s="9"/>
      <c r="E76" s="9"/>
      <c r="F76" s="9"/>
      <c r="G76" s="9"/>
      <c r="H76" s="9"/>
      <c r="I76" s="9"/>
      <c r="J76" s="9"/>
      <c r="K76" s="9"/>
      <c r="L76" s="74"/>
    </row>
    <row r="77" spans="2:12" x14ac:dyDescent="0.25">
      <c r="B77" s="72"/>
      <c r="C77" s="9"/>
      <c r="D77" s="9"/>
      <c r="E77" s="9"/>
      <c r="F77" s="9"/>
      <c r="G77" s="9"/>
      <c r="H77" s="9"/>
      <c r="I77" s="9"/>
      <c r="J77" s="9"/>
      <c r="K77" s="9"/>
      <c r="L77" s="74"/>
    </row>
    <row r="78" spans="2:12" x14ac:dyDescent="0.25">
      <c r="B78" s="72"/>
      <c r="C78" s="9"/>
      <c r="D78" s="9"/>
      <c r="E78" s="9"/>
      <c r="F78" s="9"/>
      <c r="G78" s="9"/>
      <c r="H78" s="9"/>
      <c r="I78" s="9"/>
      <c r="J78" s="9"/>
      <c r="K78" s="9"/>
      <c r="L78" s="74"/>
    </row>
    <row r="79" spans="2:12" x14ac:dyDescent="0.25">
      <c r="B79" s="72"/>
      <c r="C79" s="9"/>
      <c r="D79" s="9"/>
      <c r="E79" s="9"/>
      <c r="F79" s="9"/>
      <c r="G79" s="9"/>
      <c r="H79" s="9"/>
      <c r="I79" s="9"/>
      <c r="J79" s="9"/>
      <c r="K79" s="9"/>
      <c r="L79" s="74"/>
    </row>
    <row r="80" spans="2:12" x14ac:dyDescent="0.25">
      <c r="B80" s="72"/>
      <c r="C80" s="9"/>
      <c r="D80" s="9"/>
      <c r="E80" s="9"/>
      <c r="F80" s="9"/>
      <c r="G80" s="9"/>
      <c r="H80" s="9"/>
      <c r="I80" s="9"/>
      <c r="J80" s="9"/>
      <c r="K80" s="9"/>
      <c r="L80" s="74"/>
    </row>
    <row r="81" spans="2:12" x14ac:dyDescent="0.25">
      <c r="B81" s="72"/>
      <c r="C81" s="9"/>
      <c r="D81" s="9"/>
      <c r="E81" s="9"/>
      <c r="F81" s="9"/>
      <c r="G81" s="9"/>
      <c r="H81" s="9"/>
      <c r="I81" s="9"/>
      <c r="J81" s="9"/>
      <c r="K81" s="9"/>
      <c r="L81" s="74"/>
    </row>
    <row r="82" spans="2:12" x14ac:dyDescent="0.25">
      <c r="B82" s="72"/>
      <c r="C82" s="9"/>
      <c r="D82" s="9"/>
      <c r="E82" s="9"/>
      <c r="F82" s="9"/>
      <c r="G82" s="9"/>
      <c r="H82" s="9"/>
      <c r="I82" s="9"/>
      <c r="J82" s="9"/>
      <c r="K82" s="9"/>
      <c r="L82" s="74"/>
    </row>
    <row r="83" spans="2:12" x14ac:dyDescent="0.25">
      <c r="B83" s="72"/>
      <c r="C83" s="9"/>
      <c r="D83" s="9"/>
      <c r="E83" s="9"/>
      <c r="F83" s="9"/>
      <c r="G83" s="9"/>
      <c r="H83" s="9"/>
      <c r="I83" s="9"/>
      <c r="J83" s="9"/>
      <c r="K83" s="9"/>
      <c r="L83" s="74"/>
    </row>
    <row r="84" spans="2:12" x14ac:dyDescent="0.25">
      <c r="B84" s="72"/>
      <c r="C84" s="9"/>
      <c r="D84" s="9"/>
      <c r="E84" s="9"/>
      <c r="F84" s="9"/>
      <c r="G84" s="9"/>
      <c r="H84" s="9"/>
      <c r="I84" s="9"/>
      <c r="J84" s="9"/>
      <c r="K84" s="9"/>
      <c r="L84" s="74"/>
    </row>
    <row r="85" spans="2:12" x14ac:dyDescent="0.25">
      <c r="B85" s="72"/>
      <c r="C85" s="9"/>
      <c r="D85" s="9"/>
      <c r="E85" s="9"/>
      <c r="F85" s="9"/>
      <c r="G85" s="9"/>
      <c r="H85" s="9"/>
      <c r="I85" s="9"/>
      <c r="J85" s="9"/>
      <c r="K85" s="9"/>
      <c r="L85" s="74"/>
    </row>
    <row r="86" spans="2:12" x14ac:dyDescent="0.25">
      <c r="B86" s="72"/>
      <c r="C86" s="9"/>
      <c r="D86" s="9"/>
      <c r="E86" s="9"/>
      <c r="F86" s="9"/>
      <c r="G86" s="9"/>
      <c r="H86" s="9"/>
      <c r="I86" s="9"/>
      <c r="J86" s="9"/>
      <c r="K86" s="9"/>
      <c r="L86" s="74"/>
    </row>
    <row r="87" spans="2:12" x14ac:dyDescent="0.25">
      <c r="B87" s="72"/>
      <c r="C87" s="9"/>
      <c r="D87" s="9"/>
      <c r="E87" s="9"/>
      <c r="F87" s="9"/>
      <c r="G87" s="9"/>
      <c r="H87" s="9"/>
      <c r="I87" s="9"/>
      <c r="J87" s="9"/>
      <c r="K87" s="9"/>
      <c r="L87" s="74"/>
    </row>
    <row r="88" spans="2:12" x14ac:dyDescent="0.25">
      <c r="B88" s="72"/>
      <c r="C88" s="9"/>
      <c r="D88" s="9"/>
      <c r="E88" s="9"/>
      <c r="F88" s="9"/>
      <c r="G88" s="9"/>
      <c r="H88" s="9"/>
      <c r="I88" s="9"/>
      <c r="J88" s="9"/>
      <c r="K88" s="9"/>
      <c r="L88" s="74"/>
    </row>
    <row r="89" spans="2:12" x14ac:dyDescent="0.25">
      <c r="B89" s="72"/>
      <c r="C89" s="9"/>
      <c r="D89" s="9"/>
      <c r="E89" s="9"/>
      <c r="F89" s="9"/>
      <c r="G89" s="9"/>
      <c r="H89" s="9"/>
      <c r="I89" s="9"/>
      <c r="J89" s="9"/>
      <c r="K89" s="9"/>
      <c r="L89" s="74"/>
    </row>
    <row r="90" spans="2:12" x14ac:dyDescent="0.25">
      <c r="B90" s="72"/>
      <c r="C90" s="9"/>
      <c r="D90" s="9"/>
      <c r="E90" s="9"/>
      <c r="F90" s="9"/>
      <c r="G90" s="9"/>
      <c r="H90" s="9"/>
      <c r="I90" s="9"/>
      <c r="J90" s="9"/>
      <c r="K90" s="9"/>
      <c r="L90" s="74"/>
    </row>
    <row r="91" spans="2:12" x14ac:dyDescent="0.25">
      <c r="B91" s="72"/>
      <c r="C91" s="9"/>
      <c r="D91" s="9"/>
      <c r="E91" s="9"/>
      <c r="F91" s="9"/>
      <c r="G91" s="9"/>
      <c r="H91" s="9"/>
      <c r="I91" s="9"/>
      <c r="J91" s="9"/>
      <c r="K91" s="9"/>
      <c r="L91" s="74"/>
    </row>
    <row r="92" spans="2:12" x14ac:dyDescent="0.25">
      <c r="B92" s="72"/>
      <c r="C92" s="9"/>
      <c r="D92" s="9"/>
      <c r="E92" s="9"/>
      <c r="F92" s="9"/>
      <c r="G92" s="9"/>
      <c r="H92" s="9"/>
      <c r="I92" s="9"/>
      <c r="J92" s="9"/>
      <c r="K92" s="9"/>
      <c r="L92" s="74"/>
    </row>
    <row r="93" spans="2:12" x14ac:dyDescent="0.25">
      <c r="B93" s="72"/>
      <c r="C93" s="9"/>
      <c r="D93" s="9"/>
      <c r="E93" s="9"/>
      <c r="F93" s="9"/>
      <c r="G93" s="9"/>
      <c r="H93" s="9"/>
      <c r="I93" s="9"/>
      <c r="J93" s="9"/>
      <c r="K93" s="9"/>
      <c r="L93" s="74"/>
    </row>
    <row r="94" spans="2:12" x14ac:dyDescent="0.25">
      <c r="B94" s="72"/>
      <c r="C94" s="9"/>
      <c r="D94" s="9"/>
      <c r="E94" s="9"/>
      <c r="F94" s="9"/>
      <c r="G94" s="9"/>
      <c r="H94" s="9"/>
      <c r="I94" s="9"/>
      <c r="J94" s="9"/>
      <c r="K94" s="9"/>
      <c r="L94" s="74"/>
    </row>
    <row r="95" spans="2:12" x14ac:dyDescent="0.25">
      <c r="B95" s="72"/>
      <c r="C95" s="9"/>
      <c r="D95" s="9"/>
      <c r="E95" s="9"/>
      <c r="F95" s="9"/>
      <c r="G95" s="9"/>
      <c r="H95" s="9"/>
      <c r="I95" s="9"/>
      <c r="J95" s="9"/>
      <c r="K95" s="9"/>
      <c r="L95" s="74"/>
    </row>
    <row r="96" spans="2:12" x14ac:dyDescent="0.25">
      <c r="B96" s="72"/>
      <c r="C96" s="9"/>
      <c r="D96" s="9"/>
      <c r="E96" s="9"/>
      <c r="F96" s="9"/>
      <c r="G96" s="9"/>
      <c r="H96" s="9"/>
      <c r="I96" s="9"/>
      <c r="J96" s="9"/>
      <c r="K96" s="9"/>
      <c r="L96" s="74"/>
    </row>
    <row r="97" spans="2:12" x14ac:dyDescent="0.25">
      <c r="B97" s="72"/>
      <c r="C97" s="9"/>
      <c r="D97" s="9"/>
      <c r="E97" s="9"/>
      <c r="F97" s="9"/>
      <c r="G97" s="9"/>
      <c r="H97" s="9"/>
      <c r="I97" s="9"/>
      <c r="J97" s="9"/>
      <c r="K97" s="9"/>
      <c r="L97" s="74"/>
    </row>
    <row r="98" spans="2:12" x14ac:dyDescent="0.25">
      <c r="B98" s="72"/>
      <c r="C98" s="9"/>
      <c r="D98" s="9"/>
      <c r="E98" s="9"/>
      <c r="F98" s="9"/>
      <c r="G98" s="9"/>
      <c r="H98" s="9"/>
      <c r="I98" s="9"/>
      <c r="J98" s="9"/>
      <c r="K98" s="9"/>
      <c r="L98" s="74"/>
    </row>
    <row r="99" spans="2:12" x14ac:dyDescent="0.25">
      <c r="B99" s="72"/>
      <c r="C99" s="9"/>
      <c r="D99" s="9"/>
      <c r="E99" s="9"/>
      <c r="F99" s="9"/>
      <c r="G99" s="9"/>
      <c r="H99" s="9"/>
      <c r="I99" s="9"/>
      <c r="J99" s="9"/>
      <c r="K99" s="9"/>
      <c r="L99" s="74"/>
    </row>
    <row r="100" spans="2:12" x14ac:dyDescent="0.25">
      <c r="B100" s="72"/>
      <c r="C100" s="9"/>
      <c r="D100" s="9"/>
      <c r="E100" s="9"/>
      <c r="F100" s="9"/>
      <c r="G100" s="9"/>
      <c r="H100" s="9"/>
      <c r="I100" s="9"/>
      <c r="J100" s="9"/>
      <c r="K100" s="9"/>
      <c r="L100" s="74"/>
    </row>
    <row r="101" spans="2:12" x14ac:dyDescent="0.25">
      <c r="B101" s="72"/>
      <c r="C101" s="9"/>
      <c r="D101" s="9"/>
      <c r="E101" s="9"/>
      <c r="F101" s="9"/>
      <c r="G101" s="9"/>
      <c r="H101" s="9"/>
      <c r="I101" s="9"/>
      <c r="J101" s="9"/>
      <c r="K101" s="9"/>
      <c r="L101" s="74"/>
    </row>
    <row r="102" spans="2:12" x14ac:dyDescent="0.25">
      <c r="B102" s="72"/>
      <c r="C102" s="9"/>
      <c r="D102" s="9"/>
      <c r="E102" s="9"/>
      <c r="F102" s="9"/>
      <c r="G102" s="9"/>
      <c r="H102" s="9"/>
      <c r="I102" s="9"/>
      <c r="J102" s="9"/>
      <c r="K102" s="9"/>
      <c r="L102" s="74"/>
    </row>
    <row r="103" spans="2:12" x14ac:dyDescent="0.25">
      <c r="B103" s="72"/>
      <c r="C103" s="9"/>
      <c r="D103" s="9"/>
      <c r="E103" s="9"/>
      <c r="F103" s="9"/>
      <c r="G103" s="9"/>
      <c r="H103" s="9"/>
      <c r="I103" s="9"/>
      <c r="J103" s="9"/>
      <c r="K103" s="9"/>
      <c r="L103" s="74"/>
    </row>
    <row r="104" spans="2:12" x14ac:dyDescent="0.25">
      <c r="B104" s="72"/>
      <c r="C104" s="9"/>
      <c r="D104" s="9"/>
      <c r="E104" s="9"/>
      <c r="F104" s="9"/>
      <c r="G104" s="9"/>
      <c r="H104" s="9"/>
      <c r="I104" s="9"/>
      <c r="J104" s="9"/>
      <c r="K104" s="9"/>
      <c r="L104" s="74"/>
    </row>
    <row r="105" spans="2:12" x14ac:dyDescent="0.25">
      <c r="B105" s="72"/>
      <c r="C105" s="9"/>
      <c r="D105" s="9"/>
      <c r="E105" s="9"/>
      <c r="F105" s="9"/>
      <c r="G105" s="9"/>
      <c r="H105" s="9"/>
      <c r="I105" s="9"/>
      <c r="J105" s="9"/>
      <c r="K105" s="9"/>
      <c r="L105" s="74"/>
    </row>
    <row r="106" spans="2:12" x14ac:dyDescent="0.25">
      <c r="B106" s="72"/>
      <c r="C106" s="9"/>
      <c r="D106" s="9"/>
      <c r="E106" s="9"/>
      <c r="F106" s="9"/>
      <c r="G106" s="9"/>
      <c r="H106" s="9"/>
      <c r="I106" s="9"/>
      <c r="J106" s="9"/>
      <c r="K106" s="9"/>
      <c r="L106" s="74"/>
    </row>
    <row r="107" spans="2:12" x14ac:dyDescent="0.25">
      <c r="B107" s="72"/>
      <c r="C107" s="9"/>
      <c r="D107" s="9"/>
      <c r="E107" s="9"/>
      <c r="F107" s="9"/>
      <c r="G107" s="9"/>
      <c r="H107" s="9"/>
      <c r="I107" s="9"/>
      <c r="J107" s="9"/>
      <c r="K107" s="9"/>
      <c r="L107" s="74"/>
    </row>
    <row r="108" spans="2:12" x14ac:dyDescent="0.25">
      <c r="B108" s="72"/>
      <c r="C108" s="9"/>
      <c r="D108" s="9"/>
      <c r="E108" s="9"/>
      <c r="F108" s="9"/>
      <c r="G108" s="9"/>
      <c r="H108" s="9"/>
      <c r="I108" s="9"/>
      <c r="J108" s="9"/>
      <c r="K108" s="9"/>
      <c r="L108" s="74"/>
    </row>
    <row r="109" spans="2:12" x14ac:dyDescent="0.25">
      <c r="B109" s="110"/>
      <c r="C109" s="111"/>
      <c r="D109" s="111"/>
      <c r="E109" s="111"/>
      <c r="F109" s="111"/>
      <c r="G109" s="111"/>
      <c r="H109" s="111"/>
      <c r="I109" s="111"/>
      <c r="J109" s="111"/>
      <c r="K109" s="111"/>
      <c r="L109" s="11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4" tint="0.39997558519241921"/>
  </sheetPr>
  <dimension ref="B3:O109"/>
  <sheetViews>
    <sheetView showGridLines="0" workbookViewId="0"/>
  </sheetViews>
  <sheetFormatPr defaultRowHeight="15" x14ac:dyDescent="0.25"/>
  <cols>
    <col min="1" max="1" width="4.7109375" customWidth="1"/>
    <col min="2" max="2" width="2.7109375" customWidth="1"/>
    <col min="3" max="3" width="30.7109375" customWidth="1"/>
    <col min="4" max="4" width="41.5703125" bestFit="1" customWidth="1"/>
    <col min="5" max="5" width="2.7109375" customWidth="1"/>
    <col min="6" max="7" width="10.7109375" customWidth="1"/>
    <col min="8" max="8" width="2.7109375" customWidth="1"/>
    <col min="9" max="11" width="12.7109375" customWidth="1"/>
    <col min="12" max="12" width="2.7109375" customWidth="1"/>
  </cols>
  <sheetData>
    <row r="3" spans="2:15" x14ac:dyDescent="0.25">
      <c r="B3" s="69"/>
      <c r="C3" s="70"/>
      <c r="D3" s="70"/>
      <c r="E3" s="70"/>
      <c r="F3" s="70"/>
      <c r="G3" s="70"/>
      <c r="H3" s="70"/>
      <c r="I3" s="70"/>
      <c r="J3" s="195"/>
      <c r="K3" s="70"/>
      <c r="L3" s="71"/>
    </row>
    <row r="4" spans="2:15" x14ac:dyDescent="0.25">
      <c r="B4" s="72"/>
      <c r="C4" s="13" t="s">
        <v>0</v>
      </c>
      <c r="D4" s="14"/>
      <c r="E4" s="9"/>
      <c r="F4" s="13" t="s">
        <v>81</v>
      </c>
      <c r="G4" s="14"/>
      <c r="H4" s="9"/>
      <c r="I4" s="13" t="s">
        <v>3</v>
      </c>
      <c r="J4" s="67"/>
      <c r="K4" s="9"/>
      <c r="L4" s="74"/>
    </row>
    <row r="5" spans="2:15" x14ac:dyDescent="0.25">
      <c r="B5" s="72"/>
      <c r="C5" s="75" t="s">
        <v>10</v>
      </c>
      <c r="D5" s="76" t="s">
        <v>11</v>
      </c>
      <c r="E5" s="9" t="s">
        <v>4</v>
      </c>
      <c r="F5" s="12" t="s">
        <v>5</v>
      </c>
      <c r="G5" s="12" t="s">
        <v>6</v>
      </c>
      <c r="H5" s="41"/>
      <c r="I5" s="78" t="s">
        <v>5</v>
      </c>
      <c r="J5" s="12" t="s">
        <v>6</v>
      </c>
      <c r="K5" s="12" t="s">
        <v>9</v>
      </c>
      <c r="L5" s="74"/>
    </row>
    <row r="6" spans="2:15" x14ac:dyDescent="0.25">
      <c r="B6" s="72"/>
      <c r="C6" s="79" t="s">
        <v>12</v>
      </c>
      <c r="D6" s="80" t="s">
        <v>84</v>
      </c>
      <c r="E6" s="9" t="s">
        <v>4</v>
      </c>
      <c r="F6" s="19" t="s">
        <v>132</v>
      </c>
      <c r="G6" s="24">
        <v>-1E-3</v>
      </c>
      <c r="H6" s="9"/>
      <c r="I6" s="85" t="s">
        <v>144</v>
      </c>
      <c r="J6" s="196">
        <v>-2E-3</v>
      </c>
      <c r="K6" s="87" t="b">
        <v>1</v>
      </c>
      <c r="L6" s="74"/>
    </row>
    <row r="7" spans="2:15" x14ac:dyDescent="0.25">
      <c r="B7" s="72"/>
      <c r="C7" s="79" t="s">
        <v>15</v>
      </c>
      <c r="D7" s="80" t="s">
        <v>39</v>
      </c>
      <c r="E7" s="9" t="s">
        <v>4</v>
      </c>
      <c r="F7" s="25"/>
      <c r="G7" s="31"/>
      <c r="H7" s="9"/>
      <c r="I7" s="88" t="s">
        <v>62</v>
      </c>
      <c r="J7" s="197">
        <v>-2.0500000000000002E-3</v>
      </c>
      <c r="K7" s="93" t="b">
        <v>1</v>
      </c>
      <c r="L7" s="74"/>
      <c r="N7" s="190"/>
      <c r="O7" s="128"/>
    </row>
    <row r="8" spans="2:15" x14ac:dyDescent="0.25">
      <c r="B8" s="72"/>
      <c r="C8" s="79" t="s">
        <v>18</v>
      </c>
      <c r="D8" s="94">
        <f ca="1">AsOfDate</f>
        <v>43987</v>
      </c>
      <c r="E8" s="9" t="s">
        <v>4</v>
      </c>
      <c r="F8" s="25"/>
      <c r="G8" s="31"/>
      <c r="H8" s="9"/>
      <c r="I8" s="88" t="s">
        <v>145</v>
      </c>
      <c r="J8" s="197">
        <v>-1.7599999999999998E-3</v>
      </c>
      <c r="K8" s="93" t="b">
        <v>1</v>
      </c>
      <c r="L8" s="74"/>
      <c r="N8" s="190"/>
      <c r="O8" s="128"/>
    </row>
    <row r="9" spans="2:15" x14ac:dyDescent="0.25">
      <c r="B9" s="72"/>
      <c r="C9" s="16"/>
      <c r="D9" s="97"/>
      <c r="E9" s="9" t="s">
        <v>4</v>
      </c>
      <c r="F9" s="129"/>
      <c r="G9" s="130"/>
      <c r="H9" s="9"/>
      <c r="I9" s="88" t="s">
        <v>146</v>
      </c>
      <c r="J9" s="197">
        <v>-1.4000000000000002E-3</v>
      </c>
      <c r="K9" s="93" t="b">
        <v>1</v>
      </c>
      <c r="L9" s="74"/>
      <c r="N9" s="190"/>
      <c r="O9" s="128"/>
    </row>
    <row r="10" spans="2:15" x14ac:dyDescent="0.25">
      <c r="B10" s="72"/>
      <c r="C10" s="32"/>
      <c r="D10" s="98"/>
      <c r="E10" s="9" t="s">
        <v>4</v>
      </c>
      <c r="F10" s="68"/>
      <c r="G10" s="64"/>
      <c r="H10" s="9"/>
      <c r="I10" s="88" t="s">
        <v>147</v>
      </c>
      <c r="J10" s="197">
        <v>-9.800000000000004E-4</v>
      </c>
      <c r="K10" s="93" t="b">
        <v>1</v>
      </c>
      <c r="L10" s="74"/>
      <c r="N10" s="190"/>
      <c r="O10" s="128"/>
    </row>
    <row r="11" spans="2:15" x14ac:dyDescent="0.25">
      <c r="B11" s="72"/>
      <c r="C11" s="9"/>
      <c r="D11" s="9"/>
      <c r="E11" s="9" t="s">
        <v>4</v>
      </c>
      <c r="F11" s="9"/>
      <c r="G11" s="9"/>
      <c r="H11" s="9"/>
      <c r="I11" s="88" t="s">
        <v>148</v>
      </c>
      <c r="J11" s="197">
        <v>-5.2000000000000006E-4</v>
      </c>
      <c r="K11" s="93" t="b">
        <v>1</v>
      </c>
      <c r="L11" s="74"/>
      <c r="N11" s="190"/>
      <c r="O11" s="128"/>
    </row>
    <row r="12" spans="2:15" x14ac:dyDescent="0.25">
      <c r="B12" s="72"/>
      <c r="C12" s="37" t="s">
        <v>21</v>
      </c>
      <c r="D12" s="12"/>
      <c r="E12" s="9" t="s">
        <v>4</v>
      </c>
      <c r="F12" s="9"/>
      <c r="G12" s="9"/>
      <c r="H12" s="9"/>
      <c r="I12" s="88" t="s">
        <v>149</v>
      </c>
      <c r="J12" s="197">
        <v>-5.0000000000000131E-5</v>
      </c>
      <c r="K12" s="93" t="b">
        <v>1</v>
      </c>
      <c r="L12" s="74"/>
      <c r="N12" s="190"/>
      <c r="O12" s="128"/>
    </row>
    <row r="13" spans="2:15" x14ac:dyDescent="0.25">
      <c r="B13" s="72"/>
      <c r="C13" s="8" t="s">
        <v>22</v>
      </c>
      <c r="D13" s="38" t="s">
        <v>170</v>
      </c>
      <c r="E13" s="9" t="s">
        <v>4</v>
      </c>
      <c r="F13" s="9"/>
      <c r="G13" s="9"/>
      <c r="H13" s="9"/>
      <c r="I13" s="88" t="s">
        <v>150</v>
      </c>
      <c r="J13" s="197">
        <v>4.4999999999999988E-4</v>
      </c>
      <c r="K13" s="93" t="b">
        <v>1</v>
      </c>
      <c r="L13" s="74"/>
      <c r="N13" s="190"/>
      <c r="O13" s="128"/>
    </row>
    <row r="14" spans="2:15" x14ac:dyDescent="0.25">
      <c r="B14" s="72"/>
      <c r="C14" s="32" t="s">
        <v>25</v>
      </c>
      <c r="D14" s="40" t="str">
        <f ca="1">_xll.meLWOCurveMarketDataCreate(D13,C4,C5:D10,F4,F6:G10,I4,I6:K31)</f>
        <v>EUR_SWAP_12M_CURVE_MARKETDATA:1</v>
      </c>
      <c r="E14" s="9" t="s">
        <v>4</v>
      </c>
      <c r="F14" s="9"/>
      <c r="G14" s="9"/>
      <c r="H14" s="9"/>
      <c r="I14" s="88" t="s">
        <v>151</v>
      </c>
      <c r="J14" s="197">
        <v>9.3000000000000005E-4</v>
      </c>
      <c r="K14" s="93" t="b">
        <v>1</v>
      </c>
      <c r="L14" s="74"/>
      <c r="N14" s="190"/>
      <c r="O14" s="128"/>
    </row>
    <row r="15" spans="2:15" x14ac:dyDescent="0.25">
      <c r="B15" s="72"/>
      <c r="C15" s="9"/>
      <c r="D15" s="9"/>
      <c r="E15" s="9" t="s">
        <v>4</v>
      </c>
      <c r="F15" s="9"/>
      <c r="G15" s="9"/>
      <c r="H15" s="9"/>
      <c r="I15" s="88" t="s">
        <v>152</v>
      </c>
      <c r="J15" s="197">
        <v>1.3799999999999999E-3</v>
      </c>
      <c r="K15" s="93" t="b">
        <v>1</v>
      </c>
      <c r="L15" s="74"/>
      <c r="N15" s="190"/>
      <c r="O15" s="128"/>
    </row>
    <row r="16" spans="2:15" x14ac:dyDescent="0.25">
      <c r="B16" s="72"/>
      <c r="C16" s="9"/>
      <c r="D16" s="9"/>
      <c r="E16" s="9" t="s">
        <v>4</v>
      </c>
      <c r="F16" s="9"/>
      <c r="G16" s="9"/>
      <c r="H16" s="9"/>
      <c r="I16" s="88" t="s">
        <v>153</v>
      </c>
      <c r="J16" s="197">
        <v>1.83E-3</v>
      </c>
      <c r="K16" s="93" t="b">
        <v>1</v>
      </c>
      <c r="L16" s="74"/>
      <c r="N16" s="190"/>
      <c r="O16" s="128"/>
    </row>
    <row r="17" spans="2:15" x14ac:dyDescent="0.25">
      <c r="B17" s="72"/>
      <c r="C17" s="9"/>
      <c r="D17" s="9"/>
      <c r="E17" s="9" t="s">
        <v>4</v>
      </c>
      <c r="F17" s="9"/>
      <c r="G17" s="9"/>
      <c r="H17" s="9"/>
      <c r="I17" s="88" t="s">
        <v>154</v>
      </c>
      <c r="J17" s="197">
        <v>2.9199999999999999E-3</v>
      </c>
      <c r="K17" s="93" t="b">
        <v>1</v>
      </c>
      <c r="L17" s="74"/>
      <c r="N17" s="190"/>
      <c r="O17" s="128"/>
    </row>
    <row r="18" spans="2:15" x14ac:dyDescent="0.25">
      <c r="B18" s="72"/>
      <c r="C18" s="9"/>
      <c r="D18" s="9"/>
      <c r="E18" s="9"/>
      <c r="F18" s="9"/>
      <c r="G18" s="9"/>
      <c r="H18" s="9"/>
      <c r="I18" s="88" t="s">
        <v>155</v>
      </c>
      <c r="J18" s="197">
        <v>3.79E-3</v>
      </c>
      <c r="K18" s="93" t="b">
        <v>1</v>
      </c>
      <c r="L18" s="74"/>
      <c r="N18" s="190"/>
      <c r="O18" s="128"/>
    </row>
    <row r="19" spans="2:15" x14ac:dyDescent="0.25">
      <c r="B19" s="72"/>
      <c r="C19" s="9"/>
      <c r="D19" s="9"/>
      <c r="E19" s="9" t="s">
        <v>4</v>
      </c>
      <c r="F19" s="9"/>
      <c r="G19" s="9"/>
      <c r="H19" s="9"/>
      <c r="I19" s="88" t="s">
        <v>156</v>
      </c>
      <c r="J19" s="197">
        <v>3.8699999999999997E-3</v>
      </c>
      <c r="K19" s="93" t="b">
        <v>1</v>
      </c>
      <c r="L19" s="74"/>
      <c r="N19" s="190"/>
      <c r="O19" s="128"/>
    </row>
    <row r="20" spans="2:15" x14ac:dyDescent="0.25">
      <c r="B20" s="72"/>
      <c r="C20" s="42" t="s">
        <v>29</v>
      </c>
      <c r="D20" s="99"/>
      <c r="E20" s="9" t="s">
        <v>4</v>
      </c>
      <c r="F20" s="9"/>
      <c r="G20" s="9"/>
      <c r="H20" s="9"/>
      <c r="I20" s="88" t="s">
        <v>157</v>
      </c>
      <c r="J20" s="197">
        <v>3.63E-3</v>
      </c>
      <c r="K20" s="93" t="b">
        <v>1</v>
      </c>
      <c r="L20" s="74"/>
      <c r="N20" s="190"/>
      <c r="O20" s="128"/>
    </row>
    <row r="21" spans="2:15" x14ac:dyDescent="0.25">
      <c r="B21" s="72"/>
      <c r="C21" s="43" t="s">
        <v>22</v>
      </c>
      <c r="D21" s="44" t="s">
        <v>171</v>
      </c>
      <c r="E21" s="9" t="s">
        <v>4</v>
      </c>
      <c r="F21" s="9"/>
      <c r="G21" s="9"/>
      <c r="H21" s="9"/>
      <c r="I21" s="88" t="s">
        <v>199</v>
      </c>
      <c r="J21" s="197">
        <v>3.63E-3</v>
      </c>
      <c r="K21" s="93" t="b">
        <v>1</v>
      </c>
      <c r="L21" s="74"/>
      <c r="N21" s="190"/>
      <c r="O21" s="128"/>
    </row>
    <row r="22" spans="2:15" x14ac:dyDescent="0.25">
      <c r="B22" s="72"/>
      <c r="C22" s="45" t="s">
        <v>33</v>
      </c>
      <c r="D22" s="126" t="str">
        <f>Templates.EUR.12M</f>
        <v>EUR_SWAP_12M:1</v>
      </c>
      <c r="E22" s="9" t="s">
        <v>4</v>
      </c>
      <c r="F22" s="9"/>
      <c r="G22" s="9"/>
      <c r="H22" s="9"/>
      <c r="I22" s="100"/>
      <c r="J22" s="101"/>
      <c r="K22" s="102"/>
      <c r="L22" s="103"/>
    </row>
    <row r="23" spans="2:15" x14ac:dyDescent="0.25">
      <c r="B23" s="72"/>
      <c r="C23" s="45" t="s">
        <v>37</v>
      </c>
      <c r="D23" s="46" t="s">
        <v>14</v>
      </c>
      <c r="E23" s="9" t="s">
        <v>4</v>
      </c>
      <c r="F23" s="9"/>
      <c r="G23" s="9"/>
      <c r="H23" s="9"/>
      <c r="I23" s="88"/>
      <c r="J23" s="92"/>
      <c r="K23" s="93"/>
      <c r="L23" s="74"/>
    </row>
    <row r="24" spans="2:15" x14ac:dyDescent="0.25">
      <c r="B24" s="72"/>
      <c r="C24" s="47" t="s">
        <v>40</v>
      </c>
      <c r="D24" s="48"/>
      <c r="E24" s="9" t="s">
        <v>4</v>
      </c>
      <c r="F24" s="9"/>
      <c r="G24" s="9"/>
      <c r="H24" s="9"/>
      <c r="I24" s="88"/>
      <c r="J24" s="92"/>
      <c r="K24" s="93"/>
      <c r="L24" s="74"/>
    </row>
    <row r="25" spans="2:15" x14ac:dyDescent="0.25">
      <c r="B25" s="72"/>
      <c r="C25" s="9"/>
      <c r="D25" s="9"/>
      <c r="E25" s="9" t="s">
        <v>4</v>
      </c>
      <c r="F25" s="9"/>
      <c r="G25" s="9"/>
      <c r="H25" s="9"/>
      <c r="I25" s="88"/>
      <c r="J25" s="92"/>
      <c r="K25" s="93"/>
      <c r="L25" s="74"/>
    </row>
    <row r="26" spans="2:15" x14ac:dyDescent="0.25">
      <c r="B26" s="72"/>
      <c r="C26" s="9"/>
      <c r="D26" s="9"/>
      <c r="E26" s="9" t="s">
        <v>4</v>
      </c>
      <c r="F26" s="9"/>
      <c r="G26" s="9"/>
      <c r="H26" s="9"/>
      <c r="I26" s="88"/>
      <c r="J26" s="92"/>
      <c r="K26" s="93"/>
      <c r="L26" s="74"/>
    </row>
    <row r="27" spans="2:15" x14ac:dyDescent="0.25">
      <c r="B27" s="72"/>
      <c r="C27" s="42" t="s">
        <v>47</v>
      </c>
      <c r="D27" s="9"/>
      <c r="E27" s="9" t="s">
        <v>4</v>
      </c>
      <c r="F27" s="9"/>
      <c r="G27" s="9"/>
      <c r="H27" s="9"/>
      <c r="I27" s="88"/>
      <c r="J27" s="92"/>
      <c r="K27" s="93"/>
      <c r="L27" s="74"/>
    </row>
    <row r="28" spans="2:15" x14ac:dyDescent="0.25">
      <c r="B28" s="72"/>
      <c r="C28" s="54" t="s">
        <v>22</v>
      </c>
      <c r="D28" s="55" t="str">
        <f t="array" aca="1" ref="D28:D31" ca="1">IF(doesExistEUR1M,_xll.meLWOCurveCalibrate(D21,D22,D14,D23,D24),"LOAD EUR1M")</f>
        <v>EUR_SWAP_12M_CURVE:1</v>
      </c>
      <c r="E28" s="9" t="s">
        <v>4</v>
      </c>
      <c r="F28" s="9"/>
      <c r="G28" s="9"/>
      <c r="H28" s="9"/>
      <c r="I28" s="88"/>
      <c r="J28" s="92"/>
      <c r="K28" s="93"/>
      <c r="L28" s="74"/>
    </row>
    <row r="29" spans="2:15" x14ac:dyDescent="0.25">
      <c r="B29" s="72"/>
      <c r="C29" s="58" t="s">
        <v>52</v>
      </c>
      <c r="D29" s="56" t="str">
        <f ca="1"/>
        <v>EURYC</v>
      </c>
      <c r="E29" s="9" t="s">
        <v>4</v>
      </c>
      <c r="F29" s="9"/>
      <c r="G29" s="9"/>
      <c r="H29" s="9"/>
      <c r="I29" s="88"/>
      <c r="J29" s="92"/>
      <c r="K29" s="93"/>
      <c r="L29" s="74"/>
    </row>
    <row r="30" spans="2:15" x14ac:dyDescent="0.25">
      <c r="B30" s="72"/>
      <c r="C30" s="58" t="s">
        <v>54</v>
      </c>
      <c r="D30" s="56" t="str">
        <f ca="1"/>
        <v>EUR12ML</v>
      </c>
      <c r="E30" s="9" t="s">
        <v>4</v>
      </c>
      <c r="F30" s="9"/>
      <c r="G30" s="9"/>
      <c r="H30" s="9"/>
      <c r="I30" s="88"/>
      <c r="J30" s="92"/>
      <c r="K30" s="93"/>
      <c r="L30" s="74"/>
    </row>
    <row r="31" spans="2:15" x14ac:dyDescent="0.25">
      <c r="B31" s="72"/>
      <c r="C31" s="59" t="s">
        <v>57</v>
      </c>
      <c r="D31" s="57" t="str">
        <f ca="1"/>
        <v>0.00700 sec</v>
      </c>
      <c r="E31" s="9" t="s">
        <v>4</v>
      </c>
      <c r="F31" s="9"/>
      <c r="G31" s="9"/>
      <c r="H31" s="9"/>
      <c r="I31" s="104"/>
      <c r="J31" s="108"/>
      <c r="K31" s="109"/>
      <c r="L31" s="74"/>
    </row>
    <row r="32" spans="2:15" x14ac:dyDescent="0.25">
      <c r="B32" s="72"/>
      <c r="C32" s="65" t="s">
        <v>60</v>
      </c>
      <c r="D32" s="66" t="b">
        <f ca="1">_xll.meLWOExists(D28,"Curve")</f>
        <v>1</v>
      </c>
      <c r="E32" s="9"/>
      <c r="F32" s="9"/>
      <c r="G32" s="9"/>
      <c r="H32" s="9"/>
      <c r="I32" s="9"/>
      <c r="J32" s="9"/>
      <c r="K32" s="9"/>
      <c r="L32" s="74"/>
    </row>
    <row r="33" spans="2:12" x14ac:dyDescent="0.25">
      <c r="B33" s="72"/>
      <c r="C33" s="9"/>
      <c r="D33" s="9"/>
      <c r="E33" s="9"/>
      <c r="F33" s="9"/>
      <c r="G33" s="9"/>
      <c r="H33" s="9"/>
      <c r="I33" s="9"/>
      <c r="J33" s="9"/>
      <c r="K33" s="9"/>
      <c r="L33" s="74"/>
    </row>
    <row r="34" spans="2:12" x14ac:dyDescent="0.25">
      <c r="B34" s="72"/>
      <c r="C34" s="9"/>
      <c r="D34" s="9"/>
      <c r="E34" s="9"/>
      <c r="F34" s="9"/>
      <c r="G34" s="9"/>
      <c r="H34" s="9"/>
      <c r="I34" s="9"/>
      <c r="J34" s="9"/>
      <c r="K34" s="9"/>
      <c r="L34" s="74"/>
    </row>
    <row r="35" spans="2:12" x14ac:dyDescent="0.25">
      <c r="B35" s="72"/>
      <c r="C35" s="9"/>
      <c r="D35" s="9"/>
      <c r="E35" s="9"/>
      <c r="F35" s="9"/>
      <c r="G35" s="9"/>
      <c r="H35" s="9"/>
      <c r="I35" s="9"/>
      <c r="J35" s="9"/>
      <c r="K35" s="9"/>
      <c r="L35" s="74"/>
    </row>
    <row r="36" spans="2:12" x14ac:dyDescent="0.25">
      <c r="B36" s="72"/>
      <c r="C36" s="9"/>
      <c r="D36" s="9"/>
      <c r="E36" s="9" t="s">
        <v>4</v>
      </c>
      <c r="F36" s="9"/>
      <c r="G36" s="9"/>
      <c r="H36" s="9"/>
      <c r="I36" s="9"/>
      <c r="J36" s="9"/>
      <c r="K36" s="9"/>
      <c r="L36" s="74"/>
    </row>
    <row r="37" spans="2:12" x14ac:dyDescent="0.25">
      <c r="B37" s="72"/>
      <c r="C37" s="9"/>
      <c r="D37" s="9"/>
      <c r="E37" s="9" t="s">
        <v>4</v>
      </c>
      <c r="F37" s="9"/>
      <c r="G37" s="9"/>
      <c r="H37" s="9"/>
      <c r="I37" s="9"/>
      <c r="J37" s="9"/>
      <c r="K37" s="9"/>
      <c r="L37" s="74"/>
    </row>
    <row r="38" spans="2:12" x14ac:dyDescent="0.25">
      <c r="B38" s="72"/>
      <c r="C38" s="9"/>
      <c r="D38" s="9"/>
      <c r="E38" s="9" t="s">
        <v>4</v>
      </c>
      <c r="F38" s="9"/>
      <c r="G38" s="9"/>
      <c r="H38" s="9"/>
      <c r="I38" s="9"/>
      <c r="J38" s="9"/>
      <c r="K38" s="9"/>
      <c r="L38" s="74"/>
    </row>
    <row r="39" spans="2:12" x14ac:dyDescent="0.25">
      <c r="B39" s="72"/>
      <c r="C39" s="9"/>
      <c r="D39" s="9"/>
      <c r="E39" s="9" t="s">
        <v>4</v>
      </c>
      <c r="F39" s="9"/>
      <c r="G39" s="9"/>
      <c r="H39" s="9"/>
      <c r="I39" s="9"/>
      <c r="J39" s="9"/>
      <c r="K39" s="9"/>
      <c r="L39" s="74"/>
    </row>
    <row r="40" spans="2:12" x14ac:dyDescent="0.25">
      <c r="B40" s="72"/>
      <c r="C40" s="9"/>
      <c r="D40" s="9"/>
      <c r="E40" s="9"/>
      <c r="F40" s="9"/>
      <c r="G40" s="9"/>
      <c r="H40" s="9"/>
      <c r="I40" s="9"/>
      <c r="J40" s="9"/>
      <c r="K40" s="9"/>
      <c r="L40" s="74"/>
    </row>
    <row r="41" spans="2:12" x14ac:dyDescent="0.25">
      <c r="B41" s="72"/>
      <c r="C41" s="9"/>
      <c r="D41" s="9"/>
      <c r="E41" s="9"/>
      <c r="F41" s="9"/>
      <c r="G41" s="9"/>
      <c r="H41" s="9"/>
      <c r="I41" s="9"/>
      <c r="J41" s="9"/>
      <c r="K41" s="9"/>
      <c r="L41" s="74"/>
    </row>
    <row r="42" spans="2:12" x14ac:dyDescent="0.25">
      <c r="B42" s="72"/>
      <c r="C42" s="9"/>
      <c r="D42" s="9"/>
      <c r="E42" s="9"/>
      <c r="F42" s="9"/>
      <c r="G42" s="9"/>
      <c r="H42" s="9"/>
      <c r="I42" s="9"/>
      <c r="J42" s="9"/>
      <c r="K42" s="9"/>
      <c r="L42" s="74"/>
    </row>
    <row r="43" spans="2:12" x14ac:dyDescent="0.25">
      <c r="B43" s="72"/>
      <c r="C43" s="9"/>
      <c r="D43" s="9"/>
      <c r="E43" s="9"/>
      <c r="F43" s="9"/>
      <c r="G43" s="9"/>
      <c r="H43" s="9"/>
      <c r="I43" s="9"/>
      <c r="J43" s="9"/>
      <c r="K43" s="9"/>
      <c r="L43" s="74"/>
    </row>
    <row r="44" spans="2:12" x14ac:dyDescent="0.25">
      <c r="B44" s="72"/>
      <c r="C44" s="9"/>
      <c r="D44" s="9"/>
      <c r="E44" s="9"/>
      <c r="F44" s="9"/>
      <c r="G44" s="9"/>
      <c r="H44" s="9"/>
      <c r="I44" s="9"/>
      <c r="J44" s="9"/>
      <c r="K44" s="9"/>
      <c r="L44" s="74"/>
    </row>
    <row r="45" spans="2:12" x14ac:dyDescent="0.25">
      <c r="B45" s="72"/>
      <c r="C45" s="9"/>
      <c r="D45" s="9"/>
      <c r="E45" s="9"/>
      <c r="F45" s="9"/>
      <c r="G45" s="9"/>
      <c r="H45" s="9"/>
      <c r="I45" s="9"/>
      <c r="J45" s="9"/>
      <c r="K45" s="9"/>
      <c r="L45" s="74"/>
    </row>
    <row r="46" spans="2:12" x14ac:dyDescent="0.25">
      <c r="B46" s="72"/>
      <c r="C46" s="9"/>
      <c r="D46" s="9"/>
      <c r="E46" s="9"/>
      <c r="F46" s="9"/>
      <c r="G46" s="9"/>
      <c r="H46" s="9"/>
      <c r="I46" s="9"/>
      <c r="J46" s="9"/>
      <c r="K46" s="9"/>
      <c r="L46" s="74"/>
    </row>
    <row r="47" spans="2:12" x14ac:dyDescent="0.25">
      <c r="B47" s="72"/>
      <c r="C47" s="9"/>
      <c r="D47" s="9"/>
      <c r="E47" s="9"/>
      <c r="F47" s="9"/>
      <c r="G47" s="9"/>
      <c r="H47" s="9"/>
      <c r="I47" s="9"/>
      <c r="J47" s="9"/>
      <c r="K47" s="9"/>
      <c r="L47" s="74"/>
    </row>
    <row r="48" spans="2:12" x14ac:dyDescent="0.25">
      <c r="B48" s="72"/>
      <c r="C48" s="9"/>
      <c r="D48" s="9"/>
      <c r="E48" s="9"/>
      <c r="F48" s="9"/>
      <c r="G48" s="9"/>
      <c r="H48" s="9"/>
      <c r="I48" s="9"/>
      <c r="J48" s="9"/>
      <c r="K48" s="9"/>
      <c r="L48" s="74"/>
    </row>
    <row r="49" spans="2:12" x14ac:dyDescent="0.25">
      <c r="B49" s="72"/>
      <c r="C49" s="9"/>
      <c r="D49" s="9"/>
      <c r="E49" s="9"/>
      <c r="F49" s="9"/>
      <c r="G49" s="9"/>
      <c r="H49" s="9"/>
      <c r="I49" s="9"/>
      <c r="J49" s="9"/>
      <c r="K49" s="9"/>
      <c r="L49" s="74"/>
    </row>
    <row r="50" spans="2:12" x14ac:dyDescent="0.25">
      <c r="B50" s="72"/>
      <c r="C50" s="9"/>
      <c r="D50" s="9"/>
      <c r="E50" s="9"/>
      <c r="F50" s="9"/>
      <c r="G50" s="9"/>
      <c r="H50" s="9"/>
      <c r="I50" s="9"/>
      <c r="J50" s="9"/>
      <c r="K50" s="9"/>
      <c r="L50" s="74"/>
    </row>
    <row r="51" spans="2:12" x14ac:dyDescent="0.25">
      <c r="B51" s="72"/>
      <c r="C51" s="9"/>
      <c r="D51" s="9"/>
      <c r="E51" s="9"/>
      <c r="F51" s="9"/>
      <c r="G51" s="9"/>
      <c r="H51" s="9"/>
      <c r="I51" s="9"/>
      <c r="J51" s="9"/>
      <c r="K51" s="9"/>
      <c r="L51" s="74"/>
    </row>
    <row r="52" spans="2:12" x14ac:dyDescent="0.25">
      <c r="B52" s="72"/>
      <c r="C52" s="9"/>
      <c r="D52" s="9"/>
      <c r="E52" s="9"/>
      <c r="F52" s="9"/>
      <c r="G52" s="9"/>
      <c r="H52" s="9"/>
      <c r="I52" s="9"/>
      <c r="J52" s="9"/>
      <c r="K52" s="9"/>
      <c r="L52" s="74"/>
    </row>
    <row r="53" spans="2:12" x14ac:dyDescent="0.25">
      <c r="B53" s="72"/>
      <c r="C53" s="9"/>
      <c r="D53" s="9"/>
      <c r="E53" s="9"/>
      <c r="F53" s="9"/>
      <c r="G53" s="9"/>
      <c r="H53" s="9"/>
      <c r="I53" s="9"/>
      <c r="J53" s="9"/>
      <c r="K53" s="9"/>
      <c r="L53" s="74"/>
    </row>
    <row r="54" spans="2:12" x14ac:dyDescent="0.25">
      <c r="B54" s="72"/>
      <c r="C54" s="9"/>
      <c r="D54" s="9"/>
      <c r="E54" s="9"/>
      <c r="F54" s="9"/>
      <c r="G54" s="9"/>
      <c r="H54" s="9"/>
      <c r="I54" s="9"/>
      <c r="J54" s="9"/>
      <c r="K54" s="9"/>
      <c r="L54" s="74"/>
    </row>
    <row r="55" spans="2:12" x14ac:dyDescent="0.25">
      <c r="B55" s="72"/>
      <c r="C55" s="9"/>
      <c r="D55" s="9"/>
      <c r="E55" s="9"/>
      <c r="F55" s="9"/>
      <c r="G55" s="9"/>
      <c r="H55" s="9"/>
      <c r="I55" s="9"/>
      <c r="J55" s="9"/>
      <c r="K55" s="9"/>
      <c r="L55" s="74"/>
    </row>
    <row r="56" spans="2:12" x14ac:dyDescent="0.25">
      <c r="B56" s="72"/>
      <c r="C56" s="9"/>
      <c r="D56" s="9"/>
      <c r="E56" s="9"/>
      <c r="F56" s="9"/>
      <c r="G56" s="9"/>
      <c r="H56" s="9"/>
      <c r="I56" s="9"/>
      <c r="J56" s="9"/>
      <c r="K56" s="9"/>
      <c r="L56" s="74"/>
    </row>
    <row r="57" spans="2:12" x14ac:dyDescent="0.25">
      <c r="B57" s="72"/>
      <c r="C57" s="9"/>
      <c r="D57" s="9"/>
      <c r="E57" s="9"/>
      <c r="F57" s="9"/>
      <c r="G57" s="9"/>
      <c r="H57" s="9"/>
      <c r="I57" s="9"/>
      <c r="J57" s="9"/>
      <c r="K57" s="9"/>
      <c r="L57" s="74"/>
    </row>
    <row r="58" spans="2:12" x14ac:dyDescent="0.25">
      <c r="B58" s="72"/>
      <c r="C58" s="9"/>
      <c r="D58" s="9"/>
      <c r="E58" s="9"/>
      <c r="F58" s="9"/>
      <c r="G58" s="9"/>
      <c r="H58" s="9"/>
      <c r="I58" s="9"/>
      <c r="J58" s="9"/>
      <c r="K58" s="9"/>
      <c r="L58" s="74"/>
    </row>
    <row r="59" spans="2:12" x14ac:dyDescent="0.25">
      <c r="B59" s="72"/>
      <c r="C59" s="9"/>
      <c r="D59" s="9"/>
      <c r="E59" s="9"/>
      <c r="F59" s="9"/>
      <c r="G59" s="9"/>
      <c r="H59" s="9"/>
      <c r="I59" s="9"/>
      <c r="J59" s="9"/>
      <c r="K59" s="9"/>
      <c r="L59" s="74"/>
    </row>
    <row r="60" spans="2:12" x14ac:dyDescent="0.25">
      <c r="B60" s="72"/>
      <c r="C60" s="9"/>
      <c r="D60" s="9"/>
      <c r="E60" s="9"/>
      <c r="F60" s="9"/>
      <c r="G60" s="9"/>
      <c r="H60" s="9"/>
      <c r="I60" s="9"/>
      <c r="J60" s="9"/>
      <c r="K60" s="9"/>
      <c r="L60" s="74"/>
    </row>
    <row r="61" spans="2:12" x14ac:dyDescent="0.25">
      <c r="B61" s="72"/>
      <c r="C61" s="9"/>
      <c r="D61" s="9"/>
      <c r="E61" s="9"/>
      <c r="F61" s="9"/>
      <c r="G61" s="9"/>
      <c r="H61" s="9"/>
      <c r="I61" s="9"/>
      <c r="J61" s="9"/>
      <c r="K61" s="9"/>
      <c r="L61" s="74"/>
    </row>
    <row r="62" spans="2:12" x14ac:dyDescent="0.25">
      <c r="B62" s="72"/>
      <c r="C62" s="9"/>
      <c r="D62" s="9"/>
      <c r="E62" s="9"/>
      <c r="F62" s="9"/>
      <c r="G62" s="9"/>
      <c r="H62" s="9"/>
      <c r="I62" s="9"/>
      <c r="J62" s="9"/>
      <c r="K62" s="9"/>
      <c r="L62" s="74"/>
    </row>
    <row r="63" spans="2:12" x14ac:dyDescent="0.25">
      <c r="B63" s="72"/>
      <c r="C63" s="9"/>
      <c r="D63" s="9"/>
      <c r="E63" s="9"/>
      <c r="F63" s="9"/>
      <c r="G63" s="9"/>
      <c r="H63" s="9"/>
      <c r="I63" s="9"/>
      <c r="J63" s="9"/>
      <c r="K63" s="9"/>
      <c r="L63" s="74"/>
    </row>
    <row r="64" spans="2:12" x14ac:dyDescent="0.25">
      <c r="B64" s="72"/>
      <c r="C64" s="9"/>
      <c r="D64" s="9"/>
      <c r="E64" s="9"/>
      <c r="F64" s="9"/>
      <c r="G64" s="9"/>
      <c r="H64" s="9"/>
      <c r="I64" s="9"/>
      <c r="J64" s="9"/>
      <c r="K64" s="9"/>
      <c r="L64" s="74"/>
    </row>
    <row r="65" spans="2:12" x14ac:dyDescent="0.25">
      <c r="B65" s="72"/>
      <c r="C65" s="9"/>
      <c r="D65" s="9"/>
      <c r="E65" s="9"/>
      <c r="F65" s="9"/>
      <c r="G65" s="9"/>
      <c r="H65" s="9"/>
      <c r="I65" s="9"/>
      <c r="J65" s="9"/>
      <c r="K65" s="9"/>
      <c r="L65" s="74"/>
    </row>
    <row r="66" spans="2:12" x14ac:dyDescent="0.25">
      <c r="B66" s="72"/>
      <c r="C66" s="9"/>
      <c r="D66" s="9"/>
      <c r="E66" s="9"/>
      <c r="F66" s="9"/>
      <c r="G66" s="9"/>
      <c r="H66" s="9"/>
      <c r="I66" s="9"/>
      <c r="J66" s="9"/>
      <c r="K66" s="9"/>
      <c r="L66" s="74"/>
    </row>
    <row r="67" spans="2:12" x14ac:dyDescent="0.25">
      <c r="B67" s="72"/>
      <c r="C67" s="9"/>
      <c r="D67" s="9"/>
      <c r="E67" s="9"/>
      <c r="F67" s="9"/>
      <c r="G67" s="9"/>
      <c r="H67" s="9"/>
      <c r="I67" s="9"/>
      <c r="J67" s="9"/>
      <c r="K67" s="9"/>
      <c r="L67" s="74"/>
    </row>
    <row r="68" spans="2:12" x14ac:dyDescent="0.25">
      <c r="B68" s="72"/>
      <c r="C68" s="9"/>
      <c r="D68" s="9"/>
      <c r="E68" s="9"/>
      <c r="F68" s="9"/>
      <c r="G68" s="9"/>
      <c r="H68" s="9"/>
      <c r="I68" s="9"/>
      <c r="J68" s="9"/>
      <c r="K68" s="9"/>
      <c r="L68" s="74"/>
    </row>
    <row r="69" spans="2:12" x14ac:dyDescent="0.25">
      <c r="B69" s="72"/>
      <c r="C69" s="9"/>
      <c r="D69" s="9"/>
      <c r="E69" s="9"/>
      <c r="F69" s="9"/>
      <c r="G69" s="9"/>
      <c r="H69" s="9"/>
      <c r="I69" s="9"/>
      <c r="J69" s="9"/>
      <c r="K69" s="9"/>
      <c r="L69" s="74"/>
    </row>
    <row r="70" spans="2:12" x14ac:dyDescent="0.25">
      <c r="B70" s="72"/>
      <c r="C70" s="9"/>
      <c r="D70" s="9"/>
      <c r="E70" s="9"/>
      <c r="F70" s="9"/>
      <c r="G70" s="9"/>
      <c r="H70" s="9"/>
      <c r="I70" s="9"/>
      <c r="J70" s="9"/>
      <c r="K70" s="9"/>
      <c r="L70" s="74"/>
    </row>
    <row r="71" spans="2:12" x14ac:dyDescent="0.25">
      <c r="B71" s="72"/>
      <c r="C71" s="9"/>
      <c r="D71" s="9"/>
      <c r="E71" s="9"/>
      <c r="F71" s="9"/>
      <c r="G71" s="9"/>
      <c r="H71" s="9"/>
      <c r="I71" s="9"/>
      <c r="J71" s="9"/>
      <c r="K71" s="9"/>
      <c r="L71" s="74"/>
    </row>
    <row r="72" spans="2:12" x14ac:dyDescent="0.25">
      <c r="B72" s="72"/>
      <c r="C72" s="9"/>
      <c r="D72" s="9"/>
      <c r="E72" s="9"/>
      <c r="F72" s="9"/>
      <c r="G72" s="9"/>
      <c r="H72" s="9"/>
      <c r="I72" s="9"/>
      <c r="J72" s="9"/>
      <c r="K72" s="9"/>
      <c r="L72" s="74"/>
    </row>
    <row r="73" spans="2:12" x14ac:dyDescent="0.25">
      <c r="B73" s="72"/>
      <c r="C73" s="9"/>
      <c r="D73" s="9"/>
      <c r="E73" s="9"/>
      <c r="F73" s="9"/>
      <c r="G73" s="9"/>
      <c r="H73" s="9"/>
      <c r="I73" s="9"/>
      <c r="J73" s="9"/>
      <c r="K73" s="9"/>
      <c r="L73" s="74"/>
    </row>
    <row r="74" spans="2:12" x14ac:dyDescent="0.25">
      <c r="B74" s="72"/>
      <c r="C74" s="9"/>
      <c r="D74" s="9"/>
      <c r="E74" s="9"/>
      <c r="F74" s="9"/>
      <c r="G74" s="9"/>
      <c r="H74" s="9"/>
      <c r="I74" s="9"/>
      <c r="J74" s="9"/>
      <c r="K74" s="9"/>
      <c r="L74" s="74"/>
    </row>
    <row r="75" spans="2:12" x14ac:dyDescent="0.25">
      <c r="B75" s="72"/>
      <c r="C75" s="9"/>
      <c r="D75" s="9"/>
      <c r="E75" s="9"/>
      <c r="F75" s="9"/>
      <c r="G75" s="9"/>
      <c r="H75" s="9"/>
      <c r="I75" s="9"/>
      <c r="J75" s="9"/>
      <c r="K75" s="9"/>
      <c r="L75" s="74"/>
    </row>
    <row r="76" spans="2:12" x14ac:dyDescent="0.25">
      <c r="B76" s="72"/>
      <c r="C76" s="9"/>
      <c r="D76" s="9"/>
      <c r="E76" s="9"/>
      <c r="F76" s="9"/>
      <c r="G76" s="9"/>
      <c r="H76" s="9"/>
      <c r="I76" s="9"/>
      <c r="J76" s="9"/>
      <c r="K76" s="9"/>
      <c r="L76" s="74"/>
    </row>
    <row r="77" spans="2:12" x14ac:dyDescent="0.25">
      <c r="B77" s="72"/>
      <c r="C77" s="9"/>
      <c r="D77" s="9"/>
      <c r="E77" s="9"/>
      <c r="F77" s="9"/>
      <c r="G77" s="9"/>
      <c r="H77" s="9"/>
      <c r="I77" s="9"/>
      <c r="J77" s="9"/>
      <c r="K77" s="9"/>
      <c r="L77" s="74"/>
    </row>
    <row r="78" spans="2:12" x14ac:dyDescent="0.25">
      <c r="B78" s="72"/>
      <c r="C78" s="9"/>
      <c r="D78" s="9"/>
      <c r="E78" s="9"/>
      <c r="F78" s="9"/>
      <c r="G78" s="9"/>
      <c r="H78" s="9"/>
      <c r="I78" s="9"/>
      <c r="J78" s="9"/>
      <c r="K78" s="9"/>
      <c r="L78" s="74"/>
    </row>
    <row r="79" spans="2:12" x14ac:dyDescent="0.25">
      <c r="B79" s="72"/>
      <c r="C79" s="9"/>
      <c r="D79" s="9"/>
      <c r="E79" s="9"/>
      <c r="F79" s="9"/>
      <c r="G79" s="9"/>
      <c r="H79" s="9"/>
      <c r="I79" s="9"/>
      <c r="J79" s="9"/>
      <c r="K79" s="9"/>
      <c r="L79" s="74"/>
    </row>
    <row r="80" spans="2:12" x14ac:dyDescent="0.25">
      <c r="B80" s="72"/>
      <c r="C80" s="9"/>
      <c r="D80" s="9"/>
      <c r="E80" s="9"/>
      <c r="F80" s="9"/>
      <c r="G80" s="9"/>
      <c r="H80" s="9"/>
      <c r="I80" s="9"/>
      <c r="J80" s="9"/>
      <c r="K80" s="9"/>
      <c r="L80" s="74"/>
    </row>
    <row r="81" spans="2:12" x14ac:dyDescent="0.25">
      <c r="B81" s="72"/>
      <c r="C81" s="9"/>
      <c r="D81" s="9"/>
      <c r="E81" s="9"/>
      <c r="F81" s="9"/>
      <c r="G81" s="9"/>
      <c r="H81" s="9"/>
      <c r="I81" s="9"/>
      <c r="J81" s="9"/>
      <c r="K81" s="9"/>
      <c r="L81" s="74"/>
    </row>
    <row r="82" spans="2:12" x14ac:dyDescent="0.25">
      <c r="B82" s="72"/>
      <c r="C82" s="9"/>
      <c r="D82" s="9"/>
      <c r="E82" s="9"/>
      <c r="F82" s="9"/>
      <c r="G82" s="9"/>
      <c r="H82" s="9"/>
      <c r="I82" s="9"/>
      <c r="J82" s="9"/>
      <c r="K82" s="9"/>
      <c r="L82" s="74"/>
    </row>
    <row r="83" spans="2:12" x14ac:dyDescent="0.25">
      <c r="B83" s="72"/>
      <c r="C83" s="9"/>
      <c r="D83" s="9"/>
      <c r="E83" s="9"/>
      <c r="F83" s="9"/>
      <c r="G83" s="9"/>
      <c r="H83" s="9"/>
      <c r="I83" s="9"/>
      <c r="J83" s="9"/>
      <c r="K83" s="9"/>
      <c r="L83" s="74"/>
    </row>
    <row r="84" spans="2:12" x14ac:dyDescent="0.25">
      <c r="B84" s="72"/>
      <c r="C84" s="9"/>
      <c r="D84" s="9"/>
      <c r="E84" s="9"/>
      <c r="F84" s="9"/>
      <c r="G84" s="9"/>
      <c r="H84" s="9"/>
      <c r="I84" s="9"/>
      <c r="J84" s="9"/>
      <c r="K84" s="9"/>
      <c r="L84" s="74"/>
    </row>
    <row r="85" spans="2:12" x14ac:dyDescent="0.25">
      <c r="B85" s="72"/>
      <c r="C85" s="9"/>
      <c r="D85" s="9"/>
      <c r="E85" s="9"/>
      <c r="F85" s="9"/>
      <c r="G85" s="9"/>
      <c r="H85" s="9"/>
      <c r="I85" s="9"/>
      <c r="J85" s="9"/>
      <c r="K85" s="9"/>
      <c r="L85" s="74"/>
    </row>
    <row r="86" spans="2:12" x14ac:dyDescent="0.25">
      <c r="B86" s="72"/>
      <c r="C86" s="9"/>
      <c r="D86" s="9"/>
      <c r="E86" s="9"/>
      <c r="F86" s="9"/>
      <c r="G86" s="9"/>
      <c r="H86" s="9"/>
      <c r="I86" s="9"/>
      <c r="J86" s="9"/>
      <c r="K86" s="9"/>
      <c r="L86" s="74"/>
    </row>
    <row r="87" spans="2:12" x14ac:dyDescent="0.25">
      <c r="B87" s="72"/>
      <c r="C87" s="9"/>
      <c r="D87" s="9"/>
      <c r="E87" s="9"/>
      <c r="F87" s="9"/>
      <c r="G87" s="9"/>
      <c r="H87" s="9"/>
      <c r="I87" s="9"/>
      <c r="J87" s="9"/>
      <c r="K87" s="9"/>
      <c r="L87" s="74"/>
    </row>
    <row r="88" spans="2:12" x14ac:dyDescent="0.25">
      <c r="B88" s="72"/>
      <c r="C88" s="9"/>
      <c r="D88" s="9"/>
      <c r="E88" s="9"/>
      <c r="F88" s="9"/>
      <c r="G88" s="9"/>
      <c r="H88" s="9"/>
      <c r="I88" s="9"/>
      <c r="J88" s="9"/>
      <c r="K88" s="9"/>
      <c r="L88" s="74"/>
    </row>
    <row r="89" spans="2:12" x14ac:dyDescent="0.25">
      <c r="B89" s="72"/>
      <c r="C89" s="9"/>
      <c r="D89" s="9"/>
      <c r="E89" s="9"/>
      <c r="F89" s="9"/>
      <c r="G89" s="9"/>
      <c r="H89" s="9"/>
      <c r="I89" s="9"/>
      <c r="J89" s="9"/>
      <c r="K89" s="9"/>
      <c r="L89" s="74"/>
    </row>
    <row r="90" spans="2:12" x14ac:dyDescent="0.25">
      <c r="B90" s="72"/>
      <c r="C90" s="9"/>
      <c r="D90" s="9"/>
      <c r="E90" s="9"/>
      <c r="F90" s="9"/>
      <c r="G90" s="9"/>
      <c r="H90" s="9"/>
      <c r="I90" s="9"/>
      <c r="J90" s="9"/>
      <c r="K90" s="9"/>
      <c r="L90" s="74"/>
    </row>
    <row r="91" spans="2:12" x14ac:dyDescent="0.25">
      <c r="B91" s="72"/>
      <c r="C91" s="9"/>
      <c r="D91" s="9"/>
      <c r="E91" s="9"/>
      <c r="F91" s="9"/>
      <c r="G91" s="9"/>
      <c r="H91" s="9"/>
      <c r="I91" s="9"/>
      <c r="J91" s="9"/>
      <c r="K91" s="9"/>
      <c r="L91" s="74"/>
    </row>
    <row r="92" spans="2:12" x14ac:dyDescent="0.25">
      <c r="B92" s="72"/>
      <c r="C92" s="9"/>
      <c r="D92" s="9"/>
      <c r="E92" s="9"/>
      <c r="F92" s="9"/>
      <c r="G92" s="9"/>
      <c r="H92" s="9"/>
      <c r="I92" s="9"/>
      <c r="J92" s="9"/>
      <c r="K92" s="9"/>
      <c r="L92" s="74"/>
    </row>
    <row r="93" spans="2:12" x14ac:dyDescent="0.25">
      <c r="B93" s="72"/>
      <c r="C93" s="9"/>
      <c r="D93" s="9"/>
      <c r="E93" s="9"/>
      <c r="F93" s="9"/>
      <c r="G93" s="9"/>
      <c r="H93" s="9"/>
      <c r="I93" s="9"/>
      <c r="J93" s="9"/>
      <c r="K93" s="9"/>
      <c r="L93" s="74"/>
    </row>
    <row r="94" spans="2:12" x14ac:dyDescent="0.25">
      <c r="B94" s="72"/>
      <c r="C94" s="9"/>
      <c r="D94" s="9"/>
      <c r="E94" s="9"/>
      <c r="F94" s="9"/>
      <c r="G94" s="9"/>
      <c r="H94" s="9"/>
      <c r="I94" s="9"/>
      <c r="J94" s="9"/>
      <c r="K94" s="9"/>
      <c r="L94" s="74"/>
    </row>
    <row r="95" spans="2:12" x14ac:dyDescent="0.25">
      <c r="B95" s="72"/>
      <c r="C95" s="9"/>
      <c r="D95" s="9"/>
      <c r="E95" s="9"/>
      <c r="F95" s="9"/>
      <c r="G95" s="9"/>
      <c r="H95" s="9"/>
      <c r="I95" s="9"/>
      <c r="J95" s="9"/>
      <c r="K95" s="9"/>
      <c r="L95" s="74"/>
    </row>
    <row r="96" spans="2:12" x14ac:dyDescent="0.25">
      <c r="B96" s="72"/>
      <c r="C96" s="9"/>
      <c r="D96" s="9"/>
      <c r="E96" s="9"/>
      <c r="F96" s="9"/>
      <c r="G96" s="9"/>
      <c r="H96" s="9"/>
      <c r="I96" s="9"/>
      <c r="J96" s="9"/>
      <c r="K96" s="9"/>
      <c r="L96" s="74"/>
    </row>
    <row r="97" spans="2:12" x14ac:dyDescent="0.25">
      <c r="B97" s="72"/>
      <c r="C97" s="9"/>
      <c r="D97" s="9"/>
      <c r="E97" s="9"/>
      <c r="F97" s="9"/>
      <c r="G97" s="9"/>
      <c r="H97" s="9"/>
      <c r="I97" s="9"/>
      <c r="J97" s="9"/>
      <c r="K97" s="9"/>
      <c r="L97" s="74"/>
    </row>
    <row r="98" spans="2:12" x14ac:dyDescent="0.25">
      <c r="B98" s="72"/>
      <c r="C98" s="9"/>
      <c r="D98" s="9"/>
      <c r="E98" s="9"/>
      <c r="F98" s="9"/>
      <c r="G98" s="9"/>
      <c r="H98" s="9"/>
      <c r="I98" s="9"/>
      <c r="J98" s="9"/>
      <c r="K98" s="9"/>
      <c r="L98" s="74"/>
    </row>
    <row r="99" spans="2:12" x14ac:dyDescent="0.25">
      <c r="B99" s="72"/>
      <c r="C99" s="9"/>
      <c r="D99" s="9"/>
      <c r="E99" s="9"/>
      <c r="F99" s="9"/>
      <c r="G99" s="9"/>
      <c r="H99" s="9"/>
      <c r="I99" s="9"/>
      <c r="J99" s="9"/>
      <c r="K99" s="9"/>
      <c r="L99" s="74"/>
    </row>
    <row r="100" spans="2:12" x14ac:dyDescent="0.25">
      <c r="B100" s="72"/>
      <c r="C100" s="9"/>
      <c r="D100" s="9"/>
      <c r="E100" s="9"/>
      <c r="F100" s="9"/>
      <c r="G100" s="9"/>
      <c r="H100" s="9"/>
      <c r="I100" s="9"/>
      <c r="J100" s="9"/>
      <c r="K100" s="9"/>
      <c r="L100" s="74"/>
    </row>
    <row r="101" spans="2:12" x14ac:dyDescent="0.25">
      <c r="B101" s="72"/>
      <c r="C101" s="9"/>
      <c r="D101" s="9"/>
      <c r="E101" s="9"/>
      <c r="F101" s="9"/>
      <c r="G101" s="9"/>
      <c r="H101" s="9"/>
      <c r="I101" s="9"/>
      <c r="J101" s="9"/>
      <c r="K101" s="9"/>
      <c r="L101" s="74"/>
    </row>
    <row r="102" spans="2:12" x14ac:dyDescent="0.25">
      <c r="B102" s="72"/>
      <c r="C102" s="9"/>
      <c r="D102" s="9"/>
      <c r="E102" s="9"/>
      <c r="F102" s="9"/>
      <c r="G102" s="9"/>
      <c r="H102" s="9"/>
      <c r="I102" s="9"/>
      <c r="J102" s="9"/>
      <c r="K102" s="9"/>
      <c r="L102" s="74"/>
    </row>
    <row r="103" spans="2:12" x14ac:dyDescent="0.25">
      <c r="B103" s="72"/>
      <c r="C103" s="9"/>
      <c r="D103" s="9"/>
      <c r="E103" s="9"/>
      <c r="F103" s="9"/>
      <c r="G103" s="9"/>
      <c r="H103" s="9"/>
      <c r="I103" s="9"/>
      <c r="J103" s="9"/>
      <c r="K103" s="9"/>
      <c r="L103" s="74"/>
    </row>
    <row r="104" spans="2:12" x14ac:dyDescent="0.25">
      <c r="B104" s="72"/>
      <c r="C104" s="9"/>
      <c r="D104" s="9"/>
      <c r="E104" s="9"/>
      <c r="F104" s="9"/>
      <c r="G104" s="9"/>
      <c r="H104" s="9"/>
      <c r="I104" s="9"/>
      <c r="J104" s="9"/>
      <c r="K104" s="9"/>
      <c r="L104" s="74"/>
    </row>
    <row r="105" spans="2:12" x14ac:dyDescent="0.25">
      <c r="B105" s="72"/>
      <c r="C105" s="9"/>
      <c r="D105" s="9"/>
      <c r="E105" s="9"/>
      <c r="F105" s="9"/>
      <c r="G105" s="9"/>
      <c r="H105" s="9"/>
      <c r="I105" s="9"/>
      <c r="J105" s="9"/>
      <c r="K105" s="9"/>
      <c r="L105" s="74"/>
    </row>
    <row r="106" spans="2:12" x14ac:dyDescent="0.25">
      <c r="B106" s="72"/>
      <c r="C106" s="9"/>
      <c r="D106" s="9"/>
      <c r="E106" s="9"/>
      <c r="F106" s="9"/>
      <c r="G106" s="9"/>
      <c r="H106" s="9"/>
      <c r="I106" s="9"/>
      <c r="J106" s="9"/>
      <c r="K106" s="9"/>
      <c r="L106" s="74"/>
    </row>
    <row r="107" spans="2:12" x14ac:dyDescent="0.25">
      <c r="B107" s="72"/>
      <c r="C107" s="9"/>
      <c r="D107" s="9"/>
      <c r="E107" s="9"/>
      <c r="F107" s="9"/>
      <c r="G107" s="9"/>
      <c r="H107" s="9"/>
      <c r="I107" s="9"/>
      <c r="J107" s="9"/>
      <c r="K107" s="9"/>
      <c r="L107" s="74"/>
    </row>
    <row r="108" spans="2:12" x14ac:dyDescent="0.25">
      <c r="B108" s="72"/>
      <c r="C108" s="9"/>
      <c r="D108" s="9"/>
      <c r="E108" s="9"/>
      <c r="F108" s="9"/>
      <c r="G108" s="9"/>
      <c r="H108" s="9"/>
      <c r="I108" s="9"/>
      <c r="J108" s="9"/>
      <c r="K108" s="9"/>
      <c r="L108" s="74"/>
    </row>
    <row r="109" spans="2:12" x14ac:dyDescent="0.25">
      <c r="B109" s="110"/>
      <c r="C109" s="111"/>
      <c r="D109" s="111"/>
      <c r="E109" s="111"/>
      <c r="F109" s="111"/>
      <c r="G109" s="111"/>
      <c r="H109" s="111"/>
      <c r="I109" s="111"/>
      <c r="J109" s="111"/>
      <c r="K109" s="111"/>
      <c r="L109" s="11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J93"/>
  <sheetViews>
    <sheetView showGridLines="0" tabSelected="1" workbookViewId="0"/>
  </sheetViews>
  <sheetFormatPr defaultRowHeight="15" x14ac:dyDescent="0.25"/>
  <cols>
    <col min="1" max="1" width="4.7109375" customWidth="1"/>
    <col min="2" max="2" width="15.7109375" bestFit="1" customWidth="1"/>
    <col min="3" max="3" width="10.5703125" style="120" customWidth="1"/>
    <col min="4" max="4" width="4.7109375" customWidth="1"/>
    <col min="5" max="5" width="15.7109375" bestFit="1" customWidth="1"/>
    <col min="6" max="10" width="11.140625" bestFit="1" customWidth="1"/>
    <col min="11" max="11" width="4.7109375" customWidth="1"/>
  </cols>
  <sheetData>
    <row r="2" spans="2:10" x14ac:dyDescent="0.25">
      <c r="E2" s="210" t="str">
        <f t="array" aca="1" ref="E2:J93" ca="1">_xll.meLWOCurveForwardRatesTable(C3,C5:C9,,"30Y",,,,$C$11)</f>
        <v>Fixing Dates</v>
      </c>
      <c r="F2" s="210" t="str">
        <f ca="1"/>
        <v>EUROIS</v>
      </c>
      <c r="G2" s="210" t="str">
        <f ca="1"/>
        <v>EUR1ML</v>
      </c>
      <c r="H2" s="210" t="str">
        <f ca="1"/>
        <v>EUR3ML</v>
      </c>
      <c r="I2" s="210" t="str">
        <f ca="1"/>
        <v>EUR6ML</v>
      </c>
      <c r="J2" s="210" t="str">
        <f ca="1"/>
        <v>EUR12ML</v>
      </c>
    </row>
    <row r="3" spans="2:10" x14ac:dyDescent="0.25">
      <c r="B3" t="s">
        <v>52</v>
      </c>
      <c r="C3" s="194" t="s">
        <v>14</v>
      </c>
      <c r="E3" s="192">
        <f ca="1"/>
        <v>43987</v>
      </c>
      <c r="F3" s="193">
        <f ca="1"/>
        <v>-4.5800000000006946E-3</v>
      </c>
      <c r="G3" s="193">
        <f ca="1"/>
        <v>-4.3013999999987895E-3</v>
      </c>
      <c r="H3" s="193">
        <f ca="1"/>
        <v>-3.5408892751459756E-3</v>
      </c>
      <c r="I3" s="193">
        <f ca="1"/>
        <v>-2.3624600000003789E-3</v>
      </c>
      <c r="J3" s="193">
        <f ca="1"/>
        <v>-9.9999999999998116E-4</v>
      </c>
    </row>
    <row r="4" spans="2:10" x14ac:dyDescent="0.25">
      <c r="E4" s="192">
        <f ca="1"/>
        <v>44081</v>
      </c>
      <c r="F4" s="193">
        <f ca="1"/>
        <v>-4.6400000000623885E-3</v>
      </c>
      <c r="G4" s="193">
        <f ca="1"/>
        <v>-4.5423393416204483E-3</v>
      </c>
      <c r="H4" s="193">
        <f ca="1"/>
        <v>-3.6868413092177327E-3</v>
      </c>
      <c r="I4" s="193">
        <f ca="1"/>
        <v>-3.0166666666666662E-3</v>
      </c>
      <c r="J4" s="193">
        <f ca="1"/>
        <v>-1.6412975777435031E-3</v>
      </c>
    </row>
    <row r="5" spans="2:10" x14ac:dyDescent="0.25">
      <c r="B5" t="s">
        <v>54</v>
      </c>
      <c r="C5" s="194" t="s">
        <v>172</v>
      </c>
      <c r="E5" s="192">
        <f ca="1"/>
        <v>44172</v>
      </c>
      <c r="F5" s="193">
        <f ca="1"/>
        <v>-4.839999999863666E-3</v>
      </c>
      <c r="G5" s="193">
        <f ca="1"/>
        <v>-4.6886661197550715E-3</v>
      </c>
      <c r="H5" s="193">
        <f ca="1"/>
        <v>-4.0198740059105651E-3</v>
      </c>
      <c r="I5" s="193">
        <f ca="1"/>
        <v>-3.2946666666666667E-3</v>
      </c>
      <c r="J5" s="193">
        <f ca="1"/>
        <v>-2.2251721904449134E-3</v>
      </c>
    </row>
    <row r="6" spans="2:10" x14ac:dyDescent="0.25">
      <c r="C6" s="194" t="s">
        <v>136</v>
      </c>
      <c r="E6" s="192">
        <f ca="1"/>
        <v>44260</v>
      </c>
      <c r="F6" s="193">
        <f ca="1"/>
        <v>-4.9101061654032796E-3</v>
      </c>
      <c r="G6" s="193">
        <f ca="1"/>
        <v>-4.7156599964094841E-3</v>
      </c>
      <c r="H6" s="193">
        <f ca="1"/>
        <v>-4.0591399324802361E-3</v>
      </c>
      <c r="I6" s="193">
        <f ca="1"/>
        <v>-3.3481913862595651E-3</v>
      </c>
      <c r="J6" s="193">
        <f ca="1"/>
        <v>-2.6667921836471408E-3</v>
      </c>
    </row>
    <row r="7" spans="2:10" x14ac:dyDescent="0.25">
      <c r="C7" s="194" t="s">
        <v>129</v>
      </c>
      <c r="E7" s="192">
        <f ca="1"/>
        <v>44354</v>
      </c>
      <c r="F7" s="193">
        <f ca="1"/>
        <v>-4.9536122623816854E-3</v>
      </c>
      <c r="G7" s="193">
        <f ca="1"/>
        <v>-4.6261679840272846E-3</v>
      </c>
      <c r="H7" s="193">
        <f ca="1"/>
        <v>-4.1559140418903342E-3</v>
      </c>
      <c r="I7" s="193">
        <f ca="1"/>
        <v>-3.4008656921710755E-3</v>
      </c>
      <c r="J7" s="193">
        <f ca="1"/>
        <v>-2.9373880981268595E-3</v>
      </c>
    </row>
    <row r="8" spans="2:10" x14ac:dyDescent="0.25">
      <c r="C8" s="194" t="s">
        <v>123</v>
      </c>
      <c r="E8" s="192">
        <f ca="1"/>
        <v>44445</v>
      </c>
      <c r="F8" s="193">
        <f ca="1"/>
        <v>-4.960127047213287E-3</v>
      </c>
      <c r="G8" s="193">
        <f ca="1"/>
        <v>-4.4971673334682025E-3</v>
      </c>
      <c r="H8" s="193">
        <f ca="1"/>
        <v>-4.1277761731459079E-3</v>
      </c>
      <c r="I8" s="193">
        <f ca="1"/>
        <v>-3.3021585047938143E-3</v>
      </c>
      <c r="J8" s="193">
        <f ca="1"/>
        <v>-2.9561023550575198E-3</v>
      </c>
    </row>
    <row r="9" spans="2:10" x14ac:dyDescent="0.25">
      <c r="C9" s="194" t="s">
        <v>137</v>
      </c>
      <c r="E9" s="192">
        <f ca="1"/>
        <v>44536</v>
      </c>
      <c r="F9" s="193">
        <f ca="1"/>
        <v>-4.9319733613506674E-3</v>
      </c>
      <c r="G9" s="193">
        <f ca="1"/>
        <v>-4.3775358016763426E-3</v>
      </c>
      <c r="H9" s="193">
        <f ca="1"/>
        <v>-4.0408379533037071E-3</v>
      </c>
      <c r="I9" s="193">
        <f ca="1"/>
        <v>-3.162130808273619E-3</v>
      </c>
      <c r="J9" s="193">
        <f ca="1"/>
        <v>-2.7812270228567667E-3</v>
      </c>
    </row>
    <row r="10" spans="2:10" x14ac:dyDescent="0.25">
      <c r="E10" s="192">
        <f ca="1"/>
        <v>44627</v>
      </c>
      <c r="F10" s="193">
        <f ca="1"/>
        <v>-4.8700632540699292E-3</v>
      </c>
      <c r="G10" s="193">
        <f ca="1"/>
        <v>-4.2650372090892157E-3</v>
      </c>
      <c r="H10" s="193">
        <f ca="1"/>
        <v>-3.928068777917116E-3</v>
      </c>
      <c r="I10" s="193">
        <f ca="1"/>
        <v>-2.9608640182514608E-3</v>
      </c>
      <c r="J10" s="193">
        <f ca="1"/>
        <v>-2.4829700555553847E-3</v>
      </c>
    </row>
    <row r="11" spans="2:10" x14ac:dyDescent="0.25">
      <c r="B11" t="s">
        <v>200</v>
      </c>
      <c r="C11" s="194" t="s">
        <v>75</v>
      </c>
      <c r="E11" s="192">
        <f ca="1"/>
        <v>44718</v>
      </c>
      <c r="F11" s="193">
        <f ca="1"/>
        <v>-4.775315147309573E-3</v>
      </c>
      <c r="G11" s="193">
        <f ca="1"/>
        <v>-4.1609550042504577E-3</v>
      </c>
      <c r="H11" s="193">
        <f ca="1"/>
        <v>-3.7921805541666059E-3</v>
      </c>
      <c r="I11" s="193">
        <f ca="1"/>
        <v>-2.744997962935352E-3</v>
      </c>
      <c r="J11" s="193">
        <f ca="1"/>
        <v>-2.1315396470948686E-3</v>
      </c>
    </row>
    <row r="12" spans="2:10" x14ac:dyDescent="0.25">
      <c r="E12" s="192">
        <f ca="1"/>
        <v>44809</v>
      </c>
      <c r="F12" s="193">
        <f ca="1"/>
        <v>-4.6486445570526223E-3</v>
      </c>
      <c r="G12" s="193">
        <f ca="1"/>
        <v>-4.0447121372394592E-3</v>
      </c>
      <c r="H12" s="193">
        <f ca="1"/>
        <v>-3.6331061171623186E-3</v>
      </c>
      <c r="I12" s="193">
        <f ca="1"/>
        <v>-2.569829997653796E-3</v>
      </c>
      <c r="J12" s="193">
        <f ca="1"/>
        <v>-1.7869737573290687E-3</v>
      </c>
    </row>
    <row r="13" spans="2:10" x14ac:dyDescent="0.25">
      <c r="E13" s="192">
        <f ca="1"/>
        <v>44900</v>
      </c>
      <c r="F13" s="193">
        <f ca="1"/>
        <v>-4.4909530853321101E-3</v>
      </c>
      <c r="G13" s="193">
        <f ca="1"/>
        <v>-3.9035048098516466E-3</v>
      </c>
      <c r="H13" s="193">
        <f ca="1"/>
        <v>-3.4502179697395749E-3</v>
      </c>
      <c r="I13" s="193">
        <f ca="1"/>
        <v>-2.4438458345237813E-3</v>
      </c>
      <c r="J13" s="193">
        <f ca="1"/>
        <v>-1.4643975380356571E-3</v>
      </c>
    </row>
    <row r="14" spans="2:10" x14ac:dyDescent="0.25">
      <c r="E14" s="192">
        <f ca="1"/>
        <v>44991</v>
      </c>
      <c r="F14" s="193">
        <f ca="1"/>
        <v>-4.3032058604852864E-3</v>
      </c>
      <c r="G14" s="193">
        <f ca="1"/>
        <v>-3.7357195048505262E-3</v>
      </c>
      <c r="H14" s="193">
        <f ca="1"/>
        <v>-3.2396883365831634E-3</v>
      </c>
      <c r="I14" s="193">
        <f ca="1"/>
        <v>-2.3566290513151135E-3</v>
      </c>
      <c r="J14" s="193">
        <f ca="1"/>
        <v>-1.1665421830246E-3</v>
      </c>
    </row>
    <row r="15" spans="2:10" x14ac:dyDescent="0.25">
      <c r="E15" s="192">
        <f ca="1"/>
        <v>45082</v>
      </c>
      <c r="F15" s="193">
        <f ca="1"/>
        <v>-4.0861315166251947E-3</v>
      </c>
      <c r="G15" s="193">
        <f ca="1"/>
        <v>-3.5471589319816818E-3</v>
      </c>
      <c r="H15" s="193">
        <f ca="1"/>
        <v>-3.0086391420152186E-3</v>
      </c>
      <c r="I15" s="193">
        <f ca="1"/>
        <v>-2.2704487703594767E-3</v>
      </c>
      <c r="J15" s="193">
        <f ca="1"/>
        <v>-8.9613848316000397E-4</v>
      </c>
    </row>
    <row r="16" spans="2:10" x14ac:dyDescent="0.25">
      <c r="E16" s="192">
        <f ca="1"/>
        <v>45174</v>
      </c>
      <c r="F16" s="193">
        <f ca="1"/>
        <v>-3.8506260304727175E-3</v>
      </c>
      <c r="G16" s="193">
        <f ca="1"/>
        <v>-3.3422183236686276E-3</v>
      </c>
      <c r="H16" s="193">
        <f ca="1"/>
        <v>-2.7805468109039781E-3</v>
      </c>
      <c r="I16" s="193">
        <f ca="1"/>
        <v>-2.1445433537993597E-3</v>
      </c>
      <c r="J16" s="193">
        <f ca="1"/>
        <v>-6.5115841266030522E-4</v>
      </c>
    </row>
    <row r="17" spans="5:10" x14ac:dyDescent="0.25">
      <c r="E17" s="192">
        <f ca="1"/>
        <v>45265</v>
      </c>
      <c r="F17" s="193">
        <f ca="1"/>
        <v>-3.6214323890870889E-3</v>
      </c>
      <c r="G17" s="193">
        <f ca="1"/>
        <v>-3.1316273519610602E-3</v>
      </c>
      <c r="H17" s="193">
        <f ca="1"/>
        <v>-2.5560855330125109E-3</v>
      </c>
      <c r="I17" s="193">
        <f ca="1"/>
        <v>-1.9716591190437941E-3</v>
      </c>
      <c r="J17" s="193">
        <f ca="1"/>
        <v>-4.2719356341991378E-4</v>
      </c>
    </row>
    <row r="18" spans="5:10" x14ac:dyDescent="0.25">
      <c r="E18" s="192">
        <f ca="1"/>
        <v>45356</v>
      </c>
      <c r="F18" s="193">
        <f ca="1"/>
        <v>-3.4050188251377855E-3</v>
      </c>
      <c r="G18" s="193">
        <f ca="1"/>
        <v>-2.9156647270125076E-3</v>
      </c>
      <c r="H18" s="193">
        <f ca="1"/>
        <v>-2.3345541923627871E-3</v>
      </c>
      <c r="I18" s="193">
        <f ca="1"/>
        <v>-1.7524261627780942E-3</v>
      </c>
      <c r="J18" s="193">
        <f ca="1"/>
        <v>-2.0892687488726334E-4</v>
      </c>
    </row>
    <row r="19" spans="5:10" x14ac:dyDescent="0.25">
      <c r="E19" s="192">
        <f ca="1"/>
        <v>45448</v>
      </c>
      <c r="F19" s="193">
        <f ca="1"/>
        <v>-3.2083481531102989E-3</v>
      </c>
      <c r="G19" s="193">
        <f ca="1"/>
        <v>-2.6920779659334758E-3</v>
      </c>
      <c r="H19" s="193">
        <f ca="1"/>
        <v>-2.1137437615296622E-3</v>
      </c>
      <c r="I19" s="193">
        <f ca="1"/>
        <v>-1.5023905074537803E-3</v>
      </c>
      <c r="J19" s="193">
        <f ca="1"/>
        <v>1.8707772493391912E-5</v>
      </c>
    </row>
    <row r="20" spans="5:10" x14ac:dyDescent="0.25">
      <c r="E20" s="192">
        <f ca="1"/>
        <v>45540</v>
      </c>
      <c r="F20" s="193">
        <f ca="1"/>
        <v>-3.0169715124155829E-3</v>
      </c>
      <c r="G20" s="193">
        <f ca="1"/>
        <v>-2.4590274093687324E-3</v>
      </c>
      <c r="H20" s="193">
        <f ca="1"/>
        <v>-1.8843144038256303E-3</v>
      </c>
      <c r="I20" s="193">
        <f ca="1"/>
        <v>-1.244230083477105E-3</v>
      </c>
      <c r="J20" s="193">
        <f ca="1"/>
        <v>2.6382856164227291E-4</v>
      </c>
    </row>
    <row r="21" spans="5:10" x14ac:dyDescent="0.25">
      <c r="E21" s="192">
        <f ca="1"/>
        <v>45631</v>
      </c>
      <c r="F21" s="193">
        <f ca="1"/>
        <v>-2.8040259837243176E-3</v>
      </c>
      <c r="G21" s="193">
        <f ca="1"/>
        <v>-2.2164603942527632E-3</v>
      </c>
      <c r="H21" s="193">
        <f ca="1"/>
        <v>-1.6428885333302139E-3</v>
      </c>
      <c r="I21" s="193">
        <f ca="1"/>
        <v>-9.8415801891850495E-4</v>
      </c>
      <c r="J21" s="193">
        <f ca="1"/>
        <v>5.2273757514987749E-4</v>
      </c>
    </row>
    <row r="22" spans="5:10" x14ac:dyDescent="0.25">
      <c r="E22" s="192">
        <f ca="1"/>
        <v>45721</v>
      </c>
      <c r="F22" s="193">
        <f ca="1"/>
        <v>-2.5660800819422998E-3</v>
      </c>
      <c r="G22" s="193">
        <f ca="1"/>
        <v>-1.9675941587330736E-3</v>
      </c>
      <c r="H22" s="193">
        <f ca="1"/>
        <v>-1.3895194871873442E-3</v>
      </c>
      <c r="I22" s="193">
        <f ca="1"/>
        <v>-7.2160774731904365E-4</v>
      </c>
      <c r="J22" s="193">
        <f ca="1"/>
        <v>7.9099188027184836E-4</v>
      </c>
    </row>
    <row r="23" spans="5:10" x14ac:dyDescent="0.25">
      <c r="E23" s="192">
        <f ca="1"/>
        <v>45813</v>
      </c>
      <c r="F23" s="193">
        <f ca="1"/>
        <v>-2.2907508141575021E-3</v>
      </c>
      <c r="G23" s="193">
        <f ca="1"/>
        <v>-1.7035619559109751E-3</v>
      </c>
      <c r="H23" s="193">
        <f ca="1"/>
        <v>-1.1194935867664783E-3</v>
      </c>
      <c r="I23" s="193">
        <f ca="1"/>
        <v>-4.514419512722995E-4</v>
      </c>
      <c r="J23" s="193">
        <f ca="1"/>
        <v>1.0737248367633791E-3</v>
      </c>
    </row>
    <row r="24" spans="5:10" x14ac:dyDescent="0.25">
      <c r="E24" s="192">
        <f ca="1"/>
        <v>45905</v>
      </c>
      <c r="F24" s="193">
        <f ca="1"/>
        <v>-1.9932815630462459E-3</v>
      </c>
      <c r="G24" s="193">
        <f ca="1"/>
        <v>-1.4303432973217145E-3</v>
      </c>
      <c r="H24" s="193">
        <f ca="1"/>
        <v>-8.4353860190706164E-4</v>
      </c>
      <c r="I24" s="193">
        <f ca="1"/>
        <v>-1.8347062772867267E-4</v>
      </c>
      <c r="J24" s="193">
        <f ca="1"/>
        <v>1.3606520036743535E-3</v>
      </c>
    </row>
    <row r="25" spans="5:10" x14ac:dyDescent="0.25">
      <c r="E25" s="192">
        <f ca="1"/>
        <v>45996</v>
      </c>
      <c r="F25" s="193">
        <f ca="1"/>
        <v>-1.7034181562492893E-3</v>
      </c>
      <c r="G25" s="193">
        <f ca="1"/>
        <v>-1.1518586009367524E-3</v>
      </c>
      <c r="H25" s="193">
        <f ca="1"/>
        <v>-5.649308149245231E-4</v>
      </c>
      <c r="I25" s="193">
        <f ca="1"/>
        <v>8.0178946279339978E-5</v>
      </c>
      <c r="J25" s="193">
        <f ca="1"/>
        <v>1.6426876820382652E-3</v>
      </c>
    </row>
    <row r="26" spans="5:10" x14ac:dyDescent="0.25">
      <c r="E26" s="192">
        <f ca="1"/>
        <v>46086</v>
      </c>
      <c r="F26" s="193">
        <f ca="1"/>
        <v>-1.4240920791011131E-3</v>
      </c>
      <c r="G26" s="193">
        <f ca="1"/>
        <v>-8.7150962518528095E-4</v>
      </c>
      <c r="H26" s="193">
        <f ca="1"/>
        <v>-2.7877331800543346E-4</v>
      </c>
      <c r="I26" s="193">
        <f ca="1"/>
        <v>3.4022808323777348E-4</v>
      </c>
      <c r="J26" s="193">
        <f ca="1"/>
        <v>1.9137338268209931E-3</v>
      </c>
    </row>
    <row r="27" spans="5:10" x14ac:dyDescent="0.25">
      <c r="E27" s="192">
        <f ca="1"/>
        <v>46178</v>
      </c>
      <c r="F27" s="193">
        <f ca="1"/>
        <v>-1.1395306057160974E-3</v>
      </c>
      <c r="G27" s="193">
        <f ca="1"/>
        <v>-5.7896665238639663E-4</v>
      </c>
      <c r="H27" s="193">
        <f ca="1"/>
        <v>1.2810003916186929E-5</v>
      </c>
      <c r="I27" s="193">
        <f ca="1"/>
        <v>5.9951794814455716E-4</v>
      </c>
      <c r="J27" s="193">
        <f ca="1"/>
        <v>2.1763653083937385E-3</v>
      </c>
    </row>
    <row r="28" spans="5:10" x14ac:dyDescent="0.25">
      <c r="E28" s="192">
        <f ca="1"/>
        <v>46272</v>
      </c>
      <c r="F28" s="193">
        <f ca="1"/>
        <v>-8.6533830193427901E-4</v>
      </c>
      <c r="G28" s="193">
        <f ca="1"/>
        <v>-2.8971350782609518E-4</v>
      </c>
      <c r="H28" s="193">
        <f ca="1"/>
        <v>2.9262135984805117E-4</v>
      </c>
      <c r="I28" s="193">
        <f ca="1"/>
        <v>8.510398785965081E-4</v>
      </c>
      <c r="J28" s="193">
        <f ca="1"/>
        <v>2.4261331972887218E-3</v>
      </c>
    </row>
    <row r="29" spans="5:10" x14ac:dyDescent="0.25">
      <c r="E29" s="192">
        <f ca="1"/>
        <v>46363</v>
      </c>
      <c r="F29" s="193">
        <f ca="1"/>
        <v>-6.0981706668340925E-4</v>
      </c>
      <c r="G29" s="193">
        <f ca="1"/>
        <v>-2.6855178099185999E-5</v>
      </c>
      <c r="H29" s="193">
        <f ca="1"/>
        <v>5.4266633994449077E-4</v>
      </c>
      <c r="I29" s="193">
        <f ca="1"/>
        <v>1.0817415161693273E-3</v>
      </c>
      <c r="J29" s="193">
        <f ca="1"/>
        <v>2.6601526302945E-3</v>
      </c>
    </row>
    <row r="30" spans="5:10" x14ac:dyDescent="0.25">
      <c r="E30" s="192">
        <f ca="1"/>
        <v>46451</v>
      </c>
      <c r="F30" s="193">
        <f ca="1"/>
        <v>-3.7485467210272372E-4</v>
      </c>
      <c r="G30" s="193">
        <f ca="1"/>
        <v>2.0069950213334785E-4</v>
      </c>
      <c r="H30" s="193">
        <f ca="1"/>
        <v>7.6859628184812077E-4</v>
      </c>
      <c r="I30" s="193">
        <f ca="1"/>
        <v>1.2954562133016575E-3</v>
      </c>
      <c r="J30" s="193">
        <f ca="1"/>
        <v>2.8920036863269195E-3</v>
      </c>
    </row>
    <row r="31" spans="5:10" x14ac:dyDescent="0.25">
      <c r="E31" s="192">
        <f ca="1"/>
        <v>46545</v>
      </c>
      <c r="F31" s="193">
        <f ca="1"/>
        <v>-1.4817917704854536E-4</v>
      </c>
      <c r="G31" s="193">
        <f ca="1"/>
        <v>4.25778946845571E-4</v>
      </c>
      <c r="H31" s="193">
        <f ca="1"/>
        <v>9.9437369263907067E-4</v>
      </c>
      <c r="I31" s="193">
        <f ca="1"/>
        <v>1.5203193303144292E-3</v>
      </c>
      <c r="J31" s="193">
        <f ca="1"/>
        <v>3.1596143403923617E-3</v>
      </c>
    </row>
    <row r="32" spans="5:10" x14ac:dyDescent="0.25">
      <c r="E32" s="192">
        <f ca="1"/>
        <v>46636</v>
      </c>
      <c r="F32" s="193">
        <f ca="1"/>
        <v>7.3830283486854125E-5</v>
      </c>
      <c r="G32" s="193">
        <f ca="1"/>
        <v>6.5877432201414548E-4</v>
      </c>
      <c r="H32" s="193">
        <f ca="1"/>
        <v>1.2337375438315271E-3</v>
      </c>
      <c r="I32" s="193">
        <f ca="1"/>
        <v>1.7414472664531797E-3</v>
      </c>
      <c r="J32" s="193">
        <f ca="1"/>
        <v>3.4472289823026729E-3</v>
      </c>
    </row>
    <row r="33" spans="5:10" x14ac:dyDescent="0.25">
      <c r="E33" s="192">
        <f ca="1"/>
        <v>46727</v>
      </c>
      <c r="F33" s="193">
        <f ca="1"/>
        <v>3.1992730049163468E-4</v>
      </c>
      <c r="G33" s="193">
        <f ca="1"/>
        <v>9.2074875942615899E-4</v>
      </c>
      <c r="H33" s="193">
        <f ca="1"/>
        <v>1.5059582971127777E-3</v>
      </c>
      <c r="I33" s="193">
        <f ca="1"/>
        <v>1.9688822858583443E-3</v>
      </c>
      <c r="J33" s="193">
        <f ca="1"/>
        <v>3.7512029742046414E-3</v>
      </c>
    </row>
    <row r="34" spans="5:10" x14ac:dyDescent="0.25">
      <c r="E34" s="192">
        <f ca="1"/>
        <v>46818</v>
      </c>
      <c r="F34" s="193">
        <f ca="1"/>
        <v>5.9342476708588976E-4</v>
      </c>
      <c r="G34" s="193">
        <f ca="1"/>
        <v>1.2143464015242321E-3</v>
      </c>
      <c r="H34" s="193">
        <f ca="1"/>
        <v>1.8115419091358188E-3</v>
      </c>
      <c r="I34" s="193">
        <f ca="1"/>
        <v>2.2030282645282991E-3</v>
      </c>
      <c r="J34" s="193">
        <f ca="1"/>
        <v>4.054274011952695E-3</v>
      </c>
    </row>
    <row r="35" spans="5:10" x14ac:dyDescent="0.25">
      <c r="E35" s="192">
        <f ca="1"/>
        <v>46909</v>
      </c>
      <c r="F35" s="193">
        <f ca="1"/>
        <v>8.9760648937663515E-4</v>
      </c>
      <c r="G35" s="193">
        <f ca="1"/>
        <v>1.5371123647943377E-3</v>
      </c>
      <c r="H35" s="193">
        <f ca="1"/>
        <v>2.141009259205759E-3</v>
      </c>
      <c r="I35" s="193">
        <f ca="1"/>
        <v>2.4379930284043174E-3</v>
      </c>
      <c r="J35" s="193">
        <f ca="1"/>
        <v>4.3391797370017629E-3</v>
      </c>
    </row>
    <row r="36" spans="5:10" x14ac:dyDescent="0.25">
      <c r="E36" s="192">
        <f ca="1"/>
        <v>47001</v>
      </c>
      <c r="F36" s="193">
        <f ca="1"/>
        <v>1.2141368331517789E-3</v>
      </c>
      <c r="G36" s="193">
        <f ca="1"/>
        <v>1.8543799786068806E-3</v>
      </c>
      <c r="H36" s="193">
        <f ca="1"/>
        <v>2.4431737318415326E-3</v>
      </c>
      <c r="I36" s="193">
        <f ca="1"/>
        <v>2.6702461462930617E-3</v>
      </c>
      <c r="J36" s="193">
        <f ca="1"/>
        <v>4.5943910302012232E-3</v>
      </c>
    </row>
    <row r="37" spans="5:10" x14ac:dyDescent="0.25">
      <c r="E37" s="192">
        <f ca="1"/>
        <v>47092</v>
      </c>
      <c r="F37" s="193">
        <f ca="1"/>
        <v>1.507075828772506E-3</v>
      </c>
      <c r="G37" s="193">
        <f ca="1"/>
        <v>2.1355839011392452E-3</v>
      </c>
      <c r="H37" s="193">
        <f ca="1"/>
        <v>2.7116612943635754E-3</v>
      </c>
      <c r="I37" s="193">
        <f ca="1"/>
        <v>2.8960561469266099E-3</v>
      </c>
      <c r="J37" s="193">
        <f ca="1"/>
        <v>4.8146272332618388E-3</v>
      </c>
    </row>
    <row r="38" spans="5:10" x14ac:dyDescent="0.25">
      <c r="E38" s="192">
        <f ca="1"/>
        <v>47182</v>
      </c>
      <c r="F38" s="193">
        <f ca="1"/>
        <v>1.7737504995982147E-3</v>
      </c>
      <c r="G38" s="193">
        <f ca="1"/>
        <v>2.3782492844331405E-3</v>
      </c>
      <c r="H38" s="193">
        <f ca="1"/>
        <v>2.9474389933150575E-3</v>
      </c>
      <c r="I38" s="193">
        <f ca="1"/>
        <v>3.1160140510819892E-3</v>
      </c>
      <c r="J38" s="193">
        <f ca="1"/>
        <v>5.0051921655357608E-3</v>
      </c>
    </row>
    <row r="39" spans="5:10" x14ac:dyDescent="0.25">
      <c r="E39" s="192">
        <f ca="1"/>
        <v>47274</v>
      </c>
      <c r="F39" s="193">
        <f ca="1"/>
        <v>2.0194465449484321E-3</v>
      </c>
      <c r="G39" s="193">
        <f ca="1"/>
        <v>2.5920298264149417E-3</v>
      </c>
      <c r="H39" s="193">
        <f ca="1"/>
        <v>3.1495395201593334E-3</v>
      </c>
      <c r="I39" s="193">
        <f ca="1"/>
        <v>3.3232564863367453E-3</v>
      </c>
      <c r="J39" s="193">
        <f ca="1"/>
        <v>5.1763480406104541E-3</v>
      </c>
    </row>
    <row r="40" spans="5:10" x14ac:dyDescent="0.25">
      <c r="E40" s="192">
        <f ca="1"/>
        <v>47366</v>
      </c>
      <c r="F40" s="193">
        <f ca="1"/>
        <v>2.2377532718028501E-3</v>
      </c>
      <c r="G40" s="193">
        <f ca="1"/>
        <v>2.7793204170035698E-3</v>
      </c>
      <c r="H40" s="193">
        <f ca="1"/>
        <v>3.3294222069606542E-3</v>
      </c>
      <c r="I40" s="193">
        <f ca="1"/>
        <v>3.4966481416805976E-3</v>
      </c>
      <c r="J40" s="193">
        <f ca="1"/>
        <v>5.3294536093503033E-3</v>
      </c>
    </row>
    <row r="41" spans="5:10" x14ac:dyDescent="0.25">
      <c r="E41" s="192">
        <f ca="1"/>
        <v>47457</v>
      </c>
      <c r="F41" s="193">
        <f ca="1"/>
        <v>2.4276132114127804E-3</v>
      </c>
      <c r="G41" s="193">
        <f ca="1"/>
        <v>2.9455821418830448E-3</v>
      </c>
      <c r="H41" s="193">
        <f ca="1"/>
        <v>3.4886510987640861E-3</v>
      </c>
      <c r="I41" s="193">
        <f ca="1"/>
        <v>3.6324290769518901E-3</v>
      </c>
      <c r="J41" s="193">
        <f ca="1"/>
        <v>5.4756850888767455E-3</v>
      </c>
    </row>
    <row r="42" spans="5:10" x14ac:dyDescent="0.25">
      <c r="E42" s="192">
        <f ca="1"/>
        <v>47547</v>
      </c>
      <c r="F42" s="193">
        <f ca="1"/>
        <v>2.5875266136928094E-3</v>
      </c>
      <c r="G42" s="193">
        <f ca="1"/>
        <v>3.0898170521067333E-3</v>
      </c>
      <c r="H42" s="193">
        <f ca="1"/>
        <v>3.6274243269456916E-3</v>
      </c>
      <c r="I42" s="193">
        <f ca="1"/>
        <v>3.7382614465172439E-3</v>
      </c>
      <c r="J42" s="193">
        <f ca="1"/>
        <v>5.6294066338239239E-3</v>
      </c>
    </row>
    <row r="43" spans="5:10" x14ac:dyDescent="0.25">
      <c r="E43" s="192">
        <f ca="1"/>
        <v>47639</v>
      </c>
      <c r="F43" s="193">
        <f ca="1"/>
        <v>2.7197290964138445E-3</v>
      </c>
      <c r="G43" s="193">
        <f ca="1"/>
        <v>3.2181798042654084E-3</v>
      </c>
      <c r="H43" s="193">
        <f ca="1"/>
        <v>3.7571374571853393E-3</v>
      </c>
      <c r="I43" s="193">
        <f ca="1"/>
        <v>3.8479351526473637E-3</v>
      </c>
      <c r="J43" s="193">
        <f ca="1"/>
        <v>5.8104841351437351E-3</v>
      </c>
    </row>
    <row r="44" spans="5:10" x14ac:dyDescent="0.25">
      <c r="E44" s="192">
        <f ca="1"/>
        <v>47731</v>
      </c>
      <c r="F44" s="193">
        <f ca="1"/>
        <v>2.8497207300310899E-3</v>
      </c>
      <c r="G44" s="193">
        <f ca="1"/>
        <v>3.3624471007993625E-3</v>
      </c>
      <c r="H44" s="193">
        <f ca="1"/>
        <v>3.9143191079303976E-3</v>
      </c>
      <c r="I44" s="193">
        <f ca="1"/>
        <v>3.9922570137486809E-3</v>
      </c>
      <c r="J44" s="193">
        <f ca="1"/>
        <v>6.0253480111169449E-3</v>
      </c>
    </row>
    <row r="45" spans="5:10" x14ac:dyDescent="0.25">
      <c r="E45" s="192">
        <f ca="1"/>
        <v>47822</v>
      </c>
      <c r="F45" s="193">
        <f ca="1"/>
        <v>3.0151672366877237E-3</v>
      </c>
      <c r="G45" s="193">
        <f ca="1"/>
        <v>3.5462464775437739E-3</v>
      </c>
      <c r="H45" s="193">
        <f ca="1"/>
        <v>4.1102835181050816E-3</v>
      </c>
      <c r="I45" s="193">
        <f ca="1"/>
        <v>4.1775683933839534E-3</v>
      </c>
      <c r="J45" s="193">
        <f ca="1"/>
        <v>6.2565400471887023E-3</v>
      </c>
    </row>
    <row r="46" spans="5:10" x14ac:dyDescent="0.25">
      <c r="E46" s="192">
        <f ca="1"/>
        <v>47912</v>
      </c>
      <c r="F46" s="193">
        <f ca="1"/>
        <v>3.2191415550035804E-3</v>
      </c>
      <c r="G46" s="193">
        <f ca="1"/>
        <v>3.7661085779569694E-3</v>
      </c>
      <c r="H46" s="193">
        <f ca="1"/>
        <v>4.3445342839666902E-3</v>
      </c>
      <c r="I46" s="193">
        <f ca="1"/>
        <v>4.3974254016843749E-3</v>
      </c>
      <c r="J46" s="193">
        <f ca="1"/>
        <v>6.4823876243741106E-3</v>
      </c>
    </row>
    <row r="47" spans="5:10" x14ac:dyDescent="0.25">
      <c r="E47" s="192">
        <f ca="1"/>
        <v>48004</v>
      </c>
      <c r="F47" s="193">
        <f ca="1"/>
        <v>3.4734141197651069E-3</v>
      </c>
      <c r="G47" s="193">
        <f ca="1"/>
        <v>4.0289756681709333E-3</v>
      </c>
      <c r="H47" s="193">
        <f ca="1"/>
        <v>4.6098874375857055E-3</v>
      </c>
      <c r="I47" s="193">
        <f ca="1"/>
        <v>4.6243787066916828E-3</v>
      </c>
      <c r="J47" s="193">
        <f ca="1"/>
        <v>6.6887233649763839E-3</v>
      </c>
    </row>
    <row r="48" spans="5:10" x14ac:dyDescent="0.25">
      <c r="E48" s="192">
        <f ca="1"/>
        <v>48096</v>
      </c>
      <c r="F48" s="193">
        <f ca="1"/>
        <v>3.7374663320213124E-3</v>
      </c>
      <c r="G48" s="193">
        <f ca="1"/>
        <v>4.2791724991439028E-3</v>
      </c>
      <c r="H48" s="193">
        <f ca="1"/>
        <v>4.8426425111779284E-3</v>
      </c>
      <c r="I48" s="193">
        <f ca="1"/>
        <v>4.8155479119698502E-3</v>
      </c>
      <c r="J48" s="193">
        <f ca="1"/>
        <v>6.8528061953005495E-3</v>
      </c>
    </row>
    <row r="49" spans="5:10" x14ac:dyDescent="0.25">
      <c r="E49" s="192">
        <f ca="1"/>
        <v>48187</v>
      </c>
      <c r="F49" s="193">
        <f ca="1"/>
        <v>3.9528314385955318E-3</v>
      </c>
      <c r="G49" s="193">
        <f ca="1"/>
        <v>4.4800768372637396E-3</v>
      </c>
      <c r="H49" s="193">
        <f ca="1"/>
        <v>5.0267868434268467E-3</v>
      </c>
      <c r="I49" s="193">
        <f ca="1"/>
        <v>4.961565754762024E-3</v>
      </c>
      <c r="J49" s="193">
        <f ca="1"/>
        <v>6.9764211873629689E-3</v>
      </c>
    </row>
    <row r="50" spans="5:10" x14ac:dyDescent="0.25">
      <c r="E50" s="192">
        <f ca="1"/>
        <v>48278</v>
      </c>
      <c r="F50" s="193">
        <f ca="1"/>
        <v>4.1215392902851488E-3</v>
      </c>
      <c r="G50" s="193">
        <f ca="1"/>
        <v>4.6325453197435858E-3</v>
      </c>
      <c r="H50" s="193">
        <f ca="1"/>
        <v>5.1644864197164086E-3</v>
      </c>
      <c r="I50" s="193">
        <f ca="1"/>
        <v>5.0674760609177973E-3</v>
      </c>
      <c r="J50" s="193">
        <f ca="1"/>
        <v>7.070130468584966E-3</v>
      </c>
    </row>
    <row r="51" spans="5:10" x14ac:dyDescent="0.25">
      <c r="E51" s="192">
        <f ca="1"/>
        <v>48372</v>
      </c>
      <c r="F51" s="193">
        <f ca="1"/>
        <v>4.2416486208189975E-3</v>
      </c>
      <c r="G51" s="193">
        <f ca="1"/>
        <v>4.7406544074485822E-3</v>
      </c>
      <c r="H51" s="193">
        <f ca="1"/>
        <v>5.261911261150152E-3</v>
      </c>
      <c r="I51" s="193">
        <f ca="1"/>
        <v>5.147896661778081E-3</v>
      </c>
      <c r="J51" s="193">
        <f ca="1"/>
        <v>7.1445898912202207E-3</v>
      </c>
    </row>
    <row r="52" spans="5:10" x14ac:dyDescent="0.25">
      <c r="E52" s="192">
        <f ca="1"/>
        <v>48463</v>
      </c>
      <c r="F52" s="193">
        <f ca="1"/>
        <v>4.3260831102991289E-3</v>
      </c>
      <c r="G52" s="193">
        <f ca="1"/>
        <v>4.8205857492781288E-3</v>
      </c>
      <c r="H52" s="193">
        <f ca="1"/>
        <v>5.3367634754725637E-3</v>
      </c>
      <c r="I52" s="193">
        <f ca="1"/>
        <v>5.2108834551562646E-3</v>
      </c>
      <c r="J52" s="193">
        <f ca="1"/>
        <v>7.2024794065436359E-3</v>
      </c>
    </row>
    <row r="53" spans="5:10" x14ac:dyDescent="0.25">
      <c r="E53" s="192">
        <f ca="1"/>
        <v>48554</v>
      </c>
      <c r="F53" s="193">
        <f ca="1"/>
        <v>4.3995459306088889E-3</v>
      </c>
      <c r="G53" s="193">
        <f ca="1"/>
        <v>4.8872474442200799E-3</v>
      </c>
      <c r="H53" s="193">
        <f ca="1"/>
        <v>5.3994013334494962E-3</v>
      </c>
      <c r="I53" s="193">
        <f ca="1"/>
        <v>5.2622780124751732E-3</v>
      </c>
      <c r="J53" s="193">
        <f ca="1"/>
        <v>7.2479498512798782E-3</v>
      </c>
    </row>
    <row r="54" spans="5:10" x14ac:dyDescent="0.25">
      <c r="E54" s="192">
        <f ca="1"/>
        <v>48645</v>
      </c>
      <c r="F54" s="193">
        <f ca="1"/>
        <v>4.4619072085076671E-3</v>
      </c>
      <c r="G54" s="193">
        <f ca="1"/>
        <v>4.9419824402262861E-3</v>
      </c>
      <c r="H54" s="193">
        <f ca="1"/>
        <v>5.4507037675535306E-3</v>
      </c>
      <c r="I54" s="193">
        <f ca="1"/>
        <v>5.3022771876652013E-3</v>
      </c>
      <c r="J54" s="193">
        <f ca="1"/>
        <v>7.2809448717718692E-3</v>
      </c>
    </row>
    <row r="55" spans="5:10" x14ac:dyDescent="0.25">
      <c r="E55" s="192">
        <f ca="1"/>
        <v>48736</v>
      </c>
      <c r="F55" s="193">
        <f ca="1"/>
        <v>4.5129116516566424E-3</v>
      </c>
      <c r="G55" s="193">
        <f ca="1"/>
        <v>4.9839296908310328E-3</v>
      </c>
      <c r="H55" s="193">
        <f ca="1"/>
        <v>5.4890351007389395E-3</v>
      </c>
      <c r="I55" s="193">
        <f ca="1"/>
        <v>5.3307508622350104E-3</v>
      </c>
      <c r="J55" s="193">
        <f ca="1"/>
        <v>7.3014080991589255E-3</v>
      </c>
    </row>
    <row r="56" spans="5:10" x14ac:dyDescent="0.25">
      <c r="E56" s="192">
        <f ca="1"/>
        <v>48827</v>
      </c>
      <c r="F56" s="193">
        <f ca="1"/>
        <v>4.5523375207061172E-3</v>
      </c>
      <c r="G56" s="193">
        <f ca="1"/>
        <v>5.0136669833305697E-3</v>
      </c>
      <c r="H56" s="193">
        <f ca="1"/>
        <v>5.5148961240521913E-3</v>
      </c>
      <c r="I56" s="193">
        <f ca="1"/>
        <v>5.3475119773283E-3</v>
      </c>
      <c r="J56" s="193">
        <f ca="1"/>
        <v>7.3092953892051849E-3</v>
      </c>
    </row>
    <row r="57" spans="5:10" x14ac:dyDescent="0.25">
      <c r="E57" s="192">
        <f ca="1"/>
        <v>48918</v>
      </c>
      <c r="F57" s="193">
        <f ca="1"/>
        <v>4.5799537853441407E-3</v>
      </c>
      <c r="G57" s="193">
        <f ca="1"/>
        <v>5.0313552217620778E-3</v>
      </c>
      <c r="H57" s="193">
        <f ca="1"/>
        <v>5.5285725839859176E-3</v>
      </c>
      <c r="I57" s="193">
        <f ca="1"/>
        <v>5.3525204496781744E-3</v>
      </c>
      <c r="J57" s="193">
        <f ca="1"/>
        <v>7.3046165828853154E-3</v>
      </c>
    </row>
    <row r="58" spans="5:10" x14ac:dyDescent="0.25">
      <c r="E58" s="192">
        <f ca="1"/>
        <v>49009</v>
      </c>
      <c r="F58" s="193">
        <f ca="1"/>
        <v>4.5955319122896222E-3</v>
      </c>
      <c r="G58" s="193">
        <f ca="1"/>
        <v>5.03684647241212E-3</v>
      </c>
      <c r="H58" s="193">
        <f ca="1"/>
        <v>5.5300941715143749E-3</v>
      </c>
      <c r="I58" s="193">
        <f ca="1"/>
        <v>5.3458157607421978E-3</v>
      </c>
      <c r="J58" s="193">
        <f ca="1"/>
        <v>7.2873964187156626E-3</v>
      </c>
    </row>
    <row r="59" spans="5:10" x14ac:dyDescent="0.25">
      <c r="E59" s="192">
        <f ca="1"/>
        <v>49100</v>
      </c>
      <c r="F59" s="193">
        <f ca="1"/>
        <v>4.5988418925794776E-3</v>
      </c>
      <c r="G59" s="193">
        <f ca="1"/>
        <v>5.0299812356242026E-3</v>
      </c>
      <c r="H59" s="193">
        <f ca="1"/>
        <v>5.5190242942048497E-3</v>
      </c>
      <c r="I59" s="193">
        <f ca="1"/>
        <v>5.3276154323578994E-3</v>
      </c>
      <c r="J59" s="193">
        <f ca="1"/>
        <v>7.2576596356969166E-3</v>
      </c>
    </row>
    <row r="60" spans="5:10" x14ac:dyDescent="0.25">
      <c r="E60" s="192">
        <f ca="1"/>
        <v>49192</v>
      </c>
      <c r="F60" s="193">
        <f ca="1"/>
        <v>4.5894836599935625E-3</v>
      </c>
      <c r="G60" s="193">
        <f ca="1"/>
        <v>5.0106828448889676E-3</v>
      </c>
      <c r="H60" s="193">
        <f ca="1"/>
        <v>5.4956938414677118E-3</v>
      </c>
      <c r="I60" s="193">
        <f ca="1"/>
        <v>5.2977035587359984E-3</v>
      </c>
      <c r="J60" s="193">
        <f ca="1"/>
        <v>7.2152680302219304E-3</v>
      </c>
    </row>
    <row r="61" spans="5:10" x14ac:dyDescent="0.25">
      <c r="E61" s="192">
        <f ca="1"/>
        <v>49283</v>
      </c>
      <c r="F61" s="193">
        <f ca="1"/>
        <v>4.5674293691170898E-3</v>
      </c>
      <c r="G61" s="193">
        <f ca="1"/>
        <v>4.9791110798660717E-3</v>
      </c>
      <c r="H61" s="193">
        <f ca="1"/>
        <v>5.4601237679287725E-3</v>
      </c>
      <c r="I61" s="193">
        <f ca="1"/>
        <v>5.2564603691849371E-3</v>
      </c>
      <c r="J61" s="193">
        <f ca="1"/>
        <v>7.1631823425506828E-3</v>
      </c>
    </row>
    <row r="62" spans="5:10" x14ac:dyDescent="0.25">
      <c r="E62" s="192">
        <f ca="1"/>
        <v>49373</v>
      </c>
      <c r="F62" s="193">
        <f ca="1"/>
        <v>4.5328760953548672E-3</v>
      </c>
      <c r="G62" s="193">
        <f ca="1"/>
        <v>4.9359618843585126E-3</v>
      </c>
      <c r="H62" s="193">
        <f ca="1"/>
        <v>5.4119426473130108E-3</v>
      </c>
      <c r="I62" s="193">
        <f ca="1"/>
        <v>5.2045603040680134E-3</v>
      </c>
      <c r="J62" s="193">
        <f ca="1"/>
        <v>7.1041770339055534E-3</v>
      </c>
    </row>
    <row r="63" spans="5:10" x14ac:dyDescent="0.25">
      <c r="E63" s="192">
        <f ca="1"/>
        <v>49465</v>
      </c>
      <c r="F63" s="193">
        <f ca="1"/>
        <v>4.4842145845340395E-3</v>
      </c>
      <c r="G63" s="193">
        <f ca="1"/>
        <v>4.8795800938391965E-3</v>
      </c>
      <c r="H63" s="193">
        <f ca="1"/>
        <v>5.3528713420627752E-3</v>
      </c>
      <c r="I63" s="193">
        <f ca="1"/>
        <v>5.1438557173902133E-3</v>
      </c>
      <c r="J63" s="193">
        <f ca="1"/>
        <v>7.0386692985253676E-3</v>
      </c>
    </row>
    <row r="64" spans="5:10" x14ac:dyDescent="0.25">
      <c r="E64" s="192">
        <f ca="1"/>
        <v>49557</v>
      </c>
      <c r="F64" s="193">
        <f ca="1"/>
        <v>4.4255310869527349E-3</v>
      </c>
      <c r="G64" s="193">
        <f ca="1"/>
        <v>4.8165739145656318E-3</v>
      </c>
      <c r="H64" s="193">
        <f ca="1"/>
        <v>5.289075524666835E-3</v>
      </c>
      <c r="I64" s="193">
        <f ca="1"/>
        <v>5.0796160564557267E-3</v>
      </c>
      <c r="J64" s="193">
        <f ca="1"/>
        <v>6.9701080140439362E-3</v>
      </c>
    </row>
    <row r="65" spans="5:10" x14ac:dyDescent="0.25">
      <c r="E65" s="192">
        <f ca="1"/>
        <v>49648</v>
      </c>
      <c r="F65" s="193">
        <f ca="1"/>
        <v>4.36225174222858E-3</v>
      </c>
      <c r="G65" s="193">
        <f ca="1"/>
        <v>4.7514148954524498E-3</v>
      </c>
      <c r="H65" s="193">
        <f ca="1"/>
        <v>5.2231079816946607E-3</v>
      </c>
      <c r="I65" s="193">
        <f ca="1"/>
        <v>5.0134205060020772E-3</v>
      </c>
      <c r="J65" s="193">
        <f ca="1"/>
        <v>6.899781238626247E-3</v>
      </c>
    </row>
    <row r="66" spans="5:10" x14ac:dyDescent="0.25">
      <c r="E66" s="192">
        <f ca="1"/>
        <v>49739</v>
      </c>
      <c r="F66" s="193">
        <f ca="1"/>
        <v>4.2940969818332456E-3</v>
      </c>
      <c r="G66" s="193">
        <f ca="1"/>
        <v>4.683912206023353E-3</v>
      </c>
      <c r="H66" s="193">
        <f ca="1"/>
        <v>5.1542454482944302E-3</v>
      </c>
      <c r="I66" s="193">
        <f ca="1"/>
        <v>4.9444538624750451E-3</v>
      </c>
      <c r="J66" s="193">
        <f ca="1"/>
        <v>6.8269392496934011E-3</v>
      </c>
    </row>
    <row r="67" spans="5:10" x14ac:dyDescent="0.25">
      <c r="E67" s="192">
        <f ca="1"/>
        <v>49831</v>
      </c>
      <c r="F67" s="193">
        <f ca="1"/>
        <v>4.2205388767089643E-3</v>
      </c>
      <c r="G67" s="193">
        <f ca="1"/>
        <v>4.6133518534439352E-3</v>
      </c>
      <c r="H67" s="193">
        <f ca="1"/>
        <v>5.0823666981099237E-3</v>
      </c>
      <c r="I67" s="193">
        <f ca="1"/>
        <v>4.8720644532788075E-3</v>
      </c>
      <c r="J67" s="193">
        <f ca="1"/>
        <v>6.750721342638653E-3</v>
      </c>
    </row>
    <row r="68" spans="5:10" x14ac:dyDescent="0.25">
      <c r="E68" s="192">
        <f ca="1"/>
        <v>49923</v>
      </c>
      <c r="F68" s="193">
        <f ca="1"/>
        <v>4.1417890469282147E-3</v>
      </c>
      <c r="G68" s="193">
        <f ca="1"/>
        <v>4.5399403956394267E-3</v>
      </c>
      <c r="H68" s="193">
        <f ca="1"/>
        <v>5.0082855112766984E-3</v>
      </c>
      <c r="I68" s="193">
        <f ca="1"/>
        <v>4.7971342291882515E-3</v>
      </c>
      <c r="J68" s="193">
        <f ca="1"/>
        <v>6.6719032623018771E-3</v>
      </c>
    </row>
    <row r="69" spans="5:10" x14ac:dyDescent="0.25">
      <c r="E69" s="192">
        <f ca="1"/>
        <v>50014</v>
      </c>
      <c r="F69" s="193">
        <f ca="1"/>
        <v>4.0606698837033581E-3</v>
      </c>
      <c r="G69" s="193">
        <f ca="1"/>
        <v>4.4644070957680533E-3</v>
      </c>
      <c r="H69" s="193">
        <f ca="1"/>
        <v>4.9325553522894952E-3</v>
      </c>
      <c r="I69" s="193">
        <f ca="1"/>
        <v>4.7202123043664588E-3</v>
      </c>
      <c r="J69" s="193">
        <f ca="1"/>
        <v>6.5914098816524909E-3</v>
      </c>
    </row>
    <row r="70" spans="5:10" x14ac:dyDescent="0.25">
      <c r="E70" s="192">
        <f ca="1"/>
        <v>50104</v>
      </c>
      <c r="F70" s="193">
        <f ca="1"/>
        <v>3.9777388596570554E-3</v>
      </c>
      <c r="G70" s="193">
        <f ca="1"/>
        <v>4.3876397580859096E-3</v>
      </c>
      <c r="H70" s="193">
        <f ca="1"/>
        <v>4.8539554562873361E-3</v>
      </c>
      <c r="I70" s="193">
        <f ca="1"/>
        <v>4.6411122535978963E-3</v>
      </c>
      <c r="J70" s="193">
        <f ca="1"/>
        <v>6.5093594988153512E-3</v>
      </c>
    </row>
    <row r="71" spans="5:10" x14ac:dyDescent="0.25">
      <c r="E71" s="192">
        <f ca="1"/>
        <v>50196</v>
      </c>
      <c r="F71" s="193">
        <f ca="1"/>
        <v>3.8877250912430208E-3</v>
      </c>
      <c r="G71" s="193">
        <f ca="1"/>
        <v>4.3067471156326698E-3</v>
      </c>
      <c r="H71" s="193">
        <f ca="1"/>
        <v>4.771798713217275E-3</v>
      </c>
      <c r="I71" s="193">
        <f ca="1"/>
        <v>4.5575429472937429E-3</v>
      </c>
      <c r="J71" s="193">
        <f ca="1"/>
        <v>6.4230124489596556E-3</v>
      </c>
    </row>
    <row r="72" spans="5:10" x14ac:dyDescent="0.25">
      <c r="E72" s="192">
        <f ca="1"/>
        <v>50290</v>
      </c>
      <c r="F72" s="193">
        <f ca="1"/>
        <v>3.7944221477618002E-3</v>
      </c>
      <c r="G72" s="193">
        <f ca="1"/>
        <v>4.2211610744043674E-3</v>
      </c>
      <c r="H72" s="193">
        <f ca="1"/>
        <v>4.6856665414913238E-3</v>
      </c>
      <c r="I72" s="193">
        <f ca="1"/>
        <v>4.469751357303201E-3</v>
      </c>
      <c r="J72" s="193">
        <f ca="1"/>
        <v>6.3322231927847505E-3</v>
      </c>
    </row>
    <row r="73" spans="5:10" x14ac:dyDescent="0.25">
      <c r="E73" s="192">
        <f ca="1"/>
        <v>50381</v>
      </c>
      <c r="F73" s="193">
        <f ca="1"/>
        <v>3.7003721300728049E-3</v>
      </c>
      <c r="G73" s="193">
        <f ca="1"/>
        <v>4.1344244336807201E-3</v>
      </c>
      <c r="H73" s="193">
        <f ca="1"/>
        <v>4.5997794308697045E-3</v>
      </c>
      <c r="I73" s="193">
        <f ca="1"/>
        <v>4.3820154285334036E-3</v>
      </c>
      <c r="J73" s="193">
        <f ca="1"/>
        <v>6.2417906328701336E-3</v>
      </c>
    </row>
    <row r="74" spans="5:10" x14ac:dyDescent="0.25">
      <c r="E74" s="192">
        <f ca="1"/>
        <v>50469</v>
      </c>
      <c r="F74" s="193">
        <f ca="1"/>
        <v>3.6060412473661704E-3</v>
      </c>
      <c r="G74" s="193">
        <f ca="1"/>
        <v>4.0504182040179944E-3</v>
      </c>
      <c r="H74" s="193">
        <f ca="1"/>
        <v>4.5129594825501539E-3</v>
      </c>
      <c r="I74" s="193">
        <f ca="1"/>
        <v>4.2941718666723297E-3</v>
      </c>
      <c r="J74" s="193">
        <f ca="1"/>
        <v>6.1518737195933801E-3</v>
      </c>
    </row>
    <row r="75" spans="5:10" x14ac:dyDescent="0.25">
      <c r="E75" s="192">
        <f ca="1"/>
        <v>50563</v>
      </c>
      <c r="F75" s="193">
        <f ca="1"/>
        <v>3.5051850096817633E-3</v>
      </c>
      <c r="G75" s="193">
        <f ca="1"/>
        <v>3.957252670587167E-3</v>
      </c>
      <c r="H75" s="193">
        <f ca="1"/>
        <v>4.418511207988556E-3</v>
      </c>
      <c r="I75" s="193">
        <f ca="1"/>
        <v>4.1975227926037964E-3</v>
      </c>
      <c r="J75" s="193">
        <f ca="1"/>
        <v>6.0530523417452404E-3</v>
      </c>
    </row>
    <row r="76" spans="5:10" x14ac:dyDescent="0.25">
      <c r="E76" s="192">
        <f ca="1"/>
        <v>50654</v>
      </c>
      <c r="F76" s="193">
        <f ca="1"/>
        <v>3.4046481794652657E-3</v>
      </c>
      <c r="G76" s="193">
        <f ca="1"/>
        <v>3.8632433111456844E-3</v>
      </c>
      <c r="H76" s="193">
        <f ca="1"/>
        <v>4.3250284604351508E-3</v>
      </c>
      <c r="I76" s="193">
        <f ca="1"/>
        <v>4.1016725485679565E-3</v>
      </c>
      <c r="J76" s="193">
        <f ca="1"/>
        <v>5.9546043928610029E-3</v>
      </c>
    </row>
    <row r="77" spans="5:10" x14ac:dyDescent="0.25">
      <c r="E77" s="192">
        <f ca="1"/>
        <v>50745</v>
      </c>
      <c r="F77" s="193">
        <f ca="1"/>
        <v>3.3025487655818221E-3</v>
      </c>
      <c r="G77" s="193">
        <f ca="1"/>
        <v>3.7677033740748686E-3</v>
      </c>
      <c r="H77" s="193">
        <f ca="1"/>
        <v>4.2291005680020963E-3</v>
      </c>
      <c r="I77" s="193">
        <f ca="1"/>
        <v>4.0032374486730794E-3</v>
      </c>
      <c r="J77" s="193">
        <f ca="1"/>
        <v>5.8535567742893785E-3</v>
      </c>
    </row>
    <row r="78" spans="5:10" x14ac:dyDescent="0.25">
      <c r="E78" s="192">
        <f ca="1"/>
        <v>50836</v>
      </c>
      <c r="F78" s="193">
        <f ca="1"/>
        <v>3.1991863890797963E-3</v>
      </c>
      <c r="G78" s="193">
        <f ca="1"/>
        <v>3.6685164088253765E-3</v>
      </c>
      <c r="H78" s="193">
        <f ca="1"/>
        <v>4.1290555449849621E-3</v>
      </c>
      <c r="I78" s="193">
        <f ca="1"/>
        <v>3.9017491724765512E-3</v>
      </c>
      <c r="J78" s="193">
        <f ca="1"/>
        <v>5.7500950000124174E-3</v>
      </c>
    </row>
    <row r="79" spans="5:10" x14ac:dyDescent="0.25">
      <c r="E79" s="192">
        <f ca="1"/>
        <v>50927</v>
      </c>
      <c r="F79" s="193">
        <f ca="1"/>
        <v>3.094862518341731E-3</v>
      </c>
      <c r="G79" s="193">
        <f ca="1"/>
        <v>3.5687523311685771E-3</v>
      </c>
      <c r="H79" s="193">
        <f ca="1"/>
        <v>4.0274718754827517E-3</v>
      </c>
      <c r="I79" s="193">
        <f ca="1"/>
        <v>3.7971356492755674E-3</v>
      </c>
      <c r="J79" s="193">
        <f ca="1"/>
        <v>5.6444045845046205E-3</v>
      </c>
    </row>
    <row r="80" spans="5:10" x14ac:dyDescent="0.25">
      <c r="E80" s="192">
        <f ca="1"/>
        <v>51018</v>
      </c>
      <c r="F80" s="193">
        <f ca="1"/>
        <v>2.9898758683242843E-3</v>
      </c>
      <c r="G80" s="193">
        <f ca="1"/>
        <v>3.4661059624614796E-3</v>
      </c>
      <c r="H80" s="193">
        <f ca="1"/>
        <v>3.9239401723657448E-3</v>
      </c>
      <c r="I80" s="193">
        <f ca="1"/>
        <v>3.689536408275879E-3</v>
      </c>
      <c r="J80" s="193">
        <f ca="1"/>
        <v>5.5366189929106713E-3</v>
      </c>
    </row>
    <row r="81" spans="5:10" x14ac:dyDescent="0.25">
      <c r="E81" s="192">
        <f ca="1"/>
        <v>51109</v>
      </c>
      <c r="F81" s="193">
        <f ca="1"/>
        <v>2.8845266819935217E-3</v>
      </c>
      <c r="G81" s="193">
        <f ca="1"/>
        <v>3.3604466020674597E-3</v>
      </c>
      <c r="H81" s="193">
        <f ca="1"/>
        <v>3.8174324071488627E-3</v>
      </c>
      <c r="I81" s="193">
        <f ca="1"/>
        <v>3.579542536902154E-3</v>
      </c>
      <c r="J81" s="193">
        <f ca="1"/>
        <v>5.4266418351388559E-3</v>
      </c>
    </row>
    <row r="82" spans="5:10" x14ac:dyDescent="0.25">
      <c r="E82" s="192">
        <f ca="1"/>
        <v>51200</v>
      </c>
      <c r="F82" s="193">
        <f ca="1"/>
        <v>2.7791138620805282E-3</v>
      </c>
      <c r="G82" s="193">
        <f ca="1"/>
        <v>3.2521335496318885E-3</v>
      </c>
      <c r="H82" s="193">
        <f ca="1"/>
        <v>3.7065138279675893E-3</v>
      </c>
      <c r="I82" s="193">
        <f ca="1"/>
        <v>3.4676764112467522E-3</v>
      </c>
      <c r="J82" s="193">
        <f ca="1"/>
        <v>5.3143132911704404E-3</v>
      </c>
    </row>
    <row r="83" spans="5:10" x14ac:dyDescent="0.25">
      <c r="E83" s="192">
        <f ca="1"/>
        <v>51292</v>
      </c>
      <c r="F83" s="193">
        <f ca="1"/>
        <v>2.6727892259450084E-3</v>
      </c>
      <c r="G83" s="193">
        <f ca="1"/>
        <v>3.1402951300795044E-3</v>
      </c>
      <c r="H83" s="193">
        <f ca="1"/>
        <v>3.594691042987281E-3</v>
      </c>
      <c r="I83" s="193">
        <f ca="1"/>
        <v>3.352309492588228E-3</v>
      </c>
      <c r="J83" s="193">
        <f ca="1"/>
        <v>5.1981970190385649E-3</v>
      </c>
    </row>
    <row r="84" spans="5:10" x14ac:dyDescent="0.25">
      <c r="E84" s="192">
        <f ca="1"/>
        <v>51384</v>
      </c>
      <c r="F84" s="193">
        <f ca="1"/>
        <v>2.5653239240043938E-3</v>
      </c>
      <c r="G84" s="193">
        <f ca="1"/>
        <v>3.0259493358958138E-3</v>
      </c>
      <c r="H84" s="193">
        <f ca="1"/>
        <v>3.4800525273922201E-3</v>
      </c>
      <c r="I84" s="193">
        <f ca="1"/>
        <v>3.234089430431829E-3</v>
      </c>
      <c r="J84" s="193">
        <f ca="1"/>
        <v>5.0793859806228369E-3</v>
      </c>
    </row>
    <row r="85" spans="5:10" x14ac:dyDescent="0.25">
      <c r="E85" s="192">
        <f ca="1"/>
        <v>51475</v>
      </c>
      <c r="F85" s="193">
        <f ca="1"/>
        <v>2.4560157697196203E-3</v>
      </c>
      <c r="G85" s="193">
        <f ca="1"/>
        <v>2.9099248404418237E-3</v>
      </c>
      <c r="H85" s="193">
        <f ca="1"/>
        <v>3.3636237719252703E-3</v>
      </c>
      <c r="I85" s="193">
        <f ca="1"/>
        <v>3.1140757491785031E-3</v>
      </c>
      <c r="J85" s="193">
        <f ca="1"/>
        <v>4.9592665671251059E-3</v>
      </c>
    </row>
    <row r="86" spans="5:10" x14ac:dyDescent="0.25">
      <c r="E86" s="192">
        <f ca="1"/>
        <v>51565</v>
      </c>
      <c r="F86" s="193">
        <f ca="1"/>
        <v>2.34506643743806E-3</v>
      </c>
      <c r="G86" s="193">
        <f ca="1"/>
        <v>2.7933585163540634E-3</v>
      </c>
      <c r="H86" s="193">
        <f ca="1"/>
        <v>3.2454731795859932E-3</v>
      </c>
      <c r="I86" s="193">
        <f ca="1"/>
        <v>2.9923242510263362E-3</v>
      </c>
      <c r="J86" s="193">
        <f ca="1"/>
        <v>4.8380261037148107E-3</v>
      </c>
    </row>
    <row r="87" spans="5:10" x14ac:dyDescent="0.25">
      <c r="E87" s="192">
        <f ca="1"/>
        <v>51657</v>
      </c>
      <c r="F87" s="193">
        <f ca="1"/>
        <v>2.2288494933697333E-3</v>
      </c>
      <c r="G87" s="193">
        <f ca="1"/>
        <v>2.6717150609293608E-3</v>
      </c>
      <c r="H87" s="193">
        <f ca="1"/>
        <v>3.1228669158288066E-3</v>
      </c>
      <c r="I87" s="193">
        <f ca="1"/>
        <v>2.865339260874236E-3</v>
      </c>
      <c r="J87" s="193">
        <f ca="1"/>
        <v>4.711687276267737E-3</v>
      </c>
    </row>
    <row r="88" spans="5:10" x14ac:dyDescent="0.25">
      <c r="E88" s="192">
        <f ca="1"/>
        <v>51749</v>
      </c>
      <c r="F88" s="193">
        <f ca="1"/>
        <v>2.1099193236545494E-3</v>
      </c>
      <c r="G88" s="193">
        <f ca="1"/>
        <v>2.5478272500730555E-3</v>
      </c>
      <c r="H88" s="193">
        <f ca="1"/>
        <v>2.998572843120318E-3</v>
      </c>
      <c r="I88" s="193">
        <f ca="1"/>
        <v>2.7363583899653312E-3</v>
      </c>
      <c r="J88" s="193">
        <f ca="1"/>
        <v>4.5829990037686962E-3</v>
      </c>
    </row>
    <row r="89" spans="5:10" x14ac:dyDescent="0.25">
      <c r="E89" s="192">
        <f ca="1"/>
        <v>51840</v>
      </c>
      <c r="F89" s="193">
        <f ca="1"/>
        <v>1.9897313072379697E-3</v>
      </c>
      <c r="G89" s="193">
        <f ca="1"/>
        <v>2.4220570482395586E-3</v>
      </c>
      <c r="H89" s="193">
        <f ca="1"/>
        <v>2.8726306831666644E-3</v>
      </c>
      <c r="I89" s="193">
        <f ca="1"/>
        <v>2.606166091560687E-3</v>
      </c>
      <c r="J89" s="193">
        <f ca="1"/>
        <v>4.4533614624663424E-3</v>
      </c>
    </row>
    <row r="90" spans="5:10" x14ac:dyDescent="0.25">
      <c r="E90" s="192">
        <f ca="1"/>
        <v>51930</v>
      </c>
      <c r="F90" s="193">
        <f ca="1"/>
        <v>1.8684840317382413E-3</v>
      </c>
      <c r="G90" s="193">
        <f ca="1"/>
        <v>2.2959589528681983E-3</v>
      </c>
      <c r="H90" s="193">
        <f ca="1"/>
        <v>2.7449945384378184E-3</v>
      </c>
      <c r="I90" s="193">
        <f ca="1"/>
        <v>2.4741600636159801E-3</v>
      </c>
      <c r="J90" s="193">
        <f ca="1"/>
        <v>4.322782338759136E-3</v>
      </c>
    </row>
    <row r="91" spans="5:10" x14ac:dyDescent="0.25">
      <c r="E91" s="192">
        <f ca="1"/>
        <v>52022</v>
      </c>
      <c r="F91" s="193">
        <f ca="1"/>
        <v>1.7422139343178946E-3</v>
      </c>
      <c r="G91" s="193">
        <f ca="1"/>
        <v>2.1650330164434449E-3</v>
      </c>
      <c r="H91" s="193">
        <f ca="1"/>
        <v>2.6127765609762783E-3</v>
      </c>
      <c r="I91" s="193">
        <f ca="1"/>
        <v>2.3365616282832471E-3</v>
      </c>
      <c r="J91" s="193">
        <f ca="1"/>
        <v>4.1867981059958781E-3</v>
      </c>
    </row>
    <row r="92" spans="5:10" x14ac:dyDescent="0.25">
      <c r="E92" s="192">
        <f ca="1"/>
        <v>52114</v>
      </c>
      <c r="F92" s="193">
        <f ca="1"/>
        <v>1.6123085412634659E-3</v>
      </c>
      <c r="G92" s="193">
        <f ca="1"/>
        <v>2.0312698186409979E-3</v>
      </c>
      <c r="H92" s="193">
        <f ca="1"/>
        <v>2.4788743019864426E-3</v>
      </c>
      <c r="I92" s="193">
        <f ca="1"/>
        <v>2.1970462478166819E-3</v>
      </c>
      <c r="J92" s="193">
        <f ca="1"/>
        <v>4.048237888929657E-3</v>
      </c>
    </row>
    <row r="93" spans="5:10" x14ac:dyDescent="0.25">
      <c r="E93" s="192">
        <f ca="1"/>
        <v>52205</v>
      </c>
      <c r="F93" s="193">
        <f ca="1"/>
        <v>1.4830990234316621E-3</v>
      </c>
      <c r="G93" s="193">
        <f ca="1"/>
        <v>1.8958787605078222E-3</v>
      </c>
      <c r="H93" s="193">
        <f ca="1"/>
        <v>2.3441809137702985E-3</v>
      </c>
      <c r="I93" s="193">
        <f ca="1"/>
        <v>2.056514618906657E-3</v>
      </c>
      <c r="J93" s="193">
        <f ca="1"/>
        <v>3.90872608184239E-3</v>
      </c>
    </row>
  </sheetData>
  <dataValidations count="1">
    <dataValidation type="list" allowBlank="1" showInputMessage="1" showErrorMessage="1" sqref="C11">
      <formula1>"QUARTERLY,MONTHLY"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9" tint="-0.499984740745262"/>
  </sheetPr>
  <dimension ref="A1:T82"/>
  <sheetViews>
    <sheetView showGridLines="0" topLeftCell="E1" workbookViewId="0">
      <selection activeCell="E1" sqref="E1"/>
    </sheetView>
  </sheetViews>
  <sheetFormatPr defaultRowHeight="15" outlineLevelCol="1" x14ac:dyDescent="0.25"/>
  <cols>
    <col min="1" max="1" width="4.7109375" hidden="1" customWidth="1" outlineLevel="1"/>
    <col min="2" max="2" width="20.7109375" hidden="1" customWidth="1" outlineLevel="1"/>
    <col min="3" max="3" width="12.7109375" hidden="1" customWidth="1" outlineLevel="1"/>
    <col min="4" max="4" width="20.7109375" hidden="1" customWidth="1" outlineLevel="1"/>
    <col min="5" max="5" width="4.7109375" customWidth="1" collapsed="1"/>
    <col min="6" max="7" width="12.7109375" customWidth="1"/>
    <col min="8" max="8" width="17.7109375" customWidth="1"/>
    <col min="9" max="12" width="12.7109375" customWidth="1"/>
    <col min="13" max="13" width="4.7109375" style="131" customWidth="1"/>
    <col min="14" max="14" width="22.42578125" bestFit="1" customWidth="1"/>
    <col min="15" max="16" width="15.7109375" customWidth="1"/>
    <col min="17" max="17" width="4.7109375" customWidth="1"/>
    <col min="19" max="19" width="9.85546875" bestFit="1" customWidth="1"/>
    <col min="20" max="20" width="13.140625" bestFit="1" customWidth="1"/>
  </cols>
  <sheetData>
    <row r="1" spans="2:20" x14ac:dyDescent="0.25">
      <c r="E1" s="53" t="s">
        <v>230</v>
      </c>
    </row>
    <row r="3" spans="2:20" x14ac:dyDescent="0.25">
      <c r="B3" s="122" t="s">
        <v>189</v>
      </c>
      <c r="C3" s="122"/>
      <c r="F3" s="182" t="s">
        <v>196</v>
      </c>
      <c r="N3" s="122" t="s">
        <v>188</v>
      </c>
      <c r="R3" s="122" t="s">
        <v>187</v>
      </c>
    </row>
    <row r="4" spans="2:20" x14ac:dyDescent="0.25">
      <c r="D4" s="181" t="s">
        <v>186</v>
      </c>
      <c r="H4" s="181" t="s">
        <v>185</v>
      </c>
      <c r="P4" s="190"/>
    </row>
    <row r="5" spans="2:20" x14ac:dyDescent="0.25">
      <c r="B5" s="120" t="s">
        <v>183</v>
      </c>
      <c r="C5" s="120" t="s">
        <v>72</v>
      </c>
      <c r="D5" s="176" t="s">
        <v>184</v>
      </c>
      <c r="E5" s="176"/>
      <c r="F5" s="176" t="s">
        <v>183</v>
      </c>
      <c r="G5" s="120" t="s">
        <v>182</v>
      </c>
      <c r="H5" s="120" t="s">
        <v>181</v>
      </c>
      <c r="I5" s="120" t="s">
        <v>180</v>
      </c>
      <c r="J5" s="120" t="s">
        <v>179</v>
      </c>
      <c r="K5" s="120" t="s">
        <v>195</v>
      </c>
      <c r="L5" s="120" t="s">
        <v>175</v>
      </c>
      <c r="N5" s="120" t="s">
        <v>176</v>
      </c>
      <c r="O5" s="120" t="s">
        <v>13</v>
      </c>
      <c r="P5" s="120" t="s">
        <v>190</v>
      </c>
      <c r="R5" s="120" t="s">
        <v>5</v>
      </c>
      <c r="S5" s="120" t="s">
        <v>6</v>
      </c>
      <c r="T5" s="180" t="s">
        <v>174</v>
      </c>
    </row>
    <row r="6" spans="2:20" x14ac:dyDescent="0.25">
      <c r="B6" s="179">
        <f ca="1">_xll.meDateFromTenor(AsOfDate,F6,"MOD_FOLLOWING",$C6,"")</f>
        <v>43991</v>
      </c>
      <c r="C6" s="178" t="str">
        <f>VLOOKUP("PAYMENTCALENDAR",_xll.meLWOSwapGeneratorDisplay($H6),2,FALSE)</f>
        <v>TGT</v>
      </c>
      <c r="D6" s="177">
        <f ca="1">_xll.meDateFromTenor(B6,G6,)</f>
        <v>44721</v>
      </c>
      <c r="E6" s="176"/>
      <c r="F6" s="175" t="s">
        <v>44</v>
      </c>
      <c r="G6" s="174" t="str">
        <f t="shared" ref="G6:G20" si="0">R6</f>
        <v>2Y</v>
      </c>
      <c r="H6" s="173" t="str">
        <f t="shared" ref="H6:H20" si="1">Template.Swap.EUR.6M</f>
        <v>EUR_SWAP_6ML:1</v>
      </c>
      <c r="I6" s="172" t="s">
        <v>173</v>
      </c>
      <c r="J6" s="171">
        <v>1000000</v>
      </c>
      <c r="K6" s="170">
        <v>0.01</v>
      </c>
      <c r="L6" s="169">
        <v>0</v>
      </c>
      <c r="N6" s="168" t="str">
        <f ca="1">_xll.meLWOSwapCreateFromGenerator("EUR6M_"&amp;G6,H6,I6,J6,B6,D6,K6,L6)</f>
        <v>EUR6M_2Y:1</v>
      </c>
      <c r="O6" s="167" t="s">
        <v>14</v>
      </c>
      <c r="P6" s="189">
        <f ca="1">_xll.meLWOSwapParRate(N6,O6)</f>
        <v>-3.0999999999953066E-3</v>
      </c>
      <c r="R6" s="166" t="str">
        <f>'EUR SWAP 6M'!L6</f>
        <v>2Y</v>
      </c>
      <c r="S6" s="188">
        <f>'EUR SWAP 6M'!M6</f>
        <v>-3.0999999999999999E-3</v>
      </c>
      <c r="T6" s="164">
        <f t="shared" ref="T6:T20" ca="1" si="2">ABS(P6-S6)*100000</f>
        <v>4.6932943642552516E-10</v>
      </c>
    </row>
    <row r="7" spans="2:20" x14ac:dyDescent="0.25">
      <c r="B7" s="163">
        <f ca="1">_xll.meDateFromTenor(AsOfDate,F7,"MOD_FOLLOWING",$C7,"")</f>
        <v>43991</v>
      </c>
      <c r="C7" s="162" t="str">
        <f t="shared" ref="C7:C20" si="3">C6</f>
        <v>TGT</v>
      </c>
      <c r="D7" s="161">
        <f ca="1">_xll.meDateFromTenor(B7,G7,)</f>
        <v>45086</v>
      </c>
      <c r="F7" s="160" t="s">
        <v>44</v>
      </c>
      <c r="G7" s="159" t="str">
        <f t="shared" si="0"/>
        <v>3Y</v>
      </c>
      <c r="H7" s="158" t="str">
        <f t="shared" si="1"/>
        <v>EUR_SWAP_6ML:1</v>
      </c>
      <c r="I7" s="157" t="s">
        <v>173</v>
      </c>
      <c r="J7" s="156">
        <v>1000000</v>
      </c>
      <c r="K7" s="155">
        <v>0.01</v>
      </c>
      <c r="L7" s="154">
        <v>0</v>
      </c>
      <c r="N7" s="153" t="str">
        <f ca="1">_xll.meLWOSwapCreateFromGenerator("EUR6M_"&amp;G7,H7,I7,J7,B7,D7,K7,L7)</f>
        <v>EUR6M_3Y:1</v>
      </c>
      <c r="O7" s="152" t="s">
        <v>14</v>
      </c>
      <c r="P7" s="187">
        <f ca="1">_xll.meLWOSwapParRate(N7,O7)</f>
        <v>-2.9399999999963639E-3</v>
      </c>
      <c r="R7" s="150" t="str">
        <f>'EUR SWAP 6M'!L7</f>
        <v>3Y</v>
      </c>
      <c r="S7" s="186">
        <f>'EUR SWAP 6M'!M7</f>
        <v>-2.9399999999999999E-3</v>
      </c>
      <c r="T7" s="148">
        <f t="shared" ca="1" si="2"/>
        <v>3.6359804056473877E-10</v>
      </c>
    </row>
    <row r="8" spans="2:20" x14ac:dyDescent="0.25">
      <c r="B8" s="163">
        <f ca="1">_xll.meDateFromTenor(AsOfDate,F8,"MOD_FOLLOWING",$C8,"")</f>
        <v>43991</v>
      </c>
      <c r="C8" s="162" t="str">
        <f t="shared" si="3"/>
        <v>TGT</v>
      </c>
      <c r="D8" s="161">
        <f ca="1">_xll.meDateFromTenor(B8,G8,)</f>
        <v>45452</v>
      </c>
      <c r="F8" s="160" t="s">
        <v>44</v>
      </c>
      <c r="G8" s="159" t="str">
        <f t="shared" si="0"/>
        <v>4Y</v>
      </c>
      <c r="H8" s="158" t="str">
        <f t="shared" si="1"/>
        <v>EUR_SWAP_6ML:1</v>
      </c>
      <c r="I8" s="157" t="s">
        <v>173</v>
      </c>
      <c r="J8" s="156">
        <v>1000000</v>
      </c>
      <c r="K8" s="155">
        <v>0.01</v>
      </c>
      <c r="L8" s="154">
        <v>0</v>
      </c>
      <c r="N8" s="153" t="str">
        <f ca="1">_xll.meLWOSwapCreateFromGenerator("EUR6M_"&amp;G8,H8,I8,J8,B8,D8,K8,L8)</f>
        <v>EUR6M_4Y:1</v>
      </c>
      <c r="O8" s="152" t="s">
        <v>14</v>
      </c>
      <c r="P8" s="187">
        <f ca="1">_xll.meLWOSwapParRate(N8,O8)</f>
        <v>-2.739999999995241E-3</v>
      </c>
      <c r="R8" s="150" t="str">
        <f>'EUR SWAP 6M'!L8</f>
        <v>4Y</v>
      </c>
      <c r="S8" s="186">
        <f>'EUR SWAP 6M'!M8</f>
        <v>-2.7400000000000002E-3</v>
      </c>
      <c r="T8" s="148">
        <f t="shared" ca="1" si="2"/>
        <v>4.7592138563423703E-10</v>
      </c>
    </row>
    <row r="9" spans="2:20" x14ac:dyDescent="0.25">
      <c r="B9" s="163">
        <f ca="1">_xll.meDateFromTenor(AsOfDate,F9,"MOD_FOLLOWING",$C9,"")</f>
        <v>43991</v>
      </c>
      <c r="C9" s="162" t="str">
        <f t="shared" si="3"/>
        <v>TGT</v>
      </c>
      <c r="D9" s="161">
        <f ca="1">_xll.meDateFromTenor(B9,G9,)</f>
        <v>45817</v>
      </c>
      <c r="F9" s="160" t="s">
        <v>44</v>
      </c>
      <c r="G9" s="159" t="str">
        <f t="shared" si="0"/>
        <v>5Y</v>
      </c>
      <c r="H9" s="158" t="str">
        <f t="shared" si="1"/>
        <v>EUR_SWAP_6ML:1</v>
      </c>
      <c r="I9" s="157" t="s">
        <v>173</v>
      </c>
      <c r="J9" s="156">
        <v>1000000</v>
      </c>
      <c r="K9" s="155">
        <v>0.01</v>
      </c>
      <c r="L9" s="154">
        <v>0</v>
      </c>
      <c r="N9" s="153" t="str">
        <f ca="1">_xll.meLWOSwapCreateFromGenerator("EUR6M_"&amp;G9,H9,I9,J9,B9,D9,K9,L9)</f>
        <v>EUR6M_5Y:1</v>
      </c>
      <c r="O9" s="152" t="s">
        <v>14</v>
      </c>
      <c r="P9" s="187">
        <f ca="1">_xll.meLWOSwapParRate(N9,O9)</f>
        <v>-2.4400000000000467E-3</v>
      </c>
      <c r="R9" s="150" t="str">
        <f>'EUR SWAP 6M'!L9</f>
        <v>5Y</v>
      </c>
      <c r="S9" s="186">
        <f>'EUR SWAP 6M'!M9</f>
        <v>-2.4399999999999999E-3</v>
      </c>
      <c r="T9" s="148">
        <f t="shared" ca="1" si="2"/>
        <v>4.6837533851373792E-12</v>
      </c>
    </row>
    <row r="10" spans="2:20" x14ac:dyDescent="0.25">
      <c r="B10" s="163">
        <f ca="1">_xll.meDateFromTenor(AsOfDate,F10,"MOD_FOLLOWING",$C10,"")</f>
        <v>43991</v>
      </c>
      <c r="C10" s="162" t="str">
        <f t="shared" si="3"/>
        <v>TGT</v>
      </c>
      <c r="D10" s="161">
        <f ca="1">_xll.meDateFromTenor(B10,G10,)</f>
        <v>46182</v>
      </c>
      <c r="F10" s="160" t="s">
        <v>44</v>
      </c>
      <c r="G10" s="159" t="str">
        <f t="shared" si="0"/>
        <v>6Y</v>
      </c>
      <c r="H10" s="158" t="str">
        <f t="shared" si="1"/>
        <v>EUR_SWAP_6ML:1</v>
      </c>
      <c r="I10" s="157" t="s">
        <v>173</v>
      </c>
      <c r="J10" s="156">
        <v>1000000</v>
      </c>
      <c r="K10" s="155">
        <v>0.01</v>
      </c>
      <c r="L10" s="154">
        <v>0</v>
      </c>
      <c r="N10" s="153" t="str">
        <f ca="1">_xll.meLWOSwapCreateFromGenerator("EUR6M_"&amp;G10,H10,I10,J10,B10,D10,K10,L10)</f>
        <v>EUR6M_6Y:1</v>
      </c>
      <c r="O10" s="152" t="s">
        <v>14</v>
      </c>
      <c r="P10" s="187">
        <f ca="1">_xll.meLWOSwapParRate(N10,O10)</f>
        <v>-2.0600000000005171E-3</v>
      </c>
      <c r="R10" s="150" t="str">
        <f>'EUR SWAP 6M'!L10</f>
        <v>6Y</v>
      </c>
      <c r="S10" s="186">
        <f>'EUR SWAP 6M'!M10</f>
        <v>-2.0599999999999998E-3</v>
      </c>
      <c r="T10" s="148">
        <f t="shared" ca="1" si="2"/>
        <v>5.1738127671008272E-11</v>
      </c>
    </row>
    <row r="11" spans="2:20" x14ac:dyDescent="0.25">
      <c r="B11" s="163">
        <f ca="1">_xll.meDateFromTenor(AsOfDate,F11,"MOD_FOLLOWING",$C11,"")</f>
        <v>43991</v>
      </c>
      <c r="C11" s="162" t="str">
        <f t="shared" si="3"/>
        <v>TGT</v>
      </c>
      <c r="D11" s="161">
        <f ca="1">_xll.meDateFromTenor(B11,G11,)</f>
        <v>46547</v>
      </c>
      <c r="F11" s="160" t="s">
        <v>44</v>
      </c>
      <c r="G11" s="159" t="str">
        <f t="shared" si="0"/>
        <v>7Y</v>
      </c>
      <c r="H11" s="158" t="str">
        <f t="shared" si="1"/>
        <v>EUR_SWAP_6ML:1</v>
      </c>
      <c r="I11" s="157" t="s">
        <v>173</v>
      </c>
      <c r="J11" s="156">
        <v>1000000</v>
      </c>
      <c r="K11" s="155">
        <v>0.01</v>
      </c>
      <c r="L11" s="154">
        <v>0</v>
      </c>
      <c r="N11" s="153" t="str">
        <f ca="1">_xll.meLWOSwapCreateFromGenerator("EUR6M_"&amp;G11,H11,I11,J11,B11,D11,K11,L11)</f>
        <v>EUR6M_7Y:1</v>
      </c>
      <c r="O11" s="152" t="s">
        <v>14</v>
      </c>
      <c r="P11" s="187">
        <f ca="1">_xll.meLWOSwapParRate(N11,O11)</f>
        <v>-1.6399999999981319E-3</v>
      </c>
      <c r="R11" s="150" t="str">
        <f>'EUR SWAP 6M'!L11</f>
        <v>7Y</v>
      </c>
      <c r="S11" s="186">
        <f>'EUR SWAP 6M'!M11</f>
        <v>-1.64E-3</v>
      </c>
      <c r="T11" s="148">
        <f t="shared" ca="1" si="2"/>
        <v>1.8680803431925241E-10</v>
      </c>
    </row>
    <row r="12" spans="2:20" x14ac:dyDescent="0.25">
      <c r="B12" s="163">
        <f ca="1">_xll.meDateFromTenor(AsOfDate,F12,"MOD_FOLLOWING",$C12,"")</f>
        <v>43991</v>
      </c>
      <c r="C12" s="162" t="str">
        <f t="shared" si="3"/>
        <v>TGT</v>
      </c>
      <c r="D12" s="161">
        <f ca="1">_xll.meDateFromTenor(B12,G12,)</f>
        <v>46913</v>
      </c>
      <c r="F12" s="160" t="s">
        <v>44</v>
      </c>
      <c r="G12" s="159" t="str">
        <f t="shared" si="0"/>
        <v>8Y</v>
      </c>
      <c r="H12" s="158" t="str">
        <f t="shared" si="1"/>
        <v>EUR_SWAP_6ML:1</v>
      </c>
      <c r="I12" s="157" t="s">
        <v>173</v>
      </c>
      <c r="J12" s="156">
        <v>1000000</v>
      </c>
      <c r="K12" s="155">
        <v>0.01</v>
      </c>
      <c r="L12" s="154">
        <v>0</v>
      </c>
      <c r="N12" s="153" t="str">
        <f ca="1">_xll.meLWOSwapCreateFromGenerator("EUR6M_"&amp;G12,H12,I12,J12,B12,D12,K12,L12)</f>
        <v>EUR6M_8Y:1</v>
      </c>
      <c r="O12" s="152" t="s">
        <v>14</v>
      </c>
      <c r="P12" s="187">
        <f ca="1">_xll.meLWOSwapParRate(N12,O12)</f>
        <v>-1.2100000000021631E-3</v>
      </c>
      <c r="R12" s="150" t="str">
        <f>'EUR SWAP 6M'!L12</f>
        <v>8Y</v>
      </c>
      <c r="S12" s="186">
        <f>'EUR SWAP 6M'!M12</f>
        <v>-1.2099999999999999E-3</v>
      </c>
      <c r="T12" s="148">
        <f t="shared" ca="1" si="2"/>
        <v>2.1632001745430784E-10</v>
      </c>
    </row>
    <row r="13" spans="2:20" x14ac:dyDescent="0.25">
      <c r="B13" s="163">
        <f ca="1">_xll.meDateFromTenor(AsOfDate,F13,"MOD_FOLLOWING",$C13,"")</f>
        <v>43991</v>
      </c>
      <c r="C13" s="162" t="str">
        <f t="shared" si="3"/>
        <v>TGT</v>
      </c>
      <c r="D13" s="161">
        <f ca="1">_xll.meDateFromTenor(B13,G13,)</f>
        <v>47278</v>
      </c>
      <c r="F13" s="160" t="s">
        <v>44</v>
      </c>
      <c r="G13" s="159" t="str">
        <f t="shared" si="0"/>
        <v>9Y</v>
      </c>
      <c r="H13" s="158" t="str">
        <f t="shared" si="1"/>
        <v>EUR_SWAP_6ML:1</v>
      </c>
      <c r="I13" s="157" t="s">
        <v>173</v>
      </c>
      <c r="J13" s="156">
        <v>1000000</v>
      </c>
      <c r="K13" s="155">
        <v>0.01</v>
      </c>
      <c r="L13" s="154">
        <v>0</v>
      </c>
      <c r="N13" s="153" t="str">
        <f ca="1">_xll.meLWOSwapCreateFromGenerator("EUR6M_"&amp;G13,H13,I13,J13,B13,D13,K13,L13)</f>
        <v>EUR6M_9Y:1</v>
      </c>
      <c r="O13" s="152" t="s">
        <v>14</v>
      </c>
      <c r="P13" s="187">
        <f ca="1">_xll.meLWOSwapParRate(N13,O13)</f>
        <v>-7.7000000000401389E-4</v>
      </c>
      <c r="R13" s="150" t="str">
        <f>'EUR SWAP 6M'!L13</f>
        <v>9Y</v>
      </c>
      <c r="S13" s="186">
        <f>'EUR SWAP 6M'!M13</f>
        <v>-7.6999999999999996E-4</v>
      </c>
      <c r="T13" s="148">
        <f t="shared" ca="1" si="2"/>
        <v>4.0139332829758345E-10</v>
      </c>
    </row>
    <row r="14" spans="2:20" x14ac:dyDescent="0.25">
      <c r="B14" s="163">
        <f ca="1">_xll.meDateFromTenor(AsOfDate,F14,"MOD_FOLLOWING",$C14,"")</f>
        <v>43991</v>
      </c>
      <c r="C14" s="162" t="str">
        <f t="shared" si="3"/>
        <v>TGT</v>
      </c>
      <c r="D14" s="161">
        <f ca="1">_xll.meDateFromTenor(B14,G14,)</f>
        <v>47643</v>
      </c>
      <c r="F14" s="160" t="s">
        <v>44</v>
      </c>
      <c r="G14" s="159" t="str">
        <f t="shared" si="0"/>
        <v>10Y</v>
      </c>
      <c r="H14" s="158" t="str">
        <f t="shared" si="1"/>
        <v>EUR_SWAP_6ML:1</v>
      </c>
      <c r="I14" s="157" t="s">
        <v>173</v>
      </c>
      <c r="J14" s="156">
        <v>1000000</v>
      </c>
      <c r="K14" s="155">
        <v>0.01</v>
      </c>
      <c r="L14" s="154">
        <v>0</v>
      </c>
      <c r="N14" s="153" t="str">
        <f ca="1">_xll.meLWOSwapCreateFromGenerator("EUR6M_"&amp;G14,H14,I14,J14,B14,D14,K14,L14)</f>
        <v>EUR6M_10Y:1</v>
      </c>
      <c r="O14" s="152" t="s">
        <v>14</v>
      </c>
      <c r="P14" s="187">
        <f ca="1">_xll.meLWOSwapParRate(N14,O14)</f>
        <v>-3.4000000000637188E-4</v>
      </c>
      <c r="R14" s="150" t="str">
        <f>'EUR SWAP 6M'!L14</f>
        <v>10Y</v>
      </c>
      <c r="S14" s="186">
        <f>'EUR SWAP 6M'!M14</f>
        <v>-3.4000000000000002E-4</v>
      </c>
      <c r="T14" s="148">
        <f t="shared" ca="1" si="2"/>
        <v>6.3718561676973096E-10</v>
      </c>
    </row>
    <row r="15" spans="2:20" x14ac:dyDescent="0.25">
      <c r="B15" s="163">
        <f ca="1">_xll.meDateFromTenor(AsOfDate,F15,"MOD_FOLLOWING",$C15,"")</f>
        <v>43991</v>
      </c>
      <c r="C15" s="162" t="str">
        <f t="shared" si="3"/>
        <v>TGT</v>
      </c>
      <c r="D15" s="161">
        <f ca="1">_xll.meDateFromTenor(B15,G15,)</f>
        <v>48008</v>
      </c>
      <c r="F15" s="160" t="s">
        <v>44</v>
      </c>
      <c r="G15" s="159" t="str">
        <f t="shared" si="0"/>
        <v>11Y</v>
      </c>
      <c r="H15" s="158" t="str">
        <f t="shared" si="1"/>
        <v>EUR_SWAP_6ML:1</v>
      </c>
      <c r="I15" s="157" t="s">
        <v>173</v>
      </c>
      <c r="J15" s="156">
        <v>1000000</v>
      </c>
      <c r="K15" s="155">
        <v>0.01</v>
      </c>
      <c r="L15" s="154">
        <v>0</v>
      </c>
      <c r="N15" s="153" t="str">
        <f ca="1">_xll.meLWOSwapCreateFromGenerator("EUR6M_"&amp;G15,H15,I15,J15,B15,D15,K15,L15)</f>
        <v>EUR6M_11Y:1</v>
      </c>
      <c r="O15" s="152" t="s">
        <v>14</v>
      </c>
      <c r="P15" s="187">
        <f ca="1">_xll.meLWOSwapParRate(N15,O15)</f>
        <v>5.9999999989982217E-5</v>
      </c>
      <c r="R15" s="150" t="str">
        <f>'EUR SWAP 6M'!L15</f>
        <v>11Y</v>
      </c>
      <c r="S15" s="186">
        <f>'EUR SWAP 6M'!M15</f>
        <v>6.0000000000000002E-5</v>
      </c>
      <c r="T15" s="148">
        <f t="shared" ca="1" si="2"/>
        <v>1.0017784128277252E-9</v>
      </c>
    </row>
    <row r="16" spans="2:20" x14ac:dyDescent="0.25">
      <c r="B16" s="163">
        <f ca="1">_xll.meDateFromTenor(AsOfDate,F16,"MOD_FOLLOWING",$C16,"")</f>
        <v>43991</v>
      </c>
      <c r="C16" s="162" t="str">
        <f t="shared" si="3"/>
        <v>TGT</v>
      </c>
      <c r="D16" s="161">
        <f ca="1">_xll.meDateFromTenor(B16,G16,)</f>
        <v>48374</v>
      </c>
      <c r="F16" s="160" t="s">
        <v>44</v>
      </c>
      <c r="G16" s="159" t="str">
        <f t="shared" si="0"/>
        <v>12Y</v>
      </c>
      <c r="H16" s="158" t="str">
        <f t="shared" si="1"/>
        <v>EUR_SWAP_6ML:1</v>
      </c>
      <c r="I16" s="157" t="s">
        <v>173</v>
      </c>
      <c r="J16" s="156">
        <v>1000000</v>
      </c>
      <c r="K16" s="155">
        <v>0.01</v>
      </c>
      <c r="L16" s="154">
        <v>0</v>
      </c>
      <c r="N16" s="153" t="str">
        <f ca="1">_xll.meLWOSwapCreateFromGenerator("EUR6M_"&amp;G16,H16,I16,J16,B16,D16,K16,L16)</f>
        <v>EUR6M_12Y:1</v>
      </c>
      <c r="O16" s="152" t="s">
        <v>14</v>
      </c>
      <c r="P16" s="187">
        <f ca="1">_xll.meLWOSwapParRate(N16,O16)</f>
        <v>4.5999999998894598E-4</v>
      </c>
      <c r="R16" s="150" t="str">
        <f>'EUR SWAP 6M'!L16</f>
        <v>12Y</v>
      </c>
      <c r="S16" s="186">
        <f>'EUR SWAP 6M'!M16</f>
        <v>4.6000000000000001E-4</v>
      </c>
      <c r="T16" s="148">
        <f t="shared" ca="1" si="2"/>
        <v>1.1054037459684585E-9</v>
      </c>
    </row>
    <row r="17" spans="2:20" x14ac:dyDescent="0.25">
      <c r="B17" s="163">
        <f ca="1">_xll.meDateFromTenor(AsOfDate,F17,"MOD_FOLLOWING",$C17,"")</f>
        <v>43991</v>
      </c>
      <c r="C17" s="162" t="str">
        <f t="shared" si="3"/>
        <v>TGT</v>
      </c>
      <c r="D17" s="161">
        <f ca="1">_xll.meDateFromTenor(B17,G17,)</f>
        <v>49469</v>
      </c>
      <c r="F17" s="160" t="s">
        <v>44</v>
      </c>
      <c r="G17" s="159" t="str">
        <f t="shared" si="0"/>
        <v>15Y</v>
      </c>
      <c r="H17" s="158" t="str">
        <f t="shared" si="1"/>
        <v>EUR_SWAP_6ML:1</v>
      </c>
      <c r="I17" s="157" t="s">
        <v>173</v>
      </c>
      <c r="J17" s="156">
        <v>1000000</v>
      </c>
      <c r="K17" s="155">
        <v>0.01</v>
      </c>
      <c r="L17" s="154">
        <v>0</v>
      </c>
      <c r="N17" s="153" t="str">
        <f ca="1">_xll.meLWOSwapCreateFromGenerator("EUR6M_"&amp;G17,H17,I17,J17,B17,D17,K17,L17)</f>
        <v>EUR6M_15Y:1</v>
      </c>
      <c r="O17" s="152" t="s">
        <v>14</v>
      </c>
      <c r="P17" s="187">
        <f ca="1">_xll.meLWOSwapParRate(N17,O17)</f>
        <v>1.4299999999936466E-3</v>
      </c>
      <c r="R17" s="150" t="str">
        <f>'EUR SWAP 6M'!L17</f>
        <v>15Y</v>
      </c>
      <c r="S17" s="186">
        <f>'EUR SWAP 6M'!M17</f>
        <v>1.4299999999999998E-3</v>
      </c>
      <c r="T17" s="148">
        <f t="shared" ca="1" si="2"/>
        <v>6.3532078903305589E-10</v>
      </c>
    </row>
    <row r="18" spans="2:20" x14ac:dyDescent="0.25">
      <c r="B18" s="163">
        <f ca="1">_xll.meDateFromTenor(AsOfDate,F18,"MOD_FOLLOWING",$C18,"")</f>
        <v>43991</v>
      </c>
      <c r="C18" s="162" t="str">
        <f t="shared" si="3"/>
        <v>TGT</v>
      </c>
      <c r="D18" s="161">
        <f ca="1">_xll.meDateFromTenor(B18,G18,)</f>
        <v>51296</v>
      </c>
      <c r="F18" s="160" t="s">
        <v>44</v>
      </c>
      <c r="G18" s="159" t="str">
        <f t="shared" si="0"/>
        <v>20Y</v>
      </c>
      <c r="H18" s="158" t="str">
        <f t="shared" si="1"/>
        <v>EUR_SWAP_6ML:1</v>
      </c>
      <c r="I18" s="157" t="s">
        <v>173</v>
      </c>
      <c r="J18" s="156">
        <v>1000000</v>
      </c>
      <c r="K18" s="155">
        <v>0.01</v>
      </c>
      <c r="L18" s="154">
        <v>0</v>
      </c>
      <c r="N18" s="153" t="str">
        <f ca="1">_xll.meLWOSwapCreateFromGenerator("EUR6M_"&amp;G18,H18,I18,J18,B18,D18,K18,L18)</f>
        <v>EUR6M_20Y:1</v>
      </c>
      <c r="O18" s="152" t="s">
        <v>14</v>
      </c>
      <c r="P18" s="187">
        <f ca="1">_xll.meLWOSwapParRate(N18,O18)</f>
        <v>2.1799999999995911E-3</v>
      </c>
      <c r="R18" s="150" t="str">
        <f>'EUR SWAP 6M'!L18</f>
        <v>20Y</v>
      </c>
      <c r="S18" s="186">
        <f>'EUR SWAP 6M'!M18</f>
        <v>2.1800000000000001E-3</v>
      </c>
      <c r="T18" s="148">
        <f t="shared" ca="1" si="2"/>
        <v>4.0896105946153227E-11</v>
      </c>
    </row>
    <row r="19" spans="2:20" x14ac:dyDescent="0.25">
      <c r="B19" s="163">
        <f ca="1">_xll.meDateFromTenor(AsOfDate,F19,"MOD_FOLLOWING",$C19,"")</f>
        <v>43991</v>
      </c>
      <c r="C19" s="162" t="str">
        <f t="shared" si="3"/>
        <v>TGT</v>
      </c>
      <c r="D19" s="161">
        <f ca="1">_xll.meDateFromTenor(B19,G19,)</f>
        <v>53122</v>
      </c>
      <c r="F19" s="160" t="s">
        <v>44</v>
      </c>
      <c r="G19" s="159" t="str">
        <f t="shared" si="0"/>
        <v>25Y</v>
      </c>
      <c r="H19" s="158" t="str">
        <f t="shared" si="1"/>
        <v>EUR_SWAP_6ML:1</v>
      </c>
      <c r="I19" s="157" t="s">
        <v>173</v>
      </c>
      <c r="J19" s="156">
        <v>1000000</v>
      </c>
      <c r="K19" s="155">
        <v>0.01</v>
      </c>
      <c r="L19" s="154">
        <v>0</v>
      </c>
      <c r="N19" s="153" t="str">
        <f ca="1">_xll.meLWOSwapCreateFromGenerator("EUR6M_"&amp;G19,H19,I19,J19,B19,D19,K19,L19)</f>
        <v>EUR6M_25Y:1</v>
      </c>
      <c r="O19" s="152" t="s">
        <v>14</v>
      </c>
      <c r="P19" s="187">
        <f ca="1">_xll.meLWOSwapParRate(N19,O19)</f>
        <v>2.1799999999994003E-3</v>
      </c>
      <c r="R19" s="150" t="str">
        <f>'EUR SWAP 6M'!L19</f>
        <v>25Y</v>
      </c>
      <c r="S19" s="186">
        <f>'EUR SWAP 6M'!M19</f>
        <v>2.1800000000000001E-3</v>
      </c>
      <c r="T19" s="148">
        <f t="shared" ca="1" si="2"/>
        <v>5.9978064181898105E-11</v>
      </c>
    </row>
    <row r="20" spans="2:20" x14ac:dyDescent="0.25">
      <c r="B20" s="147">
        <f ca="1">_xll.meDateFromTenor(AsOfDate,F20,"MOD_FOLLOWING",$C20,"")</f>
        <v>43991</v>
      </c>
      <c r="C20" s="146" t="str">
        <f t="shared" si="3"/>
        <v>TGT</v>
      </c>
      <c r="D20" s="145">
        <f ca="1">_xll.meDateFromTenor(B20,G20,)</f>
        <v>54948</v>
      </c>
      <c r="F20" s="144" t="s">
        <v>44</v>
      </c>
      <c r="G20" s="143" t="str">
        <f t="shared" si="0"/>
        <v>30Y</v>
      </c>
      <c r="H20" s="142" t="str">
        <f t="shared" si="1"/>
        <v>EUR_SWAP_6ML:1</v>
      </c>
      <c r="I20" s="141" t="s">
        <v>173</v>
      </c>
      <c r="J20" s="140">
        <v>1000000</v>
      </c>
      <c r="K20" s="139">
        <v>0.01</v>
      </c>
      <c r="L20" s="138">
        <v>0</v>
      </c>
      <c r="N20" s="137" t="str">
        <f ca="1">_xll.meLWOSwapCreateFromGenerator("EUR6M_"&amp;G20,H20,I20,J20,B20,D20,K20,L20)</f>
        <v>EUR6M_30Y:1</v>
      </c>
      <c r="O20" s="136" t="s">
        <v>14</v>
      </c>
      <c r="P20" s="185">
        <f ca="1">_xll.meLWOSwapParRate(N20,O20)</f>
        <v>1.8900000000003109E-3</v>
      </c>
      <c r="R20" s="134" t="str">
        <f>'EUR SWAP 6M'!L20</f>
        <v>30Y</v>
      </c>
      <c r="S20" s="184">
        <f>'EUR SWAP 6M'!M20</f>
        <v>1.89E-3</v>
      </c>
      <c r="T20" s="132">
        <f t="shared" ca="1" si="2"/>
        <v>3.1094918306884267E-11</v>
      </c>
    </row>
    <row r="21" spans="2:20" x14ac:dyDescent="0.25">
      <c r="O21" s="120"/>
    </row>
    <row r="23" spans="2:20" x14ac:dyDescent="0.25">
      <c r="B23" s="122" t="s">
        <v>189</v>
      </c>
      <c r="C23" s="122"/>
      <c r="F23" s="182" t="s">
        <v>191</v>
      </c>
      <c r="N23" s="122" t="s">
        <v>188</v>
      </c>
      <c r="R23" s="122" t="s">
        <v>187</v>
      </c>
    </row>
    <row r="24" spans="2:20" x14ac:dyDescent="0.25">
      <c r="D24" s="181" t="s">
        <v>186</v>
      </c>
      <c r="H24" s="181" t="s">
        <v>185</v>
      </c>
      <c r="P24" s="183"/>
    </row>
    <row r="25" spans="2:20" x14ac:dyDescent="0.25">
      <c r="B25" s="120" t="s">
        <v>183</v>
      </c>
      <c r="C25" s="120" t="s">
        <v>72</v>
      </c>
      <c r="D25" s="176" t="s">
        <v>184</v>
      </c>
      <c r="E25" s="176"/>
      <c r="F25" s="176" t="s">
        <v>183</v>
      </c>
      <c r="G25" s="120" t="s">
        <v>182</v>
      </c>
      <c r="H25" s="120" t="s">
        <v>181</v>
      </c>
      <c r="I25" s="120" t="s">
        <v>180</v>
      </c>
      <c r="J25" s="120" t="s">
        <v>179</v>
      </c>
      <c r="K25" s="120" t="s">
        <v>178</v>
      </c>
      <c r="L25" s="120" t="s">
        <v>177</v>
      </c>
      <c r="N25" s="120" t="s">
        <v>176</v>
      </c>
      <c r="O25" s="120" t="s">
        <v>13</v>
      </c>
      <c r="P25" s="120" t="s">
        <v>190</v>
      </c>
      <c r="R25" s="120" t="s">
        <v>5</v>
      </c>
      <c r="S25" s="120" t="s">
        <v>6</v>
      </c>
      <c r="T25" s="180" t="s">
        <v>174</v>
      </c>
    </row>
    <row r="26" spans="2:20" x14ac:dyDescent="0.25">
      <c r="B26" s="163">
        <f ca="1">_xll.meDateFromTenor(AsOfDate,F26,"MOD_FOLLOWING",$C26,"")</f>
        <v>43991</v>
      </c>
      <c r="C26" s="178" t="str">
        <f>VLOOKUP("PAYMENTCALENDAR",_xll.meLWOSwapGeneratorDisplay($H26),2,FALSE)</f>
        <v>TGT</v>
      </c>
      <c r="D26" s="177">
        <f ca="1">_xll.meDateFromTenor(B26,G26,)</f>
        <v>45086</v>
      </c>
      <c r="E26" s="176"/>
      <c r="F26" s="175" t="s">
        <v>44</v>
      </c>
      <c r="G26" s="174" t="str">
        <f t="shared" ref="G26:G39" si="4">R26</f>
        <v>3Y</v>
      </c>
      <c r="H26" s="173" t="str">
        <f t="shared" ref="H26:H39" si="5">Template.Swap.EUR.3M</f>
        <v>EUR_SWAP_3ML:1</v>
      </c>
      <c r="I26" s="172" t="s">
        <v>173</v>
      </c>
      <c r="J26" s="171">
        <v>1000000</v>
      </c>
      <c r="K26" s="170">
        <v>0</v>
      </c>
      <c r="L26" s="169">
        <v>0</v>
      </c>
      <c r="N26" s="168" t="str">
        <f ca="1">_xll.meLWOSwapCreateFromGenerator("EUR3M_"&amp;G26,H26,I26,J26,B26,D26,K26,L26)</f>
        <v>EUR3M_3Y:1</v>
      </c>
      <c r="O26" s="167" t="s">
        <v>14</v>
      </c>
      <c r="P26" s="189">
        <f ca="1">_xll.meLWOSwapParRate(N26,O26)</f>
        <v>-3.850000000010232E-3</v>
      </c>
      <c r="R26" s="166" t="str">
        <f>'EUR SWAP 3M'!O6</f>
        <v>3Y</v>
      </c>
      <c r="S26" s="165">
        <f>'EUR SWAP 3M'!P6</f>
        <v>-3.8500000000000001E-3</v>
      </c>
      <c r="T26" s="164">
        <f t="shared" ref="T26:T39" ca="1" si="6">ABS(P26-S26)*100000</f>
        <v>1.0231832742180202E-9</v>
      </c>
    </row>
    <row r="27" spans="2:20" x14ac:dyDescent="0.25">
      <c r="B27" s="163">
        <f ca="1">_xll.meDateFromTenor(AsOfDate,F27,"MOD_FOLLOWING",$C27,"")</f>
        <v>43991</v>
      </c>
      <c r="C27" s="162" t="str">
        <f t="shared" ref="C27:C39" si="7">C26</f>
        <v>TGT</v>
      </c>
      <c r="D27" s="161">
        <f ca="1">_xll.meDateFromTenor(B27,G27,)</f>
        <v>45452</v>
      </c>
      <c r="F27" s="160" t="s">
        <v>44</v>
      </c>
      <c r="G27" s="159" t="str">
        <f t="shared" si="4"/>
        <v>4Y</v>
      </c>
      <c r="H27" s="158" t="str">
        <f t="shared" si="5"/>
        <v>EUR_SWAP_3ML:1</v>
      </c>
      <c r="I27" s="157" t="s">
        <v>173</v>
      </c>
      <c r="J27" s="156">
        <v>1000000</v>
      </c>
      <c r="K27" s="155">
        <v>0</v>
      </c>
      <c r="L27" s="154">
        <v>0</v>
      </c>
      <c r="N27" s="153" t="str">
        <f ca="1">_xll.meLWOSwapCreateFromGenerator("EUR3M_"&amp;G27,H27,I27,J27,B27,D27,K27,L27)</f>
        <v>EUR3M_4Y:1</v>
      </c>
      <c r="O27" s="152" t="s">
        <v>14</v>
      </c>
      <c r="P27" s="151">
        <f ca="1">_xll.meLWOSwapParRate(N27,O27)</f>
        <v>-3.5600000000041662E-3</v>
      </c>
      <c r="R27" s="150" t="str">
        <f>'EUR SWAP 3M'!O7</f>
        <v>4Y</v>
      </c>
      <c r="S27" s="149">
        <f>'EUR SWAP 3M'!P7</f>
        <v>-3.5599999999999998E-3</v>
      </c>
      <c r="T27" s="148">
        <f t="shared" ca="1" si="6"/>
        <v>4.1663721084272964E-10</v>
      </c>
    </row>
    <row r="28" spans="2:20" x14ac:dyDescent="0.25">
      <c r="B28" s="163">
        <f ca="1">_xll.meDateFromTenor(AsOfDate,F28,"MOD_FOLLOWING",$C28,"")</f>
        <v>43991</v>
      </c>
      <c r="C28" s="162" t="str">
        <f t="shared" si="7"/>
        <v>TGT</v>
      </c>
      <c r="D28" s="161">
        <f ca="1">_xll.meDateFromTenor(B28,G28,)</f>
        <v>45817</v>
      </c>
      <c r="F28" s="160" t="s">
        <v>44</v>
      </c>
      <c r="G28" s="159" t="str">
        <f t="shared" si="4"/>
        <v>5Y</v>
      </c>
      <c r="H28" s="158" t="str">
        <f t="shared" si="5"/>
        <v>EUR_SWAP_3ML:1</v>
      </c>
      <c r="I28" s="157" t="s">
        <v>173</v>
      </c>
      <c r="J28" s="156">
        <v>1000000</v>
      </c>
      <c r="K28" s="155">
        <v>0</v>
      </c>
      <c r="L28" s="154">
        <v>0</v>
      </c>
      <c r="N28" s="153" t="str">
        <f ca="1">_xll.meLWOSwapCreateFromGenerator("EUR3M_"&amp;G28,H28,I28,J28,B28,D28,K28,L28)</f>
        <v>EUR3M_5Y:1</v>
      </c>
      <c r="O28" s="152" t="s">
        <v>14</v>
      </c>
      <c r="P28" s="151">
        <f ca="1">_xll.meLWOSwapParRate(N28,O28)</f>
        <v>-3.1999999999994116E-3</v>
      </c>
      <c r="R28" s="150" t="str">
        <f>'EUR SWAP 3M'!O8</f>
        <v>5Y</v>
      </c>
      <c r="S28" s="149">
        <f>'EUR SWAP 3M'!P8</f>
        <v>-3.2000000000000002E-3</v>
      </c>
      <c r="T28" s="148">
        <f t="shared" ca="1" si="6"/>
        <v>5.8850493922513181E-11</v>
      </c>
    </row>
    <row r="29" spans="2:20" x14ac:dyDescent="0.25">
      <c r="B29" s="163">
        <f ca="1">_xll.meDateFromTenor(AsOfDate,F29,"MOD_FOLLOWING",$C29,"")</f>
        <v>43991</v>
      </c>
      <c r="C29" s="162" t="str">
        <f t="shared" si="7"/>
        <v>TGT</v>
      </c>
      <c r="D29" s="161">
        <f ca="1">_xll.meDateFromTenor(B29,G29,)</f>
        <v>46182</v>
      </c>
      <c r="F29" s="160" t="s">
        <v>44</v>
      </c>
      <c r="G29" s="159" t="str">
        <f t="shared" si="4"/>
        <v>6Y</v>
      </c>
      <c r="H29" s="158" t="str">
        <f t="shared" si="5"/>
        <v>EUR_SWAP_3ML:1</v>
      </c>
      <c r="I29" s="157" t="s">
        <v>173</v>
      </c>
      <c r="J29" s="156">
        <v>1000000</v>
      </c>
      <c r="K29" s="155">
        <v>0</v>
      </c>
      <c r="L29" s="154">
        <v>0</v>
      </c>
      <c r="N29" s="153" t="str">
        <f ca="1">_xll.meLWOSwapCreateFromGenerator("EUR3M_"&amp;G29,H29,I29,J29,B29,D29,K29,L29)</f>
        <v>EUR3M_6Y:1</v>
      </c>
      <c r="O29" s="152" t="s">
        <v>14</v>
      </c>
      <c r="P29" s="151">
        <f ca="1">_xll.meLWOSwapParRate(N29,O29)</f>
        <v>-2.7800000000012767E-3</v>
      </c>
      <c r="R29" s="150" t="str">
        <f>'EUR SWAP 3M'!O9</f>
        <v>6Y</v>
      </c>
      <c r="S29" s="149">
        <f>'EUR SWAP 3M'!P9</f>
        <v>-2.7800000000000004E-3</v>
      </c>
      <c r="T29" s="148">
        <f t="shared" ca="1" si="6"/>
        <v>1.2763227974499358E-10</v>
      </c>
    </row>
    <row r="30" spans="2:20" x14ac:dyDescent="0.25">
      <c r="B30" s="163">
        <f ca="1">_xll.meDateFromTenor(AsOfDate,F30,"MOD_FOLLOWING",$C30,"")</f>
        <v>43991</v>
      </c>
      <c r="C30" s="162" t="str">
        <f t="shared" si="7"/>
        <v>TGT</v>
      </c>
      <c r="D30" s="161">
        <f ca="1">_xll.meDateFromTenor(B30,G30,)</f>
        <v>46547</v>
      </c>
      <c r="F30" s="160" t="s">
        <v>44</v>
      </c>
      <c r="G30" s="159" t="str">
        <f t="shared" si="4"/>
        <v>7Y</v>
      </c>
      <c r="H30" s="158" t="str">
        <f t="shared" si="5"/>
        <v>EUR_SWAP_3ML:1</v>
      </c>
      <c r="I30" s="157" t="s">
        <v>173</v>
      </c>
      <c r="J30" s="156">
        <v>1000000</v>
      </c>
      <c r="K30" s="155">
        <v>0</v>
      </c>
      <c r="L30" s="154">
        <v>0</v>
      </c>
      <c r="N30" s="153" t="str">
        <f ca="1">_xll.meLWOSwapCreateFromGenerator("EUR3M_"&amp;G30,H30,I30,J30,B30,D30,K30,L30)</f>
        <v>EUR3M_7Y:1</v>
      </c>
      <c r="O30" s="152" t="s">
        <v>14</v>
      </c>
      <c r="P30" s="151">
        <f ca="1">_xll.meLWOSwapParRate(N30,O30)</f>
        <v>-2.3200000000094204E-3</v>
      </c>
      <c r="R30" s="150" t="str">
        <f>'EUR SWAP 3M'!O10</f>
        <v>7Y</v>
      </c>
      <c r="S30" s="149">
        <f>'EUR SWAP 3M'!P10</f>
        <v>-2.32E-3</v>
      </c>
      <c r="T30" s="148">
        <f t="shared" ca="1" si="6"/>
        <v>9.4204158362920509E-10</v>
      </c>
    </row>
    <row r="31" spans="2:20" x14ac:dyDescent="0.25">
      <c r="B31" s="163">
        <f ca="1">_xll.meDateFromTenor(AsOfDate,F31,"MOD_FOLLOWING",$C31,"")</f>
        <v>43991</v>
      </c>
      <c r="C31" s="162" t="str">
        <f t="shared" si="7"/>
        <v>TGT</v>
      </c>
      <c r="D31" s="161">
        <f ca="1">_xll.meDateFromTenor(B31,G31,)</f>
        <v>46913</v>
      </c>
      <c r="F31" s="160" t="s">
        <v>44</v>
      </c>
      <c r="G31" s="159" t="str">
        <f t="shared" si="4"/>
        <v>8Y</v>
      </c>
      <c r="H31" s="158" t="str">
        <f t="shared" si="5"/>
        <v>EUR_SWAP_3ML:1</v>
      </c>
      <c r="I31" s="157" t="s">
        <v>173</v>
      </c>
      <c r="J31" s="156">
        <v>1000000</v>
      </c>
      <c r="K31" s="155">
        <v>0</v>
      </c>
      <c r="L31" s="154">
        <v>0</v>
      </c>
      <c r="N31" s="153" t="str">
        <f ca="1">_xll.meLWOSwapCreateFromGenerator("EUR3M_"&amp;G31,H31,I31,J31,B31,D31,K31,L31)</f>
        <v>EUR3M_8Y:1</v>
      </c>
      <c r="O31" s="152" t="s">
        <v>14</v>
      </c>
      <c r="P31" s="151">
        <f ca="1">_xll.meLWOSwapParRate(N31,O31)</f>
        <v>-1.8500000000050486E-3</v>
      </c>
      <c r="R31" s="150" t="str">
        <f>'EUR SWAP 3M'!O11</f>
        <v>8Y</v>
      </c>
      <c r="S31" s="149">
        <f>'EUR SWAP 3M'!P11</f>
        <v>-1.8500000000000001E-3</v>
      </c>
      <c r="T31" s="148">
        <f t="shared" ca="1" si="6"/>
        <v>5.0484789959615028E-10</v>
      </c>
    </row>
    <row r="32" spans="2:20" x14ac:dyDescent="0.25">
      <c r="B32" s="163">
        <f ca="1">_xll.meDateFromTenor(AsOfDate,F32,"MOD_FOLLOWING",$C32,"")</f>
        <v>43991</v>
      </c>
      <c r="C32" s="162" t="str">
        <f t="shared" si="7"/>
        <v>TGT</v>
      </c>
      <c r="D32" s="161">
        <f ca="1">_xll.meDateFromTenor(B32,G32,)</f>
        <v>47278</v>
      </c>
      <c r="F32" s="160" t="s">
        <v>44</v>
      </c>
      <c r="G32" s="159" t="str">
        <f t="shared" si="4"/>
        <v>9Y</v>
      </c>
      <c r="H32" s="158" t="str">
        <f t="shared" si="5"/>
        <v>EUR_SWAP_3ML:1</v>
      </c>
      <c r="I32" s="157" t="s">
        <v>173</v>
      </c>
      <c r="J32" s="156">
        <v>1000000</v>
      </c>
      <c r="K32" s="155">
        <v>0</v>
      </c>
      <c r="L32" s="154">
        <v>0</v>
      </c>
      <c r="N32" s="153" t="str">
        <f ca="1">_xll.meLWOSwapCreateFromGenerator("EUR3M_"&amp;G32,H32,I32,J32,B32,D32,K32,L32)</f>
        <v>EUR3M_9Y:1</v>
      </c>
      <c r="O32" s="152" t="s">
        <v>14</v>
      </c>
      <c r="P32" s="151">
        <f ca="1">_xll.meLWOSwapParRate(N32,O32)</f>
        <v>-1.350000000001542E-3</v>
      </c>
      <c r="R32" s="150" t="str">
        <f>'EUR SWAP 3M'!O12</f>
        <v>9Y</v>
      </c>
      <c r="S32" s="149">
        <f>'EUR SWAP 3M'!P12</f>
        <v>-1.3500000000000001E-3</v>
      </c>
      <c r="T32" s="148">
        <f t="shared" ca="1" si="6"/>
        <v>1.5419523297088844E-10</v>
      </c>
    </row>
    <row r="33" spans="2:20" x14ac:dyDescent="0.25">
      <c r="B33" s="163">
        <f ca="1">_xll.meDateFromTenor(AsOfDate,F33,"MOD_FOLLOWING",$C33,"")</f>
        <v>43991</v>
      </c>
      <c r="C33" s="162" t="str">
        <f t="shared" si="7"/>
        <v>TGT</v>
      </c>
      <c r="D33" s="161">
        <f ca="1">_xll.meDateFromTenor(B33,G33,)</f>
        <v>47643</v>
      </c>
      <c r="F33" s="160" t="s">
        <v>44</v>
      </c>
      <c r="G33" s="159" t="str">
        <f t="shared" si="4"/>
        <v>10Y</v>
      </c>
      <c r="H33" s="158" t="str">
        <f t="shared" si="5"/>
        <v>EUR_SWAP_3ML:1</v>
      </c>
      <c r="I33" s="157" t="s">
        <v>173</v>
      </c>
      <c r="J33" s="156">
        <v>1000000</v>
      </c>
      <c r="K33" s="155">
        <v>0</v>
      </c>
      <c r="L33" s="154">
        <v>0</v>
      </c>
      <c r="N33" s="153" t="str">
        <f ca="1">_xll.meLWOSwapCreateFromGenerator("EUR3M_"&amp;G33,H33,I33,J33,B33,D33,K33,L33)</f>
        <v>EUR3M_10Y:1</v>
      </c>
      <c r="O33" s="152" t="s">
        <v>14</v>
      </c>
      <c r="P33" s="151">
        <f ca="1">_xll.meLWOSwapParRate(N33,O33)</f>
        <v>-8.7000000000019007E-4</v>
      </c>
      <c r="R33" s="150" t="str">
        <f>'EUR SWAP 3M'!O13</f>
        <v>10Y</v>
      </c>
      <c r="S33" s="149">
        <f>'EUR SWAP 3M'!P13</f>
        <v>-8.699999999999999E-4</v>
      </c>
      <c r="T33" s="148">
        <f t="shared" ca="1" si="6"/>
        <v>1.9016906105395748E-11</v>
      </c>
    </row>
    <row r="34" spans="2:20" x14ac:dyDescent="0.25">
      <c r="B34" s="163">
        <f ca="1">_xll.meDateFromTenor(AsOfDate,F34,"MOD_FOLLOWING",$C34,"")</f>
        <v>43991</v>
      </c>
      <c r="C34" s="162" t="str">
        <f t="shared" si="7"/>
        <v>TGT</v>
      </c>
      <c r="D34" s="161">
        <f ca="1">_xll.meDateFromTenor(B34,G34,)</f>
        <v>48008</v>
      </c>
      <c r="F34" s="160" t="s">
        <v>44</v>
      </c>
      <c r="G34" s="159" t="str">
        <f t="shared" si="4"/>
        <v>11Y</v>
      </c>
      <c r="H34" s="158" t="str">
        <f t="shared" si="5"/>
        <v>EUR_SWAP_3ML:1</v>
      </c>
      <c r="I34" s="157" t="s">
        <v>173</v>
      </c>
      <c r="J34" s="156">
        <v>1000000</v>
      </c>
      <c r="K34" s="155">
        <v>0</v>
      </c>
      <c r="L34" s="154">
        <v>0</v>
      </c>
      <c r="N34" s="153" t="str">
        <f ca="1">_xll.meLWOSwapCreateFromGenerator("EUR3M_"&amp;G34,H34,I34,J34,B34,D34,K34,L34)</f>
        <v>EUR3M_11Y:1</v>
      </c>
      <c r="O34" s="152" t="s">
        <v>14</v>
      </c>
      <c r="P34" s="151">
        <f ca="1">_xll.meLWOSwapParRate(N34,O34)</f>
        <v>-4.1999999999846668E-4</v>
      </c>
      <c r="R34" s="150" t="str">
        <f>'EUR SWAP 3M'!O14</f>
        <v>11Y</v>
      </c>
      <c r="S34" s="149">
        <f>'EUR SWAP 3M'!P14</f>
        <v>-4.2000000000000002E-4</v>
      </c>
      <c r="T34" s="148">
        <f t="shared" ca="1" si="6"/>
        <v>1.5333329224376246E-10</v>
      </c>
    </row>
    <row r="35" spans="2:20" x14ac:dyDescent="0.25">
      <c r="B35" s="163">
        <f ca="1">_xll.meDateFromTenor(AsOfDate,F35,"MOD_FOLLOWING",$C35,"")</f>
        <v>43991</v>
      </c>
      <c r="C35" s="162" t="str">
        <f t="shared" si="7"/>
        <v>TGT</v>
      </c>
      <c r="D35" s="161">
        <f ca="1">_xll.meDateFromTenor(B35,G35,)</f>
        <v>48374</v>
      </c>
      <c r="F35" s="160" t="s">
        <v>44</v>
      </c>
      <c r="G35" s="159" t="str">
        <f t="shared" si="4"/>
        <v>12Y</v>
      </c>
      <c r="H35" s="158" t="str">
        <f t="shared" si="5"/>
        <v>EUR_SWAP_3ML:1</v>
      </c>
      <c r="I35" s="157" t="s">
        <v>173</v>
      </c>
      <c r="J35" s="156">
        <v>1000000</v>
      </c>
      <c r="K35" s="155">
        <v>0</v>
      </c>
      <c r="L35" s="154">
        <v>0</v>
      </c>
      <c r="N35" s="153" t="str">
        <f ca="1">_xll.meLWOSwapCreateFromGenerator("EUR3M_"&amp;G35,H35,I35,J35,B35,D35,K35,L35)</f>
        <v>EUR3M_12Y:1</v>
      </c>
      <c r="O35" s="152" t="s">
        <v>14</v>
      </c>
      <c r="P35" s="151">
        <f ca="1">_xll.meLWOSwapParRate(N35,O35)</f>
        <v>3.0000000008366348E-5</v>
      </c>
      <c r="R35" s="150" t="str">
        <f>'EUR SWAP 3M'!O15</f>
        <v>12Y</v>
      </c>
      <c r="S35" s="149">
        <f>'EUR SWAP 3M'!P15</f>
        <v>3.0000000000000001E-5</v>
      </c>
      <c r="T35" s="148">
        <f t="shared" ca="1" si="6"/>
        <v>8.3663477079380655E-10</v>
      </c>
    </row>
    <row r="36" spans="2:20" x14ac:dyDescent="0.25">
      <c r="B36" s="163">
        <f ca="1">_xll.meDateFromTenor(AsOfDate,F36,"MOD_FOLLOWING",$C36,"")</f>
        <v>43991</v>
      </c>
      <c r="C36" s="162" t="str">
        <f t="shared" si="7"/>
        <v>TGT</v>
      </c>
      <c r="D36" s="161">
        <f ca="1">_xll.meDateFromTenor(B36,G36,)</f>
        <v>49469</v>
      </c>
      <c r="F36" s="160" t="s">
        <v>44</v>
      </c>
      <c r="G36" s="159" t="str">
        <f t="shared" si="4"/>
        <v>15Y</v>
      </c>
      <c r="H36" s="158" t="str">
        <f t="shared" si="5"/>
        <v>EUR_SWAP_3ML:1</v>
      </c>
      <c r="I36" s="157" t="s">
        <v>173</v>
      </c>
      <c r="J36" s="156">
        <v>1000000</v>
      </c>
      <c r="K36" s="155">
        <v>0</v>
      </c>
      <c r="L36" s="154">
        <v>0</v>
      </c>
      <c r="N36" s="153" t="str">
        <f ca="1">_xll.meLWOSwapCreateFromGenerator("EUR3M_"&amp;G36,H36,I36,J36,B36,D36,K36,L36)</f>
        <v>EUR3M_15Y:1</v>
      </c>
      <c r="O36" s="152" t="s">
        <v>14</v>
      </c>
      <c r="P36" s="151">
        <f ca="1">_xll.meLWOSwapParRate(N36,O36)</f>
        <v>1.1200000000090667E-3</v>
      </c>
      <c r="R36" s="150" t="str">
        <f>'EUR SWAP 3M'!O16</f>
        <v>15Y</v>
      </c>
      <c r="S36" s="149">
        <f>'EUR SWAP 3M'!P16</f>
        <v>1.1200000000000001E-3</v>
      </c>
      <c r="T36" s="148">
        <f t="shared" ca="1" si="6"/>
        <v>9.0665322471927823E-10</v>
      </c>
    </row>
    <row r="37" spans="2:20" x14ac:dyDescent="0.25">
      <c r="B37" s="163">
        <f ca="1">_xll.meDateFromTenor(AsOfDate,F37,"MOD_FOLLOWING",$C37,"")</f>
        <v>43991</v>
      </c>
      <c r="C37" s="162" t="str">
        <f t="shared" si="7"/>
        <v>TGT</v>
      </c>
      <c r="D37" s="161">
        <f ca="1">_xll.meDateFromTenor(B37,G37,)</f>
        <v>51296</v>
      </c>
      <c r="F37" s="160" t="s">
        <v>44</v>
      </c>
      <c r="G37" s="159" t="str">
        <f t="shared" si="4"/>
        <v>20Y</v>
      </c>
      <c r="H37" s="158" t="str">
        <f t="shared" si="5"/>
        <v>EUR_SWAP_3ML:1</v>
      </c>
      <c r="I37" s="157" t="s">
        <v>173</v>
      </c>
      <c r="J37" s="156">
        <v>1000000</v>
      </c>
      <c r="K37" s="155">
        <v>0</v>
      </c>
      <c r="L37" s="154">
        <v>0</v>
      </c>
      <c r="N37" s="153" t="str">
        <f ca="1">_xll.meLWOSwapCreateFromGenerator("EUR3M_"&amp;G37,H37,I37,J37,B37,D37,K37,L37)</f>
        <v>EUR3M_20Y:1</v>
      </c>
      <c r="O37" s="152" t="s">
        <v>14</v>
      </c>
      <c r="P37" s="151">
        <f ca="1">_xll.meLWOSwapParRate(N37,O37)</f>
        <v>1.9899999999906551E-3</v>
      </c>
      <c r="R37" s="150" t="str">
        <f>'EUR SWAP 3M'!O17</f>
        <v>20Y</v>
      </c>
      <c r="S37" s="149">
        <f>'EUR SWAP 3M'!P17</f>
        <v>1.99E-3</v>
      </c>
      <c r="T37" s="148">
        <f t="shared" ca="1" si="6"/>
        <v>9.3449553650870598E-10</v>
      </c>
    </row>
    <row r="38" spans="2:20" x14ac:dyDescent="0.25">
      <c r="B38" s="163">
        <f ca="1">_xll.meDateFromTenor(AsOfDate,F38,"MOD_FOLLOWING",$C38,"")</f>
        <v>43991</v>
      </c>
      <c r="C38" s="162" t="str">
        <f t="shared" si="7"/>
        <v>TGT</v>
      </c>
      <c r="D38" s="161">
        <f ca="1">_xll.meDateFromTenor(B38,G38,)</f>
        <v>53122</v>
      </c>
      <c r="F38" s="160" t="s">
        <v>44</v>
      </c>
      <c r="G38" s="159" t="str">
        <f t="shared" si="4"/>
        <v>25Y</v>
      </c>
      <c r="H38" s="158" t="str">
        <f t="shared" si="5"/>
        <v>EUR_SWAP_3ML:1</v>
      </c>
      <c r="I38" s="157" t="s">
        <v>173</v>
      </c>
      <c r="J38" s="156">
        <v>1000000</v>
      </c>
      <c r="K38" s="155">
        <v>0</v>
      </c>
      <c r="L38" s="154">
        <v>0</v>
      </c>
      <c r="N38" s="153" t="str">
        <f ca="1">_xll.meLWOSwapCreateFromGenerator("EUR3M_"&amp;G38,H38,I38,J38,B38,D38,K38,L38)</f>
        <v>EUR3M_25Y:1</v>
      </c>
      <c r="O38" s="152" t="s">
        <v>14</v>
      </c>
      <c r="P38" s="151">
        <f ca="1">_xll.meLWOSwapParRate(N38,O38)</f>
        <v>2.0699999999996355E-3</v>
      </c>
      <c r="R38" s="150" t="str">
        <f>'EUR SWAP 3M'!O18</f>
        <v>25Y</v>
      </c>
      <c r="S38" s="149">
        <f>'EUR SWAP 3M'!P18</f>
        <v>2.0699999999999998E-3</v>
      </c>
      <c r="T38" s="148">
        <f t="shared" ca="1" si="6"/>
        <v>3.6429192995512949E-11</v>
      </c>
    </row>
    <row r="39" spans="2:20" x14ac:dyDescent="0.25">
      <c r="B39" s="163">
        <f ca="1">_xll.meDateFromTenor(AsOfDate,F39,"MOD_FOLLOWING",$C39,"")</f>
        <v>43991</v>
      </c>
      <c r="C39" s="162" t="str">
        <f t="shared" si="7"/>
        <v>TGT</v>
      </c>
      <c r="D39" s="161">
        <f ca="1">_xll.meDateFromTenor(B39,G39,)</f>
        <v>54948</v>
      </c>
      <c r="F39" s="160" t="s">
        <v>44</v>
      </c>
      <c r="G39" s="159" t="str">
        <f t="shared" si="4"/>
        <v>30Y</v>
      </c>
      <c r="H39" s="158" t="str">
        <f t="shared" si="5"/>
        <v>EUR_SWAP_3ML:1</v>
      </c>
      <c r="I39" s="157" t="s">
        <v>173</v>
      </c>
      <c r="J39" s="156">
        <v>1000000</v>
      </c>
      <c r="K39" s="155">
        <v>0</v>
      </c>
      <c r="L39" s="154">
        <v>0</v>
      </c>
      <c r="N39" s="153" t="str">
        <f ca="1">_xll.meLWOSwapCreateFromGenerator("EUR3M_"&amp;G39,H39,I39,J39,B39,D39,K39,L39)</f>
        <v>EUR3M_30Y:1</v>
      </c>
      <c r="O39" s="152" t="s">
        <v>14</v>
      </c>
      <c r="P39" s="151">
        <f ca="1">_xll.meLWOSwapParRate(N39,O39)</f>
        <v>1.8300000000058391E-3</v>
      </c>
      <c r="R39" s="150" t="str">
        <f>'EUR SWAP 3M'!O19</f>
        <v>30Y</v>
      </c>
      <c r="S39" s="149">
        <f>'EUR SWAP 3M'!P19</f>
        <v>1.83E-3</v>
      </c>
      <c r="T39" s="148">
        <f t="shared" ca="1" si="6"/>
        <v>5.8390792201379327E-10</v>
      </c>
    </row>
    <row r="40" spans="2:20" x14ac:dyDescent="0.25">
      <c r="B40" s="163"/>
      <c r="C40" s="162"/>
      <c r="D40" s="161"/>
      <c r="F40" s="160"/>
      <c r="G40" s="159"/>
      <c r="H40" s="158"/>
      <c r="I40" s="157"/>
      <c r="J40" s="156"/>
      <c r="K40" s="155"/>
      <c r="L40" s="154"/>
      <c r="N40" s="153"/>
      <c r="O40" s="152"/>
      <c r="P40" s="151"/>
      <c r="R40" s="150"/>
      <c r="S40" s="149"/>
      <c r="T40" s="148"/>
    </row>
    <row r="41" spans="2:20" x14ac:dyDescent="0.25">
      <c r="B41" s="163"/>
      <c r="C41" s="162"/>
      <c r="D41" s="161"/>
      <c r="F41" s="160"/>
      <c r="G41" s="159"/>
      <c r="H41" s="158"/>
      <c r="I41" s="157"/>
      <c r="J41" s="156"/>
      <c r="K41" s="155"/>
      <c r="L41" s="154"/>
      <c r="N41" s="153"/>
      <c r="O41" s="152"/>
      <c r="P41" s="151"/>
      <c r="R41" s="150"/>
      <c r="S41" s="149"/>
      <c r="T41" s="148"/>
    </row>
    <row r="42" spans="2:20" x14ac:dyDescent="0.25">
      <c r="B42" s="147"/>
      <c r="C42" s="146"/>
      <c r="D42" s="145"/>
      <c r="F42" s="144"/>
      <c r="G42" s="143"/>
      <c r="H42" s="142"/>
      <c r="I42" s="141"/>
      <c r="J42" s="140"/>
      <c r="K42" s="139"/>
      <c r="L42" s="138"/>
      <c r="N42" s="137"/>
      <c r="O42" s="136"/>
      <c r="P42" s="135"/>
      <c r="R42" s="134"/>
      <c r="S42" s="133"/>
      <c r="T42" s="132"/>
    </row>
    <row r="45" spans="2:20" x14ac:dyDescent="0.25">
      <c r="B45" s="122" t="s">
        <v>189</v>
      </c>
      <c r="C45" s="122"/>
      <c r="F45" s="182" t="s">
        <v>228</v>
      </c>
      <c r="N45" s="122" t="s">
        <v>188</v>
      </c>
      <c r="R45" s="122" t="s">
        <v>187</v>
      </c>
    </row>
    <row r="46" spans="2:20" x14ac:dyDescent="0.25">
      <c r="D46" s="181" t="s">
        <v>186</v>
      </c>
      <c r="H46" s="181" t="s">
        <v>185</v>
      </c>
      <c r="P46" s="183"/>
    </row>
    <row r="47" spans="2:20" x14ac:dyDescent="0.25">
      <c r="B47" s="120" t="s">
        <v>183</v>
      </c>
      <c r="C47" s="120" t="s">
        <v>72</v>
      </c>
      <c r="D47" s="176" t="s">
        <v>184</v>
      </c>
      <c r="E47" s="176"/>
      <c r="F47" s="176" t="s">
        <v>183</v>
      </c>
      <c r="G47" s="120" t="s">
        <v>182</v>
      </c>
      <c r="H47" s="120" t="s">
        <v>181</v>
      </c>
      <c r="I47" s="120" t="s">
        <v>180</v>
      </c>
      <c r="J47" s="120" t="s">
        <v>179</v>
      </c>
      <c r="K47" s="120" t="s">
        <v>178</v>
      </c>
      <c r="L47" s="120" t="s">
        <v>177</v>
      </c>
      <c r="N47" s="120" t="s">
        <v>176</v>
      </c>
      <c r="O47" s="120" t="s">
        <v>13</v>
      </c>
      <c r="P47" s="120" t="s">
        <v>175</v>
      </c>
      <c r="R47" s="120" t="s">
        <v>5</v>
      </c>
      <c r="S47" s="120" t="s">
        <v>6</v>
      </c>
      <c r="T47" s="180" t="s">
        <v>174</v>
      </c>
    </row>
    <row r="48" spans="2:20" x14ac:dyDescent="0.25">
      <c r="B48" s="179">
        <f ca="1">_xll.meDateFromTenor(AsOfDate,F48,"MOD_FOLLOWING",$C48,"")</f>
        <v>43991</v>
      </c>
      <c r="C48" s="178" t="str">
        <f>VLOOKUP("PAYMENTCALENDAR",_xll.meLWOSwapGeneratorDisplay($H48),2,FALSE)</f>
        <v>TGT</v>
      </c>
      <c r="D48" s="177">
        <f ca="1">_xll.meDateFromTenor(B48,G48,)</f>
        <v>44356</v>
      </c>
      <c r="E48" s="176"/>
      <c r="F48" s="175" t="s">
        <v>44</v>
      </c>
      <c r="G48" s="174" t="str">
        <f t="shared" ref="G48:G62" si="8">R48</f>
        <v>1Y</v>
      </c>
      <c r="H48" s="173" t="str">
        <f t="shared" ref="H48:H62" si="9">Template.Swap.EUR.1M</f>
        <v>EUR_SWAP_1ML:1</v>
      </c>
      <c r="I48" s="172" t="s">
        <v>173</v>
      </c>
      <c r="J48" s="171">
        <v>1000000</v>
      </c>
      <c r="K48" s="170">
        <v>0</v>
      </c>
      <c r="L48" s="169">
        <v>0</v>
      </c>
      <c r="N48" s="168" t="str">
        <f ca="1">_xll.meLWOSwapCreateFromGenerator("EUR1M_"&amp;G48,H48,I48,J48,B48,D48,K48,L48)</f>
        <v>EUR1M_1Y:1</v>
      </c>
      <c r="O48" s="167" t="s">
        <v>14</v>
      </c>
      <c r="P48" s="189">
        <f ca="1">_xll.meLWOSwapParRate(N48,O48)</f>
        <v>-4.6500000000597686E-3</v>
      </c>
      <c r="R48" s="166" t="str">
        <f>'EUR SWAP 1M'!I6</f>
        <v>1Y</v>
      </c>
      <c r="S48" s="165">
        <f>'EUR SWAP 1M'!J6</f>
        <v>-4.6499999999999996E-3</v>
      </c>
      <c r="T48" s="164">
        <f t="shared" ref="T48:T62" ca="1" si="10">ABS(P48-S48)*100000</f>
        <v>5.97690300030429E-9</v>
      </c>
    </row>
    <row r="49" spans="2:20" x14ac:dyDescent="0.25">
      <c r="B49" s="163">
        <f ca="1">_xll.meDateFromTenor(AsOfDate,F49,"MOD_FOLLOWING",$C49,"")</f>
        <v>43991</v>
      </c>
      <c r="C49" s="162" t="str">
        <f t="shared" ref="C49:C62" si="11">C48</f>
        <v>TGT</v>
      </c>
      <c r="D49" s="161">
        <f ca="1">_xll.meDateFromTenor(B49,G49,)</f>
        <v>44721</v>
      </c>
      <c r="F49" s="160" t="s">
        <v>44</v>
      </c>
      <c r="G49" s="159" t="str">
        <f t="shared" si="8"/>
        <v>2Y</v>
      </c>
      <c r="H49" s="158" t="str">
        <f t="shared" si="9"/>
        <v>EUR_SWAP_1ML:1</v>
      </c>
      <c r="I49" s="157" t="s">
        <v>173</v>
      </c>
      <c r="J49" s="156">
        <v>1000000</v>
      </c>
      <c r="K49" s="155">
        <v>0</v>
      </c>
      <c r="L49" s="154">
        <v>0</v>
      </c>
      <c r="N49" s="153" t="str">
        <f ca="1">_xll.meLWOSwapCreateFromGenerator("EUR1M_"&amp;G49,H49,I49,J49,B49,D49,K49,L49)</f>
        <v>EUR1M_2Y:1</v>
      </c>
      <c r="O49" s="152" t="s">
        <v>14</v>
      </c>
      <c r="P49" s="151">
        <f ca="1">_xll.meLWOSwapParRate(N49,O49)</f>
        <v>-4.5500000000099723E-3</v>
      </c>
      <c r="R49" s="150" t="str">
        <f>'EUR SWAP 1M'!I7</f>
        <v>2Y</v>
      </c>
      <c r="S49" s="149">
        <f>'EUR SWAP 1M'!J7</f>
        <v>-4.5500000000000002E-3</v>
      </c>
      <c r="T49" s="148">
        <f t="shared" ca="1" si="10"/>
        <v>9.9720579016526756E-10</v>
      </c>
    </row>
    <row r="50" spans="2:20" x14ac:dyDescent="0.25">
      <c r="B50" s="163">
        <f ca="1">_xll.meDateFromTenor(AsOfDate,F50,"MOD_FOLLOWING",$C50,"")</f>
        <v>43991</v>
      </c>
      <c r="C50" s="162" t="str">
        <f t="shared" si="11"/>
        <v>TGT</v>
      </c>
      <c r="D50" s="161">
        <f ca="1">_xll.meDateFromTenor(B50,G50,)</f>
        <v>45086</v>
      </c>
      <c r="F50" s="160" t="s">
        <v>44</v>
      </c>
      <c r="G50" s="159" t="str">
        <f t="shared" si="8"/>
        <v>3Y</v>
      </c>
      <c r="H50" s="158" t="str">
        <f t="shared" si="9"/>
        <v>EUR_SWAP_1ML:1</v>
      </c>
      <c r="I50" s="157" t="s">
        <v>173</v>
      </c>
      <c r="J50" s="156">
        <v>1000000</v>
      </c>
      <c r="K50" s="155">
        <v>0</v>
      </c>
      <c r="L50" s="154">
        <v>0</v>
      </c>
      <c r="N50" s="153" t="str">
        <f ca="1">_xll.meLWOSwapCreateFromGenerator("EUR1M_"&amp;G50,H50,I50,J50,B50,D50,K50,L50)</f>
        <v>EUR1M_3Y:1</v>
      </c>
      <c r="O50" s="152" t="s">
        <v>14</v>
      </c>
      <c r="P50" s="151">
        <f ca="1">_xll.meLWOSwapParRate(N50,O50)</f>
        <v>-4.3499999999969978E-3</v>
      </c>
      <c r="R50" s="150" t="str">
        <f>'EUR SWAP 1M'!I8</f>
        <v>3Y</v>
      </c>
      <c r="S50" s="149">
        <f>'EUR SWAP 1M'!J8</f>
        <v>-4.3499999999999997E-3</v>
      </c>
      <c r="T50" s="148">
        <f t="shared" ca="1" si="10"/>
        <v>3.0019389751778647E-10</v>
      </c>
    </row>
    <row r="51" spans="2:20" x14ac:dyDescent="0.25">
      <c r="B51" s="163">
        <f ca="1">_xll.meDateFromTenor(AsOfDate,F51,"MOD_FOLLOWING",$C51,"")</f>
        <v>43991</v>
      </c>
      <c r="C51" s="162" t="str">
        <f t="shared" si="11"/>
        <v>TGT</v>
      </c>
      <c r="D51" s="161">
        <f ca="1">_xll.meDateFromTenor(B51,G51,)</f>
        <v>45452</v>
      </c>
      <c r="F51" s="160" t="s">
        <v>44</v>
      </c>
      <c r="G51" s="159" t="str">
        <f t="shared" si="8"/>
        <v>4Y</v>
      </c>
      <c r="H51" s="158" t="str">
        <f t="shared" si="9"/>
        <v>EUR_SWAP_1ML:1</v>
      </c>
      <c r="I51" s="157" t="s">
        <v>173</v>
      </c>
      <c r="J51" s="156">
        <v>1000000</v>
      </c>
      <c r="K51" s="155">
        <v>0</v>
      </c>
      <c r="L51" s="154">
        <v>0</v>
      </c>
      <c r="N51" s="153" t="str">
        <f ca="1">_xll.meLWOSwapCreateFromGenerator("EUR1M_"&amp;G51,H51,I51,J51,B51,D51,K51,L51)</f>
        <v>EUR1M_4Y:1</v>
      </c>
      <c r="O51" s="152" t="s">
        <v>14</v>
      </c>
      <c r="P51" s="151">
        <f ca="1">_xll.meLWOSwapParRate(N51,O51)</f>
        <v>-4.0599999999646249E-3</v>
      </c>
      <c r="R51" s="150" t="str">
        <f>'EUR SWAP 1M'!I9</f>
        <v>4Y</v>
      </c>
      <c r="S51" s="149">
        <f>'EUR SWAP 1M'!J9</f>
        <v>-4.0599999999999994E-3</v>
      </c>
      <c r="T51" s="148">
        <f t="shared" ca="1" si="10"/>
        <v>3.537448112211905E-9</v>
      </c>
    </row>
    <row r="52" spans="2:20" x14ac:dyDescent="0.25">
      <c r="B52" s="163">
        <f ca="1">_xll.meDateFromTenor(AsOfDate,F52,"MOD_FOLLOWING",$C52,"")</f>
        <v>43991</v>
      </c>
      <c r="C52" s="162" t="str">
        <f t="shared" si="11"/>
        <v>TGT</v>
      </c>
      <c r="D52" s="161">
        <f ca="1">_xll.meDateFromTenor(B52,G52,)</f>
        <v>45817</v>
      </c>
      <c r="F52" s="160" t="s">
        <v>44</v>
      </c>
      <c r="G52" s="159" t="str">
        <f t="shared" si="8"/>
        <v>5Y</v>
      </c>
      <c r="H52" s="158" t="str">
        <f t="shared" si="9"/>
        <v>EUR_SWAP_1ML:1</v>
      </c>
      <c r="I52" s="157" t="s">
        <v>173</v>
      </c>
      <c r="J52" s="156">
        <v>1000000</v>
      </c>
      <c r="K52" s="155">
        <v>0</v>
      </c>
      <c r="L52" s="154">
        <v>0</v>
      </c>
      <c r="N52" s="153" t="str">
        <f ca="1">_xll.meLWOSwapCreateFromGenerator("EUR1M_"&amp;G52,H52,I52,J52,B52,D52,K52,L52)</f>
        <v>EUR1M_5Y:1</v>
      </c>
      <c r="O52" s="152" t="s">
        <v>14</v>
      </c>
      <c r="P52" s="151">
        <f ca="1">_xll.meLWOSwapParRate(N52,O52)</f>
        <v>-3.6999999999847051E-3</v>
      </c>
      <c r="R52" s="150" t="str">
        <f>'EUR SWAP 1M'!I10</f>
        <v>5Y</v>
      </c>
      <c r="S52" s="149">
        <f>'EUR SWAP 1M'!J10</f>
        <v>-3.7000000000000002E-3</v>
      </c>
      <c r="T52" s="148">
        <f t="shared" ca="1" si="10"/>
        <v>1.5295056887687508E-9</v>
      </c>
    </row>
    <row r="53" spans="2:20" x14ac:dyDescent="0.25">
      <c r="B53" s="163">
        <f ca="1">_xll.meDateFromTenor(AsOfDate,F53,"MOD_FOLLOWING",$C53,"")</f>
        <v>43991</v>
      </c>
      <c r="C53" s="162" t="str">
        <f t="shared" si="11"/>
        <v>TGT</v>
      </c>
      <c r="D53" s="161">
        <f ca="1">_xll.meDateFromTenor(B53,G53,)</f>
        <v>46182</v>
      </c>
      <c r="F53" s="160" t="s">
        <v>44</v>
      </c>
      <c r="G53" s="159" t="str">
        <f t="shared" si="8"/>
        <v>6Y</v>
      </c>
      <c r="H53" s="158" t="str">
        <f t="shared" si="9"/>
        <v>EUR_SWAP_1ML:1</v>
      </c>
      <c r="I53" s="157" t="s">
        <v>173</v>
      </c>
      <c r="J53" s="156">
        <v>1000000</v>
      </c>
      <c r="K53" s="155">
        <v>0</v>
      </c>
      <c r="L53" s="154">
        <v>0</v>
      </c>
      <c r="N53" s="153" t="str">
        <f ca="1">_xll.meLWOSwapCreateFromGenerator("EUR1M_"&amp;G53,H53,I53,J53,B53,D53,K53,L53)</f>
        <v>EUR1M_6Y:1</v>
      </c>
      <c r="O53" s="152" t="s">
        <v>14</v>
      </c>
      <c r="P53" s="151">
        <f ca="1">_xll.meLWOSwapParRate(N53,O53)</f>
        <v>-3.2800000000219849E-3</v>
      </c>
      <c r="R53" s="150" t="str">
        <f>'EUR SWAP 1M'!I11</f>
        <v>6Y</v>
      </c>
      <c r="S53" s="149">
        <f>'EUR SWAP 1M'!J11</f>
        <v>-3.2800000000000004E-3</v>
      </c>
      <c r="T53" s="148">
        <f t="shared" ca="1" si="10"/>
        <v>2.1984584291923071E-9</v>
      </c>
    </row>
    <row r="54" spans="2:20" x14ac:dyDescent="0.25">
      <c r="B54" s="163">
        <f ca="1">_xll.meDateFromTenor(AsOfDate,F54,"MOD_FOLLOWING",$C54,"")</f>
        <v>43991</v>
      </c>
      <c r="C54" s="162" t="str">
        <f t="shared" si="11"/>
        <v>TGT</v>
      </c>
      <c r="D54" s="161">
        <f ca="1">_xll.meDateFromTenor(B54,G54,)</f>
        <v>46547</v>
      </c>
      <c r="F54" s="160" t="s">
        <v>44</v>
      </c>
      <c r="G54" s="159" t="str">
        <f t="shared" si="8"/>
        <v>7Y</v>
      </c>
      <c r="H54" s="158" t="str">
        <f t="shared" si="9"/>
        <v>EUR_SWAP_1ML:1</v>
      </c>
      <c r="I54" s="157" t="s">
        <v>173</v>
      </c>
      <c r="J54" s="156">
        <v>1000000</v>
      </c>
      <c r="K54" s="155">
        <v>0</v>
      </c>
      <c r="L54" s="154">
        <v>0</v>
      </c>
      <c r="N54" s="153" t="str">
        <f ca="1">_xll.meLWOSwapCreateFromGenerator("EUR1M_"&amp;G54,H54,I54,J54,B54,D54,K54,L54)</f>
        <v>EUR1M_7Y:1</v>
      </c>
      <c r="O54" s="152" t="s">
        <v>14</v>
      </c>
      <c r="P54" s="151">
        <f ca="1">_xll.meLWOSwapParRate(N54,O54)</f>
        <v>-2.8200000000122433E-3</v>
      </c>
      <c r="R54" s="150" t="str">
        <f>'EUR SWAP 1M'!I12</f>
        <v>7Y</v>
      </c>
      <c r="S54" s="149">
        <f>'EUR SWAP 1M'!J12</f>
        <v>-2.82E-3</v>
      </c>
      <c r="T54" s="148">
        <f t="shared" ca="1" si="10"/>
        <v>1.224324461257531E-9</v>
      </c>
    </row>
    <row r="55" spans="2:20" x14ac:dyDescent="0.25">
      <c r="B55" s="163">
        <f ca="1">_xll.meDateFromTenor(AsOfDate,F55,"MOD_FOLLOWING",$C55,"")</f>
        <v>43991</v>
      </c>
      <c r="C55" s="162" t="str">
        <f t="shared" si="11"/>
        <v>TGT</v>
      </c>
      <c r="D55" s="161">
        <f ca="1">_xll.meDateFromTenor(B55,G55,)</f>
        <v>46913</v>
      </c>
      <c r="F55" s="160" t="s">
        <v>44</v>
      </c>
      <c r="G55" s="159" t="str">
        <f t="shared" si="8"/>
        <v>8Y</v>
      </c>
      <c r="H55" s="158" t="str">
        <f t="shared" si="9"/>
        <v>EUR_SWAP_1ML:1</v>
      </c>
      <c r="I55" s="157" t="s">
        <v>173</v>
      </c>
      <c r="J55" s="156">
        <v>1000000</v>
      </c>
      <c r="K55" s="155">
        <v>0</v>
      </c>
      <c r="L55" s="154">
        <v>0</v>
      </c>
      <c r="N55" s="153" t="str">
        <f ca="1">_xll.meLWOSwapCreateFromGenerator("EUR1M_"&amp;G55,H55,I55,J55,B55,D55,K55,L55)</f>
        <v>EUR1M_8Y:1</v>
      </c>
      <c r="O55" s="152" t="s">
        <v>14</v>
      </c>
      <c r="P55" s="151">
        <f ca="1">_xll.meLWOSwapParRate(N55,O55)</f>
        <v>-2.3499999999923383E-3</v>
      </c>
      <c r="R55" s="150" t="str">
        <f>'EUR SWAP 1M'!I13</f>
        <v>8Y</v>
      </c>
      <c r="S55" s="149">
        <f>'EUR SWAP 1M'!J13</f>
        <v>-2.3500000000000001E-3</v>
      </c>
      <c r="T55" s="148">
        <f t="shared" ca="1" si="10"/>
        <v>7.6618399125205627E-10</v>
      </c>
    </row>
    <row r="56" spans="2:20" x14ac:dyDescent="0.25">
      <c r="B56" s="163">
        <f ca="1">_xll.meDateFromTenor(AsOfDate,F56,"MOD_FOLLOWING",$C56,"")</f>
        <v>43991</v>
      </c>
      <c r="C56" s="162" t="str">
        <f t="shared" si="11"/>
        <v>TGT</v>
      </c>
      <c r="D56" s="161">
        <f ca="1">_xll.meDateFromTenor(B56,G56,)</f>
        <v>47278</v>
      </c>
      <c r="F56" s="160" t="s">
        <v>44</v>
      </c>
      <c r="G56" s="159" t="str">
        <f t="shared" si="8"/>
        <v>9Y</v>
      </c>
      <c r="H56" s="158" t="str">
        <f t="shared" si="9"/>
        <v>EUR_SWAP_1ML:1</v>
      </c>
      <c r="I56" s="157" t="s">
        <v>173</v>
      </c>
      <c r="J56" s="156">
        <v>1000000</v>
      </c>
      <c r="K56" s="155">
        <v>0</v>
      </c>
      <c r="L56" s="154">
        <v>0</v>
      </c>
      <c r="N56" s="153" t="str">
        <f ca="1">_xll.meLWOSwapCreateFromGenerator("EUR1M_"&amp;G56,H56,I56,J56,B56,D56,K56,L56)</f>
        <v>EUR1M_9Y:1</v>
      </c>
      <c r="O56" s="152" t="s">
        <v>14</v>
      </c>
      <c r="P56" s="151">
        <f ca="1">_xll.meLWOSwapParRate(N56,O56)</f>
        <v>-1.8500000000181381E-3</v>
      </c>
      <c r="R56" s="150" t="str">
        <f>'EUR SWAP 1M'!I14</f>
        <v>9Y</v>
      </c>
      <c r="S56" s="149">
        <f>'EUR SWAP 1M'!J14</f>
        <v>-1.8500000000000001E-3</v>
      </c>
      <c r="T56" s="148">
        <f t="shared" ca="1" si="10"/>
        <v>1.8138051824378998E-9</v>
      </c>
    </row>
    <row r="57" spans="2:20" x14ac:dyDescent="0.25">
      <c r="B57" s="163">
        <f ca="1">_xll.meDateFromTenor(AsOfDate,F57,"MOD_FOLLOWING",$C57,"")</f>
        <v>43991</v>
      </c>
      <c r="C57" s="162" t="str">
        <f t="shared" si="11"/>
        <v>TGT</v>
      </c>
      <c r="D57" s="161">
        <f ca="1">_xll.meDateFromTenor(B57,G57,)</f>
        <v>47643</v>
      </c>
      <c r="F57" s="160" t="s">
        <v>44</v>
      </c>
      <c r="G57" s="159" t="str">
        <f t="shared" si="8"/>
        <v>10Y</v>
      </c>
      <c r="H57" s="158" t="str">
        <f t="shared" si="9"/>
        <v>EUR_SWAP_1ML:1</v>
      </c>
      <c r="I57" s="157" t="s">
        <v>173</v>
      </c>
      <c r="J57" s="156">
        <v>1000000</v>
      </c>
      <c r="K57" s="155">
        <v>0</v>
      </c>
      <c r="L57" s="154">
        <v>0</v>
      </c>
      <c r="N57" s="153" t="str">
        <f ca="1">_xll.meLWOSwapCreateFromGenerator("EUR1M_"&amp;G57,H57,I57,J57,B57,D57,K57,L57)</f>
        <v>EUR1M_10Y:1</v>
      </c>
      <c r="O57" s="152" t="s">
        <v>14</v>
      </c>
      <c r="P57" s="151">
        <f ca="1">_xll.meLWOSwapParRate(N57,O57)</f>
        <v>-1.370000000031769E-3</v>
      </c>
      <c r="R57" s="150" t="str">
        <f>'EUR SWAP 1M'!I15</f>
        <v>10Y</v>
      </c>
      <c r="S57" s="149">
        <f>'EUR SWAP 1M'!J15</f>
        <v>-1.3699999999999999E-3</v>
      </c>
      <c r="T57" s="148">
        <f t="shared" ca="1" si="10"/>
        <v>3.1769075217735754E-9</v>
      </c>
    </row>
    <row r="58" spans="2:20" x14ac:dyDescent="0.25">
      <c r="B58" s="163">
        <f ca="1">_xll.meDateFromTenor(AsOfDate,F58,"MOD_FOLLOWING",$C58,"")</f>
        <v>43991</v>
      </c>
      <c r="C58" s="162" t="str">
        <f t="shared" si="11"/>
        <v>TGT</v>
      </c>
      <c r="D58" s="161">
        <f ca="1">_xll.meDateFromTenor(B58,G58,)</f>
        <v>48008</v>
      </c>
      <c r="F58" s="160" t="s">
        <v>44</v>
      </c>
      <c r="G58" s="159" t="str">
        <f t="shared" si="8"/>
        <v>11Y</v>
      </c>
      <c r="H58" s="158" t="str">
        <f t="shared" si="9"/>
        <v>EUR_SWAP_1ML:1</v>
      </c>
      <c r="I58" s="157" t="s">
        <v>173</v>
      </c>
      <c r="J58" s="156">
        <v>1000000</v>
      </c>
      <c r="K58" s="155">
        <v>0</v>
      </c>
      <c r="L58" s="154">
        <v>0</v>
      </c>
      <c r="N58" s="153" t="str">
        <f ca="1">_xll.meLWOSwapCreateFromGenerator("EUR1M_"&amp;G58,H58,I58,J58,B58,D58,K58,L58)</f>
        <v>EUR1M_11Y:1</v>
      </c>
      <c r="O58" s="152" t="s">
        <v>14</v>
      </c>
      <c r="P58" s="151">
        <f ca="1">_xll.meLWOSwapParRate(N58,O58)</f>
        <v>-9.2000000001889474E-4</v>
      </c>
      <c r="R58" s="150" t="str">
        <f>'EUR SWAP 1M'!I16</f>
        <v>11Y</v>
      </c>
      <c r="S58" s="149">
        <f>'EUR SWAP 1M'!J16</f>
        <v>-9.2000000000000003E-4</v>
      </c>
      <c r="T58" s="148">
        <f t="shared" ca="1" si="10"/>
        <v>1.8894716520556631E-9</v>
      </c>
    </row>
    <row r="59" spans="2:20" x14ac:dyDescent="0.25">
      <c r="B59" s="163">
        <f ca="1">_xll.meDateFromTenor(AsOfDate,F59,"MOD_FOLLOWING",$C59,"")</f>
        <v>43991</v>
      </c>
      <c r="C59" s="162" t="str">
        <f t="shared" si="11"/>
        <v>TGT</v>
      </c>
      <c r="D59" s="161">
        <f ca="1">_xll.meDateFromTenor(B59,G59,)</f>
        <v>48374</v>
      </c>
      <c r="F59" s="160" t="s">
        <v>44</v>
      </c>
      <c r="G59" s="159" t="str">
        <f t="shared" si="8"/>
        <v>12Y</v>
      </c>
      <c r="H59" s="158" t="str">
        <f t="shared" si="9"/>
        <v>EUR_SWAP_1ML:1</v>
      </c>
      <c r="I59" s="157" t="s">
        <v>173</v>
      </c>
      <c r="J59" s="156">
        <v>1000000</v>
      </c>
      <c r="K59" s="155">
        <v>0</v>
      </c>
      <c r="L59" s="154">
        <v>0</v>
      </c>
      <c r="N59" s="153" t="str">
        <f ca="1">_xll.meLWOSwapCreateFromGenerator("EUR1M_"&amp;G59,H59,I59,J59,B59,D59,K59,L59)</f>
        <v>EUR1M_12Y:1</v>
      </c>
      <c r="O59" s="152" t="s">
        <v>14</v>
      </c>
      <c r="P59" s="151">
        <f ca="1">_xll.meLWOSwapParRate(N59,O59)</f>
        <v>-4.7000000001174423E-4</v>
      </c>
      <c r="R59" s="150" t="str">
        <f>'EUR SWAP 1M'!I17</f>
        <v>12Y</v>
      </c>
      <c r="S59" s="149">
        <f>'EUR SWAP 1M'!J17</f>
        <v>-4.6999999999999999E-4</v>
      </c>
      <c r="T59" s="148">
        <f t="shared" ca="1" si="10"/>
        <v>1.1744240562688857E-9</v>
      </c>
    </row>
    <row r="60" spans="2:20" x14ac:dyDescent="0.25">
      <c r="B60" s="163">
        <f ca="1">_xll.meDateFromTenor(AsOfDate,F60,"MOD_FOLLOWING",$C60,"")</f>
        <v>43991</v>
      </c>
      <c r="C60" s="162" t="str">
        <f t="shared" si="11"/>
        <v>TGT</v>
      </c>
      <c r="D60" s="161">
        <f ca="1">_xll.meDateFromTenor(B60,G60,)</f>
        <v>49469</v>
      </c>
      <c r="F60" s="160" t="s">
        <v>44</v>
      </c>
      <c r="G60" s="159" t="str">
        <f t="shared" si="8"/>
        <v>15Y</v>
      </c>
      <c r="H60" s="158" t="str">
        <f t="shared" si="9"/>
        <v>EUR_SWAP_1ML:1</v>
      </c>
      <c r="I60" s="157" t="s">
        <v>173</v>
      </c>
      <c r="J60" s="156">
        <v>1000000</v>
      </c>
      <c r="K60" s="155">
        <v>0</v>
      </c>
      <c r="L60" s="154">
        <v>0</v>
      </c>
      <c r="N60" s="153" t="str">
        <f ca="1">_xll.meLWOSwapCreateFromGenerator("EUR1M_"&amp;G60,H60,I60,J60,B60,D60,K60,L60)</f>
        <v>EUR1M_15Y:1</v>
      </c>
      <c r="O60" s="152" t="s">
        <v>14</v>
      </c>
      <c r="P60" s="151">
        <f ca="1">_xll.meLWOSwapParRate(N60,O60)</f>
        <v>6.1999999996459343E-4</v>
      </c>
      <c r="R60" s="150" t="str">
        <f>'EUR SWAP 1M'!I18</f>
        <v>15Y</v>
      </c>
      <c r="S60" s="149">
        <f>'EUR SWAP 1M'!J18</f>
        <v>6.2000000000000011E-4</v>
      </c>
      <c r="T60" s="148">
        <f t="shared" ca="1" si="10"/>
        <v>3.540668192664187E-9</v>
      </c>
    </row>
    <row r="61" spans="2:20" x14ac:dyDescent="0.25">
      <c r="B61" s="163">
        <f ca="1">_xll.meDateFromTenor(AsOfDate,F61,"MOD_FOLLOWING",$C61,"")</f>
        <v>43991</v>
      </c>
      <c r="C61" s="162" t="str">
        <f t="shared" si="11"/>
        <v>TGT</v>
      </c>
      <c r="D61" s="161">
        <f ca="1">_xll.meDateFromTenor(B61,G61,)</f>
        <v>51296</v>
      </c>
      <c r="F61" s="160" t="s">
        <v>44</v>
      </c>
      <c r="G61" s="159" t="str">
        <f t="shared" si="8"/>
        <v>20Y</v>
      </c>
      <c r="H61" s="158" t="str">
        <f t="shared" si="9"/>
        <v>EUR_SWAP_1ML:1</v>
      </c>
      <c r="I61" s="157" t="s">
        <v>173</v>
      </c>
      <c r="J61" s="156">
        <v>1000000</v>
      </c>
      <c r="K61" s="155">
        <v>0</v>
      </c>
      <c r="L61" s="154">
        <v>0</v>
      </c>
      <c r="N61" s="153" t="str">
        <f ca="1">_xll.meLWOSwapCreateFromGenerator("EUR1M_"&amp;G61,H61,I61,J61,B61,D61,K61,L61)</f>
        <v>EUR1M_20Y:1</v>
      </c>
      <c r="O61" s="152" t="s">
        <v>14</v>
      </c>
      <c r="P61" s="151">
        <f ca="1">_xll.meLWOSwapParRate(N61,O61)</f>
        <v>1.4899999999982462E-3</v>
      </c>
      <c r="R61" s="150" t="str">
        <f>'EUR SWAP 1M'!I19</f>
        <v>20Y</v>
      </c>
      <c r="S61" s="149">
        <f>'EUR SWAP 1M'!J19</f>
        <v>1.49E-3</v>
      </c>
      <c r="T61" s="148">
        <f t="shared" ca="1" si="10"/>
        <v>1.753805434212552E-10</v>
      </c>
    </row>
    <row r="62" spans="2:20" x14ac:dyDescent="0.25">
      <c r="B62" s="147">
        <f ca="1">_xll.meDateFromTenor(AsOfDate,F62,"MOD_FOLLOWING",$C62,"")</f>
        <v>43991</v>
      </c>
      <c r="C62" s="146" t="str">
        <f t="shared" si="11"/>
        <v>TGT</v>
      </c>
      <c r="D62" s="145">
        <f ca="1">_xll.meDateFromTenor(B62,G62,)</f>
        <v>53122</v>
      </c>
      <c r="F62" s="144" t="s">
        <v>44</v>
      </c>
      <c r="G62" s="143" t="str">
        <f t="shared" si="8"/>
        <v>25Y</v>
      </c>
      <c r="H62" s="142" t="str">
        <f t="shared" si="9"/>
        <v>EUR_SWAP_1ML:1</v>
      </c>
      <c r="I62" s="141" t="s">
        <v>173</v>
      </c>
      <c r="J62" s="140">
        <v>1000000</v>
      </c>
      <c r="K62" s="139">
        <v>0</v>
      </c>
      <c r="L62" s="138">
        <v>0</v>
      </c>
      <c r="N62" s="137" t="str">
        <f ca="1">_xll.meLWOSwapCreateFromGenerator("EUR1M_"&amp;G62,H62,I62,J62,B62,D62,K62,L62)</f>
        <v>EUR1M_25Y:1</v>
      </c>
      <c r="O62" s="136" t="s">
        <v>14</v>
      </c>
      <c r="P62" s="135">
        <f ca="1">_xll.meLWOSwapParRate(N62,O62)</f>
        <v>1.5699999999701797E-3</v>
      </c>
      <c r="R62" s="134" t="str">
        <f>'EUR SWAP 1M'!I20</f>
        <v>25Y</v>
      </c>
      <c r="S62" s="133">
        <f>'EUR SWAP 1M'!J20</f>
        <v>1.5699999999999998E-3</v>
      </c>
      <c r="T62" s="132">
        <f t="shared" ca="1" si="10"/>
        <v>2.9820113392475811E-9</v>
      </c>
    </row>
    <row r="65" spans="2:20" x14ac:dyDescent="0.25">
      <c r="B65" s="122" t="s">
        <v>189</v>
      </c>
      <c r="C65" s="122"/>
      <c r="F65" s="182" t="s">
        <v>229</v>
      </c>
      <c r="N65" s="122" t="s">
        <v>188</v>
      </c>
      <c r="R65" s="122" t="s">
        <v>187</v>
      </c>
    </row>
    <row r="66" spans="2:20" x14ac:dyDescent="0.25">
      <c r="D66" s="181" t="s">
        <v>186</v>
      </c>
      <c r="H66" s="181" t="s">
        <v>185</v>
      </c>
    </row>
    <row r="67" spans="2:20" x14ac:dyDescent="0.25">
      <c r="B67" s="120" t="s">
        <v>183</v>
      </c>
      <c r="C67" s="120" t="s">
        <v>72</v>
      </c>
      <c r="D67" s="176" t="s">
        <v>184</v>
      </c>
      <c r="E67" s="176"/>
      <c r="F67" s="176" t="s">
        <v>183</v>
      </c>
      <c r="G67" s="120" t="s">
        <v>182</v>
      </c>
      <c r="H67" s="120" t="s">
        <v>181</v>
      </c>
      <c r="I67" s="120" t="s">
        <v>180</v>
      </c>
      <c r="J67" s="120" t="s">
        <v>179</v>
      </c>
      <c r="K67" s="120" t="s">
        <v>178</v>
      </c>
      <c r="L67" s="120" t="s">
        <v>177</v>
      </c>
      <c r="N67" s="120" t="s">
        <v>176</v>
      </c>
      <c r="O67" s="120" t="s">
        <v>13</v>
      </c>
      <c r="P67" s="120" t="s">
        <v>175</v>
      </c>
      <c r="R67" s="120" t="s">
        <v>5</v>
      </c>
      <c r="S67" s="120" t="s">
        <v>6</v>
      </c>
      <c r="T67" s="180" t="s">
        <v>174</v>
      </c>
    </row>
    <row r="68" spans="2:20" x14ac:dyDescent="0.25">
      <c r="B68" s="179">
        <f ca="1">_xll.meDateFromTenor(AsOfDate,F68,"MOD_FOLLOWING",$C68,"")</f>
        <v>43991</v>
      </c>
      <c r="C68" s="178" t="str">
        <f>VLOOKUP("PAYMENTCALENDAR",_xll.meLWOSwapGeneratorDisplay($H68),2,FALSE)</f>
        <v>TGT</v>
      </c>
      <c r="D68" s="177">
        <f ca="1">_xll.meDateFromTenor(B68,G68,)</f>
        <v>44721</v>
      </c>
      <c r="E68" s="176"/>
      <c r="F68" s="175" t="s">
        <v>44</v>
      </c>
      <c r="G68" s="174" t="str">
        <f t="shared" ref="G68:G82" si="12">R68</f>
        <v>2Y</v>
      </c>
      <c r="H68" s="173" t="str">
        <f t="shared" ref="H68:H82" si="13">Template.Swap.EUR.12M</f>
        <v>EUR_SWAP_12ML:1</v>
      </c>
      <c r="I68" s="172" t="s">
        <v>173</v>
      </c>
      <c r="J68" s="171">
        <v>1000000</v>
      </c>
      <c r="K68" s="170">
        <v>0</v>
      </c>
      <c r="L68" s="169">
        <v>0</v>
      </c>
      <c r="N68" s="168" t="str">
        <f ca="1">_xll.meLWOSwapCreateFromGenerator("EUR12M_"&amp;G68,H68,I68,J68,B68,D68,K68,L68)</f>
        <v>EUR12M_2Y:1</v>
      </c>
      <c r="O68" s="167" t="s">
        <v>14</v>
      </c>
      <c r="P68" s="189">
        <f ca="1">_xll.meLWOSwapParRate(N68,O68)</f>
        <v>-1.9999999999999758E-3</v>
      </c>
      <c r="R68" s="166" t="str">
        <f>'EUR SWAP 12M'!I6</f>
        <v>2Y</v>
      </c>
      <c r="S68" s="165">
        <f>'EUR SWAP 12M'!J6</f>
        <v>-2E-3</v>
      </c>
      <c r="T68" s="164">
        <f t="shared" ref="T68:T82" ca="1" si="14">ABS(P68-S68)*100000</f>
        <v>2.4286128663675299E-12</v>
      </c>
    </row>
    <row r="69" spans="2:20" x14ac:dyDescent="0.25">
      <c r="B69" s="163">
        <f ca="1">_xll.meDateFromTenor(AsOfDate,F69,"MOD_FOLLOWING",$C69,"")</f>
        <v>43991</v>
      </c>
      <c r="C69" s="162" t="str">
        <f t="shared" ref="C69:C82" si="15">C68</f>
        <v>TGT</v>
      </c>
      <c r="D69" s="161">
        <f ca="1">_xll.meDateFromTenor(B69,G69,)</f>
        <v>45086</v>
      </c>
      <c r="F69" s="160" t="s">
        <v>44</v>
      </c>
      <c r="G69" s="159" t="str">
        <f t="shared" si="12"/>
        <v>3Y</v>
      </c>
      <c r="H69" s="158" t="str">
        <f t="shared" si="13"/>
        <v>EUR_SWAP_12ML:1</v>
      </c>
      <c r="I69" s="157" t="s">
        <v>173</v>
      </c>
      <c r="J69" s="156">
        <v>1000000</v>
      </c>
      <c r="K69" s="155">
        <v>0</v>
      </c>
      <c r="L69" s="154">
        <v>0</v>
      </c>
      <c r="N69" s="153" t="str">
        <f ca="1">_xll.meLWOSwapCreateFromGenerator("EUR12M_"&amp;G69,H69,I69,J69,B69,D69,K69,L69)</f>
        <v>EUR12M_3Y:1</v>
      </c>
      <c r="O69" s="152" t="s">
        <v>14</v>
      </c>
      <c r="P69" s="151">
        <f ca="1">_xll.meLWOSwapParRate(N69,O69)</f>
        <v>-2.0499999999999789E-3</v>
      </c>
      <c r="R69" s="150" t="str">
        <f>'EUR SWAP 12M'!I7</f>
        <v>3Y</v>
      </c>
      <c r="S69" s="149">
        <f>'EUR SWAP 12M'!J7</f>
        <v>-2.0500000000000002E-3</v>
      </c>
      <c r="T69" s="148">
        <f t="shared" ca="1" si="14"/>
        <v>2.1250362580715887E-12</v>
      </c>
    </row>
    <row r="70" spans="2:20" x14ac:dyDescent="0.25">
      <c r="B70" s="163">
        <f ca="1">_xll.meDateFromTenor(AsOfDate,F70,"MOD_FOLLOWING",$C70,"")</f>
        <v>43991</v>
      </c>
      <c r="C70" s="162" t="str">
        <f t="shared" si="15"/>
        <v>TGT</v>
      </c>
      <c r="D70" s="161">
        <f ca="1">_xll.meDateFromTenor(B70,G70,)</f>
        <v>45452</v>
      </c>
      <c r="F70" s="160" t="s">
        <v>44</v>
      </c>
      <c r="G70" s="159" t="str">
        <f t="shared" si="12"/>
        <v>4Y</v>
      </c>
      <c r="H70" s="158" t="str">
        <f t="shared" si="13"/>
        <v>EUR_SWAP_12ML:1</v>
      </c>
      <c r="I70" s="157" t="s">
        <v>173</v>
      </c>
      <c r="J70" s="156">
        <v>1000000</v>
      </c>
      <c r="K70" s="155">
        <v>0</v>
      </c>
      <c r="L70" s="154">
        <v>0</v>
      </c>
      <c r="N70" s="153" t="str">
        <f ca="1">_xll.meLWOSwapCreateFromGenerator("EUR12M_"&amp;G70,H70,I70,J70,B70,D70,K70,L70)</f>
        <v>EUR12M_4Y:1</v>
      </c>
      <c r="O70" s="152" t="s">
        <v>14</v>
      </c>
      <c r="P70" s="151">
        <f ca="1">_xll.meLWOSwapParRate(N70,O70)</f>
        <v>-1.760000000000027E-3</v>
      </c>
      <c r="R70" s="150" t="str">
        <f>'EUR SWAP 12M'!I8</f>
        <v>4Y</v>
      </c>
      <c r="S70" s="149">
        <f>'EUR SWAP 12M'!J8</f>
        <v>-1.7599999999999998E-3</v>
      </c>
      <c r="T70" s="148">
        <f t="shared" ca="1" si="14"/>
        <v>2.7105054312137611E-12</v>
      </c>
    </row>
    <row r="71" spans="2:20" x14ac:dyDescent="0.25">
      <c r="B71" s="163">
        <f ca="1">_xll.meDateFromTenor(AsOfDate,F71,"MOD_FOLLOWING",$C71,"")</f>
        <v>43991</v>
      </c>
      <c r="C71" s="162" t="str">
        <f t="shared" si="15"/>
        <v>TGT</v>
      </c>
      <c r="D71" s="161">
        <f ca="1">_xll.meDateFromTenor(B71,G71,)</f>
        <v>45817</v>
      </c>
      <c r="F71" s="160" t="s">
        <v>44</v>
      </c>
      <c r="G71" s="159" t="str">
        <f t="shared" si="12"/>
        <v>5Y</v>
      </c>
      <c r="H71" s="158" t="str">
        <f t="shared" si="13"/>
        <v>EUR_SWAP_12ML:1</v>
      </c>
      <c r="I71" s="157" t="s">
        <v>173</v>
      </c>
      <c r="J71" s="156">
        <v>1000000</v>
      </c>
      <c r="K71" s="155">
        <v>0</v>
      </c>
      <c r="L71" s="154">
        <v>0</v>
      </c>
      <c r="N71" s="153" t="str">
        <f ca="1">_xll.meLWOSwapCreateFromGenerator("EUR12M_"&amp;G71,H71,I71,J71,B71,D71,K71,L71)</f>
        <v>EUR12M_5Y:1</v>
      </c>
      <c r="O71" s="152" t="s">
        <v>14</v>
      </c>
      <c r="P71" s="151">
        <f ca="1">_xll.meLWOSwapParRate(N71,O71)</f>
        <v>-1.4000000000001895E-3</v>
      </c>
      <c r="R71" s="150" t="str">
        <f>'EUR SWAP 12M'!I9</f>
        <v>5Y</v>
      </c>
      <c r="S71" s="149">
        <f>'EUR SWAP 12M'!J9</f>
        <v>-1.4000000000000002E-3</v>
      </c>
      <c r="T71" s="148">
        <f t="shared" ca="1" si="14"/>
        <v>1.8930169931596907E-11</v>
      </c>
    </row>
    <row r="72" spans="2:20" x14ac:dyDescent="0.25">
      <c r="B72" s="163">
        <f ca="1">_xll.meDateFromTenor(AsOfDate,F72,"MOD_FOLLOWING",$C72,"")</f>
        <v>43991</v>
      </c>
      <c r="C72" s="162" t="str">
        <f t="shared" si="15"/>
        <v>TGT</v>
      </c>
      <c r="D72" s="161">
        <f ca="1">_xll.meDateFromTenor(B72,G72,)</f>
        <v>46182</v>
      </c>
      <c r="F72" s="160" t="s">
        <v>44</v>
      </c>
      <c r="G72" s="159" t="str">
        <f t="shared" si="12"/>
        <v>6Y</v>
      </c>
      <c r="H72" s="158" t="str">
        <f t="shared" si="13"/>
        <v>EUR_SWAP_12ML:1</v>
      </c>
      <c r="I72" s="157" t="s">
        <v>173</v>
      </c>
      <c r="J72" s="156">
        <v>1000000</v>
      </c>
      <c r="K72" s="155">
        <v>0</v>
      </c>
      <c r="L72" s="154">
        <v>0</v>
      </c>
      <c r="N72" s="153" t="str">
        <f ca="1">_xll.meLWOSwapCreateFromGenerator("EUR12M_"&amp;G72,H72,I72,J72,B72,D72,K72,L72)</f>
        <v>EUR12M_6Y:1</v>
      </c>
      <c r="O72" s="152" t="s">
        <v>14</v>
      </c>
      <c r="P72" s="151">
        <f ca="1">_xll.meLWOSwapParRate(N72,O72)</f>
        <v>-9.7999999999990022E-4</v>
      </c>
      <c r="R72" s="150" t="str">
        <f>'EUR SWAP 12M'!I10</f>
        <v>6Y</v>
      </c>
      <c r="S72" s="149">
        <f>'EUR SWAP 12M'!J10</f>
        <v>-9.800000000000004E-4</v>
      </c>
      <c r="T72" s="148">
        <f t="shared" ca="1" si="14"/>
        <v>1.0018028073766061E-11</v>
      </c>
    </row>
    <row r="73" spans="2:20" x14ac:dyDescent="0.25">
      <c r="B73" s="163">
        <f ca="1">_xll.meDateFromTenor(AsOfDate,F73,"MOD_FOLLOWING",$C73,"")</f>
        <v>43991</v>
      </c>
      <c r="C73" s="162" t="str">
        <f t="shared" si="15"/>
        <v>TGT</v>
      </c>
      <c r="D73" s="161">
        <f ca="1">_xll.meDateFromTenor(B73,G73,)</f>
        <v>46547</v>
      </c>
      <c r="F73" s="160" t="s">
        <v>44</v>
      </c>
      <c r="G73" s="159" t="str">
        <f t="shared" si="12"/>
        <v>7Y</v>
      </c>
      <c r="H73" s="158" t="str">
        <f t="shared" si="13"/>
        <v>EUR_SWAP_12ML:1</v>
      </c>
      <c r="I73" s="157" t="s">
        <v>173</v>
      </c>
      <c r="J73" s="156">
        <v>1000000</v>
      </c>
      <c r="K73" s="155">
        <v>0</v>
      </c>
      <c r="L73" s="154">
        <v>0</v>
      </c>
      <c r="N73" s="153" t="str">
        <f ca="1">_xll.meLWOSwapCreateFromGenerator("EUR12M_"&amp;G73,H73,I73,J73,B73,D73,K73,L73)</f>
        <v>EUR12M_7Y:1</v>
      </c>
      <c r="O73" s="152" t="s">
        <v>14</v>
      </c>
      <c r="P73" s="151">
        <f ca="1">_xll.meLWOSwapParRate(N73,O73)</f>
        <v>-5.2000000000028098E-4</v>
      </c>
      <c r="R73" s="150" t="str">
        <f>'EUR SWAP 12M'!I11</f>
        <v>7Y</v>
      </c>
      <c r="S73" s="149">
        <f>'EUR SWAP 12M'!J11</f>
        <v>-5.2000000000000006E-4</v>
      </c>
      <c r="T73" s="148">
        <f t="shared" ca="1" si="14"/>
        <v>2.809167828909942E-11</v>
      </c>
    </row>
    <row r="74" spans="2:20" x14ac:dyDescent="0.25">
      <c r="B74" s="163">
        <f ca="1">_xll.meDateFromTenor(AsOfDate,F74,"MOD_FOLLOWING",$C74,"")</f>
        <v>43991</v>
      </c>
      <c r="C74" s="162" t="str">
        <f t="shared" si="15"/>
        <v>TGT</v>
      </c>
      <c r="D74" s="161">
        <f ca="1">_xll.meDateFromTenor(B74,G74,)</f>
        <v>46913</v>
      </c>
      <c r="F74" s="160" t="s">
        <v>44</v>
      </c>
      <c r="G74" s="159" t="str">
        <f t="shared" si="12"/>
        <v>8Y</v>
      </c>
      <c r="H74" s="158" t="str">
        <f t="shared" si="13"/>
        <v>EUR_SWAP_12ML:1</v>
      </c>
      <c r="I74" s="157" t="s">
        <v>173</v>
      </c>
      <c r="J74" s="156">
        <v>1000000</v>
      </c>
      <c r="K74" s="155">
        <v>0</v>
      </c>
      <c r="L74" s="154">
        <v>0</v>
      </c>
      <c r="N74" s="153" t="str">
        <f ca="1">_xll.meLWOSwapCreateFromGenerator("EUR12M_"&amp;G74,H74,I74,J74,B74,D74,K74,L74)</f>
        <v>EUR12M_8Y:1</v>
      </c>
      <c r="O74" s="152" t="s">
        <v>14</v>
      </c>
      <c r="P74" s="151">
        <f ca="1">_xll.meLWOSwapParRate(N74,O74)</f>
        <v>-5.0000000000488158E-5</v>
      </c>
      <c r="R74" s="150" t="str">
        <f>'EUR SWAP 12M'!I12</f>
        <v>8Y</v>
      </c>
      <c r="S74" s="149">
        <f>'EUR SWAP 12M'!J12</f>
        <v>-5.0000000000000131E-5</v>
      </c>
      <c r="T74" s="148">
        <f t="shared" ca="1" si="14"/>
        <v>4.8802650289003768E-11</v>
      </c>
    </row>
    <row r="75" spans="2:20" x14ac:dyDescent="0.25">
      <c r="B75" s="163">
        <f ca="1">_xll.meDateFromTenor(AsOfDate,F75,"MOD_FOLLOWING",$C75,"")</f>
        <v>43991</v>
      </c>
      <c r="C75" s="162" t="str">
        <f t="shared" si="15"/>
        <v>TGT</v>
      </c>
      <c r="D75" s="161">
        <f ca="1">_xll.meDateFromTenor(B75,G75,)</f>
        <v>47278</v>
      </c>
      <c r="F75" s="160" t="s">
        <v>44</v>
      </c>
      <c r="G75" s="159" t="str">
        <f t="shared" si="12"/>
        <v>9Y</v>
      </c>
      <c r="H75" s="158" t="str">
        <f t="shared" si="13"/>
        <v>EUR_SWAP_12ML:1</v>
      </c>
      <c r="I75" s="157" t="s">
        <v>173</v>
      </c>
      <c r="J75" s="156">
        <v>1000000</v>
      </c>
      <c r="K75" s="155">
        <v>0</v>
      </c>
      <c r="L75" s="154">
        <v>0</v>
      </c>
      <c r="N75" s="153" t="str">
        <f ca="1">_xll.meLWOSwapCreateFromGenerator("EUR12M_"&amp;G75,H75,I75,J75,B75,D75,K75,L75)</f>
        <v>EUR12M_9Y:1</v>
      </c>
      <c r="O75" s="152" t="s">
        <v>14</v>
      </c>
      <c r="P75" s="151">
        <f ca="1">_xll.meLWOSwapParRate(N75,O75)</f>
        <v>4.4999999999981925E-4</v>
      </c>
      <c r="R75" s="150" t="str">
        <f>'EUR SWAP 12M'!I13</f>
        <v>9Y</v>
      </c>
      <c r="S75" s="149">
        <f>'EUR SWAP 12M'!J13</f>
        <v>4.4999999999999988E-4</v>
      </c>
      <c r="T75" s="148">
        <f t="shared" ca="1" si="14"/>
        <v>1.8062808193608504E-11</v>
      </c>
    </row>
    <row r="76" spans="2:20" x14ac:dyDescent="0.25">
      <c r="B76" s="163">
        <f ca="1">_xll.meDateFromTenor(AsOfDate,F76,"MOD_FOLLOWING",$C76,"")</f>
        <v>43991</v>
      </c>
      <c r="C76" s="162" t="str">
        <f t="shared" si="15"/>
        <v>TGT</v>
      </c>
      <c r="D76" s="161">
        <f ca="1">_xll.meDateFromTenor(B76,G76,)</f>
        <v>47643</v>
      </c>
      <c r="F76" s="160" t="s">
        <v>44</v>
      </c>
      <c r="G76" s="159" t="str">
        <f t="shared" si="12"/>
        <v>10Y</v>
      </c>
      <c r="H76" s="158" t="str">
        <f t="shared" si="13"/>
        <v>EUR_SWAP_12ML:1</v>
      </c>
      <c r="I76" s="157" t="s">
        <v>173</v>
      </c>
      <c r="J76" s="156">
        <v>1000000</v>
      </c>
      <c r="K76" s="155">
        <v>0</v>
      </c>
      <c r="L76" s="154">
        <v>0</v>
      </c>
      <c r="N76" s="153" t="str">
        <f ca="1">_xll.meLWOSwapCreateFromGenerator("EUR12M_"&amp;G76,H76,I76,J76,B76,D76,K76,L76)</f>
        <v>EUR12M_10Y:1</v>
      </c>
      <c r="O76" s="152" t="s">
        <v>14</v>
      </c>
      <c r="P76" s="151">
        <f ca="1">_xll.meLWOSwapParRate(N76,O76)</f>
        <v>9.300000000024909E-4</v>
      </c>
      <c r="R76" s="150" t="str">
        <f>'EUR SWAP 12M'!I14</f>
        <v>10Y</v>
      </c>
      <c r="S76" s="149">
        <f>'EUR SWAP 12M'!J14</f>
        <v>9.3000000000000005E-4</v>
      </c>
      <c r="T76" s="148">
        <f t="shared" ca="1" si="14"/>
        <v>2.4908460710681979E-10</v>
      </c>
    </row>
    <row r="77" spans="2:20" x14ac:dyDescent="0.25">
      <c r="B77" s="163">
        <f ca="1">_xll.meDateFromTenor(AsOfDate,F77,"MOD_FOLLOWING",$C77,"")</f>
        <v>43991</v>
      </c>
      <c r="C77" s="162" t="str">
        <f t="shared" si="15"/>
        <v>TGT</v>
      </c>
      <c r="D77" s="161">
        <f ca="1">_xll.meDateFromTenor(B77,G77,)</f>
        <v>48008</v>
      </c>
      <c r="F77" s="160" t="s">
        <v>44</v>
      </c>
      <c r="G77" s="159" t="str">
        <f t="shared" si="12"/>
        <v>11Y</v>
      </c>
      <c r="H77" s="158" t="str">
        <f t="shared" si="13"/>
        <v>EUR_SWAP_12ML:1</v>
      </c>
      <c r="I77" s="157" t="s">
        <v>173</v>
      </c>
      <c r="J77" s="156">
        <v>1000000</v>
      </c>
      <c r="K77" s="155">
        <v>0</v>
      </c>
      <c r="L77" s="154">
        <v>0</v>
      </c>
      <c r="N77" s="153" t="str">
        <f ca="1">_xll.meLWOSwapCreateFromGenerator("EUR12M_"&amp;G77,H77,I77,J77,B77,D77,K77,L77)</f>
        <v>EUR12M_11Y:1</v>
      </c>
      <c r="O77" s="152" t="s">
        <v>14</v>
      </c>
      <c r="P77" s="151">
        <f ca="1">_xll.meLWOSwapParRate(N77,O77)</f>
        <v>1.3799999999962876E-3</v>
      </c>
      <c r="R77" s="150" t="str">
        <f>'EUR SWAP 12M'!I15</f>
        <v>11Y</v>
      </c>
      <c r="S77" s="149">
        <f>'EUR SWAP 12M'!J15</f>
        <v>1.3799999999999999E-3</v>
      </c>
      <c r="T77" s="148">
        <f t="shared" ca="1" si="14"/>
        <v>3.7123082385903672E-10</v>
      </c>
    </row>
    <row r="78" spans="2:20" x14ac:dyDescent="0.25">
      <c r="B78" s="163">
        <f ca="1">_xll.meDateFromTenor(AsOfDate,F78,"MOD_FOLLOWING",$C78,"")</f>
        <v>43991</v>
      </c>
      <c r="C78" s="162" t="str">
        <f t="shared" si="15"/>
        <v>TGT</v>
      </c>
      <c r="D78" s="161">
        <f ca="1">_xll.meDateFromTenor(B78,G78,)</f>
        <v>48374</v>
      </c>
      <c r="F78" s="160" t="s">
        <v>44</v>
      </c>
      <c r="G78" s="159" t="str">
        <f t="shared" si="12"/>
        <v>12Y</v>
      </c>
      <c r="H78" s="158" t="str">
        <f t="shared" si="13"/>
        <v>EUR_SWAP_12ML:1</v>
      </c>
      <c r="I78" s="157" t="s">
        <v>173</v>
      </c>
      <c r="J78" s="156">
        <v>1000000</v>
      </c>
      <c r="K78" s="155">
        <v>0</v>
      </c>
      <c r="L78" s="154">
        <v>0</v>
      </c>
      <c r="N78" s="153" t="str">
        <f ca="1">_xll.meLWOSwapCreateFromGenerator("EUR12M_"&amp;G78,H78,I78,J78,B78,D78,K78,L78)</f>
        <v>EUR12M_12Y:1</v>
      </c>
      <c r="O78" s="152" t="s">
        <v>14</v>
      </c>
      <c r="P78" s="151">
        <f ca="1">_xll.meLWOSwapParRate(N78,O78)</f>
        <v>1.8299999999965703E-3</v>
      </c>
      <c r="R78" s="150" t="str">
        <f>'EUR SWAP 12M'!I16</f>
        <v>12Y</v>
      </c>
      <c r="S78" s="149">
        <f>'EUR SWAP 12M'!J16</f>
        <v>1.83E-3</v>
      </c>
      <c r="T78" s="148">
        <f t="shared" ca="1" si="14"/>
        <v>3.4297651524406447E-10</v>
      </c>
    </row>
    <row r="79" spans="2:20" x14ac:dyDescent="0.25">
      <c r="B79" s="163">
        <f ca="1">_xll.meDateFromTenor(AsOfDate,F79,"MOD_FOLLOWING",$C79,"")</f>
        <v>43991</v>
      </c>
      <c r="C79" s="162" t="str">
        <f t="shared" si="15"/>
        <v>TGT</v>
      </c>
      <c r="D79" s="161">
        <f ca="1">_xll.meDateFromTenor(B79,G79,)</f>
        <v>49469</v>
      </c>
      <c r="F79" s="160" t="s">
        <v>44</v>
      </c>
      <c r="G79" s="159" t="str">
        <f t="shared" si="12"/>
        <v>15Y</v>
      </c>
      <c r="H79" s="158" t="str">
        <f t="shared" si="13"/>
        <v>EUR_SWAP_12ML:1</v>
      </c>
      <c r="I79" s="157" t="s">
        <v>173</v>
      </c>
      <c r="J79" s="156">
        <v>1000000</v>
      </c>
      <c r="K79" s="155">
        <v>0</v>
      </c>
      <c r="L79" s="154">
        <v>0</v>
      </c>
      <c r="N79" s="153" t="str">
        <f ca="1">_xll.meLWOSwapCreateFromGenerator("EUR12M_"&amp;G79,H79,I79,J79,B79,D79,K79,L79)</f>
        <v>EUR12M_15Y:1</v>
      </c>
      <c r="O79" s="152" t="s">
        <v>14</v>
      </c>
      <c r="P79" s="151">
        <f ca="1">_xll.meLWOSwapParRate(N79,O79)</f>
        <v>2.9200000000050709E-3</v>
      </c>
      <c r="R79" s="150" t="str">
        <f>'EUR SWAP 12M'!I17</f>
        <v>15Y</v>
      </c>
      <c r="S79" s="149">
        <f>'EUR SWAP 12M'!J17</f>
        <v>2.9199999999999999E-3</v>
      </c>
      <c r="T79" s="148">
        <f t="shared" ca="1" si="14"/>
        <v>5.0710304011492013E-10</v>
      </c>
    </row>
    <row r="80" spans="2:20" x14ac:dyDescent="0.25">
      <c r="B80" s="163">
        <f ca="1">_xll.meDateFromTenor(AsOfDate,F80,"MOD_FOLLOWING",$C80,"")</f>
        <v>43991</v>
      </c>
      <c r="C80" s="162" t="str">
        <f t="shared" si="15"/>
        <v>TGT</v>
      </c>
      <c r="D80" s="161">
        <f ca="1">_xll.meDateFromTenor(B80,G80,)</f>
        <v>51296</v>
      </c>
      <c r="F80" s="160" t="s">
        <v>44</v>
      </c>
      <c r="G80" s="159" t="str">
        <f t="shared" si="12"/>
        <v>20Y</v>
      </c>
      <c r="H80" s="158" t="str">
        <f t="shared" si="13"/>
        <v>EUR_SWAP_12ML:1</v>
      </c>
      <c r="I80" s="157" t="s">
        <v>173</v>
      </c>
      <c r="J80" s="156">
        <v>1000000</v>
      </c>
      <c r="K80" s="155">
        <v>0</v>
      </c>
      <c r="L80" s="154">
        <v>0</v>
      </c>
      <c r="N80" s="153" t="str">
        <f ca="1">_xll.meLWOSwapCreateFromGenerator("EUR12M_"&amp;G80,H80,I80,J80,B80,D80,K80,L80)</f>
        <v>EUR12M_20Y:1</v>
      </c>
      <c r="O80" s="152" t="s">
        <v>14</v>
      </c>
      <c r="P80" s="151">
        <f ca="1">_xll.meLWOSwapParRate(N80,O80)</f>
        <v>3.7900000000049639E-3</v>
      </c>
      <c r="R80" s="150" t="str">
        <f>'EUR SWAP 12M'!I18</f>
        <v>20Y</v>
      </c>
      <c r="S80" s="149">
        <f>'EUR SWAP 12M'!J18</f>
        <v>3.79E-3</v>
      </c>
      <c r="T80" s="148">
        <f t="shared" ca="1" si="14"/>
        <v>4.9639112265076335E-10</v>
      </c>
    </row>
    <row r="81" spans="2:20" x14ac:dyDescent="0.25">
      <c r="B81" s="163">
        <f ca="1">_xll.meDateFromTenor(AsOfDate,F81,"MOD_FOLLOWING",$C81,"")</f>
        <v>43991</v>
      </c>
      <c r="C81" s="162" t="str">
        <f t="shared" si="15"/>
        <v>TGT</v>
      </c>
      <c r="D81" s="161">
        <f ca="1">_xll.meDateFromTenor(B81,G81,)</f>
        <v>53122</v>
      </c>
      <c r="F81" s="160" t="s">
        <v>44</v>
      </c>
      <c r="G81" s="159" t="str">
        <f t="shared" si="12"/>
        <v>25Y</v>
      </c>
      <c r="H81" s="158" t="str">
        <f t="shared" si="13"/>
        <v>EUR_SWAP_12ML:1</v>
      </c>
      <c r="I81" s="157" t="s">
        <v>173</v>
      </c>
      <c r="J81" s="156">
        <v>1000000</v>
      </c>
      <c r="K81" s="155">
        <v>0</v>
      </c>
      <c r="L81" s="154">
        <v>0</v>
      </c>
      <c r="N81" s="153" t="str">
        <f ca="1">_xll.meLWOSwapCreateFromGenerator("EUR12M_"&amp;G81,H81,I81,J81,B81,D81,K81,L81)</f>
        <v>EUR12M_25Y:1</v>
      </c>
      <c r="O81" s="152" t="s">
        <v>14</v>
      </c>
      <c r="P81" s="151">
        <f ca="1">_xll.meLWOSwapParRate(N81,O81)</f>
        <v>3.8700000000037272E-3</v>
      </c>
      <c r="R81" s="150" t="str">
        <f>'EUR SWAP 12M'!I19</f>
        <v>25Y</v>
      </c>
      <c r="S81" s="149">
        <f>'EUR SWAP 12M'!J19</f>
        <v>3.8699999999999997E-3</v>
      </c>
      <c r="T81" s="148">
        <f t="shared" ca="1" si="14"/>
        <v>3.7274870690051642E-10</v>
      </c>
    </row>
    <row r="82" spans="2:20" x14ac:dyDescent="0.25">
      <c r="B82" s="147">
        <f ca="1">_xll.meDateFromTenor(AsOfDate,F82,"MOD_FOLLOWING",$C82,"")</f>
        <v>43991</v>
      </c>
      <c r="C82" s="146" t="str">
        <f t="shared" si="15"/>
        <v>TGT</v>
      </c>
      <c r="D82" s="145">
        <f ca="1">_xll.meDateFromTenor(B82,G82,)</f>
        <v>54948</v>
      </c>
      <c r="F82" s="144" t="s">
        <v>44</v>
      </c>
      <c r="G82" s="143" t="str">
        <f t="shared" si="12"/>
        <v>30Y</v>
      </c>
      <c r="H82" s="142" t="str">
        <f t="shared" si="13"/>
        <v>EUR_SWAP_12ML:1</v>
      </c>
      <c r="I82" s="141" t="s">
        <v>173</v>
      </c>
      <c r="J82" s="140">
        <v>1000000</v>
      </c>
      <c r="K82" s="139">
        <v>0</v>
      </c>
      <c r="L82" s="138">
        <v>0</v>
      </c>
      <c r="N82" s="137" t="str">
        <f ca="1">_xll.meLWOSwapCreateFromGenerator("EUR12M_"&amp;G82,H82,I82,J82,B82,D82,K82,L82)</f>
        <v>EUR12M_30Y:1</v>
      </c>
      <c r="O82" s="136" t="s">
        <v>14</v>
      </c>
      <c r="P82" s="135">
        <f ca="1">_xll.meLWOSwapParRate(N82,O82)</f>
        <v>3.6300000000047692E-3</v>
      </c>
      <c r="R82" s="134" t="str">
        <f>'EUR SWAP 12M'!I20</f>
        <v>30Y</v>
      </c>
      <c r="S82" s="133">
        <f>'EUR SWAP 12M'!J20</f>
        <v>3.63E-3</v>
      </c>
      <c r="T82" s="132">
        <f t="shared" ca="1" si="14"/>
        <v>4.7691885163292369E-10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19</vt:i4>
      </vt:variant>
    </vt:vector>
  </HeadingPairs>
  <TitlesOfParts>
    <vt:vector size="28" baseType="lpstr">
      <vt:lpstr>CURVE TEMPLATES</vt:lpstr>
      <vt:lpstr>SWAP TEMPLATES</vt:lpstr>
      <vt:lpstr>EUR OIS</vt:lpstr>
      <vt:lpstr>EUR SWAP 3M</vt:lpstr>
      <vt:lpstr>EUR SWAP 6M</vt:lpstr>
      <vt:lpstr>EUR SWAP 1M</vt:lpstr>
      <vt:lpstr>EUR SWAP 12M</vt:lpstr>
      <vt:lpstr>CHART</vt:lpstr>
      <vt:lpstr>SWAPS</vt:lpstr>
      <vt:lpstr>AsOfDate</vt:lpstr>
      <vt:lpstr>doesExistEUR12M</vt:lpstr>
      <vt:lpstr>doesExistEUR1M</vt:lpstr>
      <vt:lpstr>doesExistEUR3M</vt:lpstr>
      <vt:lpstr>doesExistEUR6M</vt:lpstr>
      <vt:lpstr>doesExistEUROIS</vt:lpstr>
      <vt:lpstr>EURSwaps.Results.EUR12ML</vt:lpstr>
      <vt:lpstr>EURSwaps.Results.EUR1ML</vt:lpstr>
      <vt:lpstr>EURSwaps.Results.EUR3ML</vt:lpstr>
      <vt:lpstr>EURSwaps.Results.EUR6ML</vt:lpstr>
      <vt:lpstr>Template.Swap.EUR.12M</vt:lpstr>
      <vt:lpstr>Template.Swap.EUR.1M</vt:lpstr>
      <vt:lpstr>Template.Swap.EUR.3M</vt:lpstr>
      <vt:lpstr>Template.Swap.EUR.6M</vt:lpstr>
      <vt:lpstr>Templates.EUR.12M</vt:lpstr>
      <vt:lpstr>Templates.EUR.1M</vt:lpstr>
      <vt:lpstr>Templates.EUR.3M</vt:lpstr>
      <vt:lpstr>Templates.EUR.6M</vt:lpstr>
      <vt:lpstr>Templates.EUR.OIS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2020-06-04T15:07:11Z</dcterms:created>
  <dcterms:modified xsi:type="dcterms:W3CDTF">2020-06-05T09:24:35Z</dcterms:modified>
</cp:coreProperties>
</file>