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bookViews>
    <workbookView xWindow="0" yWindow="0" windowWidth="20490" windowHeight="7095" firstSheet="2" activeTab="2"/>
  </bookViews>
  <sheets>
    <sheet name="DATA" sheetId="3" state="hidden" r:id="rId1"/>
    <sheet name="CONFIG" sheetId="4" state="hidden" r:id="rId2"/>
    <sheet name="CURVE" sheetId="1" r:id="rId3"/>
    <sheet name="CHART" sheetId="2" r:id="rId4"/>
  </sheets>
  <externalReferences>
    <externalReference r:id="rId5"/>
    <externalReference r:id="rId6"/>
    <externalReference r:id="rId7"/>
  </externalReferences>
  <definedNames>
    <definedName name="calibrationTerms">[1]CURVE_SMOOTHING!$A$9:OFFSET([1]CURVE_SMOOTHING!$A$9,[1]CURVE_SMOOTHING!$B$7-1,0)</definedName>
    <definedName name="CurveCollection" localSheetId="2">CURVE!#REF!</definedName>
    <definedName name="enableGlobalCalibration">[2]Settings!$E$4</definedName>
    <definedName name="PaymentDates">[1]CURVE_SMOOTHING!$B$9:OFFSET([1]CURVE_SMOOTHING!$B$9,[1]CURVE_SMOOTHING!$B$7-1,0)</definedName>
    <definedName name="PolynomialOrder">[1]CURVE_SMOOTHING!$C$5</definedName>
    <definedName name="Settings.COB">[2]Settings!$C$4</definedName>
    <definedName name="Settings.PulseFrequency">[2]Settings!$O$2</definedName>
    <definedName name="SmoothedForwards">[1]CURVE_SMOOTHING!$E$9:OFFSET([1]CURVE_SMOOTHING!$E$9,[1]CURVE_SMOOTHING!$B$7-1,0)</definedName>
    <definedName name="USD_SOFR_CURVE_GENERATOR">[3]SWAP_GENERATORS!#REF!</definedName>
    <definedName name="USD_SOFR_SWAP_GENERATOR">[3]SWAP_GENERATORS!$D$5</definedName>
    <definedName name="USD_SOFR_SWAP_GENERATOR_UNDER_1Y">[3]SWAP_GENERATORS!$J$5</definedName>
    <definedName name="xValues">[1]CURVE_SMOOTHING!$H$9:$H$28</definedName>
    <definedName name="yValues">[1]CURVE_SMOOTHING!$K$9:$K$28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 a="1"/>
  <c r="H6" i="1"/>
  <c r="I6" i="1"/>
  <c r="L14" i="3"/>
  <c r="D6" i="3"/>
  <c r="D14" i="3"/>
  <c r="D22" i="3"/>
  <c r="D7" i="3"/>
  <c r="D15" i="3"/>
  <c r="D8" i="3"/>
  <c r="D16" i="3"/>
  <c r="D20" i="3"/>
  <c r="D9" i="3"/>
  <c r="D17" i="3"/>
  <c r="D12" i="3"/>
  <c r="D10" i="3"/>
  <c r="D18" i="3"/>
  <c r="D11" i="3"/>
  <c r="D19" i="3"/>
  <c r="D13" i="3"/>
  <c r="D21" i="3"/>
  <c r="H5" i="3"/>
  <c r="H13" i="3"/>
  <c r="H19" i="3"/>
  <c r="H6" i="3"/>
  <c r="H14" i="3"/>
  <c r="H22" i="3"/>
  <c r="H18" i="3"/>
  <c r="H11" i="3"/>
  <c r="H7" i="3"/>
  <c r="H15" i="3"/>
  <c r="D5" i="3"/>
  <c r="H8" i="3"/>
  <c r="H16" i="3"/>
  <c r="H10" i="3"/>
  <c r="H9" i="3"/>
  <c r="H17" i="3"/>
  <c r="H12" i="3"/>
  <c r="H20" i="3"/>
  <c r="L5" i="3"/>
  <c r="L13" i="3"/>
  <c r="L21" i="3"/>
  <c r="L12" i="3"/>
  <c r="L20" i="3"/>
  <c r="L6" i="3"/>
  <c r="L7" i="3"/>
  <c r="L8" i="3"/>
  <c r="L16" i="3"/>
  <c r="L9" i="3"/>
  <c r="L17" i="3"/>
  <c r="L10" i="3"/>
  <c r="L18" i="3"/>
  <c r="L11" i="3"/>
  <c r="L19" i="3"/>
  <c r="B5" i="2" l="1"/>
  <c r="B9" i="2"/>
  <c r="B13" i="2"/>
  <c r="B17" i="2"/>
  <c r="B21" i="2"/>
  <c r="B25" i="2"/>
  <c r="B29" i="2"/>
  <c r="B33" i="2"/>
  <c r="B37" i="2"/>
  <c r="B41" i="2"/>
  <c r="B45" i="2"/>
  <c r="B49" i="2"/>
  <c r="B53" i="2"/>
  <c r="B57" i="2"/>
  <c r="B61" i="2"/>
  <c r="B65" i="2"/>
  <c r="B69" i="2"/>
  <c r="B73" i="2"/>
  <c r="B77" i="2"/>
  <c r="B81" i="2"/>
  <c r="B85" i="2"/>
  <c r="B89" i="2"/>
  <c r="B93" i="2"/>
  <c r="B97" i="2"/>
  <c r="B101" i="2"/>
  <c r="B105" i="2"/>
  <c r="B109" i="2"/>
  <c r="B113" i="2"/>
  <c r="B117" i="2"/>
  <c r="B121" i="2"/>
  <c r="B125" i="2"/>
  <c r="C89" i="2"/>
  <c r="C97" i="2"/>
  <c r="C105" i="2"/>
  <c r="C109" i="2"/>
  <c r="C117" i="2"/>
  <c r="C121" i="2"/>
  <c r="C125" i="2"/>
  <c r="B10" i="2"/>
  <c r="B22" i="2"/>
  <c r="B26" i="2"/>
  <c r="B34" i="2"/>
  <c r="B38" i="2"/>
  <c r="B42" i="2"/>
  <c r="B54" i="2"/>
  <c r="B62" i="2"/>
  <c r="B70" i="2"/>
  <c r="B74" i="2"/>
  <c r="B86" i="2"/>
  <c r="B94" i="2"/>
  <c r="B102" i="2"/>
  <c r="B110" i="2"/>
  <c r="B122" i="2"/>
  <c r="B126" i="2"/>
  <c r="C102" i="2"/>
  <c r="C114" i="2"/>
  <c r="B7" i="2"/>
  <c r="B23" i="2"/>
  <c r="B27" i="2"/>
  <c r="B35" i="2"/>
  <c r="B51" i="2"/>
  <c r="B67" i="2"/>
  <c r="B83" i="2"/>
  <c r="B103" i="2"/>
  <c r="C15" i="2"/>
  <c r="C27" i="2"/>
  <c r="C39" i="2"/>
  <c r="C55" i="2"/>
  <c r="C71" i="2"/>
  <c r="C87" i="2"/>
  <c r="C107" i="2"/>
  <c r="C119" i="2"/>
  <c r="C96" i="2"/>
  <c r="C112" i="2"/>
  <c r="C5" i="2"/>
  <c r="C9" i="2"/>
  <c r="C13" i="2"/>
  <c r="C17" i="2"/>
  <c r="C21" i="2"/>
  <c r="C25" i="2"/>
  <c r="C29" i="2"/>
  <c r="C33" i="2"/>
  <c r="C37" i="2"/>
  <c r="C41" i="2"/>
  <c r="C45" i="2"/>
  <c r="C49" i="2"/>
  <c r="C53" i="2"/>
  <c r="C57" i="2"/>
  <c r="C61" i="2"/>
  <c r="C65" i="2"/>
  <c r="C69" i="2"/>
  <c r="C73" i="2"/>
  <c r="C77" i="2"/>
  <c r="C81" i="2"/>
  <c r="C85" i="2"/>
  <c r="C93" i="2"/>
  <c r="C101" i="2"/>
  <c r="C113" i="2"/>
  <c r="B14" i="2"/>
  <c r="B46" i="2"/>
  <c r="B58" i="2"/>
  <c r="B66" i="2"/>
  <c r="B78" i="2"/>
  <c r="B90" i="2"/>
  <c r="B98" i="2"/>
  <c r="B106" i="2"/>
  <c r="B114" i="2"/>
  <c r="C110" i="2"/>
  <c r="C126" i="2"/>
  <c r="B11" i="2"/>
  <c r="B47" i="2"/>
  <c r="B63" i="2"/>
  <c r="B79" i="2"/>
  <c r="B95" i="2"/>
  <c r="B111" i="2"/>
  <c r="B123" i="2"/>
  <c r="C19" i="2"/>
  <c r="C43" i="2"/>
  <c r="C63" i="2"/>
  <c r="C79" i="2"/>
  <c r="C95" i="2"/>
  <c r="C116" i="2"/>
  <c r="B6" i="2"/>
  <c r="B18" i="2"/>
  <c r="B30" i="2"/>
  <c r="B50" i="2"/>
  <c r="B82" i="2"/>
  <c r="B118" i="2"/>
  <c r="C118" i="2"/>
  <c r="B15" i="2"/>
  <c r="B31" i="2"/>
  <c r="B43" i="2"/>
  <c r="B55" i="2"/>
  <c r="B71" i="2"/>
  <c r="B87" i="2"/>
  <c r="B99" i="2"/>
  <c r="B115" i="2"/>
  <c r="C7" i="2"/>
  <c r="C23" i="2"/>
  <c r="C35" i="2"/>
  <c r="C51" i="2"/>
  <c r="C59" i="2"/>
  <c r="C75" i="2"/>
  <c r="C91" i="2"/>
  <c r="C103" i="2"/>
  <c r="C115" i="2"/>
  <c r="C108" i="2"/>
  <c r="C6" i="2"/>
  <c r="C10" i="2"/>
  <c r="C14" i="2"/>
  <c r="C18" i="2"/>
  <c r="C22" i="2"/>
  <c r="C26" i="2"/>
  <c r="C30" i="2"/>
  <c r="C34" i="2"/>
  <c r="C38" i="2"/>
  <c r="C42" i="2"/>
  <c r="C46" i="2"/>
  <c r="C50" i="2"/>
  <c r="C54" i="2"/>
  <c r="C58" i="2"/>
  <c r="C62" i="2"/>
  <c r="C66" i="2"/>
  <c r="C70" i="2"/>
  <c r="C74" i="2"/>
  <c r="C78" i="2"/>
  <c r="C82" i="2"/>
  <c r="C86" i="2"/>
  <c r="C90" i="2"/>
  <c r="C94" i="2"/>
  <c r="C98" i="2"/>
  <c r="C106" i="2"/>
  <c r="C122" i="2"/>
  <c r="B19" i="2"/>
  <c r="B39" i="2"/>
  <c r="B59" i="2"/>
  <c r="B75" i="2"/>
  <c r="B91" i="2"/>
  <c r="B107" i="2"/>
  <c r="B119" i="2"/>
  <c r="C11" i="2"/>
  <c r="C31" i="2"/>
  <c r="C47" i="2"/>
  <c r="C67" i="2"/>
  <c r="C83" i="2"/>
  <c r="C99" i="2"/>
  <c r="C111" i="2"/>
  <c r="C123" i="2"/>
  <c r="C100" i="2"/>
  <c r="C124" i="2"/>
  <c r="B8" i="2"/>
  <c r="B12" i="2"/>
  <c r="B16" i="2"/>
  <c r="B20" i="2"/>
  <c r="B24" i="2"/>
  <c r="B28" i="2"/>
  <c r="B32" i="2"/>
  <c r="B36" i="2"/>
  <c r="B40" i="2"/>
  <c r="B44" i="2"/>
  <c r="B48" i="2"/>
  <c r="B52" i="2"/>
  <c r="B56" i="2"/>
  <c r="B60" i="2"/>
  <c r="B64" i="2"/>
  <c r="B68" i="2"/>
  <c r="B72" i="2"/>
  <c r="B76" i="2"/>
  <c r="B80" i="2"/>
  <c r="B84" i="2"/>
  <c r="B88" i="2"/>
  <c r="B92" i="2"/>
  <c r="B96" i="2"/>
  <c r="B100" i="2"/>
  <c r="B104" i="2"/>
  <c r="B108" i="2"/>
  <c r="B112" i="2"/>
  <c r="B116" i="2"/>
  <c r="B120" i="2"/>
  <c r="B124" i="2"/>
  <c r="C8" i="2"/>
  <c r="C12" i="2"/>
  <c r="C16" i="2"/>
  <c r="C20" i="2"/>
  <c r="C24" i="2"/>
  <c r="C28" i="2"/>
  <c r="C32" i="2"/>
  <c r="C36" i="2"/>
  <c r="C40" i="2"/>
  <c r="C44" i="2"/>
  <c r="C48" i="2"/>
  <c r="C52" i="2"/>
  <c r="C56" i="2"/>
  <c r="C60" i="2"/>
  <c r="C64" i="2"/>
  <c r="C68" i="2"/>
  <c r="C72" i="2"/>
  <c r="C76" i="2"/>
  <c r="C80" i="2"/>
  <c r="C84" i="2"/>
  <c r="C88" i="2"/>
  <c r="C92" i="2"/>
  <c r="C104" i="2"/>
  <c r="C120" i="2"/>
  <c r="H7" i="1"/>
  <c r="L22" i="3"/>
  <c r="L15" i="3"/>
  <c r="H21" i="3"/>
  <c r="I7" i="1"/>
  <c r="H8" i="1" l="1"/>
  <c r="I8" i="1"/>
  <c r="H9" i="1" l="1"/>
  <c r="I9" i="1"/>
  <c r="D13" i="1" s="1"/>
  <c r="D27" i="1" l="1" a="1"/>
  <c r="D27" i="1" l="1"/>
  <c r="D30" i="1"/>
  <c r="D28" i="1"/>
  <c r="D29" i="1"/>
  <c r="D31" i="1"/>
</calcChain>
</file>

<file path=xl/sharedStrings.xml><?xml version="1.0" encoding="utf-8"?>
<sst xmlns="http://schemas.openxmlformats.org/spreadsheetml/2006/main" count="334" uniqueCount="184">
  <si>
    <t>MARKETDATAPROPERTIES</t>
  </si>
  <si>
    <t xml:space="preserve"> </t>
  </si>
  <si>
    <t>OIS</t>
  </si>
  <si>
    <t>Term</t>
  </si>
  <si>
    <t>Rate</t>
  </si>
  <si>
    <t>StartDate</t>
  </si>
  <si>
    <t>EndDate</t>
  </si>
  <si>
    <t>Volatility</t>
  </si>
  <si>
    <t>Currency</t>
  </si>
  <si>
    <t>USD</t>
  </si>
  <si>
    <t>ON</t>
  </si>
  <si>
    <t>CurveType</t>
  </si>
  <si>
    <t>ARR</t>
  </si>
  <si>
    <t>CurveIndexFrequency</t>
  </si>
  <si>
    <t>DAILY</t>
  </si>
  <si>
    <t>FUTURE1</t>
  </si>
  <si>
    <t>AsOfDate</t>
  </si>
  <si>
    <t>FUTURE2</t>
  </si>
  <si>
    <t>FUTURE3</t>
  </si>
  <si>
    <t>FUTURE4</t>
  </si>
  <si>
    <t>Create Market Data Handle</t>
  </si>
  <si>
    <t>2Y</t>
  </si>
  <si>
    <t>Handle Name</t>
  </si>
  <si>
    <t>USD_OIS_CURVE_MARKETDATA</t>
  </si>
  <si>
    <t>5Y</t>
  </si>
  <si>
    <t>Market Data Handle</t>
  </si>
  <si>
    <t>7Y</t>
  </si>
  <si>
    <t>10Y</t>
  </si>
  <si>
    <t>12Y</t>
  </si>
  <si>
    <t>15Y</t>
  </si>
  <si>
    <t>20Y</t>
  </si>
  <si>
    <t>Curve Dictionary</t>
  </si>
  <si>
    <t>25Y</t>
  </si>
  <si>
    <t>CURVE_USDSOFR</t>
  </si>
  <si>
    <t>30Y</t>
  </si>
  <si>
    <t>Curve Generator</t>
  </si>
  <si>
    <t>40Y</t>
  </si>
  <si>
    <t>Domestic Curve Collection</t>
  </si>
  <si>
    <t>50Y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</si>
  <si>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</si>
  <si>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</si>
  <si>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</si>
  <si>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</si>
  <si>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</si>
  <si>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</si>
  <si>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LIBOROISBASISSPREADS</t>
  </si>
  <si>
    <t>SWAPS</t>
  </si>
  <si>
    <t>SwapType</t>
  </si>
  <si>
    <t>3Y</t>
  </si>
  <si>
    <t>4Y</t>
  </si>
  <si>
    <t>longterm.generatemethod.arrois</t>
  </si>
  <si>
    <t>DAILYAVERAGING</t>
  </si>
  <si>
    <t>1Y</t>
  </si>
  <si>
    <t>6Y</t>
  </si>
  <si>
    <t>8Y</t>
  </si>
  <si>
    <t>9Y</t>
  </si>
  <si>
    <t>35Y</t>
  </si>
  <si>
    <t>CurveCollection</t>
  </si>
  <si>
    <t>CurveIndex</t>
  </si>
  <si>
    <t>USD_ARR_LAB_1Y</t>
  </si>
  <si>
    <t>USDARR</t>
  </si>
  <si>
    <t>USD SOFR vs Fed Fund Basis</t>
  </si>
  <si>
    <t>11Y</t>
  </si>
  <si>
    <t>Tenor</t>
  </si>
  <si>
    <t>Ticker</t>
  </si>
  <si>
    <t>PX_LAST</t>
  </si>
  <si>
    <t>USD Fed Fund Swaps</t>
  </si>
  <si>
    <t>USSO1 CMPN  Curncy</t>
  </si>
  <si>
    <t>USSO2 CMPN  Curncy</t>
  </si>
  <si>
    <t>USSO3 CMPN  Curncy</t>
  </si>
  <si>
    <t>USSO4 CMPN  Curncy</t>
  </si>
  <si>
    <t>USSO5 CMPN  Curncy</t>
  </si>
  <si>
    <t>USD SOFR Futures</t>
  </si>
  <si>
    <t>SFR1 Comdty</t>
  </si>
  <si>
    <t>USSO6 CMPN Curncy</t>
  </si>
  <si>
    <t>USSO7 CMPN Curncy</t>
  </si>
  <si>
    <t>USSO8 CMPN Curncy</t>
  </si>
  <si>
    <t>USSO9 CMPN Curncy</t>
  </si>
  <si>
    <t>Contract</t>
  </si>
  <si>
    <t>SFR2 Comdty</t>
  </si>
  <si>
    <t>SFR3 Comdty</t>
  </si>
  <si>
    <t>SFR4 Comdty</t>
  </si>
  <si>
    <t>SFR5 Comdty</t>
  </si>
  <si>
    <t>SFR6 Comdty</t>
  </si>
  <si>
    <t>SFR7 Comdty</t>
  </si>
  <si>
    <t>SFR8 Comdty</t>
  </si>
  <si>
    <t>SFR9 Comdty</t>
  </si>
  <si>
    <t>SFR10 Comdty</t>
  </si>
  <si>
    <t>SFR11 Comdty</t>
  </si>
  <si>
    <t>SFR12 Comdty</t>
  </si>
  <si>
    <t>SFR13 Comdty</t>
  </si>
  <si>
    <t>SFR14 Comdty</t>
  </si>
  <si>
    <t>SFR15 Comdty</t>
  </si>
  <si>
    <t>SFR16 Comdty</t>
  </si>
  <si>
    <t>SFR17 Comdty</t>
  </si>
  <si>
    <t>SFR18 Comdty</t>
  </si>
  <si>
    <t>USSFVF1 CMPN Curncy</t>
  </si>
  <si>
    <t>USSFVF2 CMPN Curncy</t>
  </si>
  <si>
    <t>USSFVF3 CMPN Curncy</t>
  </si>
  <si>
    <t>USSFVF4 CMPN Curncy</t>
  </si>
  <si>
    <t>USSFVF5 CMPN Curncy</t>
  </si>
  <si>
    <t>USSFVF6 CMPN Curncy</t>
  </si>
  <si>
    <t>USSFVF7 CMPN Curncy</t>
  </si>
  <si>
    <t>USSFVF8 CMPN Curncy</t>
  </si>
  <si>
    <t>USSFVF9 CMPN Curncy</t>
  </si>
  <si>
    <t>USSFVF10 CMPN Curncy</t>
  </si>
  <si>
    <t>USSFVF11 CMPN Curncy</t>
  </si>
  <si>
    <t>USSFVF12 CMPN Curncy</t>
  </si>
  <si>
    <t>USSFVF15 CMPN Curncy</t>
  </si>
  <si>
    <t>USSFVF20 CMPN Curncy</t>
  </si>
  <si>
    <t>USSFVF25 CMPN Curncy</t>
  </si>
  <si>
    <t>USSFVF30 CMPN Curncy</t>
  </si>
  <si>
    <t>USSFVF40 CMPN Curncy</t>
  </si>
  <si>
    <t>USSFVF50 CMPN Curncy</t>
  </si>
  <si>
    <t>USDYC_SOFR</t>
  </si>
  <si>
    <t>USSO10 CMPN Curncy</t>
  </si>
  <si>
    <t>USSO11 CMPN Curncy</t>
  </si>
  <si>
    <t>USSO12 CMPN Curncy</t>
  </si>
  <si>
    <t>USSO20 CMPN Curncy</t>
  </si>
  <si>
    <t>USSO15 CMPN Curncy</t>
  </si>
  <si>
    <t>USSO25 CMPN Curncy</t>
  </si>
  <si>
    <t>USSO30 CMPN Curncy</t>
  </si>
  <si>
    <t>USSO40 CMPN Curncy</t>
  </si>
  <si>
    <t>USSO05 CMPN Curncy</t>
  </si>
  <si>
    <t>***</t>
  </si>
  <si>
    <t>*** = Interpolated Rate(s)</t>
  </si>
  <si>
    <t>CURVEPROPERTIES</t>
  </si>
  <si>
    <t/>
  </si>
  <si>
    <t>StaticDataTable</t>
  </si>
  <si>
    <t>IndexName</t>
  </si>
  <si>
    <t>ARR:USDARR</t>
  </si>
  <si>
    <t>interpolation</t>
  </si>
  <si>
    <t>FN_LINEARSPLINEINTERPOLATION</t>
  </si>
  <si>
    <t>yieldgen.interpolation</t>
  </si>
  <si>
    <t>calendar</t>
  </si>
  <si>
    <t>NYB</t>
  </si>
  <si>
    <t>daycount</t>
  </si>
  <si>
    <t>ACT/360</t>
  </si>
  <si>
    <t>frequency</t>
  </si>
  <si>
    <t>ANNUAL</t>
  </si>
  <si>
    <t>generatemethod</t>
  </si>
  <si>
    <t>DAILYCOMPOUNDING</t>
  </si>
  <si>
    <t>resetlag</t>
  </si>
  <si>
    <t>2D</t>
  </si>
  <si>
    <t>firstrate</t>
  </si>
  <si>
    <t>SHORTMARKET</t>
  </si>
  <si>
    <t>slidingrule</t>
  </si>
  <si>
    <t>MOD_FOLLOWING</t>
  </si>
  <si>
    <t>eomday</t>
  </si>
  <si>
    <t>iseomroll</t>
  </si>
  <si>
    <t>TRUE</t>
  </si>
  <si>
    <t>shorttermconvention</t>
  </si>
  <si>
    <t>ARITHMETICAVERAGE</t>
  </si>
  <si>
    <t>longtermconvention</t>
  </si>
  <si>
    <t>LOBASIS</t>
  </si>
  <si>
    <t>longterm</t>
  </si>
  <si>
    <t>longterm.generatemethod</t>
  </si>
  <si>
    <t>NONE</t>
  </si>
  <si>
    <t>Epsilon</t>
  </si>
  <si>
    <t>0.0000000001</t>
  </si>
  <si>
    <t>MaxLoop</t>
  </si>
  <si>
    <t>CompoundingMethod</t>
  </si>
  <si>
    <t>ARITHMETIC</t>
  </si>
  <si>
    <t>SmoothShortEnd</t>
  </si>
  <si>
    <t>FALSE</t>
  </si>
  <si>
    <t>LIBOROISBASIS</t>
  </si>
  <si>
    <t>Calendar</t>
  </si>
  <si>
    <t>LNB:NYB</t>
  </si>
  <si>
    <t>Daycount</t>
  </si>
  <si>
    <t>Frequency</t>
  </si>
  <si>
    <t>QUARTERLY</t>
  </si>
  <si>
    <t>SlidingRule</t>
  </si>
  <si>
    <t>Calendar.arrois</t>
  </si>
  <si>
    <t>Daycount.arrois</t>
  </si>
  <si>
    <t>Frequency.arrois</t>
  </si>
  <si>
    <t>SlidingRule.arrois</t>
  </si>
  <si>
    <t>daycountfix</t>
  </si>
  <si>
    <t>30/360</t>
  </si>
  <si>
    <t>frequencyfix</t>
  </si>
  <si>
    <t>SEMI-ANNUAL</t>
  </si>
  <si>
    <t>calendar.arrois</t>
  </si>
  <si>
    <t>daycountfix.arrois</t>
  </si>
  <si>
    <t>frequencyfix.arrois</t>
  </si>
  <si>
    <t>slidingrule.arrois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</si>
</sst>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%"/>
    <numFmt numFmtId="165" formatCode="#,##0.000"/>
    <numFmt numFmtId="166" formatCode="ddd\,\ d\-mmm\-yy"/>
    <numFmt numFmtId="168" formatCode="0.000%"/>
    <numFmt numFmtId="170" formatCode="#,##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1" xfId="0" applyFill="1" applyBorder="1"/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5" xfId="0" applyFill="1" applyBorder="1"/>
    <xf numFmtId="0" fontId="5" fillId="2" borderId="6" xfId="0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5" fontId="4" fillId="0" borderId="2" xfId="0" applyNumberFormat="1" applyFont="1" applyFill="1" applyBorder="1" applyAlignment="1">
      <alignment horizontal="center" vertical="center"/>
    </xf>
    <xf numFmtId="15" fontId="5" fillId="0" borderId="3" xfId="0" applyNumberFormat="1" applyFont="1" applyFill="1" applyBorder="1" applyAlignment="1">
      <alignment horizontal="center" vertical="center"/>
    </xf>
    <xf numFmtId="0" fontId="0" fillId="3" borderId="8" xfId="0" applyFont="1" applyFill="1" applyBorder="1"/>
    <xf numFmtId="0" fontId="0" fillId="3" borderId="8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5" fontId="4" fillId="0" borderId="0" xfId="0" applyNumberFormat="1" applyFont="1" applyFill="1" applyBorder="1" applyAlignment="1">
      <alignment horizontal="center" vertical="center"/>
    </xf>
    <xf numFmtId="15" fontId="5" fillId="0" borderId="5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10" fontId="5" fillId="0" borderId="5" xfId="0" applyNumberFormat="1" applyFont="1" applyFill="1" applyBorder="1" applyAlignment="1">
      <alignment horizontal="center" vertical="center"/>
    </xf>
    <xf numFmtId="0" fontId="0" fillId="3" borderId="9" xfId="0" applyFont="1" applyFill="1" applyBorder="1"/>
    <xf numFmtId="166" fontId="4" fillId="3" borderId="9" xfId="0" applyNumberFormat="1" applyFont="1" applyFill="1" applyBorder="1" applyAlignment="1">
      <alignment horizontal="left" vertical="center"/>
    </xf>
    <xf numFmtId="0" fontId="1" fillId="2" borderId="0" xfId="0" applyFont="1" applyFill="1" applyBorder="1"/>
    <xf numFmtId="0" fontId="0" fillId="3" borderId="7" xfId="0" applyFill="1" applyBorder="1"/>
    <xf numFmtId="0" fontId="0" fillId="3" borderId="7" xfId="0" applyFill="1" applyBorder="1" applyAlignment="1">
      <alignment horizontal="left" vertical="center"/>
    </xf>
    <xf numFmtId="0" fontId="0" fillId="3" borderId="9" xfId="0" applyFill="1" applyBorder="1"/>
    <xf numFmtId="0" fontId="4" fillId="3" borderId="9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15" fontId="4" fillId="0" borderId="5" xfId="0" applyNumberFormat="1" applyFont="1" applyFill="1" applyBorder="1" applyAlignment="1">
      <alignment horizontal="center" vertical="center"/>
    </xf>
    <xf numFmtId="0" fontId="0" fillId="0" borderId="9" xfId="0" applyBorder="1"/>
    <xf numFmtId="0" fontId="4" fillId="0" borderId="10" xfId="0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15" fontId="4" fillId="0" borderId="6" xfId="0" applyNumberFormat="1" applyFont="1" applyFill="1" applyBorder="1" applyAlignment="1">
      <alignment horizontal="center" vertical="center"/>
    </xf>
    <xf numFmtId="15" fontId="4" fillId="0" borderId="11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0" xfId="0" quotePrefix="1" applyFill="1" applyBorder="1"/>
    <xf numFmtId="0" fontId="5" fillId="2" borderId="0" xfId="0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164" fontId="5" fillId="0" borderId="5" xfId="0" applyNumberFormat="1" applyFont="1" applyFill="1" applyBorder="1" applyAlignment="1">
      <alignment horizontal="center" vertical="center"/>
    </xf>
    <xf numFmtId="164" fontId="5" fillId="0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68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0" applyNumberFormat="1"/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0" fontId="9" fillId="0" borderId="0" xfId="0" applyFont="1"/>
    <xf numFmtId="4" fontId="0" fillId="2" borderId="0" xfId="0" applyNumberFormat="1" applyFill="1" applyBorder="1" applyAlignment="1">
      <alignment horizontal="center" vertical="center"/>
    </xf>
    <xf numFmtId="4" fontId="0" fillId="2" borderId="5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99.924999999999997</v>
        <stp/>
        <stp>##V3_BDPV12</stp>
        <stp>SFR2 Comdty</stp>
        <stp>PX_LAST</stp>
        <stp>[USD_SOFR_FUTURES_&amp;_BASIS.xlsx]DATA!R6C4</stp>
        <tr r="D6" s="3"/>
      </tp>
      <tp>
        <v>2.63</v>
        <stp/>
        <stp>##V3_BDPV12</stp>
        <stp>USSFVF25 CMPN Curncy</stp>
        <stp>PX_LAST</stp>
        <stp>[USD_SOFR_FUTURES_&amp;_BASIS.xlsx]DATA!R19C8</stp>
        <tr r="H19" s="3"/>
      </tp>
      <tp>
        <v>99.935000000000002</v>
        <stp/>
        <stp>##V3_BDPV12</stp>
        <stp>SFR3 Comdty</stp>
        <stp>PX_LAST</stp>
        <stp>[USD_SOFR_FUTURES_&amp;_BASIS.xlsx]DATA!R7C4</stp>
        <tr r="D7" s="3"/>
      </tp>
      <tp>
        <v>99.965000000000003</v>
        <stp/>
        <stp>##V3_BDPV12</stp>
        <stp>SFR1 Comdty</stp>
        <stp>PX_LAST</stp>
        <stp>[USD_SOFR_FUTURES_&amp;_BASIS.xlsx]DATA!R5C4</stp>
        <tr r="D5" s="3"/>
      </tp>
      <tp>
        <v>2.4</v>
        <stp/>
        <stp>##V3_BDPV12</stp>
        <stp>USSFVF20 CMPN Curncy</stp>
        <stp>PX_LAST</stp>
        <stp>[USD_SOFR_FUTURES_&amp;_BASIS.xlsx]DATA!R18C8</stp>
        <tr r="H18" s="3"/>
      </tp>
      <tp>
        <v>-0.1</v>
        <stp/>
        <stp>##V3_BDPV12</stp>
        <stp>USSFVF5 CMPN Curncy</stp>
        <stp>PX_LAST</stp>
        <stp>[USD_SOFR_FUTURES_&amp;_BASIS.xlsx]DATA!R9C8</stp>
        <tr r="H9" s="3"/>
      </tp>
      <tp>
        <v>-0.55000000000000004</v>
        <stp/>
        <stp>##V3_BDPV12</stp>
        <stp>USSFVF4 CMPN Curncy</stp>
        <stp>PX_LAST</stp>
        <stp>[USD_SOFR_FUTURES_&amp;_BASIS.xlsx]DATA!R8C8</stp>
        <tr r="H8" s="3"/>
      </tp>
      <tp>
        <v>-1.25</v>
        <stp/>
        <stp>##V3_BDPV12</stp>
        <stp>USSFVF3 CMPN Curncy</stp>
        <stp>PX_LAST</stp>
        <stp>[USD_SOFR_FUTURES_&amp;_BASIS.xlsx]DATA!R7C8</stp>
        <tr r="H7" s="3"/>
      </tp>
      <tp>
        <v>1.32</v>
        <stp/>
        <stp>##V3_BDPV12</stp>
        <stp>USSFVF10 CMPN Curncy</stp>
        <stp>PX_LAST</stp>
        <stp>[USD_SOFR_FUTURES_&amp;_BASIS.xlsx]DATA!R14C8</stp>
        <tr r="H14" s="3"/>
      </tp>
      <tp>
        <v>1.5</v>
        <stp/>
        <stp>##V3_BDPV12</stp>
        <stp>USSFVF11 CMPN Curncy</stp>
        <stp>PX_LAST</stp>
        <stp>[USD_SOFR_FUTURES_&amp;_BASIS.xlsx]DATA!R15C8</stp>
        <tr r="H15" s="3"/>
      </tp>
      <tp>
        <v>1.68</v>
        <stp/>
        <stp>##V3_BDPV12</stp>
        <stp>USSFVF12 CMPN Curncy</stp>
        <stp>PX_LAST</stp>
        <stp>[USD_SOFR_FUTURES_&amp;_BASIS.xlsx]DATA!R16C8</stp>
        <tr r="H16" s="3"/>
      </tp>
      <tp>
        <v>-1.375</v>
        <stp/>
        <stp>##V3_BDPV12</stp>
        <stp>USSFVF2 CMPN Curncy</stp>
        <stp>PX_LAST</stp>
        <stp>[USD_SOFR_FUTURES_&amp;_BASIS.xlsx]DATA!R6C8</stp>
        <tr r="H6" s="3"/>
      </tp>
      <tp>
        <v>-2.125</v>
        <stp/>
        <stp>##V3_BDPV12</stp>
        <stp>USSFVF1 CMPN Curncy</stp>
        <stp>PX_LAST</stp>
        <stp>[USD_SOFR_FUTURES_&amp;_BASIS.xlsx]DATA!R5C8</stp>
        <tr r="H5" s="3"/>
      </tp>
      <tp>
        <v>2</v>
        <stp/>
        <stp>##V3_BDPV12</stp>
        <stp>USSFVF30 CMPN Curncy</stp>
        <stp>PX_LAST</stp>
        <stp>[USD_SOFR_FUTURES_&amp;_BASIS.xlsx]DATA!R20C8</stp>
        <tr r="H20" s="3"/>
      </tp>
      <tp>
        <v>99.94</v>
        <stp/>
        <stp>##V3_BDPV12</stp>
        <stp>SFR4 Comdty</stp>
        <stp>PX_LAST</stp>
        <stp>[USD_SOFR_FUTURES_&amp;_BASIS.xlsx]DATA!R8C4</stp>
        <tr r="D8" s="3"/>
      </tp>
      <tp>
        <v>2.88</v>
        <stp/>
        <stp>##V3_BDPV12</stp>
        <stp>USSFVF50 CMPN Curncy</stp>
        <stp>PX_LAST</stp>
        <stp>[USD_SOFR_FUTURES_&amp;_BASIS.xlsx]DATA!R22C8</stp>
        <tr r="H22" s="3"/>
      </tp>
      <tp>
        <v>2.0499999999999998</v>
        <stp/>
        <stp>##V3_BDPV12</stp>
        <stp>USSFVF15 CMPN Curncy</stp>
        <stp>PX_LAST</stp>
        <stp>[USD_SOFR_FUTURES_&amp;_BASIS.xlsx]DATA!R17C8</stp>
        <tr r="H17" s="3"/>
      </tp>
      <tp>
        <v>99.95</v>
        <stp/>
        <stp>##V3_BDPV12</stp>
        <stp>SFR5 Comdty</stp>
        <stp>PX_LAST</stp>
        <stp>[USD_SOFR_FUTURES_&amp;_BASIS.xlsx]DATA!R9C4</stp>
        <tr r="D9" s="3"/>
      </tp>
      <tp>
        <v>99.885000000000005</v>
        <stp/>
        <stp>##V3_BDPV12</stp>
        <stp>SFR15 Comdty</stp>
        <stp>PX_LAST</stp>
        <stp>[USD_SOFR_FUTURES_&amp;_BASIS.xlsx]DATA!R19C4</stp>
        <tr r="D19" s="3"/>
      </tp>
      <tp>
        <v>99.89</v>
        <stp/>
        <stp>##V3_BDPV12</stp>
        <stp>SFR14 Comdty</stp>
        <stp>PX_LAST</stp>
        <stp>[USD_SOFR_FUTURES_&amp;_BASIS.xlsx]DATA!R18C4</stp>
        <tr r="D18" s="3"/>
      </tp>
      <tp>
        <v>0.86</v>
        <stp/>
        <stp>##V3_BDPV12</stp>
        <stp>USSFVF8 CMPN Curncy</stp>
        <stp>PX_LAST</stp>
        <stp>[USD_SOFR_FUTURES_&amp;_BASIS.xlsx]DATA!R12C8</stp>
        <tr r="H12" s="3"/>
      </tp>
      <tp>
        <v>1.1000000000000001</v>
        <stp/>
        <stp>##V3_BDPV12</stp>
        <stp>USSFVF9 CMPN Curncy</stp>
        <stp>PX_LAST</stp>
        <stp>[USD_SOFR_FUTURES_&amp;_BASIS.xlsx]DATA!R13C8</stp>
        <tr r="H13" s="3"/>
      </tp>
      <tp>
        <v>99.875</v>
        <stp/>
        <stp>##V3_BDPV12</stp>
        <stp>SFR17 Comdty</stp>
        <stp>PX_LAST</stp>
        <stp>[USD_SOFR_FUTURES_&amp;_BASIS.xlsx]DATA!R21C4</stp>
        <tr r="D21" s="3"/>
      </tp>
      <tp>
        <v>99.88</v>
        <stp/>
        <stp>##V3_BDPV12</stp>
        <stp>SFR16 Comdty</stp>
        <stp>PX_LAST</stp>
        <stp>[USD_SOFR_FUTURES_&amp;_BASIS.xlsx]DATA!R20C4</stp>
        <tr r="D20" s="3"/>
      </tp>
      <tp>
        <v>99.87</v>
        <stp/>
        <stp>##V3_BDPV12</stp>
        <stp>SFR18 Comdty</stp>
        <stp>PX_LAST</stp>
        <stp>[USD_SOFR_FUTURES_&amp;_BASIS.xlsx]DATA!R22C4</stp>
        <tr r="D22" s="3"/>
      </tp>
      <tp>
        <v>0.26</v>
        <stp/>
        <stp>##V3_BDPV12</stp>
        <stp>USSFVF6 CMPN Curncy</stp>
        <stp>PX_LAST</stp>
        <stp>[USD_SOFR_FUTURES_&amp;_BASIS.xlsx]DATA!R10C8</stp>
        <tr r="H10" s="3"/>
      </tp>
      <tp>
        <v>0.57999999999999996</v>
        <stp/>
        <stp>##V3_BDPV12</stp>
        <stp>USSFVF7 CMPN Curncy</stp>
        <stp>PX_LAST</stp>
        <stp>[USD_SOFR_FUTURES_&amp;_BASIS.xlsx]DATA!R11C8</stp>
        <tr r="H11" s="3"/>
      </tp>
      <tp>
        <v>99.935000000000002</v>
        <stp/>
        <stp>##V3_BDPV12</stp>
        <stp>SFR11 Comdty</stp>
        <stp>PX_LAST</stp>
        <stp>[USD_SOFR_FUTURES_&amp;_BASIS.xlsx]DATA!R15C4</stp>
        <tr r="D15" s="3"/>
      </tp>
      <tp>
        <v>99.94</v>
        <stp/>
        <stp>##V3_BDPV12</stp>
        <stp>SFR10 Comdty</stp>
        <stp>PX_LAST</stp>
        <stp>[USD_SOFR_FUTURES_&amp;_BASIS.xlsx]DATA!R14C4</stp>
        <tr r="D14" s="3"/>
      </tp>
      <tp>
        <v>99.894999999999996</v>
        <stp/>
        <stp>##V3_BDPV12</stp>
        <stp>SFR13 Comdty</stp>
        <stp>PX_LAST</stp>
        <stp>[USD_SOFR_FUTURES_&amp;_BASIS.xlsx]DATA!R17C4</stp>
        <tr r="D17" s="3"/>
      </tp>
      <tp>
        <v>99.91</v>
        <stp/>
        <stp>##V3_BDPV12</stp>
        <stp>SFR12 Comdty</stp>
        <stp>PX_LAST</stp>
        <stp>[USD_SOFR_FUTURES_&amp;_BASIS.xlsx]DATA!R16C4</stp>
        <tr r="D16" s="3"/>
      </tp>
    </main>
    <main first="bloomberg.rtd">
      <tp>
        <v>3.6299999999999999E-2</v>
        <stp/>
        <stp>##V3_BDPV12</stp>
        <stp>USSO1 CMPN  Curncy</stp>
        <stp>PX_LAST</stp>
        <stp>[USD_SOFR_FUTURES_&amp;_BASIS.xlsx]DATA!R5C12</stp>
        <tr r="L5" s="3"/>
      </tp>
      <tp>
        <v>2.3E-2</v>
        <stp/>
        <stp>##V3_BDPV12</stp>
        <stp>USSO2 CMPN  Curncy</stp>
        <stp>PX_LAST</stp>
        <stp>[USD_SOFR_FUTURES_&amp;_BASIS.xlsx]DATA!R6C12</stp>
        <tr r="L6" s="3"/>
      </tp>
      <tp>
        <v>0.04</v>
        <stp/>
        <stp>##V3_BDPV12</stp>
        <stp>USSO3 CMPN  Curncy</stp>
        <stp>PX_LAST</stp>
        <stp>[USD_SOFR_FUTURES_&amp;_BASIS.xlsx]DATA!R7C12</stp>
        <tr r="L7" s="3"/>
      </tp>
      <tp>
        <v>0.09</v>
        <stp/>
        <stp>##V3_BDPV12</stp>
        <stp>USSO4 CMPN  Curncy</stp>
        <stp>PX_LAST</stp>
        <stp>[USD_SOFR_FUTURES_&amp;_BASIS.xlsx]DATA!R8C12</stp>
        <tr r="L8" s="3"/>
      </tp>
      <tp>
        <v>0.159</v>
        <stp/>
        <stp>##V3_BDPV12</stp>
        <stp>USSO5 CMPN  Curncy</stp>
        <stp>PX_LAST</stp>
        <stp>[USD_SOFR_FUTURES_&amp;_BASIS.xlsx]DATA!R9C12</stp>
        <tr r="L9" s="3"/>
      </tp>
      <tp>
        <v>0.23699999999999999</v>
        <stp/>
        <stp>##V3_BDPV12</stp>
        <stp>USSO6 CMPN Curncy</stp>
        <stp>PX_LAST</stp>
        <stp>[USD_SOFR_FUTURES_&amp;_BASIS.xlsx]DATA!R10C12</stp>
        <tr r="L10" s="3"/>
      </tp>
      <tp>
        <v>0.311</v>
        <stp/>
        <stp>##V3_BDPV12</stp>
        <stp>USSO7 CMPN Curncy</stp>
        <stp>PX_LAST</stp>
        <stp>[USD_SOFR_FUTURES_&amp;_BASIS.xlsx]DATA!R11C12</stp>
        <tr r="L11" s="3"/>
      </tp>
      <tp>
        <v>0.373</v>
        <stp/>
        <stp>##V3_BDPV12</stp>
        <stp>USSO8 CMPN Curncy</stp>
        <stp>PX_LAST</stp>
        <stp>[USD_SOFR_FUTURES_&amp;_BASIS.xlsx]DATA!R12C12</stp>
        <tr r="L12" s="3"/>
      </tp>
      <tp>
        <v>0.439</v>
        <stp/>
        <stp>##V3_BDPV12</stp>
        <stp>USSO9 CMPN Curncy</stp>
        <stp>PX_LAST</stp>
        <stp>[USD_SOFR_FUTURES_&amp;_BASIS.xlsx]DATA!R13C12</stp>
        <tr r="L13" s="3"/>
      </tp>
      <tp>
        <v>0.77</v>
        <stp/>
        <stp>##V3_BDPV12</stp>
        <stp>USSO40 CMPN Curncy</stp>
        <stp>PX_LAST</stp>
        <stp>[USD_SOFR_FUTURES_&amp;_BASIS.xlsx]DATA!R21C12</stp>
        <tr r="L21" s="3"/>
      </tp>
      <tp>
        <v>0.75600000000000001</v>
        <stp/>
        <stp>##V3_BDPV12</stp>
        <stp>USSO20 CMPN Curncy</stp>
        <stp>PX_LAST</stp>
        <stp>[USD_SOFR_FUTURES_&amp;_BASIS.xlsx]DATA!R18C12</stp>
        <tr r="L18" s="3"/>
      </tp>
      <tp>
        <v>0.78800000000000003</v>
        <stp/>
        <stp>##V3_BDPV12</stp>
        <stp>USSO25 CMPN Curncy</stp>
        <stp>PX_LAST</stp>
        <stp>[USD_SOFR_FUTURES_&amp;_BASIS.xlsx]DATA!R19C12</stp>
        <tr r="L19" s="3"/>
      </tp>
      <tp>
        <v>0.80400000000000005</v>
        <stp/>
        <stp>##V3_BDPV12</stp>
        <stp>USSO30 CMPN Curncy</stp>
        <stp>PX_LAST</stp>
        <stp>[USD_SOFR_FUTURES_&amp;_BASIS.xlsx]DATA!R20C12</stp>
        <tr r="L20" s="3"/>
      </tp>
      <tp>
        <v>0.66600000000000004</v>
        <stp/>
        <stp>##V3_BDPV12</stp>
        <stp>USSO15 CMPN Curncy</stp>
        <stp>PX_LAST</stp>
        <stp>[USD_SOFR_FUTURES_&amp;_BASIS.xlsx]DATA!R17C12</stp>
        <tr r="L17" s="3"/>
      </tp>
      <tp>
        <v>0.48799999999999999</v>
        <stp/>
        <stp>##V3_BDPV12</stp>
        <stp>USSO10 CMPN Curncy</stp>
        <stp>PX_LAST</stp>
        <stp>[USD_SOFR_FUTURES_&amp;_BASIS.xlsx]DATA!R14C12</stp>
        <tr r="L14" s="3"/>
      </tp>
      <tp>
        <v>0.57499999999999996</v>
        <stp/>
        <stp>##V3_BDPV12</stp>
        <stp>USSO12 CMPN Curncy</stp>
        <stp>PX_LAST</stp>
        <stp>[USD_SOFR_FUTURES_&amp;_BASIS.xlsx]DATA!R16C12</stp>
        <tr r="L16" s="3"/>
      </tp>
      <tp>
        <v>99.965000000000003</v>
        <stp/>
        <stp>##V3_BDPV12</stp>
        <stp>SFR8 Comdty</stp>
        <stp>PX_LAST</stp>
        <stp>[USD_SOFR_FUTURES_&amp;_BASIS.xlsx]DATA!R12C4</stp>
        <tr r="D12" s="3"/>
      </tp>
      <tp>
        <v>99.944999999999993</v>
        <stp/>
        <stp>##V3_BDPV12</stp>
        <stp>SFR9 Comdty</stp>
        <stp>PX_LAST</stp>
        <stp>[USD_SOFR_FUTURES_&amp;_BASIS.xlsx]DATA!R13C4</stp>
        <tr r="D13" s="3"/>
      </tp>
      <tp>
        <v>99.974999999999994</v>
        <stp/>
        <stp>##V3_BDPV12</stp>
        <stp>SFR6 Comdty</stp>
        <stp>PX_LAST</stp>
        <stp>[USD_SOFR_FUTURES_&amp;_BASIS.xlsx]DATA!R10C4</stp>
        <tr r="D10" s="3"/>
      </tp>
      <tp>
        <v>99.97</v>
        <stp/>
        <stp>##V3_BDPV12</stp>
        <stp>SFR7 Comdty</stp>
        <stp>PX_LAST</stp>
        <stp>[USD_SOFR_FUTURES_&amp;_BASIS.xlsx]DATA!R11C4</stp>
        <tr r="D1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USD SOFR Forwards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CHART!$B$6:$B$126</c:f>
              <c:numCache>
                <c:formatCode>d\-mmm\-yy</c:formatCode>
                <c:ptCount val="121"/>
                <c:pt idx="0">
                  <c:v>43776</c:v>
                </c:pt>
                <c:pt idx="1">
                  <c:v>43868</c:v>
                </c:pt>
                <c:pt idx="2">
                  <c:v>43958</c:v>
                </c:pt>
                <c:pt idx="3">
                  <c:v>44050</c:v>
                </c:pt>
                <c:pt idx="4">
                  <c:v>44144</c:v>
                </c:pt>
                <c:pt idx="5">
                  <c:v>44235</c:v>
                </c:pt>
                <c:pt idx="6">
                  <c:v>44323</c:v>
                </c:pt>
                <c:pt idx="7">
                  <c:v>44417</c:v>
                </c:pt>
                <c:pt idx="8">
                  <c:v>44508</c:v>
                </c:pt>
                <c:pt idx="9">
                  <c:v>44599</c:v>
                </c:pt>
                <c:pt idx="10">
                  <c:v>44690</c:v>
                </c:pt>
                <c:pt idx="11">
                  <c:v>44781</c:v>
                </c:pt>
                <c:pt idx="12">
                  <c:v>44872</c:v>
                </c:pt>
                <c:pt idx="13">
                  <c:v>44964</c:v>
                </c:pt>
                <c:pt idx="14">
                  <c:v>45054</c:v>
                </c:pt>
                <c:pt idx="15">
                  <c:v>45145</c:v>
                </c:pt>
                <c:pt idx="16">
                  <c:v>45237</c:v>
                </c:pt>
                <c:pt idx="17">
                  <c:v>45329</c:v>
                </c:pt>
                <c:pt idx="18">
                  <c:v>45419</c:v>
                </c:pt>
                <c:pt idx="19">
                  <c:v>45511</c:v>
                </c:pt>
                <c:pt idx="20">
                  <c:v>45603</c:v>
                </c:pt>
                <c:pt idx="21">
                  <c:v>45695</c:v>
                </c:pt>
                <c:pt idx="22">
                  <c:v>45784</c:v>
                </c:pt>
                <c:pt idx="23">
                  <c:v>45876</c:v>
                </c:pt>
                <c:pt idx="24">
                  <c:v>45968</c:v>
                </c:pt>
                <c:pt idx="25">
                  <c:v>46062</c:v>
                </c:pt>
                <c:pt idx="26">
                  <c:v>46149</c:v>
                </c:pt>
                <c:pt idx="27">
                  <c:v>46241</c:v>
                </c:pt>
                <c:pt idx="28">
                  <c:v>46335</c:v>
                </c:pt>
                <c:pt idx="29">
                  <c:v>46426</c:v>
                </c:pt>
                <c:pt idx="30">
                  <c:v>46514</c:v>
                </c:pt>
                <c:pt idx="31">
                  <c:v>46608</c:v>
                </c:pt>
                <c:pt idx="32">
                  <c:v>46699</c:v>
                </c:pt>
                <c:pt idx="33">
                  <c:v>46790</c:v>
                </c:pt>
                <c:pt idx="34">
                  <c:v>46881</c:v>
                </c:pt>
                <c:pt idx="35">
                  <c:v>46972</c:v>
                </c:pt>
                <c:pt idx="36">
                  <c:v>47064</c:v>
                </c:pt>
                <c:pt idx="37">
                  <c:v>47156</c:v>
                </c:pt>
                <c:pt idx="38">
                  <c:v>47245</c:v>
                </c:pt>
                <c:pt idx="39">
                  <c:v>47337</c:v>
                </c:pt>
                <c:pt idx="40">
                  <c:v>47429</c:v>
                </c:pt>
                <c:pt idx="41">
                  <c:v>47521</c:v>
                </c:pt>
                <c:pt idx="42">
                  <c:v>47610</c:v>
                </c:pt>
                <c:pt idx="43">
                  <c:v>47702</c:v>
                </c:pt>
                <c:pt idx="44">
                  <c:v>47794</c:v>
                </c:pt>
                <c:pt idx="45">
                  <c:v>47886</c:v>
                </c:pt>
                <c:pt idx="46">
                  <c:v>47975</c:v>
                </c:pt>
                <c:pt idx="47">
                  <c:v>48067</c:v>
                </c:pt>
                <c:pt idx="48">
                  <c:v>48159</c:v>
                </c:pt>
                <c:pt idx="49">
                  <c:v>48253</c:v>
                </c:pt>
                <c:pt idx="50">
                  <c:v>48341</c:v>
                </c:pt>
                <c:pt idx="51">
                  <c:v>48435</c:v>
                </c:pt>
                <c:pt idx="52">
                  <c:v>48526</c:v>
                </c:pt>
                <c:pt idx="53">
                  <c:v>48617</c:v>
                </c:pt>
                <c:pt idx="54">
                  <c:v>48708</c:v>
                </c:pt>
                <c:pt idx="55">
                  <c:v>48799</c:v>
                </c:pt>
                <c:pt idx="56">
                  <c:v>48890</c:v>
                </c:pt>
                <c:pt idx="57">
                  <c:v>48982</c:v>
                </c:pt>
                <c:pt idx="58">
                  <c:v>49072</c:v>
                </c:pt>
                <c:pt idx="59">
                  <c:v>49163</c:v>
                </c:pt>
                <c:pt idx="60">
                  <c:v>49255</c:v>
                </c:pt>
                <c:pt idx="61">
                  <c:v>49347</c:v>
                </c:pt>
                <c:pt idx="62">
                  <c:v>49436</c:v>
                </c:pt>
                <c:pt idx="63">
                  <c:v>49528</c:v>
                </c:pt>
                <c:pt idx="64">
                  <c:v>49620</c:v>
                </c:pt>
                <c:pt idx="65">
                  <c:v>49712</c:v>
                </c:pt>
                <c:pt idx="66">
                  <c:v>49802</c:v>
                </c:pt>
                <c:pt idx="67">
                  <c:v>49894</c:v>
                </c:pt>
                <c:pt idx="68">
                  <c:v>49986</c:v>
                </c:pt>
                <c:pt idx="69">
                  <c:v>50080</c:v>
                </c:pt>
                <c:pt idx="70">
                  <c:v>50167</c:v>
                </c:pt>
                <c:pt idx="71">
                  <c:v>50259</c:v>
                </c:pt>
                <c:pt idx="72">
                  <c:v>50353</c:v>
                </c:pt>
                <c:pt idx="73">
                  <c:v>50444</c:v>
                </c:pt>
                <c:pt idx="74">
                  <c:v>50532</c:v>
                </c:pt>
                <c:pt idx="75">
                  <c:v>50626</c:v>
                </c:pt>
                <c:pt idx="76">
                  <c:v>50717</c:v>
                </c:pt>
                <c:pt idx="77">
                  <c:v>50808</c:v>
                </c:pt>
                <c:pt idx="78">
                  <c:v>50899</c:v>
                </c:pt>
                <c:pt idx="79">
                  <c:v>50990</c:v>
                </c:pt>
                <c:pt idx="80">
                  <c:v>51081</c:v>
                </c:pt>
                <c:pt idx="81">
                  <c:v>51173</c:v>
                </c:pt>
                <c:pt idx="82">
                  <c:v>51263</c:v>
                </c:pt>
                <c:pt idx="83">
                  <c:v>51355</c:v>
                </c:pt>
                <c:pt idx="84">
                  <c:v>51447</c:v>
                </c:pt>
                <c:pt idx="85">
                  <c:v>51539</c:v>
                </c:pt>
                <c:pt idx="86">
                  <c:v>51628</c:v>
                </c:pt>
                <c:pt idx="87">
                  <c:v>51720</c:v>
                </c:pt>
                <c:pt idx="88">
                  <c:v>51812</c:v>
                </c:pt>
                <c:pt idx="89">
                  <c:v>51904</c:v>
                </c:pt>
                <c:pt idx="90">
                  <c:v>51993</c:v>
                </c:pt>
                <c:pt idx="91">
                  <c:v>52085</c:v>
                </c:pt>
                <c:pt idx="92">
                  <c:v>52177</c:v>
                </c:pt>
                <c:pt idx="93">
                  <c:v>52271</c:v>
                </c:pt>
                <c:pt idx="94">
                  <c:v>52358</c:v>
                </c:pt>
                <c:pt idx="95">
                  <c:v>52450</c:v>
                </c:pt>
                <c:pt idx="96">
                  <c:v>52544</c:v>
                </c:pt>
                <c:pt idx="97">
                  <c:v>52635</c:v>
                </c:pt>
                <c:pt idx="98">
                  <c:v>52726</c:v>
                </c:pt>
                <c:pt idx="99">
                  <c:v>52817</c:v>
                </c:pt>
                <c:pt idx="100">
                  <c:v>52908</c:v>
                </c:pt>
                <c:pt idx="101">
                  <c:v>53000</c:v>
                </c:pt>
                <c:pt idx="102">
                  <c:v>53090</c:v>
                </c:pt>
                <c:pt idx="103">
                  <c:v>53181</c:v>
                </c:pt>
                <c:pt idx="104">
                  <c:v>53273</c:v>
                </c:pt>
                <c:pt idx="105">
                  <c:v>53365</c:v>
                </c:pt>
                <c:pt idx="106">
                  <c:v>53454</c:v>
                </c:pt>
                <c:pt idx="107">
                  <c:v>53546</c:v>
                </c:pt>
                <c:pt idx="108">
                  <c:v>53638</c:v>
                </c:pt>
                <c:pt idx="109">
                  <c:v>53730</c:v>
                </c:pt>
                <c:pt idx="110">
                  <c:v>53819</c:v>
                </c:pt>
                <c:pt idx="111">
                  <c:v>53911</c:v>
                </c:pt>
                <c:pt idx="112">
                  <c:v>54003</c:v>
                </c:pt>
                <c:pt idx="113">
                  <c:v>54095</c:v>
                </c:pt>
                <c:pt idx="114">
                  <c:v>54185</c:v>
                </c:pt>
                <c:pt idx="115">
                  <c:v>54277</c:v>
                </c:pt>
                <c:pt idx="116">
                  <c:v>54371</c:v>
                </c:pt>
                <c:pt idx="117">
                  <c:v>54462</c:v>
                </c:pt>
                <c:pt idx="118">
                  <c:v>54550</c:v>
                </c:pt>
                <c:pt idx="119">
                  <c:v>54644</c:v>
                </c:pt>
                <c:pt idx="120">
                  <c:v>54735</c:v>
                </c:pt>
              </c:numCache>
            </c:numRef>
          </c:cat>
          <c:val>
            <c:numRef>
              <c:f>CHART!$C$6:$C$126</c:f>
              <c:numCache>
                <c:formatCode>0.00000%</c:formatCode>
                <c:ptCount val="121"/>
                <c:pt idx="0">
                  <c:v>6.9999999996461781E-4</c:v>
                </c:pt>
                <c:pt idx="1">
                  <c:v>5.1588823543724353E-4</c:v>
                </c:pt>
                <c:pt idx="2">
                  <c:v>5.6243635796704634E-4</c:v>
                </c:pt>
                <c:pt idx="3">
                  <c:v>3.5458186493641727E-4</c:v>
                </c:pt>
                <c:pt idx="4">
                  <c:v>2.5170294624565857E-4</c:v>
                </c:pt>
                <c:pt idx="5">
                  <c:v>-1.0041460039467189E-4</c:v>
                </c:pt>
                <c:pt idx="6">
                  <c:v>-4.0322692568928317E-4</c:v>
                </c:pt>
                <c:pt idx="7">
                  <c:v>-3.6371732837545134E-4</c:v>
                </c:pt>
                <c:pt idx="8">
                  <c:v>2.6977956828489009E-5</c:v>
                </c:pt>
                <c:pt idx="9">
                  <c:v>5.5097369586754237E-4</c:v>
                </c:pt>
                <c:pt idx="10">
                  <c:v>9.5874888084601987E-4</c:v>
                </c:pt>
                <c:pt idx="11">
                  <c:v>1.2499965098999909E-3</c:v>
                </c:pt>
                <c:pt idx="12">
                  <c:v>1.4246529155581605E-3</c:v>
                </c:pt>
                <c:pt idx="13">
                  <c:v>1.5572825543497316E-3</c:v>
                </c:pt>
                <c:pt idx="14">
                  <c:v>1.7385627838972855E-3</c:v>
                </c:pt>
                <c:pt idx="15">
                  <c:v>1.9742155804536379E-3</c:v>
                </c:pt>
                <c:pt idx="16">
                  <c:v>2.2661204798261432E-3</c:v>
                </c:pt>
                <c:pt idx="17">
                  <c:v>2.5908176488979931E-3</c:v>
                </c:pt>
                <c:pt idx="18">
                  <c:v>2.9143288138749101E-3</c:v>
                </c:pt>
                <c:pt idx="19">
                  <c:v>3.2510438486093901E-3</c:v>
                </c:pt>
                <c:pt idx="20">
                  <c:v>3.5939440042393233E-3</c:v>
                </c:pt>
                <c:pt idx="21">
                  <c:v>3.9626585663212789E-3</c:v>
                </c:pt>
                <c:pt idx="22">
                  <c:v>4.349354121177415E-3</c:v>
                </c:pt>
                <c:pt idx="23">
                  <c:v>4.7933950363347189E-3</c:v>
                </c:pt>
                <c:pt idx="24">
                  <c:v>5.2839507526766952E-3</c:v>
                </c:pt>
                <c:pt idx="25">
                  <c:v>5.7715580780994674E-3</c:v>
                </c:pt>
                <c:pt idx="26">
                  <c:v>6.1781136184545608E-3</c:v>
                </c:pt>
                <c:pt idx="27">
                  <c:v>6.5594744065492882E-3</c:v>
                </c:pt>
                <c:pt idx="28">
                  <c:v>6.8852195341151537E-3</c:v>
                </c:pt>
                <c:pt idx="29">
                  <c:v>7.1703845787307492E-3</c:v>
                </c:pt>
                <c:pt idx="30">
                  <c:v>7.4390700823108906E-3</c:v>
                </c:pt>
                <c:pt idx="31">
                  <c:v>7.7085548792143075E-3</c:v>
                </c:pt>
                <c:pt idx="32">
                  <c:v>7.9615135004639011E-3</c:v>
                </c:pt>
                <c:pt idx="33">
                  <c:v>8.244888468994337E-3</c:v>
                </c:pt>
                <c:pt idx="34">
                  <c:v>8.6070026692994656E-3</c:v>
                </c:pt>
                <c:pt idx="35">
                  <c:v>9.0486880490900107E-3</c:v>
                </c:pt>
                <c:pt idx="36">
                  <c:v>9.5769826006349441E-3</c:v>
                </c:pt>
                <c:pt idx="37">
                  <c:v>1.0025884709479837E-2</c:v>
                </c:pt>
                <c:pt idx="38">
                  <c:v>1.0188658782819899E-2</c:v>
                </c:pt>
                <c:pt idx="39">
                  <c:v>1.0072761953013192E-2</c:v>
                </c:pt>
                <c:pt idx="40">
                  <c:v>9.6650551299844335E-3</c:v>
                </c:pt>
                <c:pt idx="41">
                  <c:v>9.1197195082903457E-3</c:v>
                </c:pt>
                <c:pt idx="42">
                  <c:v>8.6486981373376879E-3</c:v>
                </c:pt>
                <c:pt idx="43">
                  <c:v>8.2215970446851052E-3</c:v>
                </c:pt>
                <c:pt idx="44">
                  <c:v>7.8559558827772033E-3</c:v>
                </c:pt>
                <c:pt idx="45">
                  <c:v>7.5760114336353252E-3</c:v>
                </c:pt>
                <c:pt idx="46">
                  <c:v>7.4236374160765789E-3</c:v>
                </c:pt>
                <c:pt idx="47">
                  <c:v>7.382811146346935E-3</c:v>
                </c:pt>
                <c:pt idx="48">
                  <c:v>7.4655390236704E-3</c:v>
                </c:pt>
                <c:pt idx="49">
                  <c:v>7.6102483277599295E-3</c:v>
                </c:pt>
                <c:pt idx="50">
                  <c:v>7.7391885142046269E-3</c:v>
                </c:pt>
                <c:pt idx="51">
                  <c:v>7.8631092087087986E-3</c:v>
                </c:pt>
                <c:pt idx="52">
                  <c:v>7.9740912460289654E-3</c:v>
                </c:pt>
                <c:pt idx="53">
                  <c:v>8.0719741277540807E-3</c:v>
                </c:pt>
                <c:pt idx="54">
                  <c:v>8.1535115866935865E-3</c:v>
                </c:pt>
                <c:pt idx="55">
                  <c:v>8.2185677276478877E-3</c:v>
                </c:pt>
                <c:pt idx="56">
                  <c:v>8.2670072305366781E-3</c:v>
                </c:pt>
                <c:pt idx="57">
                  <c:v>8.2974649360943245E-3</c:v>
                </c:pt>
                <c:pt idx="58">
                  <c:v>8.3072216990119126E-3</c:v>
                </c:pt>
                <c:pt idx="59">
                  <c:v>8.2967583462676756E-3</c:v>
                </c:pt>
                <c:pt idx="60">
                  <c:v>8.2652263803546476E-3</c:v>
                </c:pt>
                <c:pt idx="61">
                  <c:v>8.2225811598744449E-3</c:v>
                </c:pt>
                <c:pt idx="62">
                  <c:v>8.1828292411577058E-3</c:v>
                </c:pt>
                <c:pt idx="63">
                  <c:v>8.1433473524393264E-3</c:v>
                </c:pt>
                <c:pt idx="64">
                  <c:v>8.105517978251351E-3</c:v>
                </c:pt>
                <c:pt idx="65">
                  <c:v>8.0704097699004947E-3</c:v>
                </c:pt>
                <c:pt idx="66">
                  <c:v>8.0400065999988585E-3</c:v>
                </c:pt>
                <c:pt idx="67">
                  <c:v>8.0129961611533143E-3</c:v>
                </c:pt>
                <c:pt idx="68">
                  <c:v>7.9900856414654269E-3</c:v>
                </c:pt>
                <c:pt idx="69">
                  <c:v>7.9719476076472659E-3</c:v>
                </c:pt>
                <c:pt idx="70">
                  <c:v>7.9607220046299318E-3</c:v>
                </c:pt>
                <c:pt idx="71">
                  <c:v>7.954908986703044E-3</c:v>
                </c:pt>
                <c:pt idx="72">
                  <c:v>7.9550054745907844E-3</c:v>
                </c:pt>
                <c:pt idx="73">
                  <c:v>7.962230814037536E-3</c:v>
                </c:pt>
                <c:pt idx="74">
                  <c:v>7.9771108272823719E-3</c:v>
                </c:pt>
                <c:pt idx="75">
                  <c:v>8.0004316344644902E-3</c:v>
                </c:pt>
                <c:pt idx="76">
                  <c:v>8.0315360399055222E-3</c:v>
                </c:pt>
                <c:pt idx="77">
                  <c:v>8.0715941349168846E-3</c:v>
                </c:pt>
                <c:pt idx="78">
                  <c:v>8.1216859701566495E-3</c:v>
                </c:pt>
                <c:pt idx="79">
                  <c:v>8.1818961636971731E-3</c:v>
                </c:pt>
                <c:pt idx="80">
                  <c:v>8.2523097744897529E-3</c:v>
                </c:pt>
                <c:pt idx="81">
                  <c:v>8.3285691505730394E-3</c:v>
                </c:pt>
                <c:pt idx="82">
                  <c:v>8.40132867018226E-3</c:v>
                </c:pt>
                <c:pt idx="83">
                  <c:v>8.4737769032749172E-3</c:v>
                </c:pt>
                <c:pt idx="84">
                  <c:v>8.5442610991256704E-3</c:v>
                </c:pt>
                <c:pt idx="85">
                  <c:v>8.6124912167614958E-3</c:v>
                </c:pt>
                <c:pt idx="86">
                  <c:v>8.676004364291702E-3</c:v>
                </c:pt>
                <c:pt idx="87">
                  <c:v>8.7390600340284709E-3</c:v>
                </c:pt>
                <c:pt idx="88">
                  <c:v>8.7994521669230493E-3</c:v>
                </c:pt>
                <c:pt idx="89">
                  <c:v>8.8578001826449849E-3</c:v>
                </c:pt>
                <c:pt idx="90">
                  <c:v>8.9096538482120891E-3</c:v>
                </c:pt>
                <c:pt idx="91">
                  <c:v>8.961015051753729E-3</c:v>
                </c:pt>
                <c:pt idx="92">
                  <c:v>9.0099343828958355E-3</c:v>
                </c:pt>
                <c:pt idx="93">
                  <c:v>9.0549297973224856E-3</c:v>
                </c:pt>
                <c:pt idx="94">
                  <c:v>9.0938493848069044E-3</c:v>
                </c:pt>
                <c:pt idx="95">
                  <c:v>9.132033929848923E-3</c:v>
                </c:pt>
                <c:pt idx="96">
                  <c:v>9.1659482045096993E-3</c:v>
                </c:pt>
                <c:pt idx="97">
                  <c:v>9.1954427266260925E-3</c:v>
                </c:pt>
                <c:pt idx="98">
                  <c:v>9.220804402345642E-3</c:v>
                </c:pt>
                <c:pt idx="99">
                  <c:v>9.2419941947345652E-3</c:v>
                </c:pt>
                <c:pt idx="100">
                  <c:v>9.2589727487491277E-3</c:v>
                </c:pt>
                <c:pt idx="101">
                  <c:v>9.2733672920664433E-3</c:v>
                </c:pt>
                <c:pt idx="102">
                  <c:v>9.2866912507228363E-3</c:v>
                </c:pt>
                <c:pt idx="103">
                  <c:v>9.2994029049320824E-3</c:v>
                </c:pt>
                <c:pt idx="104">
                  <c:v>9.3114695307905983E-3</c:v>
                </c:pt>
                <c:pt idx="105">
                  <c:v>9.3227898005521868E-3</c:v>
                </c:pt>
                <c:pt idx="106">
                  <c:v>9.3330842666997753E-3</c:v>
                </c:pt>
                <c:pt idx="107">
                  <c:v>9.3430405648176791E-3</c:v>
                </c:pt>
                <c:pt idx="108">
                  <c:v>9.3522935900437146E-3</c:v>
                </c:pt>
                <c:pt idx="109">
                  <c:v>9.3608674359849549E-3</c:v>
                </c:pt>
                <c:pt idx="110">
                  <c:v>9.3685463318361212E-3</c:v>
                </c:pt>
                <c:pt idx="111">
                  <c:v>9.3758419361967601E-3</c:v>
                </c:pt>
                <c:pt idx="112">
                  <c:v>9.3824784709585028E-3</c:v>
                </c:pt>
                <c:pt idx="113">
                  <c:v>9.3887931944985695E-3</c:v>
                </c:pt>
                <c:pt idx="114">
                  <c:v>9.3937924339129921E-3</c:v>
                </c:pt>
                <c:pt idx="115">
                  <c:v>9.3989217882489498E-3</c:v>
                </c:pt>
                <c:pt idx="116">
                  <c:v>9.402945714378599E-3</c:v>
                </c:pt>
                <c:pt idx="117">
                  <c:v>9.4065538364996801E-3</c:v>
                </c:pt>
                <c:pt idx="118">
                  <c:v>9.4098129910685571E-3</c:v>
                </c:pt>
                <c:pt idx="119">
                  <c:v>9.4121658200175783E-3</c:v>
                </c:pt>
                <c:pt idx="120">
                  <c:v>9.4141595424846979E-3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A-4F15-B75B-E7C0840C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195951"/>
        <c:axId val="1947170991"/>
      </c:lineChart>
      <c:dateAx>
        <c:axId val="194719595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70991"/>
        <c:crosses val="autoZero"/>
        <c:auto val="1"/>
        <c:lblOffset val="100"/>
        <c:baseTimeUnit val="months"/>
      </c:dateAx>
      <c:valAx>
        <c:axId val="19471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9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SMOOTHING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0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OFR_CURVE_WITH_FUT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SOFR_CURVE"/>
      <sheetName val="USD_SOFR_SWAPS"/>
      <sheetName val="CURVE_SMOOTHING"/>
    </sheetNames>
    <sheetDataSet>
      <sheetData sheetId="0"/>
      <sheetData sheetId="1"/>
      <sheetData sheetId="2"/>
      <sheetData sheetId="3">
        <row r="5">
          <cell r="C5">
            <v>7</v>
          </cell>
        </row>
        <row r="7">
          <cell r="B7">
            <v>43</v>
          </cell>
        </row>
        <row r="9">
          <cell r="A9">
            <v>0</v>
          </cell>
          <cell r="B9">
            <v>43844</v>
          </cell>
          <cell r="E9">
            <v>-2.3154510460516745E-14</v>
          </cell>
          <cell r="H9">
            <v>2.7397260273972603E-3</v>
          </cell>
          <cell r="K9">
            <v>0</v>
          </cell>
        </row>
        <row r="10">
          <cell r="H10">
            <v>8.4931506849315067E-2</v>
          </cell>
          <cell r="K10">
            <v>0</v>
          </cell>
        </row>
        <row r="11">
          <cell r="H11">
            <v>0.24931506849315069</v>
          </cell>
          <cell r="K11">
            <v>0</v>
          </cell>
        </row>
        <row r="12">
          <cell r="H12">
            <v>0.49863013698630138</v>
          </cell>
          <cell r="K12">
            <v>0</v>
          </cell>
        </row>
        <row r="13">
          <cell r="H13">
            <v>1.0027397260273974</v>
          </cell>
          <cell r="K13">
            <v>7.9936057773011561E-14</v>
          </cell>
        </row>
        <row r="14">
          <cell r="H14">
            <v>1.4986301369863013</v>
          </cell>
          <cell r="K14">
            <v>2.3980817331903467E-13</v>
          </cell>
        </row>
        <row r="15">
          <cell r="H15">
            <v>2.0027397260273974</v>
          </cell>
          <cell r="K15">
            <v>7.9936057773011561E-14</v>
          </cell>
        </row>
        <row r="16">
          <cell r="H16">
            <v>3.010958904109589</v>
          </cell>
          <cell r="K16">
            <v>-1.1990408665951734E-13</v>
          </cell>
        </row>
        <row r="17">
          <cell r="H17">
            <v>4.0082191780821921</v>
          </cell>
          <cell r="K17">
            <v>-1.5987211554604867E-13</v>
          </cell>
        </row>
        <row r="18">
          <cell r="H18">
            <v>5.0054794520547947</v>
          </cell>
          <cell r="K18">
            <v>-1.5987211554604867E-13</v>
          </cell>
        </row>
        <row r="19">
          <cell r="H19">
            <v>10.008219178082191</v>
          </cell>
          <cell r="K19">
            <v>-2.3980817331899635E-13</v>
          </cell>
        </row>
        <row r="20">
          <cell r="H20">
            <v>11.008219178082191</v>
          </cell>
          <cell r="K20">
            <v>-2.3980817331899635E-13</v>
          </cell>
        </row>
        <row r="21">
          <cell r="H21">
            <v>12.008219178082191</v>
          </cell>
          <cell r="K21">
            <v>-1.5987211554609979E-13</v>
          </cell>
        </row>
        <row r="22">
          <cell r="H22">
            <v>14.019178082191781</v>
          </cell>
          <cell r="K22">
            <v>-1.5987211554599755E-13</v>
          </cell>
        </row>
        <row r="23">
          <cell r="H23">
            <v>15.016438356164384</v>
          </cell>
          <cell r="K23">
            <v>-1.5987211554599755E-13</v>
          </cell>
        </row>
        <row r="24">
          <cell r="H24">
            <v>20.021917808219179</v>
          </cell>
          <cell r="K24">
            <v>-1.5987211554609979E-13</v>
          </cell>
        </row>
        <row r="25">
          <cell r="H25">
            <v>22.016438356164382</v>
          </cell>
          <cell r="K25">
            <v>-1.5987211554609979E-13</v>
          </cell>
        </row>
        <row r="26">
          <cell r="H26">
            <v>25.027397260273972</v>
          </cell>
          <cell r="K26">
            <v>-1.5987211554609979E-13</v>
          </cell>
        </row>
        <row r="27">
          <cell r="H27">
            <v>28.019178082191782</v>
          </cell>
          <cell r="K27">
            <v>-7.9936057773049894E-14</v>
          </cell>
        </row>
        <row r="28">
          <cell r="H28">
            <v>30.021917808219179</v>
          </cell>
          <cell r="K28">
            <v>-7.9936057773049894E-14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2">
          <cell r="O2">
            <v>0</v>
          </cell>
        </row>
        <row r="4">
          <cell r="C4">
            <v>43600</v>
          </cell>
          <cell r="E4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_SOFR_CURVE"/>
      <sheetName val="USD_OIS"/>
      <sheetName val="SWAP_GENERATORS"/>
      <sheetName val="REPRICING"/>
      <sheetName val="FORWARDS"/>
    </sheetNames>
    <sheetDataSet>
      <sheetData sheetId="0"/>
      <sheetData sheetId="1"/>
      <sheetData sheetId="2">
        <row r="5">
          <cell r="D5" t="str">
            <v>USD_SOFR_SWAP@26:0</v>
          </cell>
          <cell r="J5" t="str">
            <v>USD_SOFR_SWAP_UNDER_1Y@27:0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"/>
  <sheetViews>
    <sheetView workbookViewId="0"/>
  </sheetViews>
  <sheetFormatPr defaultRowHeight="15" x14ac:dyDescent="0.25"/>
  <cols>
    <col min="2" max="2" width="11.140625" customWidth="1"/>
    <col min="3" max="3" width="21.42578125" bestFit="1" customWidth="1"/>
    <col min="4" max="4" width="12.7109375" customWidth="1"/>
    <col min="7" max="7" width="21.42578125" bestFit="1" customWidth="1"/>
    <col min="8" max="8" width="12.7109375" customWidth="1"/>
    <col min="11" max="11" width="19.7109375" bestFit="1" customWidth="1"/>
    <col min="12" max="12" width="12.7109375" customWidth="1"/>
  </cols>
  <sheetData>
    <row r="2" spans="2:13" x14ac:dyDescent="0.25">
      <c r="B2" s="65" t="s">
        <v>72</v>
      </c>
      <c r="F2" s="65" t="s">
        <v>61</v>
      </c>
      <c r="J2" s="65" t="s">
        <v>66</v>
      </c>
    </row>
    <row r="4" spans="2:13" x14ac:dyDescent="0.25">
      <c r="B4" s="62" t="s">
        <v>78</v>
      </c>
      <c r="C4" t="s">
        <v>64</v>
      </c>
      <c r="D4" t="s">
        <v>65</v>
      </c>
      <c r="F4" t="s">
        <v>63</v>
      </c>
      <c r="G4" t="s">
        <v>64</v>
      </c>
      <c r="H4" t="s">
        <v>65</v>
      </c>
      <c r="J4" t="s">
        <v>63</v>
      </c>
      <c r="K4" t="s">
        <v>64</v>
      </c>
      <c r="L4" t="s">
        <v>65</v>
      </c>
    </row>
    <row r="5" spans="2:13" x14ac:dyDescent="0.25">
      <c r="B5" s="62">
        <v>1</v>
      </c>
      <c r="C5" t="s">
        <v>73</v>
      </c>
      <c r="D5" s="68">
        <f>_xll.BDP(C5,$D$4)</f>
        <v>99.965000000000003</v>
      </c>
      <c r="F5" t="s">
        <v>52</v>
      </c>
      <c r="G5" t="s">
        <v>96</v>
      </c>
      <c r="H5" s="67">
        <f>_xll.BDP(G5,$H$4)/10000</f>
        <v>-2.1249999999999999E-4</v>
      </c>
      <c r="J5" t="s">
        <v>52</v>
      </c>
      <c r="K5" t="s">
        <v>67</v>
      </c>
      <c r="L5" s="67">
        <f>_xll.BDP(K5,$L$4)%</f>
        <v>3.6299999999999999E-4</v>
      </c>
    </row>
    <row r="6" spans="2:13" x14ac:dyDescent="0.25">
      <c r="B6" s="62">
        <v>2</v>
      </c>
      <c r="C6" t="s">
        <v>79</v>
      </c>
      <c r="D6" s="68">
        <f>_xll.BDP(C6,$D$4)</f>
        <v>99.924999999999997</v>
      </c>
      <c r="F6" t="s">
        <v>21</v>
      </c>
      <c r="G6" t="s">
        <v>97</v>
      </c>
      <c r="H6" s="67">
        <f>_xll.BDP(G6,$H$4)/10000</f>
        <v>-1.3750000000000001E-4</v>
      </c>
      <c r="J6" t="s">
        <v>21</v>
      </c>
      <c r="K6" t="s">
        <v>68</v>
      </c>
      <c r="L6" s="67">
        <f>_xll.BDP(K6,$L$4)%</f>
        <v>2.3000000000000001E-4</v>
      </c>
    </row>
    <row r="7" spans="2:13" x14ac:dyDescent="0.25">
      <c r="B7" s="62">
        <v>3</v>
      </c>
      <c r="C7" t="s">
        <v>80</v>
      </c>
      <c r="D7" s="68">
        <f>_xll.BDP(C7,$D$4)</f>
        <v>99.935000000000002</v>
      </c>
      <c r="F7" t="s">
        <v>48</v>
      </c>
      <c r="G7" t="s">
        <v>98</v>
      </c>
      <c r="H7" s="67">
        <f>_xll.BDP(G7,$H$4)/10000</f>
        <v>-1.25E-4</v>
      </c>
      <c r="J7" t="s">
        <v>48</v>
      </c>
      <c r="K7" t="s">
        <v>69</v>
      </c>
      <c r="L7" s="67">
        <f>_xll.BDP(K7,$L$4)%</f>
        <v>4.0000000000000002E-4</v>
      </c>
    </row>
    <row r="8" spans="2:13" x14ac:dyDescent="0.25">
      <c r="B8" s="62">
        <v>4</v>
      </c>
      <c r="C8" t="s">
        <v>81</v>
      </c>
      <c r="D8" s="68">
        <f>_xll.BDP(C8,$D$4)</f>
        <v>99.94</v>
      </c>
      <c r="F8" t="s">
        <v>49</v>
      </c>
      <c r="G8" t="s">
        <v>99</v>
      </c>
      <c r="H8" s="67">
        <f>_xll.BDP(G8,$H$4)/10000</f>
        <v>-5.5000000000000002E-5</v>
      </c>
      <c r="J8" t="s">
        <v>49</v>
      </c>
      <c r="K8" t="s">
        <v>70</v>
      </c>
      <c r="L8" s="67">
        <f>_xll.BDP(K8,$L$4)%</f>
        <v>8.9999999999999998E-4</v>
      </c>
    </row>
    <row r="9" spans="2:13" x14ac:dyDescent="0.25">
      <c r="B9" s="62">
        <v>5</v>
      </c>
      <c r="C9" t="s">
        <v>82</v>
      </c>
      <c r="D9" s="68">
        <f>_xll.BDP(C9,$D$4)</f>
        <v>99.95</v>
      </c>
      <c r="F9" t="s">
        <v>24</v>
      </c>
      <c r="G9" t="s">
        <v>100</v>
      </c>
      <c r="H9" s="67">
        <f>_xll.BDP(G9,$H$4)/10000</f>
        <v>-1.0000000000000001E-5</v>
      </c>
      <c r="J9" t="s">
        <v>24</v>
      </c>
      <c r="K9" t="s">
        <v>71</v>
      </c>
      <c r="L9" s="67">
        <f>_xll.BDP(K9,$L$4)%</f>
        <v>1.5900000000000001E-3</v>
      </c>
    </row>
    <row r="10" spans="2:13" x14ac:dyDescent="0.25">
      <c r="B10" s="62">
        <v>6</v>
      </c>
      <c r="C10" t="s">
        <v>83</v>
      </c>
      <c r="D10" s="68">
        <f>_xll.BDP(C10,$D$4)</f>
        <v>99.974999999999994</v>
      </c>
      <c r="F10" t="s">
        <v>53</v>
      </c>
      <c r="G10" t="s">
        <v>101</v>
      </c>
      <c r="H10" s="67">
        <f>_xll.BDP(G10,$H$4)/10000</f>
        <v>2.6000000000000002E-5</v>
      </c>
      <c r="J10" t="s">
        <v>53</v>
      </c>
      <c r="K10" t="s">
        <v>74</v>
      </c>
      <c r="L10" s="67">
        <f>_xll.BDP(K10,$L$4)%</f>
        <v>2.3699999999999997E-3</v>
      </c>
    </row>
    <row r="11" spans="2:13" x14ac:dyDescent="0.25">
      <c r="B11" s="62">
        <v>7</v>
      </c>
      <c r="C11" t="s">
        <v>84</v>
      </c>
      <c r="D11" s="68">
        <f>_xll.BDP(C11,$D$4)</f>
        <v>99.97</v>
      </c>
      <c r="F11" t="s">
        <v>26</v>
      </c>
      <c r="G11" t="s">
        <v>102</v>
      </c>
      <c r="H11" s="67">
        <f>_xll.BDP(G11,$H$4)/10000</f>
        <v>5.7999999999999994E-5</v>
      </c>
      <c r="J11" t="s">
        <v>26</v>
      </c>
      <c r="K11" t="s">
        <v>75</v>
      </c>
      <c r="L11" s="67">
        <f>_xll.BDP(K11,$L$4)%</f>
        <v>3.1099999999999999E-3</v>
      </c>
    </row>
    <row r="12" spans="2:13" x14ac:dyDescent="0.25">
      <c r="B12" s="62">
        <v>8</v>
      </c>
      <c r="C12" t="s">
        <v>85</v>
      </c>
      <c r="D12" s="68">
        <f>_xll.BDP(C12,$D$4)</f>
        <v>99.965000000000003</v>
      </c>
      <c r="F12" t="s">
        <v>54</v>
      </c>
      <c r="G12" t="s">
        <v>103</v>
      </c>
      <c r="H12" s="67">
        <f>_xll.BDP(G12,$H$4)/10000</f>
        <v>8.6000000000000003E-5</v>
      </c>
      <c r="J12" t="s">
        <v>54</v>
      </c>
      <c r="K12" t="s">
        <v>76</v>
      </c>
      <c r="L12" s="67">
        <f>_xll.BDP(K12,$L$4)%</f>
        <v>3.7299999999999998E-3</v>
      </c>
    </row>
    <row r="13" spans="2:13" x14ac:dyDescent="0.25">
      <c r="B13" s="62">
        <v>9</v>
      </c>
      <c r="C13" t="s">
        <v>86</v>
      </c>
      <c r="D13" s="68">
        <f>_xll.BDP(C13,$D$4)</f>
        <v>99.944999999999993</v>
      </c>
      <c r="F13" t="s">
        <v>55</v>
      </c>
      <c r="G13" t="s">
        <v>104</v>
      </c>
      <c r="H13" s="67">
        <f>_xll.BDP(G13,$H$4)/10000</f>
        <v>1.1E-4</v>
      </c>
      <c r="J13" t="s">
        <v>55</v>
      </c>
      <c r="K13" t="s">
        <v>77</v>
      </c>
      <c r="L13" s="67">
        <f>_xll.BDP(K13,$L$4)%</f>
        <v>4.3899999999999998E-3</v>
      </c>
    </row>
    <row r="14" spans="2:13" x14ac:dyDescent="0.25">
      <c r="B14" s="62">
        <v>10</v>
      </c>
      <c r="C14" t="s">
        <v>87</v>
      </c>
      <c r="D14" s="68">
        <f>_xll.BDP(C14,$D$4)</f>
        <v>99.94</v>
      </c>
      <c r="F14" t="s">
        <v>27</v>
      </c>
      <c r="G14" t="s">
        <v>105</v>
      </c>
      <c r="H14" s="67">
        <f>_xll.BDP(G14,$H$4)/10000</f>
        <v>1.3200000000000001E-4</v>
      </c>
      <c r="J14" t="s">
        <v>27</v>
      </c>
      <c r="K14" t="s">
        <v>115</v>
      </c>
      <c r="L14" s="67">
        <f>_xll.BDP(K14,$L$4)%</f>
        <v>4.8799999999999998E-3</v>
      </c>
    </row>
    <row r="15" spans="2:13" x14ac:dyDescent="0.25">
      <c r="B15" s="62">
        <v>11</v>
      </c>
      <c r="C15" t="s">
        <v>88</v>
      </c>
      <c r="D15" s="68">
        <f>_xll.BDP(C15,$D$4)</f>
        <v>99.935000000000002</v>
      </c>
      <c r="F15" t="s">
        <v>62</v>
      </c>
      <c r="G15" t="s">
        <v>106</v>
      </c>
      <c r="H15" s="67">
        <f>_xll.BDP(G15,$H$4)/10000</f>
        <v>1.4999999999999999E-4</v>
      </c>
      <c r="J15" s="72" t="s">
        <v>62</v>
      </c>
      <c r="K15" s="72" t="s">
        <v>116</v>
      </c>
      <c r="L15" s="73">
        <f>AVERAGE(L14,L16)</f>
        <v>5.3150000000000003E-3</v>
      </c>
      <c r="M15" s="72" t="s">
        <v>124</v>
      </c>
    </row>
    <row r="16" spans="2:13" x14ac:dyDescent="0.25">
      <c r="B16" s="62">
        <v>12</v>
      </c>
      <c r="C16" t="s">
        <v>89</v>
      </c>
      <c r="D16" s="68">
        <f>_xll.BDP(C16,$D$4)</f>
        <v>99.91</v>
      </c>
      <c r="F16" t="s">
        <v>28</v>
      </c>
      <c r="G16" t="s">
        <v>107</v>
      </c>
      <c r="H16" s="67">
        <f>_xll.BDP(G16,$H$4)/10000</f>
        <v>1.6799999999999999E-4</v>
      </c>
      <c r="J16" t="s">
        <v>28</v>
      </c>
      <c r="K16" t="s">
        <v>117</v>
      </c>
      <c r="L16" s="67">
        <f>_xll.BDP(K16,$L$4)%</f>
        <v>5.7499999999999999E-3</v>
      </c>
    </row>
    <row r="17" spans="2:13" x14ac:dyDescent="0.25">
      <c r="B17" s="62">
        <v>13</v>
      </c>
      <c r="C17" t="s">
        <v>90</v>
      </c>
      <c r="D17" s="68">
        <f>_xll.BDP(C17,$D$4)</f>
        <v>99.894999999999996</v>
      </c>
      <c r="F17" t="s">
        <v>29</v>
      </c>
      <c r="G17" t="s">
        <v>108</v>
      </c>
      <c r="H17" s="67">
        <f>_xll.BDP(G17,$H$4)/10000</f>
        <v>2.05E-4</v>
      </c>
      <c r="J17" t="s">
        <v>29</v>
      </c>
      <c r="K17" t="s">
        <v>119</v>
      </c>
      <c r="L17" s="67">
        <f>_xll.BDP(K17,$L$4)%</f>
        <v>6.6600000000000001E-3</v>
      </c>
    </row>
    <row r="18" spans="2:13" x14ac:dyDescent="0.25">
      <c r="B18" s="62">
        <v>14</v>
      </c>
      <c r="C18" t="s">
        <v>91</v>
      </c>
      <c r="D18" s="68">
        <f>_xll.BDP(C18,$D$4)</f>
        <v>99.89</v>
      </c>
      <c r="F18" t="s">
        <v>30</v>
      </c>
      <c r="G18" t="s">
        <v>109</v>
      </c>
      <c r="H18" s="67">
        <f>_xll.BDP(G18,$H$4)/10000</f>
        <v>2.3999999999999998E-4</v>
      </c>
      <c r="J18" t="s">
        <v>30</v>
      </c>
      <c r="K18" t="s">
        <v>118</v>
      </c>
      <c r="L18" s="67">
        <f>_xll.BDP(K18,$L$4)%</f>
        <v>7.5599999999999999E-3</v>
      </c>
    </row>
    <row r="19" spans="2:13" x14ac:dyDescent="0.25">
      <c r="B19" s="62">
        <v>15</v>
      </c>
      <c r="C19" t="s">
        <v>92</v>
      </c>
      <c r="D19" s="68">
        <f>_xll.BDP(C19,$D$4)</f>
        <v>99.885000000000005</v>
      </c>
      <c r="F19" t="s">
        <v>32</v>
      </c>
      <c r="G19" t="s">
        <v>110</v>
      </c>
      <c r="H19" s="67">
        <f>_xll.BDP(G19,$H$4)/10000</f>
        <v>2.63E-4</v>
      </c>
      <c r="J19" t="s">
        <v>32</v>
      </c>
      <c r="K19" t="s">
        <v>120</v>
      </c>
      <c r="L19" s="67">
        <f>_xll.BDP(K19,$L$4)%</f>
        <v>7.8799999999999999E-3</v>
      </c>
    </row>
    <row r="20" spans="2:13" x14ac:dyDescent="0.25">
      <c r="B20" s="62">
        <v>16</v>
      </c>
      <c r="C20" t="s">
        <v>93</v>
      </c>
      <c r="D20" s="68">
        <f>_xll.BDP(C20,$D$4)</f>
        <v>99.88</v>
      </c>
      <c r="F20" t="s">
        <v>34</v>
      </c>
      <c r="G20" t="s">
        <v>111</v>
      </c>
      <c r="H20" s="67">
        <f>_xll.BDP(G20,$H$4)/10000</f>
        <v>2.0000000000000001E-4</v>
      </c>
      <c r="J20" t="s">
        <v>34</v>
      </c>
      <c r="K20" t="s">
        <v>121</v>
      </c>
      <c r="L20" s="67">
        <f>_xll.BDP(K20,$L$4)%</f>
        <v>8.0400000000000003E-3</v>
      </c>
    </row>
    <row r="21" spans="2:13" x14ac:dyDescent="0.25">
      <c r="B21" s="62">
        <v>17</v>
      </c>
      <c r="C21" t="s">
        <v>94</v>
      </c>
      <c r="D21" s="68">
        <f>_xll.BDP(C21,$D$4)</f>
        <v>99.875</v>
      </c>
      <c r="F21" s="72" t="s">
        <v>36</v>
      </c>
      <c r="G21" s="72" t="s">
        <v>112</v>
      </c>
      <c r="H21" s="73">
        <f>AVERAGE(H20,H22)</f>
        <v>2.4400000000000002E-4</v>
      </c>
      <c r="I21" s="72" t="s">
        <v>124</v>
      </c>
      <c r="J21" t="s">
        <v>36</v>
      </c>
      <c r="K21" t="s">
        <v>122</v>
      </c>
      <c r="L21" s="67">
        <f>_xll.BDP(K21,$L$4)%</f>
        <v>7.7000000000000002E-3</v>
      </c>
    </row>
    <row r="22" spans="2:13" x14ac:dyDescent="0.25">
      <c r="B22" s="62">
        <v>18</v>
      </c>
      <c r="C22" t="s">
        <v>95</v>
      </c>
      <c r="D22" s="68">
        <f>_xll.BDP(C22,$D$4)</f>
        <v>99.87</v>
      </c>
      <c r="F22" t="s">
        <v>38</v>
      </c>
      <c r="G22" t="s">
        <v>113</v>
      </c>
      <c r="H22" s="67">
        <f>_xll.BDP(G22,$H$4)/10000</f>
        <v>2.8800000000000001E-4</v>
      </c>
      <c r="J22" s="72" t="s">
        <v>38</v>
      </c>
      <c r="K22" s="72" t="s">
        <v>123</v>
      </c>
      <c r="L22" s="73">
        <f>L21</f>
        <v>7.7000000000000002E-3</v>
      </c>
      <c r="M22" s="72" t="s">
        <v>124</v>
      </c>
    </row>
    <row r="24" spans="2:13" x14ac:dyDescent="0.25">
      <c r="C24" s="72" t="s">
        <v>125</v>
      </c>
      <c r="G24" s="72" t="s">
        <v>125</v>
      </c>
      <c r="K24" s="72" t="s">
        <v>125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1"/>
  <sheetViews>
    <sheetView showGridLines="0" workbookViewId="0">
      <selection activeCell="D57" sqref="D57"/>
    </sheetView>
  </sheetViews>
  <sheetFormatPr defaultRowHeight="15" x14ac:dyDescent="0.25"/>
  <cols>
    <col min="2" max="2" width="31" bestFit="1" customWidth="1"/>
    <col min="3" max="3" width="31.7109375" style="62" bestFit="1" customWidth="1"/>
  </cols>
  <sheetData>
    <row r="2" spans="2:3" x14ac:dyDescent="0.25">
      <c r="B2" s="65" t="s">
        <v>59</v>
      </c>
    </row>
    <row r="4" spans="2:3" x14ac:dyDescent="0.25">
      <c r="B4" s="74" t="s">
        <v>126</v>
      </c>
      <c r="C4" s="62" t="s">
        <v>127</v>
      </c>
    </row>
    <row r="5" spans="2:3" x14ac:dyDescent="0.25">
      <c r="B5" t="s">
        <v>11</v>
      </c>
      <c r="C5" s="62" t="s">
        <v>12</v>
      </c>
    </row>
    <row r="6" spans="2:3" x14ac:dyDescent="0.25">
      <c r="B6" t="s">
        <v>13</v>
      </c>
      <c r="C6" s="62" t="s">
        <v>14</v>
      </c>
    </row>
    <row r="7" spans="2:3" x14ac:dyDescent="0.25">
      <c r="B7" t="s">
        <v>128</v>
      </c>
      <c r="C7" s="62" t="s">
        <v>12</v>
      </c>
    </row>
    <row r="8" spans="2:3" x14ac:dyDescent="0.25">
      <c r="B8" t="s">
        <v>129</v>
      </c>
      <c r="C8" s="62" t="s">
        <v>130</v>
      </c>
    </row>
    <row r="9" spans="2:3" x14ac:dyDescent="0.25">
      <c r="B9" t="s">
        <v>8</v>
      </c>
      <c r="C9" s="62" t="s">
        <v>9</v>
      </c>
    </row>
    <row r="10" spans="2:3" x14ac:dyDescent="0.25">
      <c r="B10" t="s">
        <v>131</v>
      </c>
      <c r="C10" s="62" t="s">
        <v>132</v>
      </c>
    </row>
    <row r="11" spans="2:3" x14ac:dyDescent="0.25">
      <c r="B11" t="s">
        <v>133</v>
      </c>
      <c r="C11" s="62" t="s">
        <v>132</v>
      </c>
    </row>
    <row r="12" spans="2:3" x14ac:dyDescent="0.25">
      <c r="B12" t="s">
        <v>127</v>
      </c>
      <c r="C12" s="62" t="s">
        <v>127</v>
      </c>
    </row>
    <row r="13" spans="2:3" x14ac:dyDescent="0.25">
      <c r="B13" s="74" t="s">
        <v>2</v>
      </c>
      <c r="C13" s="62" t="s">
        <v>127</v>
      </c>
    </row>
    <row r="14" spans="2:3" x14ac:dyDescent="0.25">
      <c r="B14" t="s">
        <v>134</v>
      </c>
      <c r="C14" s="62" t="s">
        <v>135</v>
      </c>
    </row>
    <row r="15" spans="2:3" x14ac:dyDescent="0.25">
      <c r="B15" t="s">
        <v>136</v>
      </c>
      <c r="C15" s="62" t="s">
        <v>137</v>
      </c>
    </row>
    <row r="16" spans="2:3" x14ac:dyDescent="0.25">
      <c r="B16" t="s">
        <v>138</v>
      </c>
      <c r="C16" s="62" t="s">
        <v>139</v>
      </c>
    </row>
    <row r="17" spans="2:3" x14ac:dyDescent="0.25">
      <c r="B17" t="s">
        <v>140</v>
      </c>
      <c r="C17" s="62" t="s">
        <v>141</v>
      </c>
    </row>
    <row r="18" spans="2:3" x14ac:dyDescent="0.25">
      <c r="B18" t="s">
        <v>142</v>
      </c>
      <c r="C18" s="62" t="s">
        <v>143</v>
      </c>
    </row>
    <row r="19" spans="2:3" x14ac:dyDescent="0.25">
      <c r="B19" t="s">
        <v>144</v>
      </c>
      <c r="C19" s="62" t="s">
        <v>145</v>
      </c>
    </row>
    <row r="20" spans="2:3" x14ac:dyDescent="0.25">
      <c r="B20" t="s">
        <v>146</v>
      </c>
      <c r="C20" s="62" t="s">
        <v>147</v>
      </c>
    </row>
    <row r="21" spans="2:3" x14ac:dyDescent="0.25">
      <c r="B21" t="s">
        <v>148</v>
      </c>
      <c r="C21" s="62">
        <v>31</v>
      </c>
    </row>
    <row r="22" spans="2:3" x14ac:dyDescent="0.25">
      <c r="B22" t="s">
        <v>149</v>
      </c>
      <c r="C22" s="62" t="s">
        <v>150</v>
      </c>
    </row>
    <row r="23" spans="2:3" x14ac:dyDescent="0.25">
      <c r="B23" t="s">
        <v>151</v>
      </c>
      <c r="C23" s="62" t="s">
        <v>152</v>
      </c>
    </row>
    <row r="24" spans="2:3" x14ac:dyDescent="0.25">
      <c r="B24" t="s">
        <v>153</v>
      </c>
      <c r="C24" s="62" t="s">
        <v>154</v>
      </c>
    </row>
    <row r="25" spans="2:3" x14ac:dyDescent="0.25">
      <c r="B25" t="s">
        <v>155</v>
      </c>
      <c r="C25" s="62" t="s">
        <v>52</v>
      </c>
    </row>
    <row r="26" spans="2:3" x14ac:dyDescent="0.25">
      <c r="B26" t="s">
        <v>156</v>
      </c>
      <c r="C26" s="62" t="s">
        <v>157</v>
      </c>
    </row>
    <row r="27" spans="2:3" x14ac:dyDescent="0.25">
      <c r="B27" t="s">
        <v>50</v>
      </c>
      <c r="C27" s="62" t="s">
        <v>51</v>
      </c>
    </row>
    <row r="28" spans="2:3" x14ac:dyDescent="0.25">
      <c r="B28" t="s">
        <v>158</v>
      </c>
      <c r="C28" s="62" t="s">
        <v>159</v>
      </c>
    </row>
    <row r="29" spans="2:3" x14ac:dyDescent="0.25">
      <c r="B29" t="s">
        <v>160</v>
      </c>
      <c r="C29" s="62">
        <v>1000</v>
      </c>
    </row>
    <row r="30" spans="2:3" x14ac:dyDescent="0.25">
      <c r="B30" t="s">
        <v>161</v>
      </c>
      <c r="C30" s="62" t="s">
        <v>162</v>
      </c>
    </row>
    <row r="31" spans="2:3" x14ac:dyDescent="0.25">
      <c r="B31" t="s">
        <v>163</v>
      </c>
      <c r="C31" s="62" t="s">
        <v>164</v>
      </c>
    </row>
    <row r="32" spans="2:3" x14ac:dyDescent="0.25">
      <c r="B32" t="s">
        <v>127</v>
      </c>
      <c r="C32" s="62" t="s">
        <v>127</v>
      </c>
    </row>
    <row r="33" spans="2:3" x14ac:dyDescent="0.25">
      <c r="B33" s="74" t="s">
        <v>165</v>
      </c>
      <c r="C33" s="62" t="s">
        <v>127</v>
      </c>
    </row>
    <row r="34" spans="2:3" x14ac:dyDescent="0.25">
      <c r="B34" t="s">
        <v>166</v>
      </c>
      <c r="C34" s="62" t="s">
        <v>167</v>
      </c>
    </row>
    <row r="35" spans="2:3" x14ac:dyDescent="0.25">
      <c r="B35" t="s">
        <v>168</v>
      </c>
      <c r="C35" s="62" t="s">
        <v>137</v>
      </c>
    </row>
    <row r="36" spans="2:3" x14ac:dyDescent="0.25">
      <c r="B36" t="s">
        <v>169</v>
      </c>
      <c r="C36" s="62" t="s">
        <v>170</v>
      </c>
    </row>
    <row r="37" spans="2:3" x14ac:dyDescent="0.25">
      <c r="B37" t="s">
        <v>171</v>
      </c>
      <c r="C37" s="62" t="s">
        <v>147</v>
      </c>
    </row>
    <row r="38" spans="2:3" x14ac:dyDescent="0.25">
      <c r="B38" t="s">
        <v>172</v>
      </c>
      <c r="C38" s="62" t="s">
        <v>135</v>
      </c>
    </row>
    <row r="39" spans="2:3" x14ac:dyDescent="0.25">
      <c r="B39" t="s">
        <v>173</v>
      </c>
      <c r="C39" s="62" t="s">
        <v>137</v>
      </c>
    </row>
    <row r="40" spans="2:3" x14ac:dyDescent="0.25">
      <c r="B40" t="s">
        <v>174</v>
      </c>
      <c r="C40" s="62" t="s">
        <v>139</v>
      </c>
    </row>
    <row r="41" spans="2:3" x14ac:dyDescent="0.25">
      <c r="B41" t="s">
        <v>175</v>
      </c>
      <c r="C41" s="62" t="s">
        <v>147</v>
      </c>
    </row>
    <row r="42" spans="2:3" x14ac:dyDescent="0.25">
      <c r="B42" t="s">
        <v>127</v>
      </c>
      <c r="C42" s="62" t="s">
        <v>127</v>
      </c>
    </row>
    <row r="43" spans="2:3" x14ac:dyDescent="0.25">
      <c r="B43" s="74" t="s">
        <v>46</v>
      </c>
      <c r="C43" s="62" t="s">
        <v>127</v>
      </c>
    </row>
    <row r="44" spans="2:3" x14ac:dyDescent="0.25">
      <c r="B44" t="s">
        <v>134</v>
      </c>
      <c r="C44" s="62" t="s">
        <v>167</v>
      </c>
    </row>
    <row r="45" spans="2:3" x14ac:dyDescent="0.25">
      <c r="B45" t="s">
        <v>176</v>
      </c>
      <c r="C45" s="62" t="s">
        <v>177</v>
      </c>
    </row>
    <row r="46" spans="2:3" x14ac:dyDescent="0.25">
      <c r="B46" t="s">
        <v>178</v>
      </c>
      <c r="C46" s="62" t="s">
        <v>179</v>
      </c>
    </row>
    <row r="47" spans="2:3" x14ac:dyDescent="0.25">
      <c r="B47" t="s">
        <v>146</v>
      </c>
      <c r="C47" s="62" t="s">
        <v>147</v>
      </c>
    </row>
    <row r="48" spans="2:3" x14ac:dyDescent="0.25">
      <c r="B48" t="s">
        <v>180</v>
      </c>
      <c r="C48" s="62" t="s">
        <v>135</v>
      </c>
    </row>
    <row r="49" spans="2:3" x14ac:dyDescent="0.25">
      <c r="B49" t="s">
        <v>181</v>
      </c>
      <c r="C49" s="62" t="s">
        <v>137</v>
      </c>
    </row>
    <row r="50" spans="2:3" x14ac:dyDescent="0.25">
      <c r="B50" t="s">
        <v>182</v>
      </c>
      <c r="C50" s="62" t="s">
        <v>139</v>
      </c>
    </row>
    <row r="51" spans="2:3" x14ac:dyDescent="0.25">
      <c r="B51" t="s">
        <v>183</v>
      </c>
      <c r="C51" s="62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2"/>
  <sheetViews>
    <sheetView showGridLines="0" tabSelected="1" workbookViewId="0"/>
  </sheetViews>
  <sheetFormatPr defaultRowHeight="15" x14ac:dyDescent="0.25"/>
  <cols>
    <col min="1" max="2" width="4.7109375" customWidth="1"/>
    <col min="3" max="3" width="21.42578125" bestFit="1" customWidth="1"/>
    <col min="4" max="4" width="41.85546875" bestFit="1" customWidth="1"/>
    <col min="5" max="5" width="4.7109375" customWidth="1"/>
    <col min="6" max="6" width="10.7109375" customWidth="1"/>
    <col min="7" max="7" width="12.140625" bestFit="1" customWidth="1"/>
    <col min="8" max="10" width="10.7109375" customWidth="1"/>
    <col min="11" max="11" width="4.7109375" customWidth="1"/>
    <col min="12" max="12" width="15.7109375" customWidth="1"/>
    <col min="13" max="13" width="12.7109375" customWidth="1"/>
    <col min="14" max="14" width="10.140625" bestFit="1" customWidth="1"/>
    <col min="16" max="16" width="12.7109375" customWidth="1"/>
    <col min="17" max="17" width="11.42578125" customWidth="1"/>
    <col min="18" max="18" width="9.85546875" bestFit="1" customWidth="1"/>
  </cols>
  <sheetData>
    <row r="2" spans="2:21" x14ac:dyDescent="0.25">
      <c r="B2" s="1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2:21" x14ac:dyDescent="0.25">
      <c r="B3" s="6"/>
      <c r="C3" s="7" t="s">
        <v>0</v>
      </c>
      <c r="D3" s="8"/>
      <c r="E3" s="9" t="s">
        <v>1</v>
      </c>
      <c r="F3" s="7" t="s">
        <v>2</v>
      </c>
      <c r="G3" s="9"/>
      <c r="H3" s="9"/>
      <c r="I3" s="9"/>
      <c r="J3" s="9"/>
      <c r="K3" s="9"/>
      <c r="L3" s="7" t="s">
        <v>45</v>
      </c>
      <c r="M3" s="7"/>
      <c r="N3" s="9"/>
      <c r="O3" s="7" t="s">
        <v>46</v>
      </c>
      <c r="P3" s="9"/>
      <c r="Q3" s="9"/>
      <c r="R3" s="10"/>
    </row>
    <row r="4" spans="2:21" x14ac:dyDescent="0.25">
      <c r="B4" s="6" t="s">
        <v>1</v>
      </c>
      <c r="C4" s="8"/>
      <c r="D4" s="8"/>
      <c r="E4" s="9" t="s">
        <v>1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9"/>
      <c r="L4" s="11" t="s">
        <v>3</v>
      </c>
      <c r="M4" s="11" t="s">
        <v>4</v>
      </c>
      <c r="N4" s="9"/>
      <c r="O4" s="56" t="s">
        <v>3</v>
      </c>
      <c r="P4" s="56" t="s">
        <v>4</v>
      </c>
      <c r="Q4" s="56" t="s">
        <v>47</v>
      </c>
      <c r="R4" s="10"/>
    </row>
    <row r="5" spans="2:21" x14ac:dyDescent="0.25">
      <c r="B5" s="6"/>
      <c r="C5" s="12" t="s">
        <v>8</v>
      </c>
      <c r="D5" s="13" t="s">
        <v>9</v>
      </c>
      <c r="E5" s="9" t="s">
        <v>1</v>
      </c>
      <c r="F5" s="14" t="s">
        <v>10</v>
      </c>
      <c r="G5" s="15">
        <v>6.9999999999999999E-4</v>
      </c>
      <c r="H5" s="16"/>
      <c r="I5" s="16"/>
      <c r="J5" s="17"/>
      <c r="K5" s="9"/>
      <c r="L5" s="14" t="s">
        <v>52</v>
      </c>
      <c r="M5" s="57">
        <v>-2.1249999999999999E-4</v>
      </c>
      <c r="N5" s="55"/>
      <c r="O5" s="14" t="s">
        <v>52</v>
      </c>
      <c r="P5" s="15">
        <v>3.6299999999999999E-4</v>
      </c>
      <c r="Q5" s="57" t="s">
        <v>2</v>
      </c>
      <c r="R5" s="10"/>
      <c r="T5" s="71"/>
    </row>
    <row r="6" spans="2:21" x14ac:dyDescent="0.25">
      <c r="B6" s="6"/>
      <c r="C6" s="18" t="s">
        <v>11</v>
      </c>
      <c r="D6" s="19" t="s">
        <v>12</v>
      </c>
      <c r="E6" s="9" t="s">
        <v>1</v>
      </c>
      <c r="F6" s="20" t="s">
        <v>15</v>
      </c>
      <c r="G6" s="24">
        <v>99.965000000000003</v>
      </c>
      <c r="H6" s="22">
        <f>_xll.meDateIMMNext($D$8)</f>
        <v>43817</v>
      </c>
      <c r="I6" s="22">
        <f>_xll.meDateIMMNext(H6)</f>
        <v>43908</v>
      </c>
      <c r="J6" s="25">
        <v>2.5000000000000001E-2</v>
      </c>
      <c r="K6" s="9"/>
      <c r="L6" s="20" t="s">
        <v>21</v>
      </c>
      <c r="M6" s="58">
        <v>-1.4249999999999999E-4</v>
      </c>
      <c r="N6" s="75"/>
      <c r="O6" s="20" t="s">
        <v>21</v>
      </c>
      <c r="P6" s="21">
        <v>2.63E-4</v>
      </c>
      <c r="Q6" s="58" t="s">
        <v>2</v>
      </c>
      <c r="R6" s="76"/>
      <c r="T6" s="71"/>
      <c r="U6" s="66"/>
    </row>
    <row r="7" spans="2:21" x14ac:dyDescent="0.25">
      <c r="B7" s="6"/>
      <c r="C7" s="18" t="s">
        <v>13</v>
      </c>
      <c r="D7" s="19" t="s">
        <v>14</v>
      </c>
      <c r="E7" s="9" t="s">
        <v>1</v>
      </c>
      <c r="F7" s="20" t="s">
        <v>17</v>
      </c>
      <c r="G7" s="24">
        <v>99.927499999999995</v>
      </c>
      <c r="H7" s="22">
        <f>I6</f>
        <v>43908</v>
      </c>
      <c r="I7" s="22">
        <f>_xll.meDateIMMNext(H7)</f>
        <v>43999</v>
      </c>
      <c r="J7" s="25">
        <v>2.5000000000000001E-2</v>
      </c>
      <c r="K7" s="9"/>
      <c r="L7" s="20" t="s">
        <v>48</v>
      </c>
      <c r="M7" s="58">
        <v>-8.25E-5</v>
      </c>
      <c r="N7" s="75"/>
      <c r="O7" s="20" t="s">
        <v>48</v>
      </c>
      <c r="P7" s="21">
        <v>4.6299999999999998E-4</v>
      </c>
      <c r="Q7" s="58" t="s">
        <v>2</v>
      </c>
      <c r="R7" s="76"/>
      <c r="T7" s="71"/>
      <c r="U7" s="66"/>
    </row>
    <row r="8" spans="2:21" x14ac:dyDescent="0.25">
      <c r="B8" s="6"/>
      <c r="C8" s="26" t="s">
        <v>16</v>
      </c>
      <c r="D8" s="27">
        <v>43776</v>
      </c>
      <c r="E8" s="9" t="s">
        <v>1</v>
      </c>
      <c r="F8" s="20" t="s">
        <v>18</v>
      </c>
      <c r="G8" s="24">
        <v>99.935000000000002</v>
      </c>
      <c r="H8" s="22">
        <f>I7</f>
        <v>43999</v>
      </c>
      <c r="I8" s="22">
        <f>_xll.meDateIMMNext(H8)</f>
        <v>44090</v>
      </c>
      <c r="J8" s="25">
        <v>2.5000000000000001E-2</v>
      </c>
      <c r="K8" s="9"/>
      <c r="L8" s="20" t="s">
        <v>49</v>
      </c>
      <c r="M8" s="58">
        <v>-3.2499999999999997E-5</v>
      </c>
      <c r="N8" s="75"/>
      <c r="O8" s="20" t="s">
        <v>49</v>
      </c>
      <c r="P8" s="21">
        <v>7.6300000000000001E-4</v>
      </c>
      <c r="Q8" s="58" t="s">
        <v>2</v>
      </c>
      <c r="R8" s="76"/>
      <c r="T8" s="71"/>
      <c r="U8" s="66"/>
    </row>
    <row r="9" spans="2:21" x14ac:dyDescent="0.25">
      <c r="B9" s="6"/>
      <c r="C9" s="8"/>
      <c r="D9" s="8"/>
      <c r="E9" s="9" t="s">
        <v>1</v>
      </c>
      <c r="F9" s="20" t="s">
        <v>19</v>
      </c>
      <c r="G9" s="24">
        <v>99.944999999999993</v>
      </c>
      <c r="H9" s="22">
        <f>I8</f>
        <v>44090</v>
      </c>
      <c r="I9" s="22">
        <f>_xll.meDateIMMNext(H9)</f>
        <v>44181</v>
      </c>
      <c r="J9" s="25">
        <v>2.5000000000000001E-2</v>
      </c>
      <c r="K9" s="9"/>
      <c r="L9" s="20" t="s">
        <v>24</v>
      </c>
      <c r="M9" s="58">
        <v>7.5000000000000061E-6</v>
      </c>
      <c r="N9" s="75"/>
      <c r="O9" s="20" t="s">
        <v>24</v>
      </c>
      <c r="P9" s="21">
        <v>1.163E-3</v>
      </c>
      <c r="Q9" s="58" t="s">
        <v>2</v>
      </c>
      <c r="R9" s="76"/>
      <c r="T9" s="71"/>
      <c r="U9" s="66"/>
    </row>
    <row r="10" spans="2:21" x14ac:dyDescent="0.25">
      <c r="B10" s="6"/>
      <c r="C10" s="9"/>
      <c r="D10" s="9"/>
      <c r="E10" s="9" t="s">
        <v>1</v>
      </c>
      <c r="F10" s="20"/>
      <c r="G10" s="24"/>
      <c r="H10" s="22"/>
      <c r="I10" s="22"/>
      <c r="J10" s="25"/>
      <c r="K10" s="9"/>
      <c r="L10" s="20" t="s">
        <v>53</v>
      </c>
      <c r="M10" s="58">
        <v>4.2500000000000003E-5</v>
      </c>
      <c r="N10" s="75"/>
      <c r="O10" s="20" t="s">
        <v>53</v>
      </c>
      <c r="P10" s="21">
        <v>1.663E-3</v>
      </c>
      <c r="Q10" s="58" t="s">
        <v>2</v>
      </c>
      <c r="R10" s="76"/>
      <c r="T10" s="71"/>
    </row>
    <row r="11" spans="2:21" x14ac:dyDescent="0.25">
      <c r="B11" s="6"/>
      <c r="C11" s="28" t="s">
        <v>20</v>
      </c>
      <c r="D11" s="8"/>
      <c r="E11" s="9" t="s">
        <v>1</v>
      </c>
      <c r="F11" s="20"/>
      <c r="G11" s="21"/>
      <c r="H11" s="22"/>
      <c r="I11" s="22"/>
      <c r="J11" s="23"/>
      <c r="K11" s="9"/>
      <c r="L11" s="20" t="s">
        <v>26</v>
      </c>
      <c r="M11" s="58">
        <v>7.25E-5</v>
      </c>
      <c r="N11" s="75"/>
      <c r="O11" s="20" t="s">
        <v>26</v>
      </c>
      <c r="P11" s="21">
        <v>2.2629999999999998E-3</v>
      </c>
      <c r="Q11" s="58" t="s">
        <v>2</v>
      </c>
      <c r="R11" s="76"/>
      <c r="T11" s="71"/>
    </row>
    <row r="12" spans="2:21" x14ac:dyDescent="0.25">
      <c r="B12" s="6"/>
      <c r="C12" s="29" t="s">
        <v>22</v>
      </c>
      <c r="D12" s="30" t="s">
        <v>23</v>
      </c>
      <c r="E12" s="9" t="s">
        <v>1</v>
      </c>
      <c r="F12" s="20"/>
      <c r="G12" s="21"/>
      <c r="H12" s="22"/>
      <c r="I12" s="22"/>
      <c r="J12" s="23"/>
      <c r="K12" s="9"/>
      <c r="L12" s="20" t="s">
        <v>54</v>
      </c>
      <c r="M12" s="58">
        <v>1.005E-4</v>
      </c>
      <c r="N12" s="75"/>
      <c r="O12" s="20" t="s">
        <v>54</v>
      </c>
      <c r="P12" s="21">
        <v>2.8629999999999997E-3</v>
      </c>
      <c r="Q12" s="58" t="s">
        <v>2</v>
      </c>
      <c r="R12" s="76"/>
      <c r="T12" s="71"/>
    </row>
    <row r="13" spans="2:21" x14ac:dyDescent="0.25">
      <c r="B13" s="6"/>
      <c r="C13" s="31" t="s">
        <v>25</v>
      </c>
      <c r="D13" s="32" t="str">
        <f>_xll.meLWOCurveMarketDataCreate(D12,C3,C5:D8,F3,F5:J30,L3,L5:M30,O3,O5:Q30)</f>
        <v>USD_OIS_CURVE_MARKETDATA@1:41</v>
      </c>
      <c r="E13" s="9" t="s">
        <v>1</v>
      </c>
      <c r="F13" s="20"/>
      <c r="G13" s="21"/>
      <c r="H13" s="22"/>
      <c r="I13" s="22"/>
      <c r="J13" s="23"/>
      <c r="K13" s="9"/>
      <c r="L13" s="20" t="s">
        <v>55</v>
      </c>
      <c r="M13" s="58">
        <v>1.2449999999999999E-4</v>
      </c>
      <c r="N13" s="75"/>
      <c r="O13" s="20" t="s">
        <v>55</v>
      </c>
      <c r="P13" s="21">
        <v>3.4629999999999995E-3</v>
      </c>
      <c r="Q13" s="58" t="s">
        <v>2</v>
      </c>
      <c r="R13" s="76"/>
      <c r="T13" s="71"/>
    </row>
    <row r="14" spans="2:21" x14ac:dyDescent="0.25">
      <c r="B14" s="6"/>
      <c r="C14" s="9"/>
      <c r="D14" s="9"/>
      <c r="E14" s="9" t="s">
        <v>1</v>
      </c>
      <c r="F14" s="20"/>
      <c r="G14" s="21"/>
      <c r="H14" s="22"/>
      <c r="I14" s="22"/>
      <c r="J14" s="23"/>
      <c r="K14" s="9"/>
      <c r="L14" s="20" t="s">
        <v>27</v>
      </c>
      <c r="M14" s="58">
        <v>1.4649999999999998E-4</v>
      </c>
      <c r="N14" s="75"/>
      <c r="O14" s="20" t="s">
        <v>27</v>
      </c>
      <c r="P14" s="21">
        <v>4.0629999999999989E-3</v>
      </c>
      <c r="Q14" s="58" t="s">
        <v>2</v>
      </c>
      <c r="R14" s="76"/>
      <c r="T14" s="71"/>
    </row>
    <row r="15" spans="2:21" x14ac:dyDescent="0.25">
      <c r="B15" s="6"/>
      <c r="C15" s="9"/>
      <c r="D15" s="9"/>
      <c r="E15" s="9" t="s">
        <v>1</v>
      </c>
      <c r="F15" s="20"/>
      <c r="G15" s="21"/>
      <c r="H15" s="22"/>
      <c r="I15" s="22"/>
      <c r="J15" s="23"/>
      <c r="K15" s="9"/>
      <c r="L15" s="20" t="s">
        <v>28</v>
      </c>
      <c r="M15" s="58">
        <v>1.6749999999999998E-4</v>
      </c>
      <c r="N15" s="75"/>
      <c r="O15" s="20" t="s">
        <v>28</v>
      </c>
      <c r="P15" s="21">
        <v>4.6629999999999987E-3</v>
      </c>
      <c r="Q15" s="58" t="s">
        <v>2</v>
      </c>
      <c r="R15" s="76"/>
      <c r="T15" s="71"/>
    </row>
    <row r="16" spans="2:21" x14ac:dyDescent="0.25">
      <c r="B16" s="6"/>
      <c r="C16" s="9"/>
      <c r="D16" s="9"/>
      <c r="E16" s="9" t="s">
        <v>1</v>
      </c>
      <c r="F16" s="20"/>
      <c r="G16" s="21"/>
      <c r="H16" s="22"/>
      <c r="I16" s="22"/>
      <c r="J16" s="23"/>
      <c r="K16" s="9"/>
      <c r="L16" s="20" t="s">
        <v>29</v>
      </c>
      <c r="M16" s="58">
        <v>1.8549999999999998E-4</v>
      </c>
      <c r="N16" s="75"/>
      <c r="O16" s="20" t="s">
        <v>29</v>
      </c>
      <c r="P16" s="21">
        <v>5.2629999999999986E-3</v>
      </c>
      <c r="Q16" s="58" t="s">
        <v>2</v>
      </c>
      <c r="R16" s="76"/>
      <c r="T16" s="71"/>
    </row>
    <row r="17" spans="2:21" x14ac:dyDescent="0.25">
      <c r="B17" s="6"/>
      <c r="C17" s="9"/>
      <c r="D17" s="9"/>
      <c r="E17" s="9" t="s">
        <v>1</v>
      </c>
      <c r="F17" s="20"/>
      <c r="G17" s="21"/>
      <c r="H17" s="22"/>
      <c r="I17" s="22"/>
      <c r="J17" s="23"/>
      <c r="K17" s="9"/>
      <c r="L17" s="20" t="s">
        <v>30</v>
      </c>
      <c r="M17" s="58">
        <v>2.0149999999999999E-4</v>
      </c>
      <c r="N17" s="75"/>
      <c r="O17" s="20" t="s">
        <v>30</v>
      </c>
      <c r="P17" s="21">
        <v>5.8629999999999984E-3</v>
      </c>
      <c r="Q17" s="58" t="s">
        <v>2</v>
      </c>
      <c r="R17" s="76"/>
      <c r="T17" s="71"/>
    </row>
    <row r="18" spans="2:21" x14ac:dyDescent="0.25">
      <c r="B18" s="6"/>
      <c r="C18" s="28" t="s">
        <v>31</v>
      </c>
      <c r="D18" s="8"/>
      <c r="E18" s="9" t="s">
        <v>1</v>
      </c>
      <c r="F18" s="20"/>
      <c r="G18" s="21"/>
      <c r="H18" s="22"/>
      <c r="I18" s="22"/>
      <c r="J18" s="23"/>
      <c r="K18" s="9"/>
      <c r="L18" s="20" t="s">
        <v>32</v>
      </c>
      <c r="M18" s="58">
        <v>2.165E-4</v>
      </c>
      <c r="N18" s="75"/>
      <c r="O18" s="20" t="s">
        <v>32</v>
      </c>
      <c r="P18" s="21">
        <v>6.3629999999999989E-3</v>
      </c>
      <c r="Q18" s="58" t="s">
        <v>2</v>
      </c>
      <c r="R18" s="76"/>
      <c r="T18" s="71"/>
    </row>
    <row r="19" spans="2:21" x14ac:dyDescent="0.25">
      <c r="B19" s="6"/>
      <c r="C19" s="36" t="s">
        <v>22</v>
      </c>
      <c r="D19" s="37" t="s">
        <v>33</v>
      </c>
      <c r="E19" s="9" t="s">
        <v>1</v>
      </c>
      <c r="F19" s="20"/>
      <c r="G19" s="21"/>
      <c r="H19" s="22"/>
      <c r="I19" s="22"/>
      <c r="J19" s="23"/>
      <c r="K19" s="9"/>
      <c r="L19" s="20" t="s">
        <v>34</v>
      </c>
      <c r="M19" s="58">
        <v>2.3149999999999999E-4</v>
      </c>
      <c r="N19" s="75"/>
      <c r="O19" s="20" t="s">
        <v>34</v>
      </c>
      <c r="P19" s="21">
        <v>6.762999999999999E-3</v>
      </c>
      <c r="Q19" s="58" t="s">
        <v>2</v>
      </c>
      <c r="R19" s="76"/>
      <c r="T19" s="71"/>
    </row>
    <row r="20" spans="2:21" x14ac:dyDescent="0.25">
      <c r="B20" s="6"/>
      <c r="C20" s="38" t="s">
        <v>35</v>
      </c>
      <c r="D20" s="39" t="s">
        <v>59</v>
      </c>
      <c r="E20" s="9" t="s">
        <v>1</v>
      </c>
      <c r="F20" s="20"/>
      <c r="G20" s="21"/>
      <c r="H20" s="22"/>
      <c r="I20" s="22"/>
      <c r="J20" s="23"/>
      <c r="K20" s="9"/>
      <c r="L20" s="20" t="s">
        <v>56</v>
      </c>
      <c r="M20" s="58">
        <v>2.4149999999999999E-4</v>
      </c>
      <c r="N20" s="75"/>
      <c r="O20" s="20" t="s">
        <v>56</v>
      </c>
      <c r="P20" s="21">
        <v>7.062999999999999E-3</v>
      </c>
      <c r="Q20" s="58" t="s">
        <v>2</v>
      </c>
      <c r="R20" s="76"/>
      <c r="T20" s="71"/>
    </row>
    <row r="21" spans="2:21" x14ac:dyDescent="0.25">
      <c r="B21" s="6"/>
      <c r="C21" s="38" t="s">
        <v>37</v>
      </c>
      <c r="D21" s="39" t="s">
        <v>114</v>
      </c>
      <c r="E21" s="9" t="s">
        <v>1</v>
      </c>
      <c r="F21" s="20"/>
      <c r="G21" s="21"/>
      <c r="H21" s="22"/>
      <c r="I21" s="22"/>
      <c r="J21" s="23"/>
      <c r="K21" s="9"/>
      <c r="L21" s="20" t="s">
        <v>36</v>
      </c>
      <c r="M21" s="58">
        <v>2.5149999999999999E-4</v>
      </c>
      <c r="N21" s="75"/>
      <c r="O21" s="20" t="s">
        <v>36</v>
      </c>
      <c r="P21" s="21">
        <v>7.3029999999999996E-3</v>
      </c>
      <c r="Q21" s="58" t="s">
        <v>2</v>
      </c>
      <c r="R21" s="76"/>
      <c r="T21" s="71"/>
      <c r="U21" s="71"/>
    </row>
    <row r="22" spans="2:21" x14ac:dyDescent="0.25">
      <c r="B22" s="6"/>
      <c r="C22" s="40" t="s">
        <v>39</v>
      </c>
      <c r="D22" s="41"/>
      <c r="E22" s="9" t="s">
        <v>1</v>
      </c>
      <c r="F22" s="20"/>
      <c r="H22" s="22"/>
      <c r="I22" s="22"/>
      <c r="J22" s="23"/>
      <c r="K22" s="9"/>
      <c r="L22" s="20" t="s">
        <v>38</v>
      </c>
      <c r="M22" s="58">
        <v>2.6150000000000001E-4</v>
      </c>
      <c r="N22" s="75"/>
      <c r="O22" s="20" t="s">
        <v>38</v>
      </c>
      <c r="P22" s="21">
        <v>7.5430000000000002E-3</v>
      </c>
      <c r="Q22" s="58" t="s">
        <v>2</v>
      </c>
      <c r="R22" s="76"/>
      <c r="T22" s="71"/>
    </row>
    <row r="23" spans="2:21" x14ac:dyDescent="0.25">
      <c r="B23" s="6"/>
      <c r="C23" s="9"/>
      <c r="D23" s="9"/>
      <c r="E23" s="9" t="s">
        <v>1</v>
      </c>
      <c r="F23" s="20"/>
      <c r="H23" s="22"/>
      <c r="I23" s="22"/>
      <c r="J23" s="23"/>
      <c r="K23" s="9"/>
      <c r="L23" s="20"/>
      <c r="M23" s="58"/>
      <c r="N23" s="9"/>
      <c r="O23" s="20"/>
      <c r="P23" s="21"/>
      <c r="Q23" s="60"/>
      <c r="R23" s="10"/>
    </row>
    <row r="24" spans="2:21" x14ac:dyDescent="0.25">
      <c r="B24" s="6"/>
      <c r="C24" s="9"/>
      <c r="D24" s="9"/>
      <c r="E24" s="9" t="s">
        <v>1</v>
      </c>
      <c r="F24" s="20"/>
      <c r="G24" s="21"/>
      <c r="H24" s="22"/>
      <c r="I24" s="22"/>
      <c r="J24" s="23"/>
      <c r="K24" s="9"/>
      <c r="L24" s="20"/>
      <c r="M24" s="58"/>
      <c r="N24" s="9"/>
      <c r="O24" s="20"/>
      <c r="P24" s="21"/>
      <c r="Q24" s="60"/>
      <c r="R24" s="10"/>
    </row>
    <row r="25" spans="2:21" x14ac:dyDescent="0.25">
      <c r="B25" s="6"/>
      <c r="C25" s="9"/>
      <c r="D25" s="9"/>
      <c r="E25" s="9" t="s">
        <v>1</v>
      </c>
      <c r="F25" s="20"/>
      <c r="G25" s="21"/>
      <c r="H25" s="22"/>
      <c r="I25" s="22"/>
      <c r="J25" s="23"/>
      <c r="K25" s="9"/>
      <c r="L25" s="20"/>
      <c r="M25" s="58"/>
      <c r="N25" s="9"/>
      <c r="O25" s="20"/>
      <c r="P25" s="21"/>
      <c r="Q25" s="60"/>
      <c r="R25" s="10"/>
    </row>
    <row r="26" spans="2:21" x14ac:dyDescent="0.25">
      <c r="B26" s="6"/>
      <c r="C26" s="28" t="s">
        <v>40</v>
      </c>
      <c r="D26" s="9"/>
      <c r="E26" s="9" t="s">
        <v>1</v>
      </c>
      <c r="F26" s="20"/>
      <c r="G26" s="21"/>
      <c r="H26" s="22"/>
      <c r="I26" s="22"/>
      <c r="J26" s="23"/>
      <c r="K26" s="9"/>
      <c r="L26" s="20"/>
      <c r="M26" s="58"/>
      <c r="N26" s="9"/>
      <c r="O26" s="20"/>
      <c r="P26" s="21"/>
      <c r="Q26" s="60"/>
      <c r="R26" s="10"/>
    </row>
    <row r="27" spans="2:21" x14ac:dyDescent="0.25">
      <c r="B27" s="6"/>
      <c r="C27" s="33" t="s">
        <v>22</v>
      </c>
      <c r="D27" s="42" t="str">
        <f t="array" ref="D27:D30">_xll.meLWOCurveCalibrate(D19,D20,D13,D21,D22)</f>
        <v>CURVE_USDSOFR@2:40</v>
      </c>
      <c r="E27" s="9" t="s">
        <v>1</v>
      </c>
      <c r="F27" s="20"/>
      <c r="G27" s="21"/>
      <c r="H27" s="22"/>
      <c r="I27" s="22"/>
      <c r="J27" s="23"/>
      <c r="K27" s="9"/>
      <c r="L27" s="20"/>
      <c r="M27" s="58"/>
      <c r="N27" s="9"/>
      <c r="O27" s="20"/>
      <c r="P27" s="21"/>
      <c r="Q27" s="60"/>
      <c r="R27" s="10"/>
    </row>
    <row r="28" spans="2:21" x14ac:dyDescent="0.25">
      <c r="B28" s="6"/>
      <c r="C28" s="34" t="s">
        <v>41</v>
      </c>
      <c r="D28" s="35" t="str">
        <v>USDYC_SOFR</v>
      </c>
      <c r="E28" s="9" t="s">
        <v>1</v>
      </c>
      <c r="F28" s="20"/>
      <c r="G28" s="21"/>
      <c r="H28" s="22"/>
      <c r="I28" s="22"/>
      <c r="J28" s="23"/>
      <c r="K28" s="9"/>
      <c r="L28" s="20"/>
      <c r="M28" s="58"/>
      <c r="N28" s="9"/>
      <c r="O28" s="20"/>
      <c r="P28" s="21"/>
      <c r="Q28" s="60"/>
      <c r="R28" s="10"/>
    </row>
    <row r="29" spans="2:21" x14ac:dyDescent="0.25">
      <c r="B29" s="6"/>
      <c r="C29" s="34" t="s">
        <v>42</v>
      </c>
      <c r="D29" s="35" t="str">
        <v>ARR:USDARR</v>
      </c>
      <c r="E29" s="9" t="s">
        <v>1</v>
      </c>
      <c r="F29" s="20"/>
      <c r="G29" s="21"/>
      <c r="H29" s="22"/>
      <c r="I29" s="22"/>
      <c r="J29" s="44"/>
      <c r="K29" s="9"/>
      <c r="L29" s="20"/>
      <c r="M29" s="58"/>
      <c r="N29" s="9"/>
      <c r="O29" s="20"/>
      <c r="P29" s="21"/>
      <c r="Q29" s="60"/>
      <c r="R29" s="10"/>
    </row>
    <row r="30" spans="2:21" x14ac:dyDescent="0.25">
      <c r="B30" s="6"/>
      <c r="C30" s="45" t="s">
        <v>43</v>
      </c>
      <c r="D30" s="43" t="str">
        <v>0.41400 sec</v>
      </c>
      <c r="E30" s="9" t="s">
        <v>1</v>
      </c>
      <c r="F30" s="46"/>
      <c r="G30" s="47"/>
      <c r="H30" s="48"/>
      <c r="I30" s="48"/>
      <c r="J30" s="49"/>
      <c r="K30" s="9"/>
      <c r="L30" s="46"/>
      <c r="M30" s="59"/>
      <c r="N30" s="9"/>
      <c r="O30" s="46"/>
      <c r="P30" s="47"/>
      <c r="Q30" s="61"/>
      <c r="R30" s="10"/>
    </row>
    <row r="31" spans="2:21" x14ac:dyDescent="0.25">
      <c r="B31" s="6"/>
      <c r="C31" s="50" t="s">
        <v>44</v>
      </c>
      <c r="D31" s="51" t="b">
        <f>_xll.meLWOExists(D27,"CURVE")</f>
        <v>1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2:21" x14ac:dyDescent="0.25">
      <c r="B32" s="52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6"/>
  <sheetViews>
    <sheetView showGridLines="0" workbookViewId="0"/>
  </sheetViews>
  <sheetFormatPr defaultRowHeight="15" x14ac:dyDescent="0.25"/>
  <cols>
    <col min="2" max="2" width="15.28515625" bestFit="1" customWidth="1"/>
    <col min="3" max="3" width="12.85546875" bestFit="1" customWidth="1"/>
  </cols>
  <sheetData>
    <row r="2" spans="2:3" x14ac:dyDescent="0.25">
      <c r="B2" s="65" t="s">
        <v>57</v>
      </c>
      <c r="C2" s="70" t="s">
        <v>114</v>
      </c>
    </row>
    <row r="3" spans="2:3" x14ac:dyDescent="0.25">
      <c r="B3" s="65" t="s">
        <v>58</v>
      </c>
      <c r="C3" s="70" t="s">
        <v>60</v>
      </c>
    </row>
    <row r="5" spans="2:3" x14ac:dyDescent="0.25">
      <c r="B5" s="69" t="str">
        <f t="array" aca="1" ref="B5:C126" ca="1">_xll.meLWOCurveForwardRatesTable(C2,C3,,"50Y",,,,"QUARTERLY")</f>
        <v>Fixing Dates</v>
      </c>
      <c r="C5" s="69" t="str">
        <f ca="1"/>
        <v>USDARR</v>
      </c>
    </row>
    <row r="6" spans="2:3" x14ac:dyDescent="0.25">
      <c r="B6" s="63">
        <f ca="1"/>
        <v>43776</v>
      </c>
      <c r="C6" s="64">
        <f ca="1"/>
        <v>6.9999999996461781E-4</v>
      </c>
    </row>
    <row r="7" spans="2:3" x14ac:dyDescent="0.25">
      <c r="B7" s="63">
        <f ca="1"/>
        <v>43868</v>
      </c>
      <c r="C7" s="64">
        <f ca="1"/>
        <v>5.1588823543724353E-4</v>
      </c>
    </row>
    <row r="8" spans="2:3" x14ac:dyDescent="0.25">
      <c r="B8" s="63">
        <f ca="1"/>
        <v>43958</v>
      </c>
      <c r="C8" s="64">
        <f ca="1"/>
        <v>5.6243635796704634E-4</v>
      </c>
    </row>
    <row r="9" spans="2:3" x14ac:dyDescent="0.25">
      <c r="B9" s="63">
        <f ca="1"/>
        <v>44050</v>
      </c>
      <c r="C9" s="64">
        <f ca="1"/>
        <v>3.5458186493641727E-4</v>
      </c>
    </row>
    <row r="10" spans="2:3" x14ac:dyDescent="0.25">
      <c r="B10" s="63">
        <f ca="1"/>
        <v>44144</v>
      </c>
      <c r="C10" s="64">
        <f ca="1"/>
        <v>2.5170294624565857E-4</v>
      </c>
    </row>
    <row r="11" spans="2:3" x14ac:dyDescent="0.25">
      <c r="B11" s="63">
        <f ca="1"/>
        <v>44235</v>
      </c>
      <c r="C11" s="64">
        <f ca="1"/>
        <v>-1.0041460039467189E-4</v>
      </c>
    </row>
    <row r="12" spans="2:3" x14ac:dyDescent="0.25">
      <c r="B12" s="63">
        <f ca="1"/>
        <v>44323</v>
      </c>
      <c r="C12" s="64">
        <f ca="1"/>
        <v>-4.0322692568928317E-4</v>
      </c>
    </row>
    <row r="13" spans="2:3" x14ac:dyDescent="0.25">
      <c r="B13" s="63">
        <f ca="1"/>
        <v>44417</v>
      </c>
      <c r="C13" s="64">
        <f ca="1"/>
        <v>-3.6371732837545134E-4</v>
      </c>
    </row>
    <row r="14" spans="2:3" x14ac:dyDescent="0.25">
      <c r="B14" s="63">
        <f ca="1"/>
        <v>44508</v>
      </c>
      <c r="C14" s="64">
        <f ca="1"/>
        <v>2.6977956828489009E-5</v>
      </c>
    </row>
    <row r="15" spans="2:3" x14ac:dyDescent="0.25">
      <c r="B15" s="63">
        <f ca="1"/>
        <v>44599</v>
      </c>
      <c r="C15" s="64">
        <f ca="1"/>
        <v>5.5097369586754237E-4</v>
      </c>
    </row>
    <row r="16" spans="2:3" x14ac:dyDescent="0.25">
      <c r="B16" s="63">
        <f ca="1"/>
        <v>44690</v>
      </c>
      <c r="C16" s="64">
        <f ca="1"/>
        <v>9.5874888084601987E-4</v>
      </c>
    </row>
    <row r="17" spans="2:3" x14ac:dyDescent="0.25">
      <c r="B17" s="63">
        <f ca="1"/>
        <v>44781</v>
      </c>
      <c r="C17" s="64">
        <f ca="1"/>
        <v>1.2499965098999909E-3</v>
      </c>
    </row>
    <row r="18" spans="2:3" x14ac:dyDescent="0.25">
      <c r="B18" s="63">
        <f ca="1"/>
        <v>44872</v>
      </c>
      <c r="C18" s="64">
        <f ca="1"/>
        <v>1.4246529155581605E-3</v>
      </c>
    </row>
    <row r="19" spans="2:3" x14ac:dyDescent="0.25">
      <c r="B19" s="63">
        <f ca="1"/>
        <v>44964</v>
      </c>
      <c r="C19" s="64">
        <f ca="1"/>
        <v>1.5572825543497316E-3</v>
      </c>
    </row>
    <row r="20" spans="2:3" x14ac:dyDescent="0.25">
      <c r="B20" s="63">
        <f ca="1"/>
        <v>45054</v>
      </c>
      <c r="C20" s="64">
        <f ca="1"/>
        <v>1.7385627838972855E-3</v>
      </c>
    </row>
    <row r="21" spans="2:3" x14ac:dyDescent="0.25">
      <c r="B21" s="63">
        <f ca="1"/>
        <v>45145</v>
      </c>
      <c r="C21" s="64">
        <f ca="1"/>
        <v>1.9742155804536379E-3</v>
      </c>
    </row>
    <row r="22" spans="2:3" x14ac:dyDescent="0.25">
      <c r="B22" s="63">
        <f ca="1"/>
        <v>45237</v>
      </c>
      <c r="C22" s="64">
        <f ca="1"/>
        <v>2.2661204798261432E-3</v>
      </c>
    </row>
    <row r="23" spans="2:3" x14ac:dyDescent="0.25">
      <c r="B23" s="63">
        <f ca="1"/>
        <v>45329</v>
      </c>
      <c r="C23" s="64">
        <f ca="1"/>
        <v>2.5908176488979931E-3</v>
      </c>
    </row>
    <row r="24" spans="2:3" x14ac:dyDescent="0.25">
      <c r="B24" s="63">
        <f ca="1"/>
        <v>45419</v>
      </c>
      <c r="C24" s="64">
        <f ca="1"/>
        <v>2.9143288138749101E-3</v>
      </c>
    </row>
    <row r="25" spans="2:3" x14ac:dyDescent="0.25">
      <c r="B25" s="63">
        <f ca="1"/>
        <v>45511</v>
      </c>
      <c r="C25" s="64">
        <f ca="1"/>
        <v>3.2510438486093901E-3</v>
      </c>
    </row>
    <row r="26" spans="2:3" x14ac:dyDescent="0.25">
      <c r="B26" s="63">
        <f ca="1"/>
        <v>45603</v>
      </c>
      <c r="C26" s="64">
        <f ca="1"/>
        <v>3.5939440042393233E-3</v>
      </c>
    </row>
    <row r="27" spans="2:3" x14ac:dyDescent="0.25">
      <c r="B27" s="63">
        <f ca="1"/>
        <v>45695</v>
      </c>
      <c r="C27" s="64">
        <f ca="1"/>
        <v>3.9626585663212789E-3</v>
      </c>
    </row>
    <row r="28" spans="2:3" x14ac:dyDescent="0.25">
      <c r="B28" s="63">
        <f ca="1"/>
        <v>45784</v>
      </c>
      <c r="C28" s="64">
        <f ca="1"/>
        <v>4.349354121177415E-3</v>
      </c>
    </row>
    <row r="29" spans="2:3" x14ac:dyDescent="0.25">
      <c r="B29" s="63">
        <f ca="1"/>
        <v>45876</v>
      </c>
      <c r="C29" s="64">
        <f ca="1"/>
        <v>4.7933950363347189E-3</v>
      </c>
    </row>
    <row r="30" spans="2:3" x14ac:dyDescent="0.25">
      <c r="B30" s="63">
        <f ca="1"/>
        <v>45968</v>
      </c>
      <c r="C30" s="64">
        <f ca="1"/>
        <v>5.2839507526766952E-3</v>
      </c>
    </row>
    <row r="31" spans="2:3" x14ac:dyDescent="0.25">
      <c r="B31" s="63">
        <f ca="1"/>
        <v>46062</v>
      </c>
      <c r="C31" s="64">
        <f ca="1"/>
        <v>5.7715580780994674E-3</v>
      </c>
    </row>
    <row r="32" spans="2:3" x14ac:dyDescent="0.25">
      <c r="B32" s="63">
        <f ca="1"/>
        <v>46149</v>
      </c>
      <c r="C32" s="64">
        <f ca="1"/>
        <v>6.1781136184545608E-3</v>
      </c>
    </row>
    <row r="33" spans="2:3" x14ac:dyDescent="0.25">
      <c r="B33" s="63">
        <f ca="1"/>
        <v>46241</v>
      </c>
      <c r="C33" s="64">
        <f ca="1"/>
        <v>6.5594744065492882E-3</v>
      </c>
    </row>
    <row r="34" spans="2:3" x14ac:dyDescent="0.25">
      <c r="B34" s="63">
        <f ca="1"/>
        <v>46335</v>
      </c>
      <c r="C34" s="64">
        <f ca="1"/>
        <v>6.8852195341151537E-3</v>
      </c>
    </row>
    <row r="35" spans="2:3" x14ac:dyDescent="0.25">
      <c r="B35" s="63">
        <f ca="1"/>
        <v>46426</v>
      </c>
      <c r="C35" s="64">
        <f ca="1"/>
        <v>7.1703845787307492E-3</v>
      </c>
    </row>
    <row r="36" spans="2:3" x14ac:dyDescent="0.25">
      <c r="B36" s="63">
        <f ca="1"/>
        <v>46514</v>
      </c>
      <c r="C36" s="64">
        <f ca="1"/>
        <v>7.4390700823108906E-3</v>
      </c>
    </row>
    <row r="37" spans="2:3" x14ac:dyDescent="0.25">
      <c r="B37" s="63">
        <f ca="1"/>
        <v>46608</v>
      </c>
      <c r="C37" s="64">
        <f ca="1"/>
        <v>7.7085548792143075E-3</v>
      </c>
    </row>
    <row r="38" spans="2:3" x14ac:dyDescent="0.25">
      <c r="B38" s="63">
        <f ca="1"/>
        <v>46699</v>
      </c>
      <c r="C38" s="64">
        <f ca="1"/>
        <v>7.9615135004639011E-3</v>
      </c>
    </row>
    <row r="39" spans="2:3" x14ac:dyDescent="0.25">
      <c r="B39" s="63">
        <f ca="1"/>
        <v>46790</v>
      </c>
      <c r="C39" s="64">
        <f ca="1"/>
        <v>8.244888468994337E-3</v>
      </c>
    </row>
    <row r="40" spans="2:3" x14ac:dyDescent="0.25">
      <c r="B40" s="63">
        <f ca="1"/>
        <v>46881</v>
      </c>
      <c r="C40" s="64">
        <f ca="1"/>
        <v>8.6070026692994656E-3</v>
      </c>
    </row>
    <row r="41" spans="2:3" x14ac:dyDescent="0.25">
      <c r="B41" s="63">
        <f ca="1"/>
        <v>46972</v>
      </c>
      <c r="C41" s="64">
        <f ca="1"/>
        <v>9.0486880490900107E-3</v>
      </c>
    </row>
    <row r="42" spans="2:3" x14ac:dyDescent="0.25">
      <c r="B42" s="63">
        <f ca="1"/>
        <v>47064</v>
      </c>
      <c r="C42" s="64">
        <f ca="1"/>
        <v>9.5769826006349441E-3</v>
      </c>
    </row>
    <row r="43" spans="2:3" x14ac:dyDescent="0.25">
      <c r="B43" s="63">
        <f ca="1"/>
        <v>47156</v>
      </c>
      <c r="C43" s="64">
        <f ca="1"/>
        <v>1.0025884709479837E-2</v>
      </c>
    </row>
    <row r="44" spans="2:3" x14ac:dyDescent="0.25">
      <c r="B44" s="63">
        <f ca="1"/>
        <v>47245</v>
      </c>
      <c r="C44" s="64">
        <f ca="1"/>
        <v>1.0188658782819899E-2</v>
      </c>
    </row>
    <row r="45" spans="2:3" x14ac:dyDescent="0.25">
      <c r="B45" s="63">
        <f ca="1"/>
        <v>47337</v>
      </c>
      <c r="C45" s="64">
        <f ca="1"/>
        <v>1.0072761953013192E-2</v>
      </c>
    </row>
    <row r="46" spans="2:3" x14ac:dyDescent="0.25">
      <c r="B46" s="63">
        <f ca="1"/>
        <v>47429</v>
      </c>
      <c r="C46" s="64">
        <f ca="1"/>
        <v>9.6650551299844335E-3</v>
      </c>
    </row>
    <row r="47" spans="2:3" x14ac:dyDescent="0.25">
      <c r="B47" s="63">
        <f ca="1"/>
        <v>47521</v>
      </c>
      <c r="C47" s="64">
        <f ca="1"/>
        <v>9.1197195082903457E-3</v>
      </c>
    </row>
    <row r="48" spans="2:3" x14ac:dyDescent="0.25">
      <c r="B48" s="63">
        <f ca="1"/>
        <v>47610</v>
      </c>
      <c r="C48" s="64">
        <f ca="1"/>
        <v>8.6486981373376879E-3</v>
      </c>
    </row>
    <row r="49" spans="2:3" x14ac:dyDescent="0.25">
      <c r="B49" s="63">
        <f ca="1"/>
        <v>47702</v>
      </c>
      <c r="C49" s="64">
        <f ca="1"/>
        <v>8.2215970446851052E-3</v>
      </c>
    </row>
    <row r="50" spans="2:3" x14ac:dyDescent="0.25">
      <c r="B50" s="63">
        <f ca="1"/>
        <v>47794</v>
      </c>
      <c r="C50" s="64">
        <f ca="1"/>
        <v>7.8559558827772033E-3</v>
      </c>
    </row>
    <row r="51" spans="2:3" x14ac:dyDescent="0.25">
      <c r="B51" s="63">
        <f ca="1"/>
        <v>47886</v>
      </c>
      <c r="C51" s="64">
        <f ca="1"/>
        <v>7.5760114336353252E-3</v>
      </c>
    </row>
    <row r="52" spans="2:3" x14ac:dyDescent="0.25">
      <c r="B52" s="63">
        <f ca="1"/>
        <v>47975</v>
      </c>
      <c r="C52" s="64">
        <f ca="1"/>
        <v>7.4236374160765789E-3</v>
      </c>
    </row>
    <row r="53" spans="2:3" x14ac:dyDescent="0.25">
      <c r="B53" s="63">
        <f ca="1"/>
        <v>48067</v>
      </c>
      <c r="C53" s="64">
        <f ca="1"/>
        <v>7.382811146346935E-3</v>
      </c>
    </row>
    <row r="54" spans="2:3" x14ac:dyDescent="0.25">
      <c r="B54" s="63">
        <f ca="1"/>
        <v>48159</v>
      </c>
      <c r="C54" s="64">
        <f ca="1"/>
        <v>7.4655390236704E-3</v>
      </c>
    </row>
    <row r="55" spans="2:3" x14ac:dyDescent="0.25">
      <c r="B55" s="63">
        <f ca="1"/>
        <v>48253</v>
      </c>
      <c r="C55" s="64">
        <f ca="1"/>
        <v>7.6102483277599295E-3</v>
      </c>
    </row>
    <row r="56" spans="2:3" x14ac:dyDescent="0.25">
      <c r="B56" s="63">
        <f ca="1"/>
        <v>48341</v>
      </c>
      <c r="C56" s="64">
        <f ca="1"/>
        <v>7.7391885142046269E-3</v>
      </c>
    </row>
    <row r="57" spans="2:3" x14ac:dyDescent="0.25">
      <c r="B57" s="63">
        <f ca="1"/>
        <v>48435</v>
      </c>
      <c r="C57" s="64">
        <f ca="1"/>
        <v>7.8631092087087986E-3</v>
      </c>
    </row>
    <row r="58" spans="2:3" x14ac:dyDescent="0.25">
      <c r="B58" s="63">
        <f ca="1"/>
        <v>48526</v>
      </c>
      <c r="C58" s="64">
        <f ca="1"/>
        <v>7.9740912460289654E-3</v>
      </c>
    </row>
    <row r="59" spans="2:3" x14ac:dyDescent="0.25">
      <c r="B59" s="63">
        <f ca="1"/>
        <v>48617</v>
      </c>
      <c r="C59" s="64">
        <f ca="1"/>
        <v>8.0719741277540807E-3</v>
      </c>
    </row>
    <row r="60" spans="2:3" x14ac:dyDescent="0.25">
      <c r="B60" s="63">
        <f ca="1"/>
        <v>48708</v>
      </c>
      <c r="C60" s="64">
        <f ca="1"/>
        <v>8.1535115866935865E-3</v>
      </c>
    </row>
    <row r="61" spans="2:3" x14ac:dyDescent="0.25">
      <c r="B61" s="63">
        <f ca="1"/>
        <v>48799</v>
      </c>
      <c r="C61" s="64">
        <f ca="1"/>
        <v>8.2185677276478877E-3</v>
      </c>
    </row>
    <row r="62" spans="2:3" x14ac:dyDescent="0.25">
      <c r="B62" s="63">
        <f ca="1"/>
        <v>48890</v>
      </c>
      <c r="C62" s="64">
        <f ca="1"/>
        <v>8.2670072305366781E-3</v>
      </c>
    </row>
    <row r="63" spans="2:3" x14ac:dyDescent="0.25">
      <c r="B63" s="63">
        <f ca="1"/>
        <v>48982</v>
      </c>
      <c r="C63" s="64">
        <f ca="1"/>
        <v>8.2974649360943245E-3</v>
      </c>
    </row>
    <row r="64" spans="2:3" x14ac:dyDescent="0.25">
      <c r="B64" s="63">
        <f ca="1"/>
        <v>49072</v>
      </c>
      <c r="C64" s="64">
        <f ca="1"/>
        <v>8.3072216990119126E-3</v>
      </c>
    </row>
    <row r="65" spans="2:3" x14ac:dyDescent="0.25">
      <c r="B65" s="63">
        <f ca="1"/>
        <v>49163</v>
      </c>
      <c r="C65" s="64">
        <f ca="1"/>
        <v>8.2967583462676756E-3</v>
      </c>
    </row>
    <row r="66" spans="2:3" x14ac:dyDescent="0.25">
      <c r="B66" s="63">
        <f ca="1"/>
        <v>49255</v>
      </c>
      <c r="C66" s="64">
        <f ca="1"/>
        <v>8.2652263803546476E-3</v>
      </c>
    </row>
    <row r="67" spans="2:3" x14ac:dyDescent="0.25">
      <c r="B67" s="63">
        <f ca="1"/>
        <v>49347</v>
      </c>
      <c r="C67" s="64">
        <f ca="1"/>
        <v>8.2225811598744449E-3</v>
      </c>
    </row>
    <row r="68" spans="2:3" x14ac:dyDescent="0.25">
      <c r="B68" s="63">
        <f ca="1"/>
        <v>49436</v>
      </c>
      <c r="C68" s="64">
        <f ca="1"/>
        <v>8.1828292411577058E-3</v>
      </c>
    </row>
    <row r="69" spans="2:3" x14ac:dyDescent="0.25">
      <c r="B69" s="63">
        <f ca="1"/>
        <v>49528</v>
      </c>
      <c r="C69" s="64">
        <f ca="1"/>
        <v>8.1433473524393264E-3</v>
      </c>
    </row>
    <row r="70" spans="2:3" x14ac:dyDescent="0.25">
      <c r="B70" s="63">
        <f ca="1"/>
        <v>49620</v>
      </c>
      <c r="C70" s="64">
        <f ca="1"/>
        <v>8.105517978251351E-3</v>
      </c>
    </row>
    <row r="71" spans="2:3" x14ac:dyDescent="0.25">
      <c r="B71" s="63">
        <f ca="1"/>
        <v>49712</v>
      </c>
      <c r="C71" s="64">
        <f ca="1"/>
        <v>8.0704097699004947E-3</v>
      </c>
    </row>
    <row r="72" spans="2:3" x14ac:dyDescent="0.25">
      <c r="B72" s="63">
        <f ca="1"/>
        <v>49802</v>
      </c>
      <c r="C72" s="64">
        <f ca="1"/>
        <v>8.0400065999988585E-3</v>
      </c>
    </row>
    <row r="73" spans="2:3" x14ac:dyDescent="0.25">
      <c r="B73" s="63">
        <f ca="1"/>
        <v>49894</v>
      </c>
      <c r="C73" s="64">
        <f ca="1"/>
        <v>8.0129961611533143E-3</v>
      </c>
    </row>
    <row r="74" spans="2:3" x14ac:dyDescent="0.25">
      <c r="B74" s="63">
        <f ca="1"/>
        <v>49986</v>
      </c>
      <c r="C74" s="64">
        <f ca="1"/>
        <v>7.9900856414654269E-3</v>
      </c>
    </row>
    <row r="75" spans="2:3" x14ac:dyDescent="0.25">
      <c r="B75" s="63">
        <f ca="1"/>
        <v>50080</v>
      </c>
      <c r="C75" s="64">
        <f ca="1"/>
        <v>7.9719476076472659E-3</v>
      </c>
    </row>
    <row r="76" spans="2:3" x14ac:dyDescent="0.25">
      <c r="B76" s="63">
        <f ca="1"/>
        <v>50167</v>
      </c>
      <c r="C76" s="64">
        <f ca="1"/>
        <v>7.9607220046299318E-3</v>
      </c>
    </row>
    <row r="77" spans="2:3" x14ac:dyDescent="0.25">
      <c r="B77" s="63">
        <f ca="1"/>
        <v>50259</v>
      </c>
      <c r="C77" s="64">
        <f ca="1"/>
        <v>7.954908986703044E-3</v>
      </c>
    </row>
    <row r="78" spans="2:3" x14ac:dyDescent="0.25">
      <c r="B78" s="63">
        <f ca="1"/>
        <v>50353</v>
      </c>
      <c r="C78" s="64">
        <f ca="1"/>
        <v>7.9550054745907844E-3</v>
      </c>
    </row>
    <row r="79" spans="2:3" x14ac:dyDescent="0.25">
      <c r="B79" s="63">
        <f ca="1"/>
        <v>50444</v>
      </c>
      <c r="C79" s="64">
        <f ca="1"/>
        <v>7.962230814037536E-3</v>
      </c>
    </row>
    <row r="80" spans="2:3" x14ac:dyDescent="0.25">
      <c r="B80" s="63">
        <f ca="1"/>
        <v>50532</v>
      </c>
      <c r="C80" s="64">
        <f ca="1"/>
        <v>7.9771108272823719E-3</v>
      </c>
    </row>
    <row r="81" spans="2:3" x14ac:dyDescent="0.25">
      <c r="B81" s="63">
        <f ca="1"/>
        <v>50626</v>
      </c>
      <c r="C81" s="64">
        <f ca="1"/>
        <v>8.0004316344644902E-3</v>
      </c>
    </row>
    <row r="82" spans="2:3" x14ac:dyDescent="0.25">
      <c r="B82" s="63">
        <f ca="1"/>
        <v>50717</v>
      </c>
      <c r="C82" s="64">
        <f ca="1"/>
        <v>8.0315360399055222E-3</v>
      </c>
    </row>
    <row r="83" spans="2:3" x14ac:dyDescent="0.25">
      <c r="B83" s="63">
        <f ca="1"/>
        <v>50808</v>
      </c>
      <c r="C83" s="64">
        <f ca="1"/>
        <v>8.0715941349168846E-3</v>
      </c>
    </row>
    <row r="84" spans="2:3" x14ac:dyDescent="0.25">
      <c r="B84" s="63">
        <f ca="1"/>
        <v>50899</v>
      </c>
      <c r="C84" s="64">
        <f ca="1"/>
        <v>8.1216859701566495E-3</v>
      </c>
    </row>
    <row r="85" spans="2:3" x14ac:dyDescent="0.25">
      <c r="B85" s="63">
        <f ca="1"/>
        <v>50990</v>
      </c>
      <c r="C85" s="64">
        <f ca="1"/>
        <v>8.1818961636971731E-3</v>
      </c>
    </row>
    <row r="86" spans="2:3" x14ac:dyDescent="0.25">
      <c r="B86" s="63">
        <f ca="1"/>
        <v>51081</v>
      </c>
      <c r="C86" s="64">
        <f ca="1"/>
        <v>8.2523097744897529E-3</v>
      </c>
    </row>
    <row r="87" spans="2:3" x14ac:dyDescent="0.25">
      <c r="B87" s="63">
        <f ca="1"/>
        <v>51173</v>
      </c>
      <c r="C87" s="64">
        <f ca="1"/>
        <v>8.3285691505730394E-3</v>
      </c>
    </row>
    <row r="88" spans="2:3" x14ac:dyDescent="0.25">
      <c r="B88" s="63">
        <f ca="1"/>
        <v>51263</v>
      </c>
      <c r="C88" s="64">
        <f ca="1"/>
        <v>8.40132867018226E-3</v>
      </c>
    </row>
    <row r="89" spans="2:3" x14ac:dyDescent="0.25">
      <c r="B89" s="63">
        <f ca="1"/>
        <v>51355</v>
      </c>
      <c r="C89" s="64">
        <f ca="1"/>
        <v>8.4737769032749172E-3</v>
      </c>
    </row>
    <row r="90" spans="2:3" x14ac:dyDescent="0.25">
      <c r="B90" s="63">
        <f ca="1"/>
        <v>51447</v>
      </c>
      <c r="C90" s="64">
        <f ca="1"/>
        <v>8.5442610991256704E-3</v>
      </c>
    </row>
    <row r="91" spans="2:3" x14ac:dyDescent="0.25">
      <c r="B91" s="63">
        <f ca="1"/>
        <v>51539</v>
      </c>
      <c r="C91" s="64">
        <f ca="1"/>
        <v>8.6124912167614958E-3</v>
      </c>
    </row>
    <row r="92" spans="2:3" x14ac:dyDescent="0.25">
      <c r="B92" s="63">
        <f ca="1"/>
        <v>51628</v>
      </c>
      <c r="C92" s="64">
        <f ca="1"/>
        <v>8.676004364291702E-3</v>
      </c>
    </row>
    <row r="93" spans="2:3" x14ac:dyDescent="0.25">
      <c r="B93" s="63">
        <f ca="1"/>
        <v>51720</v>
      </c>
      <c r="C93" s="64">
        <f ca="1"/>
        <v>8.7390600340284709E-3</v>
      </c>
    </row>
    <row r="94" spans="2:3" x14ac:dyDescent="0.25">
      <c r="B94" s="63">
        <f ca="1"/>
        <v>51812</v>
      </c>
      <c r="C94" s="64">
        <f ca="1"/>
        <v>8.7994521669230493E-3</v>
      </c>
    </row>
    <row r="95" spans="2:3" x14ac:dyDescent="0.25">
      <c r="B95" s="63">
        <f ca="1"/>
        <v>51904</v>
      </c>
      <c r="C95" s="64">
        <f ca="1"/>
        <v>8.8578001826449849E-3</v>
      </c>
    </row>
    <row r="96" spans="2:3" x14ac:dyDescent="0.25">
      <c r="B96" s="63">
        <f ca="1"/>
        <v>51993</v>
      </c>
      <c r="C96" s="64">
        <f ca="1"/>
        <v>8.9096538482120891E-3</v>
      </c>
    </row>
    <row r="97" spans="2:3" x14ac:dyDescent="0.25">
      <c r="B97" s="63">
        <f ca="1"/>
        <v>52085</v>
      </c>
      <c r="C97" s="64">
        <f ca="1"/>
        <v>8.961015051753729E-3</v>
      </c>
    </row>
    <row r="98" spans="2:3" x14ac:dyDescent="0.25">
      <c r="B98" s="63">
        <f ca="1"/>
        <v>52177</v>
      </c>
      <c r="C98" s="64">
        <f ca="1"/>
        <v>9.0099343828958355E-3</v>
      </c>
    </row>
    <row r="99" spans="2:3" x14ac:dyDescent="0.25">
      <c r="B99" s="63">
        <f ca="1"/>
        <v>52271</v>
      </c>
      <c r="C99" s="64">
        <f ca="1"/>
        <v>9.0549297973224856E-3</v>
      </c>
    </row>
    <row r="100" spans="2:3" x14ac:dyDescent="0.25">
      <c r="B100" s="63">
        <f ca="1"/>
        <v>52358</v>
      </c>
      <c r="C100" s="64">
        <f ca="1"/>
        <v>9.0938493848069044E-3</v>
      </c>
    </row>
    <row r="101" spans="2:3" x14ac:dyDescent="0.25">
      <c r="B101" s="63">
        <f ca="1"/>
        <v>52450</v>
      </c>
      <c r="C101" s="64">
        <f ca="1"/>
        <v>9.132033929848923E-3</v>
      </c>
    </row>
    <row r="102" spans="2:3" x14ac:dyDescent="0.25">
      <c r="B102" s="63">
        <f ca="1"/>
        <v>52544</v>
      </c>
      <c r="C102" s="64">
        <f ca="1"/>
        <v>9.1659482045096993E-3</v>
      </c>
    </row>
    <row r="103" spans="2:3" x14ac:dyDescent="0.25">
      <c r="B103" s="63">
        <f ca="1"/>
        <v>52635</v>
      </c>
      <c r="C103" s="64">
        <f ca="1"/>
        <v>9.1954427266260925E-3</v>
      </c>
    </row>
    <row r="104" spans="2:3" x14ac:dyDescent="0.25">
      <c r="B104" s="63">
        <f ca="1"/>
        <v>52726</v>
      </c>
      <c r="C104" s="64">
        <f ca="1"/>
        <v>9.220804402345642E-3</v>
      </c>
    </row>
    <row r="105" spans="2:3" x14ac:dyDescent="0.25">
      <c r="B105" s="63">
        <f ca="1"/>
        <v>52817</v>
      </c>
      <c r="C105" s="64">
        <f ca="1"/>
        <v>9.2419941947345652E-3</v>
      </c>
    </row>
    <row r="106" spans="2:3" x14ac:dyDescent="0.25">
      <c r="B106" s="63">
        <f ca="1"/>
        <v>52908</v>
      </c>
      <c r="C106" s="64">
        <f ca="1"/>
        <v>9.2589727487491277E-3</v>
      </c>
    </row>
    <row r="107" spans="2:3" x14ac:dyDescent="0.25">
      <c r="B107" s="63">
        <f ca="1"/>
        <v>53000</v>
      </c>
      <c r="C107" s="64">
        <f ca="1"/>
        <v>9.2733672920664433E-3</v>
      </c>
    </row>
    <row r="108" spans="2:3" x14ac:dyDescent="0.25">
      <c r="B108" s="63">
        <f ca="1"/>
        <v>53090</v>
      </c>
      <c r="C108" s="64">
        <f ca="1"/>
        <v>9.2866912507228363E-3</v>
      </c>
    </row>
    <row r="109" spans="2:3" x14ac:dyDescent="0.25">
      <c r="B109" s="63">
        <f ca="1"/>
        <v>53181</v>
      </c>
      <c r="C109" s="64">
        <f ca="1"/>
        <v>9.2994029049320824E-3</v>
      </c>
    </row>
    <row r="110" spans="2:3" x14ac:dyDescent="0.25">
      <c r="B110" s="63">
        <f ca="1"/>
        <v>53273</v>
      </c>
      <c r="C110" s="64">
        <f ca="1"/>
        <v>9.3114695307905983E-3</v>
      </c>
    </row>
    <row r="111" spans="2:3" x14ac:dyDescent="0.25">
      <c r="B111" s="63">
        <f ca="1"/>
        <v>53365</v>
      </c>
      <c r="C111" s="64">
        <f ca="1"/>
        <v>9.3227898005521868E-3</v>
      </c>
    </row>
    <row r="112" spans="2:3" x14ac:dyDescent="0.25">
      <c r="B112" s="63">
        <f ca="1"/>
        <v>53454</v>
      </c>
      <c r="C112" s="64">
        <f ca="1"/>
        <v>9.3330842666997753E-3</v>
      </c>
    </row>
    <row r="113" spans="2:3" x14ac:dyDescent="0.25">
      <c r="B113" s="63">
        <f ca="1"/>
        <v>53546</v>
      </c>
      <c r="C113" s="64">
        <f ca="1"/>
        <v>9.3430405648176791E-3</v>
      </c>
    </row>
    <row r="114" spans="2:3" x14ac:dyDescent="0.25">
      <c r="B114" s="63">
        <f ca="1"/>
        <v>53638</v>
      </c>
      <c r="C114" s="64">
        <f ca="1"/>
        <v>9.3522935900437146E-3</v>
      </c>
    </row>
    <row r="115" spans="2:3" x14ac:dyDescent="0.25">
      <c r="B115" s="63">
        <f ca="1"/>
        <v>53730</v>
      </c>
      <c r="C115" s="64">
        <f ca="1"/>
        <v>9.3608674359849549E-3</v>
      </c>
    </row>
    <row r="116" spans="2:3" x14ac:dyDescent="0.25">
      <c r="B116" s="63">
        <f ca="1"/>
        <v>53819</v>
      </c>
      <c r="C116" s="64">
        <f ca="1"/>
        <v>9.3685463318361212E-3</v>
      </c>
    </row>
    <row r="117" spans="2:3" x14ac:dyDescent="0.25">
      <c r="B117" s="63">
        <f ca="1"/>
        <v>53911</v>
      </c>
      <c r="C117" s="64">
        <f ca="1"/>
        <v>9.3758419361967601E-3</v>
      </c>
    </row>
    <row r="118" spans="2:3" x14ac:dyDescent="0.25">
      <c r="B118" s="63">
        <f ca="1"/>
        <v>54003</v>
      </c>
      <c r="C118" s="64">
        <f ca="1"/>
        <v>9.3824784709585028E-3</v>
      </c>
    </row>
    <row r="119" spans="2:3" x14ac:dyDescent="0.25">
      <c r="B119" s="63">
        <f ca="1"/>
        <v>54095</v>
      </c>
      <c r="C119" s="64">
        <f ca="1"/>
        <v>9.3887931944985695E-3</v>
      </c>
    </row>
    <row r="120" spans="2:3" x14ac:dyDescent="0.25">
      <c r="B120" s="63">
        <f ca="1"/>
        <v>54185</v>
      </c>
      <c r="C120" s="64">
        <f ca="1"/>
        <v>9.3937924339129921E-3</v>
      </c>
    </row>
    <row r="121" spans="2:3" x14ac:dyDescent="0.25">
      <c r="B121" s="63">
        <f ca="1"/>
        <v>54277</v>
      </c>
      <c r="C121" s="64">
        <f ca="1"/>
        <v>9.3989217882489498E-3</v>
      </c>
    </row>
    <row r="122" spans="2:3" x14ac:dyDescent="0.25">
      <c r="B122" s="63">
        <f ca="1"/>
        <v>54371</v>
      </c>
      <c r="C122" s="64">
        <f ca="1"/>
        <v>9.402945714378599E-3</v>
      </c>
    </row>
    <row r="123" spans="2:3" x14ac:dyDescent="0.25">
      <c r="B123" s="63">
        <f ca="1"/>
        <v>54462</v>
      </c>
      <c r="C123" s="64">
        <f ca="1"/>
        <v>9.4065538364996801E-3</v>
      </c>
    </row>
    <row r="124" spans="2:3" x14ac:dyDescent="0.25">
      <c r="B124" s="63">
        <f ca="1"/>
        <v>54550</v>
      </c>
      <c r="C124" s="64">
        <f ca="1"/>
        <v>9.4098129910685571E-3</v>
      </c>
    </row>
    <row r="125" spans="2:3" x14ac:dyDescent="0.25">
      <c r="B125" s="63">
        <f ca="1"/>
        <v>54644</v>
      </c>
      <c r="C125" s="64">
        <f ca="1"/>
        <v>9.4121658200175783E-3</v>
      </c>
    </row>
    <row r="126" spans="2:3" x14ac:dyDescent="0.25">
      <c r="B126" s="63">
        <f ca="1"/>
        <v>54735</v>
      </c>
      <c r="C126" s="64">
        <f ca="1"/>
        <v>9.4141595424846979E-3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CONFIG</vt:lpstr>
      <vt:lpstr>CURVE</vt:lpstr>
      <vt:lpstr>CHART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2020-06-03T13:31:47Z</dcterms:created>
  <dcterms:modified xsi:type="dcterms:W3CDTF">2020-06-03T15:30:41Z</dcterms:modified>
</cp:coreProperties>
</file>